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3.xml" ContentType="application/vnd.openxmlformats-officedocument.spreadsheetml.comments+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ll\Documents\GitHub\mset2\Supporting\"/>
    </mc:Choice>
  </mc:AlternateContent>
  <xr:revisionPtr revIDLastSave="0" documentId="8_{418B6FEA-9322-4C73-8ADA-44CBB0BAD57C}" xr6:coauthVersionLast="47" xr6:coauthVersionMax="47" xr10:uidLastSave="{00000000-0000-0000-0000-000000000000}"/>
  <bookViews>
    <workbookView xWindow="-108" yWindow="-108" windowWidth="23256" windowHeight="15216" firstSheet="29" activeTab="36" xr2:uid="{795BFA02-5062-4B91-9265-BB895F5EACB1}"/>
  </bookViews>
  <sheets>
    <sheet name="Templates &gt;" sheetId="37" r:id="rId1"/>
    <sheet name="Final demand(2)" sheetId="45" r:id="rId2"/>
    <sheet name="Investment by(2)" sheetId="46" r:id="rId3"/>
    <sheet name="Final demand(3)" sheetId="47" r:id="rId4"/>
    <sheet name="Investment by(3)" sheetId="48" r:id="rId5"/>
    <sheet name="Final demand(4)" sheetId="35" r:id="rId6"/>
    <sheet name="Investment by(4)" sheetId="36" r:id="rId7"/>
    <sheet name="Final demand(5)" sheetId="49" r:id="rId8"/>
    <sheet name="Investment by(5)" sheetId="50" r:id="rId9"/>
    <sheet name="Final demand(6)" sheetId="53" r:id="rId10"/>
    <sheet name="Investment by(6)" sheetId="54" r:id="rId11"/>
    <sheet name="Final demand(7)" sheetId="55" r:id="rId12"/>
    <sheet name="Investment by(7)" sheetId="56" r:id="rId13"/>
    <sheet name="PERT_data" sheetId="38" r:id="rId14"/>
    <sheet name="Analysis &gt;" sheetId="7" r:id="rId15"/>
    <sheet name="Preliminary results" sheetId="13" r:id="rId16"/>
    <sheet name="Link to literature" sheetId="57" r:id="rId17"/>
    <sheet name="MSET pivots" sheetId="14" r:id="rId18"/>
    <sheet name="Baseline govt spend" sheetId="18" r:id="rId19"/>
    <sheet name="Scenario sets" sheetId="9" r:id="rId20"/>
    <sheet name="Matrix" sheetId="26" r:id="rId21"/>
    <sheet name="PERT_dist &gt;" sheetId="42" r:id="rId22"/>
    <sheet name="PERT2a_2026-08-24" sheetId="40" r:id="rId23"/>
    <sheet name="PERT1a_2026-08-24" sheetId="41" r:id="rId24"/>
    <sheet name="Elicitation &gt;" sheetId="6" r:id="rId25"/>
    <sheet name="Quant interpretation" sheetId="4" r:id="rId26"/>
    <sheet name="Representation" sheetId="5" r:id="rId27"/>
    <sheet name="Processed data" sheetId="2" r:id="rId28"/>
    <sheet name="Steps taken in cleaning data" sheetId="3" r:id="rId29"/>
    <sheet name="Original data" sheetId="1" r:id="rId30"/>
    <sheet name="__SankeyInternalData" sheetId="24" state="veryHidden" r:id="rId31"/>
    <sheet name="Other inputs &gt;" sheetId="12" r:id="rId32"/>
    <sheet name="World Bank 2026" sheetId="8" r:id="rId33"/>
    <sheet name="Beynon 2023" sheetId="10" r:id="rId34"/>
    <sheet name="Notes" sheetId="11" r:id="rId35"/>
    <sheet name="calculations_govt_revenues" sheetId="33" r:id="rId36"/>
    <sheet name="Inflation" sheetId="39" r:id="rId37"/>
  </sheets>
  <externalReferences>
    <externalReference r:id="rId38"/>
    <externalReference r:id="rId39"/>
    <externalReference r:id="rId40"/>
  </externalReferences>
  <definedNames>
    <definedName name="_xlnm._FilterDatabase" localSheetId="18" hidden="1">'Baseline govt spend'!$B$3:$D$113</definedName>
    <definedName name="_xlnm._FilterDatabase" localSheetId="27" hidden="1">'Processed data'!$B$3:$CN$33</definedName>
    <definedName name="_xlnm._FilterDatabase" localSheetId="19" hidden="1">'Scenario sets'!$A$4:$AC$221</definedName>
    <definedName name="_xlnm._FilterDatabase" localSheetId="32" hidden="1">'World Bank 2026'!#REF!</definedName>
    <definedName name="_Key1" hidden="1">#REF!</definedName>
    <definedName name="_Order1" hidden="1">255</definedName>
    <definedName name="_Sort" hidden="1">#REF!</definedName>
    <definedName name="_xlchart.v1.0" hidden="1">'Link to literature'!$D$44:$D$49</definedName>
    <definedName name="_xlchart.v1.1" hidden="1">'Link to literature'!$E$44:$E$49</definedName>
    <definedName name="Customer_ID">#REF!</definedName>
    <definedName name="EV__LASTREFTIME__" hidden="1">42241.5638078704</definedName>
    <definedName name="GaugeHeader">#REF!</definedName>
    <definedName name="MekkoHeader">#REF!</definedName>
    <definedName name="Month">#REF!</definedName>
    <definedName name="OrgChartHeader">#REF!</definedName>
    <definedName name="_xlnm.Print_Area" localSheetId="32">'World Bank 2026'!$B$1:$F$245</definedName>
    <definedName name="_xlnm.Print_Titles" localSheetId="32">'World Bank 2026'!$1:$5</definedName>
    <definedName name="RadialBarChartHeader">#REF!</definedName>
    <definedName name="raphic5">#REF!</definedName>
    <definedName name="RingHeader">#REF!</definedName>
    <definedName name="rngGreenColor">#REF!</definedName>
    <definedName name="rngPlanColor">#REF!</definedName>
    <definedName name="rngRedColor">#REF!</definedName>
    <definedName name="rngWFConnectorsColor">#REF!</definedName>
    <definedName name="rngWFGreenColor">#REF!</definedName>
    <definedName name="rngWFRedColor">#REF!</definedName>
    <definedName name="rngWFStarEndColor">#REF!</definedName>
    <definedName name="rngZLColor">#REF!</definedName>
    <definedName name="SalesFunnel2Header">#REF!</definedName>
    <definedName name="SalesFunnelHeader">#REF!</definedName>
    <definedName name="SF2_F">#REF!</definedName>
    <definedName name="TrafficLightHeader">#REF!</definedName>
    <definedName name="VAH_F1">#REF!</definedName>
    <definedName name="VAH_F2">#REF!</definedName>
    <definedName name="VarianceActualHorizontalHeader">#REF!</definedName>
    <definedName name="VarianceHeader">#REF!</definedName>
    <definedName name="WaterFallHeader">#REF!</definedName>
    <definedName name="WindRoseHeader">#REF!</definedName>
  </definedNames>
  <calcPr calcId="191029"/>
  <pivotCaches>
    <pivotCache cacheId="43" r:id="rId4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3" l="1"/>
  <c r="G45" i="57" l="1"/>
  <c r="G46" i="57"/>
  <c r="G47" i="57"/>
  <c r="G48" i="57"/>
  <c r="G44" i="57"/>
  <c r="E49" i="57"/>
  <c r="G52" i="57" s="1"/>
  <c r="E45" i="57"/>
  <c r="E46" i="57"/>
  <c r="E47" i="57"/>
  <c r="E48" i="57"/>
  <c r="E44" i="57"/>
  <c r="C110" i="13" l="1"/>
  <c r="P7" i="39"/>
  <c r="C88" i="13"/>
  <c r="C92" i="13" s="1"/>
  <c r="C84" i="13"/>
  <c r="C80" i="13"/>
  <c r="C22" i="13" l="1"/>
  <c r="E27" i="57"/>
  <c r="E29" i="57"/>
  <c r="E36" i="57" s="1"/>
  <c r="E28" i="57"/>
  <c r="J7" i="39"/>
  <c r="G8" i="13"/>
  <c r="H8" i="13" s="1"/>
  <c r="H2" i="9"/>
  <c r="G2" i="9"/>
  <c r="T20" i="56"/>
  <c r="AB19" i="56"/>
  <c r="C8" i="56"/>
  <c r="G6" i="56"/>
  <c r="H2" i="56"/>
  <c r="G2" i="56"/>
  <c r="I905" i="55"/>
  <c r="I904" i="55"/>
  <c r="I903" i="55"/>
  <c r="I902" i="55"/>
  <c r="I901" i="55"/>
  <c r="I900" i="55"/>
  <c r="I899" i="55"/>
  <c r="I898" i="55"/>
  <c r="I897" i="55"/>
  <c r="I896" i="55"/>
  <c r="I895" i="55"/>
  <c r="I894" i="55"/>
  <c r="I893" i="55"/>
  <c r="I892" i="55"/>
  <c r="I891" i="55"/>
  <c r="I890" i="55"/>
  <c r="I889" i="55"/>
  <c r="I888" i="55"/>
  <c r="I887" i="55"/>
  <c r="I886" i="55"/>
  <c r="I885" i="55"/>
  <c r="I884" i="55"/>
  <c r="I883" i="55"/>
  <c r="I882" i="55"/>
  <c r="I881" i="55"/>
  <c r="I880" i="55"/>
  <c r="I879" i="55"/>
  <c r="I878" i="55"/>
  <c r="I877" i="55"/>
  <c r="I876" i="55"/>
  <c r="I875" i="55"/>
  <c r="I874" i="55"/>
  <c r="I873" i="55"/>
  <c r="I872" i="55"/>
  <c r="I871" i="55"/>
  <c r="I870" i="55"/>
  <c r="I869" i="55"/>
  <c r="I868" i="55"/>
  <c r="I867" i="55"/>
  <c r="I866" i="55"/>
  <c r="I865" i="55"/>
  <c r="I864" i="55"/>
  <c r="I863" i="55"/>
  <c r="I862" i="55"/>
  <c r="I861" i="55"/>
  <c r="I860" i="55"/>
  <c r="I859" i="55"/>
  <c r="I858" i="55"/>
  <c r="I857" i="55"/>
  <c r="I856" i="55"/>
  <c r="I855" i="55"/>
  <c r="I854" i="55"/>
  <c r="I853" i="55"/>
  <c r="I852" i="55"/>
  <c r="I851" i="55"/>
  <c r="I850" i="55"/>
  <c r="I849" i="55"/>
  <c r="I848" i="55"/>
  <c r="I847" i="55"/>
  <c r="I846" i="55"/>
  <c r="I845" i="55"/>
  <c r="I844" i="55"/>
  <c r="I843" i="55"/>
  <c r="I842" i="55"/>
  <c r="I841" i="55"/>
  <c r="I840" i="55"/>
  <c r="I839" i="55"/>
  <c r="I838" i="55"/>
  <c r="I837" i="55"/>
  <c r="I836" i="55"/>
  <c r="I835" i="55"/>
  <c r="I834" i="55"/>
  <c r="I833" i="55"/>
  <c r="I832" i="55"/>
  <c r="I831" i="55"/>
  <c r="I830" i="55"/>
  <c r="I829" i="55"/>
  <c r="I828" i="55"/>
  <c r="I827" i="55"/>
  <c r="I826" i="55"/>
  <c r="I825" i="55"/>
  <c r="I824" i="55"/>
  <c r="I823" i="55"/>
  <c r="I822" i="55"/>
  <c r="I821" i="55"/>
  <c r="I820" i="55"/>
  <c r="I819" i="55"/>
  <c r="I818" i="55"/>
  <c r="I817" i="55"/>
  <c r="I816" i="55"/>
  <c r="I815" i="55"/>
  <c r="I814" i="55"/>
  <c r="I813" i="55"/>
  <c r="I812" i="55"/>
  <c r="I811" i="55"/>
  <c r="I810" i="55"/>
  <c r="I809" i="55"/>
  <c r="I808" i="55"/>
  <c r="I807" i="55"/>
  <c r="I806" i="55"/>
  <c r="I805" i="55"/>
  <c r="I804" i="55"/>
  <c r="I803" i="55"/>
  <c r="I802" i="55"/>
  <c r="I801" i="55"/>
  <c r="I800" i="55"/>
  <c r="I799" i="55"/>
  <c r="I798" i="55"/>
  <c r="I797" i="55"/>
  <c r="I796" i="55"/>
  <c r="I795" i="55"/>
  <c r="I794" i="55"/>
  <c r="I793" i="55"/>
  <c r="I792" i="55"/>
  <c r="I791" i="55"/>
  <c r="I790" i="55"/>
  <c r="I789" i="55"/>
  <c r="I788" i="55"/>
  <c r="I787" i="55"/>
  <c r="I786" i="55"/>
  <c r="I785" i="55"/>
  <c r="I784" i="55"/>
  <c r="I783" i="55"/>
  <c r="I782" i="55"/>
  <c r="I781" i="55"/>
  <c r="I780" i="55"/>
  <c r="I779" i="55"/>
  <c r="I778" i="55"/>
  <c r="I777" i="55"/>
  <c r="I776" i="55"/>
  <c r="I775" i="55"/>
  <c r="I774" i="55"/>
  <c r="I773" i="55"/>
  <c r="I772" i="55"/>
  <c r="I771" i="55"/>
  <c r="I770" i="55"/>
  <c r="I769" i="55"/>
  <c r="I768" i="55"/>
  <c r="I767" i="55"/>
  <c r="I766" i="55"/>
  <c r="I765" i="55"/>
  <c r="I764" i="55"/>
  <c r="I763" i="55"/>
  <c r="I762" i="55"/>
  <c r="I761" i="55"/>
  <c r="I760" i="55"/>
  <c r="I759" i="55"/>
  <c r="I758" i="55"/>
  <c r="I757" i="55"/>
  <c r="I756" i="55"/>
  <c r="I755" i="55"/>
  <c r="I754" i="55"/>
  <c r="I753" i="55"/>
  <c r="I752" i="55"/>
  <c r="I751" i="55"/>
  <c r="I750" i="55"/>
  <c r="I749" i="55"/>
  <c r="I748" i="55"/>
  <c r="I747" i="55"/>
  <c r="I746" i="55"/>
  <c r="I745" i="55"/>
  <c r="I744" i="55"/>
  <c r="I743" i="55"/>
  <c r="I742" i="55"/>
  <c r="I741" i="55"/>
  <c r="I740" i="55"/>
  <c r="I739" i="55"/>
  <c r="I738" i="55"/>
  <c r="I737" i="55"/>
  <c r="I736" i="55"/>
  <c r="I735" i="55"/>
  <c r="I734" i="55"/>
  <c r="I733" i="55"/>
  <c r="I732" i="55"/>
  <c r="I731" i="55"/>
  <c r="I730" i="55"/>
  <c r="I729" i="55"/>
  <c r="I728" i="55"/>
  <c r="I727" i="55"/>
  <c r="I726" i="55"/>
  <c r="I725" i="55"/>
  <c r="I724" i="55"/>
  <c r="I723" i="55"/>
  <c r="I722" i="55"/>
  <c r="I721" i="55"/>
  <c r="I720" i="55"/>
  <c r="I719" i="55"/>
  <c r="I718" i="55"/>
  <c r="I717" i="55"/>
  <c r="I716" i="55"/>
  <c r="I715" i="55"/>
  <c r="I714" i="55"/>
  <c r="I713" i="55"/>
  <c r="I712" i="55"/>
  <c r="I711" i="55"/>
  <c r="I710" i="55"/>
  <c r="I709" i="55"/>
  <c r="I708" i="55"/>
  <c r="I707" i="55"/>
  <c r="I706" i="55"/>
  <c r="I705" i="55"/>
  <c r="I704" i="55"/>
  <c r="I703" i="55"/>
  <c r="I702" i="55"/>
  <c r="I701" i="55"/>
  <c r="I700" i="55"/>
  <c r="I699" i="55"/>
  <c r="I698" i="55"/>
  <c r="I697" i="55"/>
  <c r="I696" i="55"/>
  <c r="I695" i="55"/>
  <c r="I694" i="55"/>
  <c r="I693" i="55"/>
  <c r="I692" i="55"/>
  <c r="I691" i="55"/>
  <c r="I690" i="55"/>
  <c r="I689" i="55"/>
  <c r="I688" i="55"/>
  <c r="I687" i="55"/>
  <c r="I686" i="55"/>
  <c r="I685" i="55"/>
  <c r="I684" i="55"/>
  <c r="I683" i="55"/>
  <c r="I682" i="55"/>
  <c r="I681" i="55"/>
  <c r="I680" i="55"/>
  <c r="I679" i="55"/>
  <c r="I678" i="55"/>
  <c r="I677" i="55"/>
  <c r="I676" i="55"/>
  <c r="I675" i="55"/>
  <c r="I674" i="55"/>
  <c r="I673" i="55"/>
  <c r="I672" i="55"/>
  <c r="I671" i="55"/>
  <c r="I670" i="55"/>
  <c r="I669" i="55"/>
  <c r="I668" i="55"/>
  <c r="I667" i="55"/>
  <c r="I666" i="55"/>
  <c r="I665" i="55"/>
  <c r="I664" i="55"/>
  <c r="I663" i="55"/>
  <c r="I662" i="55"/>
  <c r="I661" i="55"/>
  <c r="I660" i="55"/>
  <c r="I659" i="55"/>
  <c r="I658" i="55"/>
  <c r="I657" i="55"/>
  <c r="I656" i="55"/>
  <c r="I655" i="55"/>
  <c r="I654" i="55"/>
  <c r="I653" i="55"/>
  <c r="I652" i="55"/>
  <c r="I651" i="55"/>
  <c r="I650" i="55"/>
  <c r="I649" i="55"/>
  <c r="I648" i="55"/>
  <c r="I647" i="55"/>
  <c r="I646" i="55"/>
  <c r="I645" i="55"/>
  <c r="I644" i="55"/>
  <c r="I643" i="55"/>
  <c r="I642" i="55"/>
  <c r="I641" i="55"/>
  <c r="I640" i="55"/>
  <c r="I639" i="55"/>
  <c r="I638" i="55"/>
  <c r="I637" i="55"/>
  <c r="I636" i="55"/>
  <c r="I635" i="55"/>
  <c r="I634" i="55"/>
  <c r="I633" i="55"/>
  <c r="I632" i="55"/>
  <c r="I631" i="55"/>
  <c r="I630" i="55"/>
  <c r="I629" i="55"/>
  <c r="I628" i="55"/>
  <c r="I627" i="55"/>
  <c r="I626" i="55"/>
  <c r="I625" i="55"/>
  <c r="I624" i="55"/>
  <c r="I623" i="55"/>
  <c r="I622" i="55"/>
  <c r="I621" i="55"/>
  <c r="I620" i="55"/>
  <c r="I619" i="55"/>
  <c r="I618" i="55"/>
  <c r="I617" i="55"/>
  <c r="I616" i="55"/>
  <c r="I615" i="55"/>
  <c r="I614" i="55"/>
  <c r="I613" i="55"/>
  <c r="I612" i="55"/>
  <c r="I611" i="55"/>
  <c r="I610" i="55"/>
  <c r="I609" i="55"/>
  <c r="I608" i="55"/>
  <c r="I607" i="55"/>
  <c r="I606" i="55"/>
  <c r="I605" i="55"/>
  <c r="I604" i="55"/>
  <c r="I603" i="55"/>
  <c r="I602" i="55"/>
  <c r="I601" i="55"/>
  <c r="I600" i="55"/>
  <c r="I599" i="55"/>
  <c r="I598" i="55"/>
  <c r="I597" i="55"/>
  <c r="I596" i="55"/>
  <c r="I595" i="55"/>
  <c r="I594" i="55"/>
  <c r="I593" i="55"/>
  <c r="I592" i="55"/>
  <c r="I591" i="55"/>
  <c r="I590" i="55"/>
  <c r="I589" i="55"/>
  <c r="I588" i="55"/>
  <c r="I587" i="55"/>
  <c r="I586" i="55"/>
  <c r="I585" i="55"/>
  <c r="I584" i="55"/>
  <c r="I583" i="55"/>
  <c r="I582" i="55"/>
  <c r="I581" i="55"/>
  <c r="I580" i="55"/>
  <c r="I579" i="55"/>
  <c r="I578" i="55"/>
  <c r="I577" i="55"/>
  <c r="I576" i="55"/>
  <c r="I575" i="55"/>
  <c r="I574" i="55"/>
  <c r="I573" i="55"/>
  <c r="I572" i="55"/>
  <c r="I571" i="55"/>
  <c r="I570" i="55"/>
  <c r="I569" i="55"/>
  <c r="I568" i="55"/>
  <c r="I567" i="55"/>
  <c r="I566" i="55"/>
  <c r="I565" i="55"/>
  <c r="I564" i="55"/>
  <c r="I563" i="55"/>
  <c r="I562" i="55"/>
  <c r="I561" i="55"/>
  <c r="I560" i="55"/>
  <c r="I559" i="55"/>
  <c r="I558" i="55"/>
  <c r="I557" i="55"/>
  <c r="I556" i="55"/>
  <c r="I555" i="55"/>
  <c r="I554" i="55"/>
  <c r="I553" i="55"/>
  <c r="I552" i="55"/>
  <c r="I551" i="55"/>
  <c r="I550" i="55"/>
  <c r="I549" i="55"/>
  <c r="I548" i="55"/>
  <c r="I547" i="55"/>
  <c r="I546" i="55"/>
  <c r="I545" i="55"/>
  <c r="I544" i="55"/>
  <c r="I543" i="55"/>
  <c r="I542" i="55"/>
  <c r="I541" i="55"/>
  <c r="I540" i="55"/>
  <c r="I539" i="55"/>
  <c r="I538" i="55"/>
  <c r="I537" i="55"/>
  <c r="I536" i="55"/>
  <c r="I535" i="55"/>
  <c r="I534" i="55"/>
  <c r="I533" i="55"/>
  <c r="I532" i="55"/>
  <c r="I531" i="55"/>
  <c r="I530" i="55"/>
  <c r="I529" i="55"/>
  <c r="I528" i="55"/>
  <c r="I527" i="55"/>
  <c r="I526" i="55"/>
  <c r="I525" i="55"/>
  <c r="I524" i="55"/>
  <c r="I523" i="55"/>
  <c r="I522" i="55"/>
  <c r="I521" i="55"/>
  <c r="I520" i="55"/>
  <c r="I519" i="55"/>
  <c r="I518" i="55"/>
  <c r="I517" i="55"/>
  <c r="I516" i="55"/>
  <c r="I515" i="55"/>
  <c r="I514" i="55"/>
  <c r="I513" i="55"/>
  <c r="I512" i="55"/>
  <c r="I511" i="55"/>
  <c r="I510" i="55"/>
  <c r="I509" i="55"/>
  <c r="I508" i="55"/>
  <c r="I507" i="55"/>
  <c r="I506" i="55"/>
  <c r="I505" i="55"/>
  <c r="I504" i="55"/>
  <c r="I503" i="55"/>
  <c r="I502" i="55"/>
  <c r="I501" i="55"/>
  <c r="I500" i="55"/>
  <c r="I499" i="55"/>
  <c r="I498" i="55"/>
  <c r="I497" i="55"/>
  <c r="I496" i="55"/>
  <c r="I495" i="55"/>
  <c r="I494" i="55"/>
  <c r="I493" i="55"/>
  <c r="I492" i="55"/>
  <c r="I491" i="55"/>
  <c r="I490" i="55"/>
  <c r="I489" i="55"/>
  <c r="I488" i="55"/>
  <c r="I487" i="55"/>
  <c r="I486" i="55"/>
  <c r="I485" i="55"/>
  <c r="I484" i="55"/>
  <c r="I483" i="55"/>
  <c r="I482" i="55"/>
  <c r="I481" i="55"/>
  <c r="I480" i="55"/>
  <c r="I479" i="55"/>
  <c r="I478" i="55"/>
  <c r="I477" i="55"/>
  <c r="I476" i="55"/>
  <c r="I475" i="55"/>
  <c r="I474" i="55"/>
  <c r="I473" i="55"/>
  <c r="I472" i="55"/>
  <c r="I471" i="55"/>
  <c r="I470" i="55"/>
  <c r="I469" i="55"/>
  <c r="I468" i="55"/>
  <c r="I467" i="55"/>
  <c r="I466" i="55"/>
  <c r="I465" i="55"/>
  <c r="I464" i="55"/>
  <c r="I463" i="55"/>
  <c r="I462" i="55"/>
  <c r="I461" i="55"/>
  <c r="I460" i="55"/>
  <c r="I459" i="55"/>
  <c r="I458" i="55"/>
  <c r="I457" i="55"/>
  <c r="I456" i="55"/>
  <c r="I455" i="55"/>
  <c r="I454" i="55"/>
  <c r="I453" i="55"/>
  <c r="I452" i="55"/>
  <c r="I451" i="55"/>
  <c r="I450" i="55"/>
  <c r="I449" i="55"/>
  <c r="I448" i="55"/>
  <c r="I447" i="55"/>
  <c r="I446" i="55"/>
  <c r="I445" i="55"/>
  <c r="I444" i="55"/>
  <c r="I443" i="55"/>
  <c r="I442" i="55"/>
  <c r="I441" i="55"/>
  <c r="I440" i="55"/>
  <c r="I439" i="55"/>
  <c r="I438" i="55"/>
  <c r="I437" i="55"/>
  <c r="I436" i="55"/>
  <c r="I435" i="55"/>
  <c r="I434" i="55"/>
  <c r="I433" i="55"/>
  <c r="I432" i="55"/>
  <c r="I431" i="55"/>
  <c r="I430" i="55"/>
  <c r="I429" i="55"/>
  <c r="I428" i="55"/>
  <c r="I427" i="55"/>
  <c r="I426" i="55"/>
  <c r="I425" i="55"/>
  <c r="I424" i="55"/>
  <c r="I423" i="55"/>
  <c r="I422" i="55"/>
  <c r="I421" i="55"/>
  <c r="I420" i="55"/>
  <c r="I419" i="55"/>
  <c r="I418" i="55"/>
  <c r="I417" i="55"/>
  <c r="I416" i="55"/>
  <c r="I415" i="55"/>
  <c r="I414" i="55"/>
  <c r="I413" i="55"/>
  <c r="I412" i="55"/>
  <c r="I411" i="55"/>
  <c r="I410" i="55"/>
  <c r="I409" i="55"/>
  <c r="I408" i="55"/>
  <c r="I407" i="55"/>
  <c r="I406" i="55"/>
  <c r="I405" i="55"/>
  <c r="I404" i="55"/>
  <c r="I403" i="55"/>
  <c r="I402" i="55"/>
  <c r="I401" i="55"/>
  <c r="I400" i="55"/>
  <c r="I399" i="55"/>
  <c r="I398" i="55"/>
  <c r="I397" i="55"/>
  <c r="I396" i="55"/>
  <c r="I395" i="55"/>
  <c r="I394" i="55"/>
  <c r="I393" i="55"/>
  <c r="I392" i="55"/>
  <c r="I391" i="55"/>
  <c r="I390" i="55"/>
  <c r="I389" i="55"/>
  <c r="I388" i="55"/>
  <c r="I387" i="55"/>
  <c r="I386" i="55"/>
  <c r="I385" i="55"/>
  <c r="I384" i="55"/>
  <c r="I383" i="55"/>
  <c r="I382" i="55"/>
  <c r="I381" i="55"/>
  <c r="I380" i="55"/>
  <c r="I379" i="55"/>
  <c r="I378" i="55"/>
  <c r="I377" i="55"/>
  <c r="I376" i="55"/>
  <c r="I375" i="55"/>
  <c r="I374" i="55"/>
  <c r="I373" i="55"/>
  <c r="I372" i="55"/>
  <c r="I371" i="55"/>
  <c r="I370" i="55"/>
  <c r="I369" i="55"/>
  <c r="I368" i="55"/>
  <c r="I367" i="55"/>
  <c r="I366" i="55"/>
  <c r="I365" i="55"/>
  <c r="I364" i="55"/>
  <c r="I363" i="55"/>
  <c r="I362" i="55"/>
  <c r="I361" i="55"/>
  <c r="I360" i="55"/>
  <c r="I359" i="55"/>
  <c r="I358" i="55"/>
  <c r="I357" i="55"/>
  <c r="I356" i="55"/>
  <c r="I355" i="55"/>
  <c r="I354" i="55"/>
  <c r="I353" i="55"/>
  <c r="I352" i="55"/>
  <c r="I351" i="55"/>
  <c r="I350" i="55"/>
  <c r="I349" i="55"/>
  <c r="I348" i="55"/>
  <c r="I347" i="55"/>
  <c r="I346" i="55"/>
  <c r="I345" i="55"/>
  <c r="I344" i="55"/>
  <c r="I343" i="55"/>
  <c r="I342" i="55"/>
  <c r="I341" i="55"/>
  <c r="I340" i="55"/>
  <c r="I339" i="55"/>
  <c r="I338" i="55"/>
  <c r="I337" i="55"/>
  <c r="I336" i="55"/>
  <c r="I335" i="55"/>
  <c r="I334" i="55"/>
  <c r="I333" i="55"/>
  <c r="I332" i="55"/>
  <c r="I331" i="55"/>
  <c r="I330" i="55"/>
  <c r="I329" i="55"/>
  <c r="I328" i="55"/>
  <c r="I327" i="55"/>
  <c r="I326" i="55"/>
  <c r="I325" i="55"/>
  <c r="I324" i="55"/>
  <c r="I323" i="55"/>
  <c r="I322" i="55"/>
  <c r="I321" i="55"/>
  <c r="I320" i="55"/>
  <c r="I319" i="55"/>
  <c r="I318" i="55"/>
  <c r="I317" i="55"/>
  <c r="I316" i="55"/>
  <c r="I315" i="55"/>
  <c r="I314" i="55"/>
  <c r="I313" i="55"/>
  <c r="I312" i="55"/>
  <c r="I311" i="55"/>
  <c r="I310" i="55"/>
  <c r="I309" i="55"/>
  <c r="I308" i="55"/>
  <c r="I307" i="55"/>
  <c r="I306" i="55"/>
  <c r="I305" i="55"/>
  <c r="I304" i="55"/>
  <c r="I303" i="55"/>
  <c r="I302" i="55"/>
  <c r="I301" i="55"/>
  <c r="I300" i="55"/>
  <c r="I299" i="55"/>
  <c r="I298" i="55"/>
  <c r="I297" i="55"/>
  <c r="I296" i="55"/>
  <c r="I295" i="55"/>
  <c r="I294" i="55"/>
  <c r="I293" i="55"/>
  <c r="I292" i="55"/>
  <c r="I291" i="55"/>
  <c r="I290" i="55"/>
  <c r="I289" i="55"/>
  <c r="I288" i="55"/>
  <c r="I287" i="55"/>
  <c r="I286" i="55"/>
  <c r="I285" i="55"/>
  <c r="I284" i="55"/>
  <c r="I283" i="55"/>
  <c r="I282" i="55"/>
  <c r="I281" i="55"/>
  <c r="I280" i="55"/>
  <c r="I279" i="55"/>
  <c r="I278" i="55"/>
  <c r="I277" i="55"/>
  <c r="I276" i="55"/>
  <c r="I275" i="55"/>
  <c r="I274" i="55"/>
  <c r="I273" i="55"/>
  <c r="I272" i="55"/>
  <c r="I271" i="55"/>
  <c r="I270" i="55"/>
  <c r="I269" i="55"/>
  <c r="I268" i="55"/>
  <c r="I267" i="55"/>
  <c r="I266" i="55"/>
  <c r="I265" i="55"/>
  <c r="I264" i="55"/>
  <c r="I263" i="55"/>
  <c r="I262" i="55"/>
  <c r="I261" i="55"/>
  <c r="I260" i="55"/>
  <c r="I259" i="55"/>
  <c r="I258" i="55"/>
  <c r="I257" i="55"/>
  <c r="I256" i="55"/>
  <c r="I255" i="55"/>
  <c r="I254" i="55"/>
  <c r="I253" i="55"/>
  <c r="I252" i="55"/>
  <c r="I251" i="55"/>
  <c r="I250" i="55"/>
  <c r="I249" i="55"/>
  <c r="I248" i="55"/>
  <c r="I247" i="55"/>
  <c r="I246" i="55"/>
  <c r="I245" i="55"/>
  <c r="I244" i="55"/>
  <c r="I243" i="55"/>
  <c r="I242" i="55"/>
  <c r="I241" i="55"/>
  <c r="I240" i="55"/>
  <c r="I239" i="55"/>
  <c r="I238" i="55"/>
  <c r="I237" i="55"/>
  <c r="I236" i="55"/>
  <c r="I235" i="55"/>
  <c r="I234" i="55"/>
  <c r="I233" i="55"/>
  <c r="I232" i="55"/>
  <c r="I231" i="55"/>
  <c r="I230" i="55"/>
  <c r="I229" i="55"/>
  <c r="I228" i="55"/>
  <c r="I227" i="55"/>
  <c r="I226" i="55"/>
  <c r="I225" i="55"/>
  <c r="I224" i="55"/>
  <c r="I223" i="55"/>
  <c r="I222" i="55"/>
  <c r="I221" i="55"/>
  <c r="I220" i="55"/>
  <c r="I219" i="55"/>
  <c r="I218" i="55"/>
  <c r="I217" i="55"/>
  <c r="I216" i="55"/>
  <c r="I215" i="55"/>
  <c r="I214" i="55"/>
  <c r="I213" i="55"/>
  <c r="I212" i="55"/>
  <c r="I211" i="55"/>
  <c r="I210" i="55"/>
  <c r="I209" i="55"/>
  <c r="I208" i="55"/>
  <c r="I207" i="55"/>
  <c r="I206" i="55"/>
  <c r="I205" i="55"/>
  <c r="I204" i="55"/>
  <c r="I203" i="55"/>
  <c r="I202" i="55"/>
  <c r="I201" i="55"/>
  <c r="I200" i="55"/>
  <c r="I199" i="55"/>
  <c r="I198" i="55"/>
  <c r="I197" i="55"/>
  <c r="I196" i="55"/>
  <c r="I195" i="55"/>
  <c r="I194" i="55"/>
  <c r="I193" i="55"/>
  <c r="I192" i="55"/>
  <c r="I191" i="55"/>
  <c r="I190" i="55"/>
  <c r="I189" i="55"/>
  <c r="I188" i="55"/>
  <c r="I187" i="55"/>
  <c r="I186" i="55"/>
  <c r="I185" i="55"/>
  <c r="I184" i="55"/>
  <c r="I183" i="55"/>
  <c r="I182" i="55"/>
  <c r="I181" i="55"/>
  <c r="I180" i="55"/>
  <c r="I179" i="55"/>
  <c r="I178" i="55"/>
  <c r="I177" i="55"/>
  <c r="I176" i="55"/>
  <c r="I175" i="55"/>
  <c r="I174" i="55"/>
  <c r="I173" i="55"/>
  <c r="I172" i="55"/>
  <c r="I171" i="55"/>
  <c r="I170" i="55"/>
  <c r="I169" i="55"/>
  <c r="I168" i="55"/>
  <c r="I167" i="55"/>
  <c r="I166" i="55"/>
  <c r="I165" i="55"/>
  <c r="I164" i="55"/>
  <c r="I163" i="55"/>
  <c r="I162" i="55"/>
  <c r="I161" i="55"/>
  <c r="I160" i="55"/>
  <c r="I159" i="55"/>
  <c r="I158" i="55"/>
  <c r="I157" i="55"/>
  <c r="I156" i="55"/>
  <c r="I155" i="55"/>
  <c r="I154" i="55"/>
  <c r="I153" i="55"/>
  <c r="I152" i="55"/>
  <c r="I151" i="55"/>
  <c r="I150" i="55"/>
  <c r="I149" i="55"/>
  <c r="I148" i="55"/>
  <c r="I147" i="55"/>
  <c r="I146" i="55"/>
  <c r="I145" i="55"/>
  <c r="I144" i="55"/>
  <c r="I143" i="55"/>
  <c r="I142" i="55"/>
  <c r="I141" i="55"/>
  <c r="I140" i="55"/>
  <c r="I139" i="55"/>
  <c r="I138" i="55"/>
  <c r="I137" i="55"/>
  <c r="I136" i="55"/>
  <c r="I135" i="55"/>
  <c r="I134" i="55"/>
  <c r="I133" i="55"/>
  <c r="I132" i="55"/>
  <c r="I131" i="55"/>
  <c r="I130" i="55"/>
  <c r="I129" i="55"/>
  <c r="I128" i="55"/>
  <c r="I127" i="55"/>
  <c r="I126" i="55"/>
  <c r="I125" i="55"/>
  <c r="I124" i="55"/>
  <c r="I123" i="55"/>
  <c r="I122" i="55"/>
  <c r="I121" i="55"/>
  <c r="I120" i="55"/>
  <c r="I119" i="55"/>
  <c r="I118" i="55"/>
  <c r="I117" i="55"/>
  <c r="I116" i="55"/>
  <c r="I115" i="55"/>
  <c r="I114" i="55"/>
  <c r="I113" i="55"/>
  <c r="I112" i="55"/>
  <c r="I111" i="55"/>
  <c r="I110" i="55"/>
  <c r="I109" i="55"/>
  <c r="I108" i="55"/>
  <c r="I107" i="55"/>
  <c r="I106" i="55"/>
  <c r="I105" i="55"/>
  <c r="I104" i="55"/>
  <c r="I103" i="55"/>
  <c r="I102" i="55"/>
  <c r="I101" i="55"/>
  <c r="I100" i="55"/>
  <c r="I99" i="55"/>
  <c r="I98" i="55"/>
  <c r="I97" i="55"/>
  <c r="I96" i="55"/>
  <c r="I95" i="55"/>
  <c r="I94" i="55"/>
  <c r="I93" i="55"/>
  <c r="I92" i="55"/>
  <c r="I91" i="55"/>
  <c r="I90" i="55"/>
  <c r="I89" i="55"/>
  <c r="I88" i="55"/>
  <c r="I87" i="55"/>
  <c r="I86" i="55"/>
  <c r="I85" i="55"/>
  <c r="I84" i="55"/>
  <c r="I83" i="55"/>
  <c r="I82" i="55"/>
  <c r="I81" i="55"/>
  <c r="I80" i="55"/>
  <c r="I79" i="55"/>
  <c r="I78" i="55"/>
  <c r="I77" i="55"/>
  <c r="I76" i="55"/>
  <c r="I75" i="55"/>
  <c r="I74" i="55"/>
  <c r="I73" i="55"/>
  <c r="I72" i="55"/>
  <c r="I71" i="55"/>
  <c r="I70" i="55"/>
  <c r="I69" i="55"/>
  <c r="G69" i="55"/>
  <c r="I68" i="55"/>
  <c r="G68" i="55"/>
  <c r="I67" i="55"/>
  <c r="G67" i="55"/>
  <c r="I66" i="55"/>
  <c r="G66" i="55"/>
  <c r="I65" i="55"/>
  <c r="G65" i="55"/>
  <c r="I64" i="55"/>
  <c r="G64" i="55"/>
  <c r="I63" i="55"/>
  <c r="G63" i="55"/>
  <c r="I62" i="55"/>
  <c r="G62" i="55"/>
  <c r="I61" i="55"/>
  <c r="G61" i="55"/>
  <c r="I60" i="55"/>
  <c r="G60" i="55"/>
  <c r="I59" i="55"/>
  <c r="G59" i="55"/>
  <c r="I58" i="55"/>
  <c r="G58" i="55"/>
  <c r="I57" i="55"/>
  <c r="G57" i="55"/>
  <c r="I56" i="55"/>
  <c r="G56" i="55"/>
  <c r="I55" i="55"/>
  <c r="G55" i="55"/>
  <c r="I54" i="55"/>
  <c r="G54" i="55"/>
  <c r="I53" i="55"/>
  <c r="G53" i="55"/>
  <c r="I52" i="55"/>
  <c r="G52" i="55"/>
  <c r="I51" i="55"/>
  <c r="G51" i="55"/>
  <c r="I50" i="55"/>
  <c r="G50" i="55"/>
  <c r="I49" i="55"/>
  <c r="G49" i="55"/>
  <c r="I48" i="55"/>
  <c r="G48" i="55"/>
  <c r="I47" i="55"/>
  <c r="G47" i="55"/>
  <c r="I46" i="55"/>
  <c r="G46" i="55"/>
  <c r="I45" i="55"/>
  <c r="G45" i="55"/>
  <c r="I44" i="55"/>
  <c r="G44" i="55"/>
  <c r="AD26" i="55"/>
  <c r="AJ25" i="55"/>
  <c r="AI25" i="55"/>
  <c r="AE23" i="55"/>
  <c r="Z22" i="55"/>
  <c r="Y22" i="55"/>
  <c r="AC19" i="55"/>
  <c r="AB19" i="55"/>
  <c r="I9" i="55"/>
  <c r="G9" i="55"/>
  <c r="C9" i="55"/>
  <c r="C8" i="55"/>
  <c r="I7" i="55"/>
  <c r="G7" i="55"/>
  <c r="I6" i="55"/>
  <c r="G6" i="55"/>
  <c r="C6" i="55"/>
  <c r="I3" i="55"/>
  <c r="I2" i="55"/>
  <c r="C8" i="54"/>
  <c r="G6" i="54"/>
  <c r="H2" i="54"/>
  <c r="AH20" i="54" s="1"/>
  <c r="G2" i="54"/>
  <c r="I905" i="53"/>
  <c r="I904" i="53"/>
  <c r="I903" i="53"/>
  <c r="I902" i="53"/>
  <c r="I901" i="53"/>
  <c r="I900" i="53"/>
  <c r="I899" i="53"/>
  <c r="I898" i="53"/>
  <c r="I897" i="53"/>
  <c r="I896" i="53"/>
  <c r="I895" i="53"/>
  <c r="I894" i="53"/>
  <c r="I893" i="53"/>
  <c r="I892" i="53"/>
  <c r="I891" i="53"/>
  <c r="I890" i="53"/>
  <c r="I889" i="53"/>
  <c r="I888" i="53"/>
  <c r="I887" i="53"/>
  <c r="I886" i="53"/>
  <c r="I885" i="53"/>
  <c r="I884" i="53"/>
  <c r="I883" i="53"/>
  <c r="I882" i="53"/>
  <c r="I881" i="53"/>
  <c r="I880" i="53"/>
  <c r="I879" i="53"/>
  <c r="I878" i="53"/>
  <c r="I877" i="53"/>
  <c r="I876" i="53"/>
  <c r="I875" i="53"/>
  <c r="I874" i="53"/>
  <c r="I873" i="53"/>
  <c r="I872" i="53"/>
  <c r="I871" i="53"/>
  <c r="I870" i="53"/>
  <c r="I869" i="53"/>
  <c r="I868" i="53"/>
  <c r="I867" i="53"/>
  <c r="I866" i="53"/>
  <c r="I865" i="53"/>
  <c r="I864" i="53"/>
  <c r="I863" i="53"/>
  <c r="I862" i="53"/>
  <c r="I861" i="53"/>
  <c r="I860" i="53"/>
  <c r="I859" i="53"/>
  <c r="I858" i="53"/>
  <c r="I857" i="53"/>
  <c r="I856" i="53"/>
  <c r="I855" i="53"/>
  <c r="I854" i="53"/>
  <c r="I853" i="53"/>
  <c r="I852" i="53"/>
  <c r="I851" i="53"/>
  <c r="I850" i="53"/>
  <c r="I849" i="53"/>
  <c r="I848" i="53"/>
  <c r="I847" i="53"/>
  <c r="I846" i="53"/>
  <c r="I845" i="53"/>
  <c r="I844" i="53"/>
  <c r="I843" i="53"/>
  <c r="I842" i="53"/>
  <c r="I841" i="53"/>
  <c r="I840" i="53"/>
  <c r="I839" i="53"/>
  <c r="I838" i="53"/>
  <c r="I837" i="53"/>
  <c r="I836" i="53"/>
  <c r="I835" i="53"/>
  <c r="I834" i="53"/>
  <c r="I833" i="53"/>
  <c r="I832" i="53"/>
  <c r="I831" i="53"/>
  <c r="I830" i="53"/>
  <c r="I829" i="53"/>
  <c r="I828" i="53"/>
  <c r="I827" i="53"/>
  <c r="I826" i="53"/>
  <c r="I825" i="53"/>
  <c r="I824" i="53"/>
  <c r="I823" i="53"/>
  <c r="I822" i="53"/>
  <c r="I821" i="53"/>
  <c r="I820" i="53"/>
  <c r="I819" i="53"/>
  <c r="I818" i="53"/>
  <c r="I817" i="53"/>
  <c r="I816" i="53"/>
  <c r="I815" i="53"/>
  <c r="I814" i="53"/>
  <c r="I813" i="53"/>
  <c r="I812" i="53"/>
  <c r="I811" i="53"/>
  <c r="I810" i="53"/>
  <c r="I809" i="53"/>
  <c r="I808" i="53"/>
  <c r="I807" i="53"/>
  <c r="I806" i="53"/>
  <c r="I805" i="53"/>
  <c r="I804" i="53"/>
  <c r="I803" i="53"/>
  <c r="I802" i="53"/>
  <c r="I801" i="53"/>
  <c r="I800" i="53"/>
  <c r="I799" i="53"/>
  <c r="I798" i="53"/>
  <c r="I797" i="53"/>
  <c r="I796" i="53"/>
  <c r="I795" i="53"/>
  <c r="I794" i="53"/>
  <c r="I793" i="53"/>
  <c r="I792" i="53"/>
  <c r="I791" i="53"/>
  <c r="I790" i="53"/>
  <c r="I789" i="53"/>
  <c r="I788" i="53"/>
  <c r="I787" i="53"/>
  <c r="I786" i="53"/>
  <c r="I785" i="53"/>
  <c r="I784" i="53"/>
  <c r="I783" i="53"/>
  <c r="I782" i="53"/>
  <c r="I781" i="53"/>
  <c r="I780" i="53"/>
  <c r="I779" i="53"/>
  <c r="I778" i="53"/>
  <c r="I777" i="53"/>
  <c r="I776" i="53"/>
  <c r="I775" i="53"/>
  <c r="I774" i="53"/>
  <c r="I773" i="53"/>
  <c r="I772" i="53"/>
  <c r="I771" i="53"/>
  <c r="I770" i="53"/>
  <c r="I769" i="53"/>
  <c r="I768" i="53"/>
  <c r="I767" i="53"/>
  <c r="I766" i="53"/>
  <c r="I765" i="53"/>
  <c r="I764" i="53"/>
  <c r="I763" i="53"/>
  <c r="I762" i="53"/>
  <c r="I761" i="53"/>
  <c r="I760" i="53"/>
  <c r="I759" i="53"/>
  <c r="I758" i="53"/>
  <c r="I757" i="53"/>
  <c r="I756" i="53"/>
  <c r="I755" i="53"/>
  <c r="I754" i="53"/>
  <c r="I753" i="53"/>
  <c r="I752" i="53"/>
  <c r="I751" i="53"/>
  <c r="I750" i="53"/>
  <c r="I749" i="53"/>
  <c r="I748" i="53"/>
  <c r="I747" i="53"/>
  <c r="I746" i="53"/>
  <c r="I745" i="53"/>
  <c r="I744" i="53"/>
  <c r="I743" i="53"/>
  <c r="I742" i="53"/>
  <c r="I741" i="53"/>
  <c r="I740" i="53"/>
  <c r="I739" i="53"/>
  <c r="I738" i="53"/>
  <c r="I737" i="53"/>
  <c r="I736" i="53"/>
  <c r="I735" i="53"/>
  <c r="I734" i="53"/>
  <c r="I733" i="53"/>
  <c r="I732" i="53"/>
  <c r="I731" i="53"/>
  <c r="I730" i="53"/>
  <c r="I729" i="53"/>
  <c r="I728" i="53"/>
  <c r="I727" i="53"/>
  <c r="I726" i="53"/>
  <c r="I725" i="53"/>
  <c r="I724" i="53"/>
  <c r="I723" i="53"/>
  <c r="I722" i="53"/>
  <c r="I721" i="53"/>
  <c r="I720" i="53"/>
  <c r="I719" i="53"/>
  <c r="I718" i="53"/>
  <c r="I717" i="53"/>
  <c r="I716" i="53"/>
  <c r="I715" i="53"/>
  <c r="I714" i="53"/>
  <c r="I713" i="53"/>
  <c r="I712" i="53"/>
  <c r="I711" i="53"/>
  <c r="I710" i="53"/>
  <c r="I709" i="53"/>
  <c r="I708" i="53"/>
  <c r="I707" i="53"/>
  <c r="I706" i="53"/>
  <c r="I705" i="53"/>
  <c r="I704" i="53"/>
  <c r="I703" i="53"/>
  <c r="I702" i="53"/>
  <c r="I701" i="53"/>
  <c r="I700" i="53"/>
  <c r="I699" i="53"/>
  <c r="I698" i="53"/>
  <c r="I697" i="53"/>
  <c r="I696" i="53"/>
  <c r="I695" i="53"/>
  <c r="I694" i="53"/>
  <c r="I693" i="53"/>
  <c r="I692" i="53"/>
  <c r="I691" i="53"/>
  <c r="I690" i="53"/>
  <c r="I689" i="53"/>
  <c r="I688" i="53"/>
  <c r="I687" i="53"/>
  <c r="I686" i="53"/>
  <c r="I685" i="53"/>
  <c r="I684" i="53"/>
  <c r="I683" i="53"/>
  <c r="I682" i="53"/>
  <c r="I681" i="53"/>
  <c r="I680" i="53"/>
  <c r="I679" i="53"/>
  <c r="I678" i="53"/>
  <c r="I677" i="53"/>
  <c r="I676" i="53"/>
  <c r="I675" i="53"/>
  <c r="I674" i="53"/>
  <c r="I673" i="53"/>
  <c r="I672" i="53"/>
  <c r="I671" i="53"/>
  <c r="I670" i="53"/>
  <c r="I669" i="53"/>
  <c r="I668" i="53"/>
  <c r="I667" i="53"/>
  <c r="I666" i="53"/>
  <c r="I665" i="53"/>
  <c r="I664" i="53"/>
  <c r="I663" i="53"/>
  <c r="I662" i="53"/>
  <c r="I661" i="53"/>
  <c r="I660" i="53"/>
  <c r="I659" i="53"/>
  <c r="I658" i="53"/>
  <c r="I657" i="53"/>
  <c r="I656" i="53"/>
  <c r="I655" i="53"/>
  <c r="I654" i="53"/>
  <c r="I653" i="53"/>
  <c r="I652" i="53"/>
  <c r="I651" i="53"/>
  <c r="I650" i="53"/>
  <c r="I649" i="53"/>
  <c r="I648" i="53"/>
  <c r="I647" i="53"/>
  <c r="I646" i="53"/>
  <c r="I645" i="53"/>
  <c r="I644" i="53"/>
  <c r="I643" i="53"/>
  <c r="I642" i="53"/>
  <c r="I641" i="53"/>
  <c r="I640" i="53"/>
  <c r="I639" i="53"/>
  <c r="I638" i="53"/>
  <c r="I637" i="53"/>
  <c r="I636" i="53"/>
  <c r="I635" i="53"/>
  <c r="I634" i="53"/>
  <c r="I633" i="53"/>
  <c r="I632" i="53"/>
  <c r="I631" i="53"/>
  <c r="I630" i="53"/>
  <c r="I629" i="53"/>
  <c r="I628" i="53"/>
  <c r="I627" i="53"/>
  <c r="I626" i="53"/>
  <c r="I625" i="53"/>
  <c r="I624" i="53"/>
  <c r="I623" i="53"/>
  <c r="I622" i="53"/>
  <c r="I621" i="53"/>
  <c r="I620" i="53"/>
  <c r="I619" i="53"/>
  <c r="I618" i="53"/>
  <c r="I617" i="53"/>
  <c r="I616" i="53"/>
  <c r="I615" i="53"/>
  <c r="I614" i="53"/>
  <c r="I613" i="53"/>
  <c r="I612" i="53"/>
  <c r="I611" i="53"/>
  <c r="I610" i="53"/>
  <c r="I609" i="53"/>
  <c r="I608" i="53"/>
  <c r="I607" i="53"/>
  <c r="I606" i="53"/>
  <c r="I605" i="53"/>
  <c r="I604" i="53"/>
  <c r="I603" i="53"/>
  <c r="I602" i="53"/>
  <c r="I601" i="53"/>
  <c r="I600" i="53"/>
  <c r="I599" i="53"/>
  <c r="I598" i="53"/>
  <c r="I597" i="53"/>
  <c r="I596" i="53"/>
  <c r="I595" i="53"/>
  <c r="I594" i="53"/>
  <c r="I593" i="53"/>
  <c r="I592" i="53"/>
  <c r="I591" i="53"/>
  <c r="I590" i="53"/>
  <c r="I589" i="53"/>
  <c r="I588" i="53"/>
  <c r="I587" i="53"/>
  <c r="I586" i="53"/>
  <c r="I585" i="53"/>
  <c r="I584" i="53"/>
  <c r="I583" i="53"/>
  <c r="I582" i="53"/>
  <c r="I581" i="53"/>
  <c r="I580" i="53"/>
  <c r="I579" i="53"/>
  <c r="I578" i="53"/>
  <c r="I577" i="53"/>
  <c r="I576" i="53"/>
  <c r="I575" i="53"/>
  <c r="I574" i="53"/>
  <c r="I573" i="53"/>
  <c r="I572" i="53"/>
  <c r="I571" i="53"/>
  <c r="I570" i="53"/>
  <c r="I569" i="53"/>
  <c r="I568" i="53"/>
  <c r="I567" i="53"/>
  <c r="I566" i="53"/>
  <c r="I565" i="53"/>
  <c r="I564" i="53"/>
  <c r="I563" i="53"/>
  <c r="I562" i="53"/>
  <c r="I561" i="53"/>
  <c r="I560" i="53"/>
  <c r="I559" i="53"/>
  <c r="I558" i="53"/>
  <c r="I557" i="53"/>
  <c r="I556" i="53"/>
  <c r="I555" i="53"/>
  <c r="I554" i="53"/>
  <c r="I553" i="53"/>
  <c r="I552" i="53"/>
  <c r="I551" i="53"/>
  <c r="I550" i="53"/>
  <c r="I549" i="53"/>
  <c r="I548" i="53"/>
  <c r="I547" i="53"/>
  <c r="I546" i="53"/>
  <c r="I545" i="53"/>
  <c r="I544" i="53"/>
  <c r="I543" i="53"/>
  <c r="I542" i="53"/>
  <c r="I541" i="53"/>
  <c r="I540" i="53"/>
  <c r="I539" i="53"/>
  <c r="I538" i="53"/>
  <c r="I537" i="53"/>
  <c r="I536" i="53"/>
  <c r="I535" i="53"/>
  <c r="I534" i="53"/>
  <c r="I533" i="53"/>
  <c r="I532" i="53"/>
  <c r="I531" i="53"/>
  <c r="I530" i="53"/>
  <c r="I529" i="53"/>
  <c r="I528" i="53"/>
  <c r="I527" i="53"/>
  <c r="I526" i="53"/>
  <c r="I525" i="53"/>
  <c r="I524" i="53"/>
  <c r="I523" i="53"/>
  <c r="I522" i="53"/>
  <c r="I521" i="53"/>
  <c r="I520" i="53"/>
  <c r="I519" i="53"/>
  <c r="I518" i="53"/>
  <c r="I517" i="53"/>
  <c r="I516" i="53"/>
  <c r="I515" i="53"/>
  <c r="I514" i="53"/>
  <c r="I513" i="53"/>
  <c r="I512" i="53"/>
  <c r="I511" i="53"/>
  <c r="I510" i="53"/>
  <c r="I509" i="53"/>
  <c r="I508" i="53"/>
  <c r="I507" i="53"/>
  <c r="I506" i="53"/>
  <c r="I505" i="53"/>
  <c r="I504" i="53"/>
  <c r="I503" i="53"/>
  <c r="I502" i="53"/>
  <c r="I501" i="53"/>
  <c r="I500" i="53"/>
  <c r="I499" i="53"/>
  <c r="I498" i="53"/>
  <c r="I497" i="53"/>
  <c r="I496" i="53"/>
  <c r="I495" i="53"/>
  <c r="I494" i="53"/>
  <c r="I493" i="53"/>
  <c r="I492" i="53"/>
  <c r="I491" i="53"/>
  <c r="I490" i="53"/>
  <c r="I489" i="53"/>
  <c r="I488" i="53"/>
  <c r="I487" i="53"/>
  <c r="I486" i="53"/>
  <c r="I485" i="53"/>
  <c r="I484" i="53"/>
  <c r="I483" i="53"/>
  <c r="I482" i="53"/>
  <c r="I481" i="53"/>
  <c r="I480" i="53"/>
  <c r="I479" i="53"/>
  <c r="I478" i="53"/>
  <c r="I477" i="53"/>
  <c r="I476" i="53"/>
  <c r="I475" i="53"/>
  <c r="I474" i="53"/>
  <c r="I473" i="53"/>
  <c r="I472" i="53"/>
  <c r="I471" i="53"/>
  <c r="I470" i="53"/>
  <c r="I469" i="53"/>
  <c r="I468" i="53"/>
  <c r="I467" i="53"/>
  <c r="I466" i="53"/>
  <c r="I465" i="53"/>
  <c r="I464" i="53"/>
  <c r="I463" i="53"/>
  <c r="I462" i="53"/>
  <c r="I461" i="53"/>
  <c r="I460" i="53"/>
  <c r="I459" i="53"/>
  <c r="I458" i="53"/>
  <c r="I457" i="53"/>
  <c r="I456" i="53"/>
  <c r="I455" i="53"/>
  <c r="I454" i="53"/>
  <c r="I453" i="53"/>
  <c r="I452" i="53"/>
  <c r="I451" i="53"/>
  <c r="I450" i="53"/>
  <c r="I449" i="53"/>
  <c r="I448" i="53"/>
  <c r="I447" i="53"/>
  <c r="I446" i="53"/>
  <c r="I445" i="53"/>
  <c r="I444" i="53"/>
  <c r="I443" i="53"/>
  <c r="I442" i="53"/>
  <c r="I441" i="53"/>
  <c r="I440" i="53"/>
  <c r="I439" i="53"/>
  <c r="I438" i="53"/>
  <c r="I437" i="53"/>
  <c r="I436" i="53"/>
  <c r="I435" i="53"/>
  <c r="I434" i="53"/>
  <c r="I433" i="53"/>
  <c r="I432" i="53"/>
  <c r="I431" i="53"/>
  <c r="I430" i="53"/>
  <c r="I429" i="53"/>
  <c r="I428" i="53"/>
  <c r="I427" i="53"/>
  <c r="I426" i="53"/>
  <c r="I425" i="53"/>
  <c r="I424" i="53"/>
  <c r="I423" i="53"/>
  <c r="I422" i="53"/>
  <c r="I421" i="53"/>
  <c r="I420" i="53"/>
  <c r="I419" i="53"/>
  <c r="I418" i="53"/>
  <c r="I417" i="53"/>
  <c r="I416" i="53"/>
  <c r="I415" i="53"/>
  <c r="I414" i="53"/>
  <c r="I413" i="53"/>
  <c r="I412" i="53"/>
  <c r="I411" i="53"/>
  <c r="I410" i="53"/>
  <c r="I409" i="53"/>
  <c r="I408" i="53"/>
  <c r="I407" i="53"/>
  <c r="I406" i="53"/>
  <c r="I405" i="53"/>
  <c r="I404" i="53"/>
  <c r="I403" i="53"/>
  <c r="I402" i="53"/>
  <c r="I401" i="53"/>
  <c r="I400" i="53"/>
  <c r="I399" i="53"/>
  <c r="I398" i="53"/>
  <c r="I397" i="53"/>
  <c r="I396" i="53"/>
  <c r="I395" i="53"/>
  <c r="I394" i="53"/>
  <c r="I393" i="53"/>
  <c r="I392" i="53"/>
  <c r="I391" i="53"/>
  <c r="I390" i="53"/>
  <c r="I389" i="53"/>
  <c r="I388" i="53"/>
  <c r="I387" i="53"/>
  <c r="I386" i="53"/>
  <c r="I385" i="53"/>
  <c r="I384" i="53"/>
  <c r="I383" i="53"/>
  <c r="I382" i="53"/>
  <c r="I381" i="53"/>
  <c r="I380" i="53"/>
  <c r="I379" i="53"/>
  <c r="I378" i="53"/>
  <c r="I377" i="53"/>
  <c r="I376" i="53"/>
  <c r="I375" i="53"/>
  <c r="I374" i="53"/>
  <c r="I373" i="53"/>
  <c r="I372" i="53"/>
  <c r="I371" i="53"/>
  <c r="I370" i="53"/>
  <c r="I369" i="53"/>
  <c r="I368" i="53"/>
  <c r="I367" i="53"/>
  <c r="I366" i="53"/>
  <c r="I365" i="53"/>
  <c r="I364" i="53"/>
  <c r="I363" i="53"/>
  <c r="I362" i="53"/>
  <c r="I361" i="53"/>
  <c r="I360" i="53"/>
  <c r="I359" i="53"/>
  <c r="I358" i="53"/>
  <c r="I357" i="53"/>
  <c r="I356" i="53"/>
  <c r="I355" i="53"/>
  <c r="I354" i="53"/>
  <c r="I353" i="53"/>
  <c r="I352" i="53"/>
  <c r="I351" i="53"/>
  <c r="I350" i="53"/>
  <c r="I349" i="53"/>
  <c r="I348" i="53"/>
  <c r="I347" i="53"/>
  <c r="I346" i="53"/>
  <c r="I345" i="53"/>
  <c r="I344" i="53"/>
  <c r="I343" i="53"/>
  <c r="I342" i="53"/>
  <c r="I341" i="53"/>
  <c r="I340" i="53"/>
  <c r="I339" i="53"/>
  <c r="I338" i="53"/>
  <c r="I337" i="53"/>
  <c r="I336" i="53"/>
  <c r="I335" i="53"/>
  <c r="I334" i="53"/>
  <c r="I333" i="53"/>
  <c r="I332" i="53"/>
  <c r="I331" i="53"/>
  <c r="I330" i="53"/>
  <c r="I329" i="53"/>
  <c r="I328" i="53"/>
  <c r="I327" i="53"/>
  <c r="I326" i="53"/>
  <c r="I325" i="53"/>
  <c r="I324" i="53"/>
  <c r="I323" i="53"/>
  <c r="I322" i="53"/>
  <c r="I321" i="53"/>
  <c r="I320" i="53"/>
  <c r="I319" i="53"/>
  <c r="I318" i="53"/>
  <c r="I317" i="53"/>
  <c r="I316" i="53"/>
  <c r="I315" i="53"/>
  <c r="I314" i="53"/>
  <c r="I313" i="53"/>
  <c r="I312" i="53"/>
  <c r="I311" i="53"/>
  <c r="I310" i="53"/>
  <c r="I309" i="53"/>
  <c r="I308" i="53"/>
  <c r="I307" i="53"/>
  <c r="I306" i="53"/>
  <c r="I305" i="53"/>
  <c r="I304" i="53"/>
  <c r="I303" i="53"/>
  <c r="I302" i="53"/>
  <c r="I301" i="53"/>
  <c r="I300" i="53"/>
  <c r="I299" i="53"/>
  <c r="I298" i="53"/>
  <c r="I297" i="53"/>
  <c r="I296" i="53"/>
  <c r="I295" i="53"/>
  <c r="I294" i="53"/>
  <c r="I293" i="53"/>
  <c r="I292" i="53"/>
  <c r="I291" i="53"/>
  <c r="I290" i="53"/>
  <c r="I289" i="53"/>
  <c r="I288" i="53"/>
  <c r="I287" i="53"/>
  <c r="I286" i="53"/>
  <c r="I285" i="53"/>
  <c r="I284" i="53"/>
  <c r="I283" i="53"/>
  <c r="I282" i="53"/>
  <c r="I281" i="53"/>
  <c r="I280" i="53"/>
  <c r="I279" i="53"/>
  <c r="I278" i="53"/>
  <c r="I277" i="53"/>
  <c r="I276" i="53"/>
  <c r="I275" i="53"/>
  <c r="I274" i="53"/>
  <c r="I273" i="53"/>
  <c r="I272" i="53"/>
  <c r="I271" i="53"/>
  <c r="I270" i="53"/>
  <c r="I269" i="53"/>
  <c r="I268" i="53"/>
  <c r="I267" i="53"/>
  <c r="I266" i="53"/>
  <c r="I265" i="53"/>
  <c r="I264" i="53"/>
  <c r="I263" i="53"/>
  <c r="I262" i="53"/>
  <c r="I261" i="53"/>
  <c r="I260" i="53"/>
  <c r="I259" i="53"/>
  <c r="I258" i="53"/>
  <c r="I257" i="53"/>
  <c r="I256" i="53"/>
  <c r="I255" i="53"/>
  <c r="I254" i="53"/>
  <c r="I253" i="53"/>
  <c r="I252" i="53"/>
  <c r="I251" i="53"/>
  <c r="I250" i="53"/>
  <c r="I249" i="53"/>
  <c r="I248" i="53"/>
  <c r="I247" i="53"/>
  <c r="I246" i="53"/>
  <c r="I245" i="53"/>
  <c r="I244" i="53"/>
  <c r="I243" i="53"/>
  <c r="I242" i="53"/>
  <c r="I241" i="53"/>
  <c r="I240" i="53"/>
  <c r="I239" i="53"/>
  <c r="I238" i="53"/>
  <c r="I237" i="53"/>
  <c r="I236" i="53"/>
  <c r="I235" i="53"/>
  <c r="I234" i="53"/>
  <c r="I233" i="53"/>
  <c r="I232" i="53"/>
  <c r="I231" i="53"/>
  <c r="I230" i="53"/>
  <c r="I229" i="53"/>
  <c r="I228" i="53"/>
  <c r="I227" i="53"/>
  <c r="I226" i="53"/>
  <c r="I225" i="53"/>
  <c r="I224" i="53"/>
  <c r="I223" i="53"/>
  <c r="I222" i="53"/>
  <c r="I221" i="53"/>
  <c r="I220" i="53"/>
  <c r="I219" i="53"/>
  <c r="I218" i="53"/>
  <c r="I217" i="53"/>
  <c r="I216" i="53"/>
  <c r="I215" i="53"/>
  <c r="I214" i="53"/>
  <c r="I213" i="53"/>
  <c r="I212" i="53"/>
  <c r="I211" i="53"/>
  <c r="I210" i="53"/>
  <c r="I209" i="53"/>
  <c r="I208" i="53"/>
  <c r="I207" i="53"/>
  <c r="I206" i="53"/>
  <c r="I205" i="53"/>
  <c r="I204" i="53"/>
  <c r="I203" i="53"/>
  <c r="I202" i="53"/>
  <c r="I201" i="53"/>
  <c r="I200" i="53"/>
  <c r="I199" i="53"/>
  <c r="I198" i="53"/>
  <c r="I197" i="53"/>
  <c r="I196" i="53"/>
  <c r="I195" i="53"/>
  <c r="I194" i="53"/>
  <c r="I193" i="53"/>
  <c r="I192" i="53"/>
  <c r="I191" i="53"/>
  <c r="I190" i="53"/>
  <c r="I189" i="53"/>
  <c r="I188" i="53"/>
  <c r="I187" i="53"/>
  <c r="I186" i="53"/>
  <c r="I185" i="53"/>
  <c r="I184" i="53"/>
  <c r="I183" i="53"/>
  <c r="I182" i="53"/>
  <c r="I181" i="53"/>
  <c r="I180" i="53"/>
  <c r="I179" i="53"/>
  <c r="I178" i="53"/>
  <c r="I177" i="53"/>
  <c r="I176" i="53"/>
  <c r="I175" i="53"/>
  <c r="I174" i="53"/>
  <c r="I173" i="53"/>
  <c r="I172" i="53"/>
  <c r="I171" i="53"/>
  <c r="I170" i="53"/>
  <c r="I169" i="53"/>
  <c r="I168" i="53"/>
  <c r="I167" i="53"/>
  <c r="I166" i="53"/>
  <c r="I165" i="53"/>
  <c r="I164" i="53"/>
  <c r="I163" i="53"/>
  <c r="I162" i="53"/>
  <c r="I161" i="53"/>
  <c r="I160" i="53"/>
  <c r="I159" i="53"/>
  <c r="I158" i="53"/>
  <c r="I157" i="53"/>
  <c r="I156" i="53"/>
  <c r="I155" i="53"/>
  <c r="I154" i="53"/>
  <c r="I153" i="53"/>
  <c r="I152" i="53"/>
  <c r="I151" i="53"/>
  <c r="I150" i="53"/>
  <c r="I149" i="53"/>
  <c r="I148" i="53"/>
  <c r="I147" i="53"/>
  <c r="I146" i="53"/>
  <c r="I145" i="53"/>
  <c r="I144" i="53"/>
  <c r="I143" i="53"/>
  <c r="I142" i="53"/>
  <c r="I141" i="53"/>
  <c r="I140" i="53"/>
  <c r="I139" i="53"/>
  <c r="I138" i="53"/>
  <c r="I137" i="53"/>
  <c r="I136" i="53"/>
  <c r="I135" i="53"/>
  <c r="I134" i="53"/>
  <c r="I133" i="53"/>
  <c r="I132" i="53"/>
  <c r="I131" i="53"/>
  <c r="I130" i="53"/>
  <c r="I129" i="53"/>
  <c r="I128" i="53"/>
  <c r="I127" i="53"/>
  <c r="I126" i="53"/>
  <c r="I125" i="53"/>
  <c r="I124" i="53"/>
  <c r="I123" i="53"/>
  <c r="I122" i="53"/>
  <c r="I121" i="53"/>
  <c r="I120" i="53"/>
  <c r="I119" i="53"/>
  <c r="I118" i="53"/>
  <c r="I117" i="53"/>
  <c r="I116" i="53"/>
  <c r="I115" i="53"/>
  <c r="I114" i="53"/>
  <c r="I113" i="53"/>
  <c r="I112" i="53"/>
  <c r="I111" i="53"/>
  <c r="I110" i="53"/>
  <c r="I109" i="53"/>
  <c r="I108" i="53"/>
  <c r="I107" i="53"/>
  <c r="I106" i="53"/>
  <c r="I105" i="53"/>
  <c r="I104" i="53"/>
  <c r="I103" i="53"/>
  <c r="I102" i="53"/>
  <c r="I101" i="53"/>
  <c r="I100" i="53"/>
  <c r="I99" i="53"/>
  <c r="I98" i="53"/>
  <c r="I97" i="53"/>
  <c r="I96" i="53"/>
  <c r="I95" i="53"/>
  <c r="I94" i="53"/>
  <c r="I93" i="53"/>
  <c r="I92" i="53"/>
  <c r="I91" i="53"/>
  <c r="I90" i="53"/>
  <c r="I89" i="53"/>
  <c r="I88" i="53"/>
  <c r="I87" i="53"/>
  <c r="I86" i="53"/>
  <c r="I85" i="53"/>
  <c r="I84" i="53"/>
  <c r="I83" i="53"/>
  <c r="I82" i="53"/>
  <c r="I81" i="53"/>
  <c r="I80" i="53"/>
  <c r="I79" i="53"/>
  <c r="I78" i="53"/>
  <c r="I77" i="53"/>
  <c r="I76" i="53"/>
  <c r="I75" i="53"/>
  <c r="I74" i="53"/>
  <c r="I73" i="53"/>
  <c r="I72" i="53"/>
  <c r="I71" i="53"/>
  <c r="I70" i="53"/>
  <c r="I69" i="53"/>
  <c r="G69" i="53"/>
  <c r="I68" i="53"/>
  <c r="G68" i="53"/>
  <c r="I67" i="53"/>
  <c r="G67" i="53"/>
  <c r="I66" i="53"/>
  <c r="G66" i="53"/>
  <c r="I65" i="53"/>
  <c r="G65" i="53"/>
  <c r="I64" i="53"/>
  <c r="G64" i="53"/>
  <c r="I63" i="53"/>
  <c r="G63" i="53"/>
  <c r="I62" i="53"/>
  <c r="G62" i="53"/>
  <c r="I61" i="53"/>
  <c r="G61" i="53"/>
  <c r="I60" i="53"/>
  <c r="G60" i="53"/>
  <c r="I59" i="53"/>
  <c r="G59" i="53"/>
  <c r="I58" i="53"/>
  <c r="G58" i="53"/>
  <c r="I57" i="53"/>
  <c r="G57" i="53"/>
  <c r="I56" i="53"/>
  <c r="G56" i="53"/>
  <c r="I55" i="53"/>
  <c r="G55" i="53"/>
  <c r="I54" i="53"/>
  <c r="G54" i="53"/>
  <c r="I53" i="53"/>
  <c r="G53" i="53"/>
  <c r="I52" i="53"/>
  <c r="G52" i="53"/>
  <c r="I51" i="53"/>
  <c r="G51" i="53"/>
  <c r="I50" i="53"/>
  <c r="G50" i="53"/>
  <c r="I49" i="53"/>
  <c r="G49" i="53"/>
  <c r="I48" i="53"/>
  <c r="G48" i="53"/>
  <c r="I47" i="53"/>
  <c r="G47" i="53"/>
  <c r="I46" i="53"/>
  <c r="G46" i="53"/>
  <c r="I45" i="53"/>
  <c r="G45" i="53"/>
  <c r="I44" i="53"/>
  <c r="G44" i="53"/>
  <c r="AG26" i="53"/>
  <c r="AF26" i="53"/>
  <c r="AL25" i="53"/>
  <c r="AD24" i="53"/>
  <c r="AC24" i="53"/>
  <c r="AA24" i="53"/>
  <c r="AI22" i="53"/>
  <c r="AB22" i="53"/>
  <c r="AA22" i="53"/>
  <c r="AG19" i="53"/>
  <c r="AB19" i="53"/>
  <c r="AA19" i="53"/>
  <c r="AA18" i="53"/>
  <c r="I9" i="53"/>
  <c r="G9" i="53"/>
  <c r="C9" i="53"/>
  <c r="C8" i="53"/>
  <c r="I7" i="53"/>
  <c r="G7" i="53"/>
  <c r="I6" i="53"/>
  <c r="G6" i="53"/>
  <c r="C6" i="53"/>
  <c r="I3" i="53"/>
  <c r="I2" i="53"/>
  <c r="AG21" i="50"/>
  <c r="AF21" i="50"/>
  <c r="AA21" i="50"/>
  <c r="AK25" i="49"/>
  <c r="AJ25" i="49"/>
  <c r="AI25" i="49"/>
  <c r="AJ24" i="49"/>
  <c r="AI24" i="49"/>
  <c r="AH24" i="49"/>
  <c r="C8" i="50"/>
  <c r="G6" i="50"/>
  <c r="H2" i="50"/>
  <c r="G2" i="50"/>
  <c r="I905" i="49"/>
  <c r="I904" i="49"/>
  <c r="I903" i="49"/>
  <c r="I902" i="49"/>
  <c r="I901" i="49"/>
  <c r="I900" i="49"/>
  <c r="I899" i="49"/>
  <c r="I898" i="49"/>
  <c r="I897" i="49"/>
  <c r="I896" i="49"/>
  <c r="I895" i="49"/>
  <c r="I894" i="49"/>
  <c r="I893" i="49"/>
  <c r="I892" i="49"/>
  <c r="I891" i="49"/>
  <c r="I890" i="49"/>
  <c r="I889" i="49"/>
  <c r="I888" i="49"/>
  <c r="I887" i="49"/>
  <c r="I886" i="49"/>
  <c r="I885" i="49"/>
  <c r="I884" i="49"/>
  <c r="I883" i="49"/>
  <c r="I882" i="49"/>
  <c r="I881" i="49"/>
  <c r="I880" i="49"/>
  <c r="I879" i="49"/>
  <c r="I878" i="49"/>
  <c r="I877" i="49"/>
  <c r="I876" i="49"/>
  <c r="I875" i="49"/>
  <c r="I874" i="49"/>
  <c r="I873" i="49"/>
  <c r="I872" i="49"/>
  <c r="I871" i="49"/>
  <c r="I870" i="49"/>
  <c r="I869" i="49"/>
  <c r="I868" i="49"/>
  <c r="I867" i="49"/>
  <c r="I866" i="49"/>
  <c r="I865" i="49"/>
  <c r="I864" i="49"/>
  <c r="I863" i="49"/>
  <c r="I862" i="49"/>
  <c r="I861" i="49"/>
  <c r="I860" i="49"/>
  <c r="I859" i="49"/>
  <c r="I858" i="49"/>
  <c r="I857" i="49"/>
  <c r="I856" i="49"/>
  <c r="I855" i="49"/>
  <c r="I854" i="49"/>
  <c r="I853" i="49"/>
  <c r="I852" i="49"/>
  <c r="I851" i="49"/>
  <c r="I850" i="49"/>
  <c r="I849" i="49"/>
  <c r="I848" i="49"/>
  <c r="I847" i="49"/>
  <c r="I846" i="49"/>
  <c r="I845" i="49"/>
  <c r="I844" i="49"/>
  <c r="I843" i="49"/>
  <c r="I842" i="49"/>
  <c r="I841" i="49"/>
  <c r="I840" i="49"/>
  <c r="I839" i="49"/>
  <c r="I838" i="49"/>
  <c r="I837" i="49"/>
  <c r="I836" i="49"/>
  <c r="I835" i="49"/>
  <c r="I834" i="49"/>
  <c r="I833" i="49"/>
  <c r="I832" i="49"/>
  <c r="I831" i="49"/>
  <c r="I830" i="49"/>
  <c r="I829" i="49"/>
  <c r="I828" i="49"/>
  <c r="I827" i="49"/>
  <c r="I826" i="49"/>
  <c r="I825" i="49"/>
  <c r="I824" i="49"/>
  <c r="I823" i="49"/>
  <c r="I822" i="49"/>
  <c r="I821" i="49"/>
  <c r="I820" i="49"/>
  <c r="I819" i="49"/>
  <c r="I818" i="49"/>
  <c r="I817" i="49"/>
  <c r="I816" i="49"/>
  <c r="I815" i="49"/>
  <c r="I814" i="49"/>
  <c r="I813" i="49"/>
  <c r="I812" i="49"/>
  <c r="I811" i="49"/>
  <c r="I810" i="49"/>
  <c r="I809" i="49"/>
  <c r="I808" i="49"/>
  <c r="I807" i="49"/>
  <c r="I806" i="49"/>
  <c r="I805" i="49"/>
  <c r="I804" i="49"/>
  <c r="I803" i="49"/>
  <c r="I802" i="49"/>
  <c r="I801" i="49"/>
  <c r="I800" i="49"/>
  <c r="I799" i="49"/>
  <c r="I798" i="49"/>
  <c r="I797" i="49"/>
  <c r="I796" i="49"/>
  <c r="I795" i="49"/>
  <c r="I794" i="49"/>
  <c r="I793" i="49"/>
  <c r="I792" i="49"/>
  <c r="I791" i="49"/>
  <c r="I790" i="49"/>
  <c r="I789" i="49"/>
  <c r="I788" i="49"/>
  <c r="I787" i="49"/>
  <c r="I786" i="49"/>
  <c r="I785" i="49"/>
  <c r="I784" i="49"/>
  <c r="I783" i="49"/>
  <c r="I782" i="49"/>
  <c r="I781" i="49"/>
  <c r="I780" i="49"/>
  <c r="I779" i="49"/>
  <c r="I778" i="49"/>
  <c r="I777" i="49"/>
  <c r="I776" i="49"/>
  <c r="I775" i="49"/>
  <c r="I774" i="49"/>
  <c r="I773" i="49"/>
  <c r="I772" i="49"/>
  <c r="I771" i="49"/>
  <c r="I770" i="49"/>
  <c r="I769" i="49"/>
  <c r="I768" i="49"/>
  <c r="I767" i="49"/>
  <c r="I766" i="49"/>
  <c r="I765" i="49"/>
  <c r="I764" i="49"/>
  <c r="I763" i="49"/>
  <c r="I762" i="49"/>
  <c r="I761" i="49"/>
  <c r="I760" i="49"/>
  <c r="I759" i="49"/>
  <c r="I758" i="49"/>
  <c r="I757" i="49"/>
  <c r="I756" i="49"/>
  <c r="I755" i="49"/>
  <c r="I754" i="49"/>
  <c r="I753" i="49"/>
  <c r="I752" i="49"/>
  <c r="I751" i="49"/>
  <c r="I750" i="49"/>
  <c r="I749" i="49"/>
  <c r="I748" i="49"/>
  <c r="I747" i="49"/>
  <c r="I746" i="49"/>
  <c r="I745" i="49"/>
  <c r="I744" i="49"/>
  <c r="I743" i="49"/>
  <c r="I742" i="49"/>
  <c r="I741" i="49"/>
  <c r="I740" i="49"/>
  <c r="I739" i="49"/>
  <c r="I738" i="49"/>
  <c r="I737" i="49"/>
  <c r="I736" i="49"/>
  <c r="I735" i="49"/>
  <c r="I734" i="49"/>
  <c r="I733" i="49"/>
  <c r="I732" i="49"/>
  <c r="I731" i="49"/>
  <c r="I730" i="49"/>
  <c r="I729" i="49"/>
  <c r="I728" i="49"/>
  <c r="I727" i="49"/>
  <c r="I726" i="49"/>
  <c r="I725" i="49"/>
  <c r="I724" i="49"/>
  <c r="I723" i="49"/>
  <c r="I722" i="49"/>
  <c r="I721" i="49"/>
  <c r="I720" i="49"/>
  <c r="I719" i="49"/>
  <c r="I718" i="49"/>
  <c r="I717" i="49"/>
  <c r="I716" i="49"/>
  <c r="I715" i="49"/>
  <c r="I714" i="49"/>
  <c r="I713" i="49"/>
  <c r="I712" i="49"/>
  <c r="I711" i="49"/>
  <c r="I710" i="49"/>
  <c r="I709" i="49"/>
  <c r="I708" i="49"/>
  <c r="I707" i="49"/>
  <c r="I706" i="49"/>
  <c r="I705" i="49"/>
  <c r="I704" i="49"/>
  <c r="I703" i="49"/>
  <c r="I702" i="49"/>
  <c r="I701" i="49"/>
  <c r="I700" i="49"/>
  <c r="I699" i="49"/>
  <c r="I698" i="49"/>
  <c r="I697" i="49"/>
  <c r="I696" i="49"/>
  <c r="I695" i="49"/>
  <c r="I694" i="49"/>
  <c r="I693" i="49"/>
  <c r="I692" i="49"/>
  <c r="I691" i="49"/>
  <c r="I690" i="49"/>
  <c r="I689" i="49"/>
  <c r="I688" i="49"/>
  <c r="I687" i="49"/>
  <c r="I686" i="49"/>
  <c r="I685" i="49"/>
  <c r="I684" i="49"/>
  <c r="I683" i="49"/>
  <c r="I682" i="49"/>
  <c r="I681" i="49"/>
  <c r="I680" i="49"/>
  <c r="I679" i="49"/>
  <c r="I678" i="49"/>
  <c r="I677" i="49"/>
  <c r="I676" i="49"/>
  <c r="I675" i="49"/>
  <c r="I674" i="49"/>
  <c r="I673" i="49"/>
  <c r="I672" i="49"/>
  <c r="I671" i="49"/>
  <c r="I670" i="49"/>
  <c r="I669" i="49"/>
  <c r="I668" i="49"/>
  <c r="I667" i="49"/>
  <c r="I666" i="49"/>
  <c r="I665" i="49"/>
  <c r="I664" i="49"/>
  <c r="I663" i="49"/>
  <c r="I662" i="49"/>
  <c r="I661" i="49"/>
  <c r="I660" i="49"/>
  <c r="I659" i="49"/>
  <c r="I658" i="49"/>
  <c r="I657" i="49"/>
  <c r="I656" i="49"/>
  <c r="I655" i="49"/>
  <c r="I654" i="49"/>
  <c r="I653" i="49"/>
  <c r="I652" i="49"/>
  <c r="I651" i="49"/>
  <c r="I650" i="49"/>
  <c r="I649" i="49"/>
  <c r="I648" i="49"/>
  <c r="I647" i="49"/>
  <c r="I646" i="49"/>
  <c r="I645" i="49"/>
  <c r="I644" i="49"/>
  <c r="I643" i="49"/>
  <c r="I642" i="49"/>
  <c r="I641" i="49"/>
  <c r="I640" i="49"/>
  <c r="I639" i="49"/>
  <c r="I638" i="49"/>
  <c r="I637" i="49"/>
  <c r="I636" i="49"/>
  <c r="I635" i="49"/>
  <c r="I634" i="49"/>
  <c r="I633" i="49"/>
  <c r="I632" i="49"/>
  <c r="I631" i="49"/>
  <c r="I630" i="49"/>
  <c r="I629" i="49"/>
  <c r="I628" i="49"/>
  <c r="I627" i="49"/>
  <c r="I626" i="49"/>
  <c r="I625" i="49"/>
  <c r="I624" i="49"/>
  <c r="I623" i="49"/>
  <c r="I622" i="49"/>
  <c r="I621" i="49"/>
  <c r="I620" i="49"/>
  <c r="I619" i="49"/>
  <c r="I618" i="49"/>
  <c r="I617" i="49"/>
  <c r="I616" i="49"/>
  <c r="I615" i="49"/>
  <c r="I614" i="49"/>
  <c r="I613" i="49"/>
  <c r="I612" i="49"/>
  <c r="I611" i="49"/>
  <c r="I610" i="49"/>
  <c r="I609" i="49"/>
  <c r="I608" i="49"/>
  <c r="I607" i="49"/>
  <c r="I606" i="49"/>
  <c r="I605" i="49"/>
  <c r="I604" i="49"/>
  <c r="I603" i="49"/>
  <c r="I602" i="49"/>
  <c r="I601" i="49"/>
  <c r="I600" i="49"/>
  <c r="I599" i="49"/>
  <c r="I598" i="49"/>
  <c r="I597" i="49"/>
  <c r="I596" i="49"/>
  <c r="I595" i="49"/>
  <c r="I594" i="49"/>
  <c r="I593" i="49"/>
  <c r="I592" i="49"/>
  <c r="I591" i="49"/>
  <c r="I590" i="49"/>
  <c r="I589" i="49"/>
  <c r="I588" i="49"/>
  <c r="I587" i="49"/>
  <c r="I586" i="49"/>
  <c r="I585" i="49"/>
  <c r="I584" i="49"/>
  <c r="I583" i="49"/>
  <c r="I582" i="49"/>
  <c r="I581" i="49"/>
  <c r="I580" i="49"/>
  <c r="I579" i="49"/>
  <c r="I578" i="49"/>
  <c r="I577" i="49"/>
  <c r="I576" i="49"/>
  <c r="I575" i="49"/>
  <c r="I574" i="49"/>
  <c r="I573" i="49"/>
  <c r="I572" i="49"/>
  <c r="I571" i="49"/>
  <c r="I570" i="49"/>
  <c r="I569" i="49"/>
  <c r="I568" i="49"/>
  <c r="I567" i="49"/>
  <c r="I566" i="49"/>
  <c r="I565" i="49"/>
  <c r="I564" i="49"/>
  <c r="I563" i="49"/>
  <c r="I562" i="49"/>
  <c r="I561" i="49"/>
  <c r="I560" i="49"/>
  <c r="I559" i="49"/>
  <c r="I558" i="49"/>
  <c r="I557" i="49"/>
  <c r="I556" i="49"/>
  <c r="I555" i="49"/>
  <c r="I554" i="49"/>
  <c r="I553" i="49"/>
  <c r="I552" i="49"/>
  <c r="I551" i="49"/>
  <c r="I550" i="49"/>
  <c r="I549" i="49"/>
  <c r="I548" i="49"/>
  <c r="I547" i="49"/>
  <c r="I546" i="49"/>
  <c r="I545" i="49"/>
  <c r="I544" i="49"/>
  <c r="I543" i="49"/>
  <c r="I542" i="49"/>
  <c r="I541" i="49"/>
  <c r="I540" i="49"/>
  <c r="I539" i="49"/>
  <c r="I538" i="49"/>
  <c r="I537" i="49"/>
  <c r="I536" i="49"/>
  <c r="I535" i="49"/>
  <c r="I534" i="49"/>
  <c r="I533" i="49"/>
  <c r="I532" i="49"/>
  <c r="I531" i="49"/>
  <c r="I530" i="49"/>
  <c r="I529" i="49"/>
  <c r="I528" i="49"/>
  <c r="I527" i="49"/>
  <c r="I526" i="49"/>
  <c r="I525" i="49"/>
  <c r="I524" i="49"/>
  <c r="I523" i="49"/>
  <c r="I522" i="49"/>
  <c r="I521" i="49"/>
  <c r="I520" i="49"/>
  <c r="I519" i="49"/>
  <c r="I518" i="49"/>
  <c r="I517" i="49"/>
  <c r="I516" i="49"/>
  <c r="I515" i="49"/>
  <c r="I514" i="49"/>
  <c r="I513" i="49"/>
  <c r="I512" i="49"/>
  <c r="I511" i="49"/>
  <c r="I510" i="49"/>
  <c r="I509" i="49"/>
  <c r="I508" i="49"/>
  <c r="I507" i="49"/>
  <c r="I506" i="49"/>
  <c r="I505" i="49"/>
  <c r="I504" i="49"/>
  <c r="I503" i="49"/>
  <c r="I502" i="49"/>
  <c r="I501" i="49"/>
  <c r="I500" i="49"/>
  <c r="I499" i="49"/>
  <c r="I498" i="49"/>
  <c r="I497" i="49"/>
  <c r="I496" i="49"/>
  <c r="I495" i="49"/>
  <c r="I494" i="49"/>
  <c r="I493" i="49"/>
  <c r="I492" i="49"/>
  <c r="I491" i="49"/>
  <c r="I490" i="49"/>
  <c r="I489" i="49"/>
  <c r="I488" i="49"/>
  <c r="I487" i="49"/>
  <c r="I486" i="49"/>
  <c r="I485" i="49"/>
  <c r="I484" i="49"/>
  <c r="I483" i="49"/>
  <c r="I482" i="49"/>
  <c r="I481" i="49"/>
  <c r="I480" i="49"/>
  <c r="I479" i="49"/>
  <c r="I478" i="49"/>
  <c r="I477" i="49"/>
  <c r="I476" i="49"/>
  <c r="I475" i="49"/>
  <c r="I474" i="49"/>
  <c r="I473" i="49"/>
  <c r="I472" i="49"/>
  <c r="I471" i="49"/>
  <c r="I470" i="49"/>
  <c r="I469" i="49"/>
  <c r="I468" i="49"/>
  <c r="I467" i="49"/>
  <c r="I466" i="49"/>
  <c r="I465" i="49"/>
  <c r="I464" i="49"/>
  <c r="I463" i="49"/>
  <c r="I462" i="49"/>
  <c r="I461" i="49"/>
  <c r="I460" i="49"/>
  <c r="I459" i="49"/>
  <c r="I458" i="49"/>
  <c r="I457" i="49"/>
  <c r="I456" i="49"/>
  <c r="I455" i="49"/>
  <c r="I454" i="49"/>
  <c r="I453" i="49"/>
  <c r="I452" i="49"/>
  <c r="I451" i="49"/>
  <c r="I450" i="49"/>
  <c r="I449" i="49"/>
  <c r="I448" i="49"/>
  <c r="I447" i="49"/>
  <c r="I446" i="49"/>
  <c r="I445" i="49"/>
  <c r="I444" i="49"/>
  <c r="I443" i="49"/>
  <c r="I442" i="49"/>
  <c r="I441" i="49"/>
  <c r="I440" i="49"/>
  <c r="I439" i="49"/>
  <c r="I438" i="49"/>
  <c r="I437" i="49"/>
  <c r="I436" i="49"/>
  <c r="I435" i="49"/>
  <c r="I434" i="49"/>
  <c r="I433" i="49"/>
  <c r="I432" i="49"/>
  <c r="I431" i="49"/>
  <c r="I430" i="49"/>
  <c r="I429" i="49"/>
  <c r="I428" i="49"/>
  <c r="I427" i="49"/>
  <c r="I426" i="49"/>
  <c r="I425" i="49"/>
  <c r="I424" i="49"/>
  <c r="I423" i="49"/>
  <c r="I422" i="49"/>
  <c r="I421" i="49"/>
  <c r="I420" i="49"/>
  <c r="I419" i="49"/>
  <c r="I418" i="49"/>
  <c r="I417" i="49"/>
  <c r="I416" i="49"/>
  <c r="I415" i="49"/>
  <c r="I414" i="49"/>
  <c r="I413" i="49"/>
  <c r="I412" i="49"/>
  <c r="I411" i="49"/>
  <c r="I410" i="49"/>
  <c r="I409" i="49"/>
  <c r="I408" i="49"/>
  <c r="I407" i="49"/>
  <c r="I406" i="49"/>
  <c r="I405" i="49"/>
  <c r="I404" i="49"/>
  <c r="I403" i="49"/>
  <c r="I402" i="49"/>
  <c r="I401" i="49"/>
  <c r="I400" i="49"/>
  <c r="I399" i="49"/>
  <c r="I398" i="49"/>
  <c r="I397" i="49"/>
  <c r="I396" i="49"/>
  <c r="I395" i="49"/>
  <c r="I394" i="49"/>
  <c r="I393" i="49"/>
  <c r="I392" i="49"/>
  <c r="I391" i="49"/>
  <c r="I390" i="49"/>
  <c r="I389" i="49"/>
  <c r="I388" i="49"/>
  <c r="I387" i="49"/>
  <c r="I386" i="49"/>
  <c r="I385" i="49"/>
  <c r="I384" i="49"/>
  <c r="I383" i="49"/>
  <c r="I382" i="49"/>
  <c r="I381" i="49"/>
  <c r="I380" i="49"/>
  <c r="I379" i="49"/>
  <c r="I378" i="49"/>
  <c r="I377" i="49"/>
  <c r="I376" i="49"/>
  <c r="I375" i="49"/>
  <c r="I374" i="49"/>
  <c r="I373" i="49"/>
  <c r="I372" i="49"/>
  <c r="I371" i="49"/>
  <c r="I370" i="49"/>
  <c r="I369" i="49"/>
  <c r="I368" i="49"/>
  <c r="I367" i="49"/>
  <c r="I366" i="49"/>
  <c r="I365" i="49"/>
  <c r="I364" i="49"/>
  <c r="I363" i="49"/>
  <c r="I362" i="49"/>
  <c r="I361" i="49"/>
  <c r="I360" i="49"/>
  <c r="I359" i="49"/>
  <c r="I358" i="49"/>
  <c r="I357" i="49"/>
  <c r="I356" i="49"/>
  <c r="I355" i="49"/>
  <c r="I354" i="49"/>
  <c r="I353" i="49"/>
  <c r="I352" i="49"/>
  <c r="I351" i="49"/>
  <c r="I350" i="49"/>
  <c r="I349" i="49"/>
  <c r="I348" i="49"/>
  <c r="I347" i="49"/>
  <c r="I346" i="49"/>
  <c r="I345" i="49"/>
  <c r="I344" i="49"/>
  <c r="I343" i="49"/>
  <c r="I342" i="49"/>
  <c r="I341" i="49"/>
  <c r="I340" i="49"/>
  <c r="I339" i="49"/>
  <c r="I338" i="49"/>
  <c r="I337" i="49"/>
  <c r="I336" i="49"/>
  <c r="I335" i="49"/>
  <c r="I334" i="49"/>
  <c r="I333" i="49"/>
  <c r="I332" i="49"/>
  <c r="I331" i="49"/>
  <c r="I330" i="49"/>
  <c r="I329" i="49"/>
  <c r="I328" i="49"/>
  <c r="I327" i="49"/>
  <c r="I326" i="49"/>
  <c r="I325" i="49"/>
  <c r="I324" i="49"/>
  <c r="I323" i="49"/>
  <c r="I322" i="49"/>
  <c r="I321" i="49"/>
  <c r="I320" i="49"/>
  <c r="I319" i="49"/>
  <c r="I318" i="49"/>
  <c r="I317" i="49"/>
  <c r="I316" i="49"/>
  <c r="I315" i="49"/>
  <c r="I314" i="49"/>
  <c r="I313" i="49"/>
  <c r="I312" i="49"/>
  <c r="I311" i="49"/>
  <c r="I310" i="49"/>
  <c r="I309" i="49"/>
  <c r="I308" i="49"/>
  <c r="I307" i="49"/>
  <c r="I306" i="49"/>
  <c r="I305" i="49"/>
  <c r="I304" i="49"/>
  <c r="I303" i="49"/>
  <c r="I302" i="49"/>
  <c r="I301" i="49"/>
  <c r="I300" i="49"/>
  <c r="I299" i="49"/>
  <c r="I298" i="49"/>
  <c r="I297" i="49"/>
  <c r="I296" i="49"/>
  <c r="I295" i="49"/>
  <c r="I294" i="49"/>
  <c r="I293" i="49"/>
  <c r="I292" i="49"/>
  <c r="I291" i="49"/>
  <c r="I290" i="49"/>
  <c r="I289" i="49"/>
  <c r="I288" i="49"/>
  <c r="I287" i="49"/>
  <c r="I286" i="49"/>
  <c r="I285" i="49"/>
  <c r="I284" i="49"/>
  <c r="I283" i="49"/>
  <c r="I282" i="49"/>
  <c r="I281" i="49"/>
  <c r="I280" i="49"/>
  <c r="I279" i="49"/>
  <c r="I278" i="49"/>
  <c r="I277" i="49"/>
  <c r="I276" i="49"/>
  <c r="I275" i="49"/>
  <c r="I274" i="49"/>
  <c r="I273" i="49"/>
  <c r="I272" i="49"/>
  <c r="I271" i="49"/>
  <c r="I270" i="49"/>
  <c r="I269" i="49"/>
  <c r="I268" i="49"/>
  <c r="I267" i="49"/>
  <c r="I266" i="49"/>
  <c r="I265" i="49"/>
  <c r="I264" i="49"/>
  <c r="I263" i="49"/>
  <c r="I262" i="49"/>
  <c r="I261" i="49"/>
  <c r="I260" i="49"/>
  <c r="I259" i="49"/>
  <c r="I258" i="49"/>
  <c r="I257" i="49"/>
  <c r="I256" i="49"/>
  <c r="I255" i="49"/>
  <c r="I254" i="49"/>
  <c r="I253" i="49"/>
  <c r="I252" i="49"/>
  <c r="I251" i="49"/>
  <c r="I250" i="49"/>
  <c r="I249" i="49"/>
  <c r="I248" i="49"/>
  <c r="I247" i="49"/>
  <c r="I246" i="49"/>
  <c r="I245" i="49"/>
  <c r="I244" i="49"/>
  <c r="I243" i="49"/>
  <c r="I242" i="49"/>
  <c r="I241" i="49"/>
  <c r="I240" i="49"/>
  <c r="I239" i="49"/>
  <c r="I238" i="49"/>
  <c r="I237" i="49"/>
  <c r="I236" i="49"/>
  <c r="I235" i="49"/>
  <c r="I234" i="49"/>
  <c r="I233" i="49"/>
  <c r="I232" i="49"/>
  <c r="I231" i="49"/>
  <c r="I230" i="49"/>
  <c r="I229" i="49"/>
  <c r="I228" i="49"/>
  <c r="I227" i="49"/>
  <c r="I226" i="49"/>
  <c r="I225" i="49"/>
  <c r="I224" i="49"/>
  <c r="I223" i="49"/>
  <c r="I222" i="49"/>
  <c r="I221" i="49"/>
  <c r="I220" i="49"/>
  <c r="I219" i="49"/>
  <c r="I218" i="49"/>
  <c r="I217" i="49"/>
  <c r="I216" i="49"/>
  <c r="I215" i="49"/>
  <c r="I214" i="49"/>
  <c r="I213" i="49"/>
  <c r="I212" i="49"/>
  <c r="I211" i="49"/>
  <c r="I210" i="49"/>
  <c r="I209" i="49"/>
  <c r="I208" i="49"/>
  <c r="I207" i="49"/>
  <c r="I206" i="49"/>
  <c r="I205" i="49"/>
  <c r="I204" i="49"/>
  <c r="I203" i="49"/>
  <c r="I202" i="49"/>
  <c r="I201" i="49"/>
  <c r="I200" i="49"/>
  <c r="I199" i="49"/>
  <c r="I198" i="49"/>
  <c r="I197" i="49"/>
  <c r="I196" i="49"/>
  <c r="I195" i="49"/>
  <c r="I194" i="49"/>
  <c r="I193" i="49"/>
  <c r="I192" i="49"/>
  <c r="I191" i="49"/>
  <c r="I190" i="49"/>
  <c r="I189" i="49"/>
  <c r="I188" i="49"/>
  <c r="I187" i="49"/>
  <c r="I186" i="49"/>
  <c r="I185" i="49"/>
  <c r="I184" i="49"/>
  <c r="I183" i="49"/>
  <c r="I182" i="49"/>
  <c r="I181" i="49"/>
  <c r="I180" i="49"/>
  <c r="I179" i="49"/>
  <c r="I178" i="49"/>
  <c r="I177" i="49"/>
  <c r="I176" i="49"/>
  <c r="I175" i="49"/>
  <c r="I174" i="49"/>
  <c r="I173" i="49"/>
  <c r="I172" i="49"/>
  <c r="I171" i="49"/>
  <c r="I170" i="49"/>
  <c r="I169" i="49"/>
  <c r="I168" i="49"/>
  <c r="I167" i="49"/>
  <c r="I166" i="49"/>
  <c r="I165" i="49"/>
  <c r="I164" i="49"/>
  <c r="I163" i="49"/>
  <c r="I162" i="49"/>
  <c r="I161" i="49"/>
  <c r="I160" i="49"/>
  <c r="I159" i="49"/>
  <c r="I158" i="49"/>
  <c r="I157" i="49"/>
  <c r="I156" i="49"/>
  <c r="I155" i="49"/>
  <c r="I154" i="49"/>
  <c r="I153" i="49"/>
  <c r="I152" i="49"/>
  <c r="I151" i="49"/>
  <c r="I150" i="49"/>
  <c r="I149" i="49"/>
  <c r="I148" i="49"/>
  <c r="I147" i="49"/>
  <c r="I146" i="49"/>
  <c r="I145" i="49"/>
  <c r="I144" i="49"/>
  <c r="I143" i="49"/>
  <c r="I142" i="49"/>
  <c r="I141" i="49"/>
  <c r="I140" i="49"/>
  <c r="I139" i="49"/>
  <c r="I138" i="49"/>
  <c r="I137" i="49"/>
  <c r="I136" i="49"/>
  <c r="I135" i="49"/>
  <c r="I134" i="49"/>
  <c r="I133" i="49"/>
  <c r="I132" i="49"/>
  <c r="I131" i="49"/>
  <c r="I130" i="49"/>
  <c r="I129" i="49"/>
  <c r="I128" i="49"/>
  <c r="I127" i="49"/>
  <c r="I126" i="49"/>
  <c r="I125" i="49"/>
  <c r="I124" i="49"/>
  <c r="I123" i="49"/>
  <c r="I122" i="49"/>
  <c r="I121" i="49"/>
  <c r="I120" i="49"/>
  <c r="I119" i="49"/>
  <c r="I118" i="49"/>
  <c r="I117" i="49"/>
  <c r="I116" i="49"/>
  <c r="I115" i="49"/>
  <c r="I114" i="49"/>
  <c r="I113" i="49"/>
  <c r="I112" i="49"/>
  <c r="I111" i="49"/>
  <c r="I110" i="49"/>
  <c r="I109" i="49"/>
  <c r="I108" i="49"/>
  <c r="I107" i="49"/>
  <c r="I106" i="49"/>
  <c r="I105" i="49"/>
  <c r="I104" i="49"/>
  <c r="I103" i="49"/>
  <c r="I102" i="49"/>
  <c r="I101" i="49"/>
  <c r="I100" i="49"/>
  <c r="I99" i="49"/>
  <c r="I98" i="49"/>
  <c r="I97" i="49"/>
  <c r="I96" i="49"/>
  <c r="I95" i="49"/>
  <c r="I94" i="49"/>
  <c r="I93" i="49"/>
  <c r="I92" i="49"/>
  <c r="I91" i="49"/>
  <c r="I90" i="49"/>
  <c r="I89" i="49"/>
  <c r="I88" i="49"/>
  <c r="I87" i="49"/>
  <c r="I86" i="49"/>
  <c r="I85" i="49"/>
  <c r="I84" i="49"/>
  <c r="I83" i="49"/>
  <c r="I82" i="49"/>
  <c r="I81" i="49"/>
  <c r="I80" i="49"/>
  <c r="I79" i="49"/>
  <c r="I78" i="49"/>
  <c r="I77" i="49"/>
  <c r="I76" i="49"/>
  <c r="I75" i="49"/>
  <c r="I74" i="49"/>
  <c r="I73" i="49"/>
  <c r="I72" i="49"/>
  <c r="I71" i="49"/>
  <c r="I70" i="49"/>
  <c r="I69" i="49"/>
  <c r="G69" i="49"/>
  <c r="I68" i="49"/>
  <c r="G68" i="49"/>
  <c r="I67" i="49"/>
  <c r="G67" i="49"/>
  <c r="I66" i="49"/>
  <c r="G66" i="49"/>
  <c r="I65" i="49"/>
  <c r="G65" i="49"/>
  <c r="I64" i="49"/>
  <c r="G64" i="49"/>
  <c r="I63" i="49"/>
  <c r="G63" i="49"/>
  <c r="I62" i="49"/>
  <c r="G62" i="49"/>
  <c r="I61" i="49"/>
  <c r="G61" i="49"/>
  <c r="I60" i="49"/>
  <c r="G60" i="49"/>
  <c r="I59" i="49"/>
  <c r="G59" i="49"/>
  <c r="I58" i="49"/>
  <c r="G58" i="49"/>
  <c r="I57" i="49"/>
  <c r="G57" i="49"/>
  <c r="I56" i="49"/>
  <c r="G56" i="49"/>
  <c r="I55" i="49"/>
  <c r="G55" i="49"/>
  <c r="I54" i="49"/>
  <c r="G54" i="49"/>
  <c r="I53" i="49"/>
  <c r="G53" i="49"/>
  <c r="I52" i="49"/>
  <c r="G52" i="49"/>
  <c r="I51" i="49"/>
  <c r="G51" i="49"/>
  <c r="I50" i="49"/>
  <c r="G50" i="49"/>
  <c r="I49" i="49"/>
  <c r="G49" i="49"/>
  <c r="I48" i="49"/>
  <c r="G48" i="49"/>
  <c r="I47" i="49"/>
  <c r="G47" i="49"/>
  <c r="I46" i="49"/>
  <c r="G46" i="49"/>
  <c r="I45" i="49"/>
  <c r="G45" i="49"/>
  <c r="I44" i="49"/>
  <c r="G44" i="49"/>
  <c r="I9" i="49"/>
  <c r="G9" i="49"/>
  <c r="C9" i="49"/>
  <c r="C8" i="49"/>
  <c r="I7" i="49"/>
  <c r="G7" i="49"/>
  <c r="I6" i="49"/>
  <c r="G6" i="49"/>
  <c r="C6" i="49"/>
  <c r="I3" i="49"/>
  <c r="I2" i="49"/>
  <c r="AC26" i="49" s="1"/>
  <c r="G2" i="36"/>
  <c r="H2" i="36"/>
  <c r="G2" i="48"/>
  <c r="H2" i="48"/>
  <c r="H2" i="46"/>
  <c r="G2" i="46"/>
  <c r="AE18" i="48"/>
  <c r="AD18" i="48"/>
  <c r="AC18" i="48"/>
  <c r="C8" i="48"/>
  <c r="G6" i="48"/>
  <c r="AH19" i="48" s="1"/>
  <c r="I903" i="47"/>
  <c r="I902" i="47"/>
  <c r="I901" i="47"/>
  <c r="I900" i="47"/>
  <c r="I899" i="47"/>
  <c r="I898" i="47"/>
  <c r="I897" i="47"/>
  <c r="I896" i="47"/>
  <c r="I895" i="47"/>
  <c r="I894" i="47"/>
  <c r="I893" i="47"/>
  <c r="I892" i="47"/>
  <c r="I891" i="47"/>
  <c r="I890" i="47"/>
  <c r="I889" i="47"/>
  <c r="I888" i="47"/>
  <c r="I887" i="47"/>
  <c r="I886" i="47"/>
  <c r="I885" i="47"/>
  <c r="I884" i="47"/>
  <c r="I883" i="47"/>
  <c r="I882" i="47"/>
  <c r="I881" i="47"/>
  <c r="I880" i="47"/>
  <c r="I879" i="47"/>
  <c r="I878" i="47"/>
  <c r="I877" i="47"/>
  <c r="I876" i="47"/>
  <c r="I875" i="47"/>
  <c r="I874" i="47"/>
  <c r="I873" i="47"/>
  <c r="I872" i="47"/>
  <c r="I871" i="47"/>
  <c r="I870" i="47"/>
  <c r="I869" i="47"/>
  <c r="I868" i="47"/>
  <c r="I867" i="47"/>
  <c r="I866" i="47"/>
  <c r="I865" i="47"/>
  <c r="I864" i="47"/>
  <c r="I863" i="47"/>
  <c r="I862" i="47"/>
  <c r="I861" i="47"/>
  <c r="I860" i="47"/>
  <c r="I859" i="47"/>
  <c r="I858" i="47"/>
  <c r="I857" i="47"/>
  <c r="I856" i="47"/>
  <c r="I855" i="47"/>
  <c r="I854" i="47"/>
  <c r="I853" i="47"/>
  <c r="I852" i="47"/>
  <c r="I851" i="47"/>
  <c r="I850" i="47"/>
  <c r="I849" i="47"/>
  <c r="I848" i="47"/>
  <c r="I847" i="47"/>
  <c r="I846" i="47"/>
  <c r="I845" i="47"/>
  <c r="I844" i="47"/>
  <c r="I843" i="47"/>
  <c r="I842" i="47"/>
  <c r="I841" i="47"/>
  <c r="I840" i="47"/>
  <c r="I839" i="47"/>
  <c r="I838" i="47"/>
  <c r="I837" i="47"/>
  <c r="I836" i="47"/>
  <c r="I835" i="47"/>
  <c r="I834" i="47"/>
  <c r="I833" i="47"/>
  <c r="I832" i="47"/>
  <c r="I831" i="47"/>
  <c r="I830" i="47"/>
  <c r="I829" i="47"/>
  <c r="I828" i="47"/>
  <c r="I827" i="47"/>
  <c r="I826" i="47"/>
  <c r="I825" i="47"/>
  <c r="I824" i="47"/>
  <c r="I823" i="47"/>
  <c r="I822" i="47"/>
  <c r="I821" i="47"/>
  <c r="I820" i="47"/>
  <c r="I819" i="47"/>
  <c r="I818" i="47"/>
  <c r="I817" i="47"/>
  <c r="I816" i="47"/>
  <c r="I815" i="47"/>
  <c r="I814" i="47"/>
  <c r="I813" i="47"/>
  <c r="I812" i="47"/>
  <c r="I811" i="47"/>
  <c r="I810" i="47"/>
  <c r="I809" i="47"/>
  <c r="I808" i="47"/>
  <c r="I807" i="47"/>
  <c r="I806" i="47"/>
  <c r="I805" i="47"/>
  <c r="I804" i="47"/>
  <c r="I803" i="47"/>
  <c r="I802" i="47"/>
  <c r="I801" i="47"/>
  <c r="I800" i="47"/>
  <c r="I799" i="47"/>
  <c r="I798" i="47"/>
  <c r="I797" i="47"/>
  <c r="I796" i="47"/>
  <c r="I795" i="47"/>
  <c r="I794" i="47"/>
  <c r="I793" i="47"/>
  <c r="I792" i="47"/>
  <c r="I791" i="47"/>
  <c r="I790" i="47"/>
  <c r="I789" i="47"/>
  <c r="I788" i="47"/>
  <c r="I787" i="47"/>
  <c r="I786" i="47"/>
  <c r="I785" i="47"/>
  <c r="I784" i="47"/>
  <c r="I783" i="47"/>
  <c r="I782" i="47"/>
  <c r="I781" i="47"/>
  <c r="I780" i="47"/>
  <c r="I779" i="47"/>
  <c r="I778" i="47"/>
  <c r="I777" i="47"/>
  <c r="I776" i="47"/>
  <c r="I775" i="47"/>
  <c r="I774" i="47"/>
  <c r="I773" i="47"/>
  <c r="I772" i="47"/>
  <c r="I771" i="47"/>
  <c r="I770" i="47"/>
  <c r="I769" i="47"/>
  <c r="I768" i="47"/>
  <c r="I767" i="47"/>
  <c r="I766" i="47"/>
  <c r="I765" i="47"/>
  <c r="I764" i="47"/>
  <c r="I763" i="47"/>
  <c r="I762" i="47"/>
  <c r="I761" i="47"/>
  <c r="I760" i="47"/>
  <c r="I759" i="47"/>
  <c r="I758" i="47"/>
  <c r="I757" i="47"/>
  <c r="I756" i="47"/>
  <c r="I755" i="47"/>
  <c r="I754" i="47"/>
  <c r="I753" i="47"/>
  <c r="I752" i="47"/>
  <c r="I751" i="47"/>
  <c r="I750" i="47"/>
  <c r="I749" i="47"/>
  <c r="I748" i="47"/>
  <c r="I747" i="47"/>
  <c r="I746" i="47"/>
  <c r="I745" i="47"/>
  <c r="I744" i="47"/>
  <c r="I743" i="47"/>
  <c r="I742" i="47"/>
  <c r="I741" i="47"/>
  <c r="I740" i="47"/>
  <c r="I739" i="47"/>
  <c r="I738" i="47"/>
  <c r="I737" i="47"/>
  <c r="I736" i="47"/>
  <c r="I735" i="47"/>
  <c r="I734" i="47"/>
  <c r="I733" i="47"/>
  <c r="I732" i="47"/>
  <c r="I731" i="47"/>
  <c r="I730" i="47"/>
  <c r="I729" i="47"/>
  <c r="I728" i="47"/>
  <c r="I727" i="47"/>
  <c r="I726" i="47"/>
  <c r="I725" i="47"/>
  <c r="I724" i="47"/>
  <c r="I723" i="47"/>
  <c r="I722" i="47"/>
  <c r="I721" i="47"/>
  <c r="I720" i="47"/>
  <c r="I719" i="47"/>
  <c r="I718" i="47"/>
  <c r="I717" i="47"/>
  <c r="I716" i="47"/>
  <c r="I715" i="47"/>
  <c r="I714" i="47"/>
  <c r="I713" i="47"/>
  <c r="I712" i="47"/>
  <c r="I711" i="47"/>
  <c r="I710" i="47"/>
  <c r="I709" i="47"/>
  <c r="I708" i="47"/>
  <c r="I707" i="47"/>
  <c r="I706" i="47"/>
  <c r="I705" i="47"/>
  <c r="I704" i="47"/>
  <c r="I703" i="47"/>
  <c r="I702" i="47"/>
  <c r="I701" i="47"/>
  <c r="I700" i="47"/>
  <c r="I699" i="47"/>
  <c r="I698" i="47"/>
  <c r="I697" i="47"/>
  <c r="I696" i="47"/>
  <c r="I695" i="47"/>
  <c r="I694" i="47"/>
  <c r="I693" i="47"/>
  <c r="I692" i="47"/>
  <c r="I691" i="47"/>
  <c r="I690" i="47"/>
  <c r="I689" i="47"/>
  <c r="I688" i="47"/>
  <c r="I687" i="47"/>
  <c r="I686" i="47"/>
  <c r="I685" i="47"/>
  <c r="I684" i="47"/>
  <c r="I683" i="47"/>
  <c r="I682" i="47"/>
  <c r="I681" i="47"/>
  <c r="I680" i="47"/>
  <c r="I679" i="47"/>
  <c r="I678" i="47"/>
  <c r="I677" i="47"/>
  <c r="I676" i="47"/>
  <c r="I675" i="47"/>
  <c r="I674" i="47"/>
  <c r="I673" i="47"/>
  <c r="I672" i="47"/>
  <c r="I671" i="47"/>
  <c r="I670" i="47"/>
  <c r="I669" i="47"/>
  <c r="I668" i="47"/>
  <c r="I667" i="47"/>
  <c r="I666" i="47"/>
  <c r="I665" i="47"/>
  <c r="I664" i="47"/>
  <c r="I663" i="47"/>
  <c r="I662" i="47"/>
  <c r="I661" i="47"/>
  <c r="I660" i="47"/>
  <c r="I659" i="47"/>
  <c r="I658" i="47"/>
  <c r="I657" i="47"/>
  <c r="I656" i="47"/>
  <c r="I655" i="47"/>
  <c r="I654" i="47"/>
  <c r="I653" i="47"/>
  <c r="I652" i="47"/>
  <c r="I651" i="47"/>
  <c r="I650" i="47"/>
  <c r="I649" i="47"/>
  <c r="I648" i="47"/>
  <c r="I647" i="47"/>
  <c r="I646" i="47"/>
  <c r="I645" i="47"/>
  <c r="I644" i="47"/>
  <c r="I643" i="47"/>
  <c r="I642" i="47"/>
  <c r="I641" i="47"/>
  <c r="I640" i="47"/>
  <c r="I639" i="47"/>
  <c r="I638" i="47"/>
  <c r="I637" i="47"/>
  <c r="I636" i="47"/>
  <c r="I635" i="47"/>
  <c r="I634" i="47"/>
  <c r="I633" i="47"/>
  <c r="I632" i="47"/>
  <c r="I631" i="47"/>
  <c r="I630" i="47"/>
  <c r="I629" i="47"/>
  <c r="I628" i="47"/>
  <c r="I627" i="47"/>
  <c r="I626" i="47"/>
  <c r="I625" i="47"/>
  <c r="I624" i="47"/>
  <c r="I623" i="47"/>
  <c r="I622" i="47"/>
  <c r="I621" i="47"/>
  <c r="I620" i="47"/>
  <c r="I619" i="47"/>
  <c r="I618" i="47"/>
  <c r="I617" i="47"/>
  <c r="I616" i="47"/>
  <c r="I615" i="47"/>
  <c r="I614" i="47"/>
  <c r="I613" i="47"/>
  <c r="I612" i="47"/>
  <c r="I611" i="47"/>
  <c r="I610" i="47"/>
  <c r="I609" i="47"/>
  <c r="I608" i="47"/>
  <c r="I607" i="47"/>
  <c r="I606" i="47"/>
  <c r="I605" i="47"/>
  <c r="I604" i="47"/>
  <c r="I603" i="47"/>
  <c r="I602" i="47"/>
  <c r="I601" i="47"/>
  <c r="I600" i="47"/>
  <c r="I599" i="47"/>
  <c r="I598" i="47"/>
  <c r="I597" i="47"/>
  <c r="I596" i="47"/>
  <c r="I595" i="47"/>
  <c r="I594" i="47"/>
  <c r="I593" i="47"/>
  <c r="I592" i="47"/>
  <c r="I591" i="47"/>
  <c r="I590" i="47"/>
  <c r="I589" i="47"/>
  <c r="I588" i="47"/>
  <c r="I587" i="47"/>
  <c r="I586" i="47"/>
  <c r="I585" i="47"/>
  <c r="I584" i="47"/>
  <c r="I583" i="47"/>
  <c r="I582" i="47"/>
  <c r="I581" i="47"/>
  <c r="I580" i="47"/>
  <c r="I579" i="47"/>
  <c r="I578" i="47"/>
  <c r="I577" i="47"/>
  <c r="I576" i="47"/>
  <c r="I575" i="47"/>
  <c r="I574" i="47"/>
  <c r="I573" i="47"/>
  <c r="I572" i="47"/>
  <c r="I571" i="47"/>
  <c r="I570" i="47"/>
  <c r="I569" i="47"/>
  <c r="I568" i="47"/>
  <c r="I567" i="47"/>
  <c r="I566" i="47"/>
  <c r="I565" i="47"/>
  <c r="I564" i="47"/>
  <c r="I563" i="47"/>
  <c r="I562" i="47"/>
  <c r="I561" i="47"/>
  <c r="I560" i="47"/>
  <c r="I559" i="47"/>
  <c r="I558" i="47"/>
  <c r="I557" i="47"/>
  <c r="I556" i="47"/>
  <c r="I555" i="47"/>
  <c r="I554" i="47"/>
  <c r="I553" i="47"/>
  <c r="I552" i="47"/>
  <c r="I551" i="47"/>
  <c r="I550" i="47"/>
  <c r="I549" i="47"/>
  <c r="I548" i="47"/>
  <c r="I547" i="47"/>
  <c r="I546" i="47"/>
  <c r="I545" i="47"/>
  <c r="I544" i="47"/>
  <c r="I543" i="47"/>
  <c r="I542" i="47"/>
  <c r="I541" i="47"/>
  <c r="I540" i="47"/>
  <c r="I539" i="47"/>
  <c r="I538" i="47"/>
  <c r="I537" i="47"/>
  <c r="I536" i="47"/>
  <c r="I535" i="47"/>
  <c r="I534" i="47"/>
  <c r="I533" i="47"/>
  <c r="I532" i="47"/>
  <c r="I531" i="47"/>
  <c r="I530" i="47"/>
  <c r="I529" i="47"/>
  <c r="I528" i="47"/>
  <c r="I527" i="47"/>
  <c r="I526" i="47"/>
  <c r="I525" i="47"/>
  <c r="I524" i="47"/>
  <c r="I523" i="47"/>
  <c r="I522" i="47"/>
  <c r="I521" i="47"/>
  <c r="I520" i="47"/>
  <c r="I519" i="47"/>
  <c r="I518" i="47"/>
  <c r="I517" i="47"/>
  <c r="I516" i="47"/>
  <c r="I515" i="47"/>
  <c r="I514" i="47"/>
  <c r="I513" i="47"/>
  <c r="I512" i="47"/>
  <c r="I511" i="47"/>
  <c r="I510" i="47"/>
  <c r="I509" i="47"/>
  <c r="I508" i="47"/>
  <c r="I507" i="47"/>
  <c r="I506" i="47"/>
  <c r="I505" i="47"/>
  <c r="I504" i="47"/>
  <c r="I503" i="47"/>
  <c r="I502" i="47"/>
  <c r="I501" i="47"/>
  <c r="I500" i="47"/>
  <c r="I499" i="47"/>
  <c r="I498" i="47"/>
  <c r="I497" i="47"/>
  <c r="I496" i="47"/>
  <c r="I495" i="47"/>
  <c r="I494" i="47"/>
  <c r="I493" i="47"/>
  <c r="I492" i="47"/>
  <c r="I491" i="47"/>
  <c r="I490" i="47"/>
  <c r="I489" i="47"/>
  <c r="I488" i="47"/>
  <c r="I487" i="47"/>
  <c r="I486" i="47"/>
  <c r="I485" i="47"/>
  <c r="I484" i="47"/>
  <c r="I483" i="47"/>
  <c r="I482" i="47"/>
  <c r="I481" i="47"/>
  <c r="I480" i="47"/>
  <c r="I479" i="47"/>
  <c r="I478" i="47"/>
  <c r="I477" i="47"/>
  <c r="I476" i="47"/>
  <c r="I475" i="47"/>
  <c r="I474" i="47"/>
  <c r="I473" i="47"/>
  <c r="I472" i="47"/>
  <c r="I471" i="47"/>
  <c r="I470" i="47"/>
  <c r="I469" i="47"/>
  <c r="I468" i="47"/>
  <c r="I467" i="47"/>
  <c r="I466" i="47"/>
  <c r="I465" i="47"/>
  <c r="I464" i="47"/>
  <c r="I463" i="47"/>
  <c r="I462" i="47"/>
  <c r="I461" i="47"/>
  <c r="I460" i="47"/>
  <c r="I459" i="47"/>
  <c r="I458" i="47"/>
  <c r="I457" i="47"/>
  <c r="I456" i="47"/>
  <c r="I455" i="47"/>
  <c r="I454" i="47"/>
  <c r="I453" i="47"/>
  <c r="I452" i="47"/>
  <c r="I451" i="47"/>
  <c r="I450" i="47"/>
  <c r="I449" i="47"/>
  <c r="I448" i="47"/>
  <c r="I447" i="47"/>
  <c r="I446" i="47"/>
  <c r="I445" i="47"/>
  <c r="I444" i="47"/>
  <c r="I443" i="47"/>
  <c r="I442" i="47"/>
  <c r="I441" i="47"/>
  <c r="I440" i="47"/>
  <c r="I439" i="47"/>
  <c r="I438" i="47"/>
  <c r="I437" i="47"/>
  <c r="I436" i="47"/>
  <c r="I435" i="47"/>
  <c r="I434" i="47"/>
  <c r="I433" i="47"/>
  <c r="I432" i="47"/>
  <c r="I431" i="47"/>
  <c r="I430" i="47"/>
  <c r="I429" i="47"/>
  <c r="I428" i="47"/>
  <c r="I427" i="47"/>
  <c r="I426" i="47"/>
  <c r="I425" i="47"/>
  <c r="I424" i="47"/>
  <c r="I423" i="47"/>
  <c r="I422" i="47"/>
  <c r="I421" i="47"/>
  <c r="I420" i="47"/>
  <c r="I419" i="47"/>
  <c r="I418" i="47"/>
  <c r="I417" i="47"/>
  <c r="I416" i="47"/>
  <c r="I415" i="47"/>
  <c r="I414" i="47"/>
  <c r="I413" i="47"/>
  <c r="I412" i="47"/>
  <c r="I411" i="47"/>
  <c r="I410" i="47"/>
  <c r="I409" i="47"/>
  <c r="I408" i="47"/>
  <c r="I407" i="47"/>
  <c r="I406" i="47"/>
  <c r="I405" i="47"/>
  <c r="I404" i="47"/>
  <c r="I403" i="47"/>
  <c r="I402" i="47"/>
  <c r="I401" i="47"/>
  <c r="I400" i="47"/>
  <c r="I399" i="47"/>
  <c r="I398" i="47"/>
  <c r="I397" i="47"/>
  <c r="I396" i="47"/>
  <c r="I395" i="47"/>
  <c r="I394" i="47"/>
  <c r="I393" i="47"/>
  <c r="I392" i="47"/>
  <c r="I391" i="47"/>
  <c r="I390" i="47"/>
  <c r="I389" i="47"/>
  <c r="I388" i="47"/>
  <c r="I387" i="47"/>
  <c r="I386" i="47"/>
  <c r="I385" i="47"/>
  <c r="I384" i="47"/>
  <c r="I383" i="47"/>
  <c r="I382" i="47"/>
  <c r="I381" i="47"/>
  <c r="I380" i="47"/>
  <c r="I379" i="47"/>
  <c r="I378" i="47"/>
  <c r="I377" i="47"/>
  <c r="I376" i="47"/>
  <c r="I375" i="47"/>
  <c r="I374" i="47"/>
  <c r="I373" i="47"/>
  <c r="I372" i="47"/>
  <c r="I371" i="47"/>
  <c r="I370" i="47"/>
  <c r="I369" i="47"/>
  <c r="I368" i="47"/>
  <c r="I367" i="47"/>
  <c r="I366" i="47"/>
  <c r="I365" i="47"/>
  <c r="I364" i="47"/>
  <c r="I363" i="47"/>
  <c r="I362" i="47"/>
  <c r="I361" i="47"/>
  <c r="I360" i="47"/>
  <c r="I359" i="47"/>
  <c r="I358" i="47"/>
  <c r="I357" i="47"/>
  <c r="I356" i="47"/>
  <c r="I355" i="47"/>
  <c r="I354" i="47"/>
  <c r="I353" i="47"/>
  <c r="I352" i="47"/>
  <c r="I351" i="47"/>
  <c r="I350" i="47"/>
  <c r="I349" i="47"/>
  <c r="I348" i="47"/>
  <c r="I347" i="47"/>
  <c r="I346" i="47"/>
  <c r="I345" i="47"/>
  <c r="I344" i="47"/>
  <c r="I343" i="47"/>
  <c r="I342" i="47"/>
  <c r="I341" i="47"/>
  <c r="I340" i="47"/>
  <c r="I339" i="47"/>
  <c r="I338" i="47"/>
  <c r="I337" i="47"/>
  <c r="I336" i="47"/>
  <c r="I335" i="47"/>
  <c r="I334" i="47"/>
  <c r="I333" i="47"/>
  <c r="I332" i="47"/>
  <c r="I331" i="47"/>
  <c r="I330" i="47"/>
  <c r="I329" i="47"/>
  <c r="I328" i="47"/>
  <c r="I327" i="47"/>
  <c r="I326" i="47"/>
  <c r="I325" i="47"/>
  <c r="I324" i="47"/>
  <c r="I323" i="47"/>
  <c r="I322" i="47"/>
  <c r="I321" i="47"/>
  <c r="I320" i="47"/>
  <c r="I319" i="47"/>
  <c r="I318" i="47"/>
  <c r="I317" i="47"/>
  <c r="I316" i="47"/>
  <c r="I315" i="47"/>
  <c r="I314" i="47"/>
  <c r="I313" i="47"/>
  <c r="I312" i="47"/>
  <c r="I311" i="47"/>
  <c r="I310" i="47"/>
  <c r="I309" i="47"/>
  <c r="I308" i="47"/>
  <c r="I307" i="47"/>
  <c r="I306" i="47"/>
  <c r="I305" i="47"/>
  <c r="I304" i="47"/>
  <c r="I303" i="47"/>
  <c r="I302" i="47"/>
  <c r="I301" i="47"/>
  <c r="I300" i="47"/>
  <c r="I299" i="47"/>
  <c r="I298" i="47"/>
  <c r="I297" i="47"/>
  <c r="I296" i="47"/>
  <c r="I295" i="47"/>
  <c r="I294" i="47"/>
  <c r="I293" i="47"/>
  <c r="I292" i="47"/>
  <c r="I291" i="47"/>
  <c r="I290" i="47"/>
  <c r="I289" i="47"/>
  <c r="I288" i="47"/>
  <c r="I287" i="47"/>
  <c r="I286" i="47"/>
  <c r="I285" i="47"/>
  <c r="I284" i="47"/>
  <c r="I283" i="47"/>
  <c r="I282" i="47"/>
  <c r="I281" i="47"/>
  <c r="I280" i="47"/>
  <c r="I279" i="47"/>
  <c r="I278" i="47"/>
  <c r="I277" i="47"/>
  <c r="I276" i="47"/>
  <c r="I275" i="47"/>
  <c r="I274" i="47"/>
  <c r="I273" i="47"/>
  <c r="I272" i="47"/>
  <c r="I271" i="47"/>
  <c r="I270" i="47"/>
  <c r="I269" i="47"/>
  <c r="I268" i="47"/>
  <c r="I267" i="47"/>
  <c r="I266" i="47"/>
  <c r="I265" i="47"/>
  <c r="I264" i="47"/>
  <c r="I263" i="47"/>
  <c r="I262" i="47"/>
  <c r="I261" i="47"/>
  <c r="I260" i="47"/>
  <c r="I259" i="47"/>
  <c r="I258" i="47"/>
  <c r="I257" i="47"/>
  <c r="I256" i="47"/>
  <c r="I255" i="47"/>
  <c r="I254" i="47"/>
  <c r="I253" i="47"/>
  <c r="I252" i="47"/>
  <c r="I251" i="47"/>
  <c r="I250" i="47"/>
  <c r="I249" i="47"/>
  <c r="I248" i="47"/>
  <c r="I247" i="47"/>
  <c r="I246" i="47"/>
  <c r="I245" i="47"/>
  <c r="I244" i="47"/>
  <c r="I243" i="47"/>
  <c r="I242" i="47"/>
  <c r="I241" i="47"/>
  <c r="I240" i="47"/>
  <c r="I239" i="47"/>
  <c r="I238" i="47"/>
  <c r="I237" i="47"/>
  <c r="I236" i="47"/>
  <c r="I235" i="47"/>
  <c r="I234" i="47"/>
  <c r="I233" i="47"/>
  <c r="I232" i="47"/>
  <c r="I231" i="47"/>
  <c r="I230" i="47"/>
  <c r="I229" i="47"/>
  <c r="I228" i="47"/>
  <c r="I227" i="47"/>
  <c r="I226" i="47"/>
  <c r="I225" i="47"/>
  <c r="I224" i="47"/>
  <c r="I223" i="47"/>
  <c r="I222" i="47"/>
  <c r="I221" i="47"/>
  <c r="I220" i="47"/>
  <c r="I219" i="47"/>
  <c r="I218" i="47"/>
  <c r="I217" i="47"/>
  <c r="I216" i="47"/>
  <c r="I215" i="47"/>
  <c r="I214" i="47"/>
  <c r="I213" i="47"/>
  <c r="I212" i="47"/>
  <c r="I211" i="47"/>
  <c r="I210" i="47"/>
  <c r="I209" i="47"/>
  <c r="I208" i="47"/>
  <c r="I207" i="47"/>
  <c r="I206" i="47"/>
  <c r="I205" i="47"/>
  <c r="I204" i="47"/>
  <c r="I203" i="47"/>
  <c r="I202" i="47"/>
  <c r="I201" i="47"/>
  <c r="I200" i="47"/>
  <c r="I199" i="47"/>
  <c r="I198" i="47"/>
  <c r="I197" i="47"/>
  <c r="I196" i="47"/>
  <c r="I195" i="47"/>
  <c r="I194" i="47"/>
  <c r="I193" i="47"/>
  <c r="I192" i="47"/>
  <c r="I191" i="47"/>
  <c r="I190" i="47"/>
  <c r="I189" i="47"/>
  <c r="I188" i="47"/>
  <c r="I187" i="47"/>
  <c r="I186" i="47"/>
  <c r="I185" i="47"/>
  <c r="I184" i="47"/>
  <c r="I183" i="47"/>
  <c r="I182" i="47"/>
  <c r="I181" i="47"/>
  <c r="I180" i="47"/>
  <c r="I179" i="47"/>
  <c r="I178" i="47"/>
  <c r="I177" i="47"/>
  <c r="I176" i="47"/>
  <c r="I175" i="47"/>
  <c r="I174" i="47"/>
  <c r="I173" i="47"/>
  <c r="I172" i="47"/>
  <c r="I171" i="47"/>
  <c r="I170" i="47"/>
  <c r="I169" i="47"/>
  <c r="I168" i="47"/>
  <c r="I167" i="47"/>
  <c r="I166" i="47"/>
  <c r="I165" i="47"/>
  <c r="I164" i="47"/>
  <c r="I163" i="47"/>
  <c r="I162" i="47"/>
  <c r="I161" i="47"/>
  <c r="I160" i="47"/>
  <c r="I159" i="47"/>
  <c r="I158" i="47"/>
  <c r="I157" i="47"/>
  <c r="I156" i="47"/>
  <c r="I155" i="47"/>
  <c r="I154" i="47"/>
  <c r="I153" i="47"/>
  <c r="I152" i="47"/>
  <c r="I151" i="47"/>
  <c r="I150" i="47"/>
  <c r="I149" i="47"/>
  <c r="I148" i="47"/>
  <c r="I147" i="47"/>
  <c r="I146" i="47"/>
  <c r="I145" i="47"/>
  <c r="I144" i="47"/>
  <c r="I143" i="47"/>
  <c r="I142" i="47"/>
  <c r="I141" i="47"/>
  <c r="I140" i="47"/>
  <c r="I139" i="47"/>
  <c r="I138" i="47"/>
  <c r="I137" i="47"/>
  <c r="I136" i="47"/>
  <c r="I135" i="47"/>
  <c r="I134" i="47"/>
  <c r="I133" i="47"/>
  <c r="I132" i="47"/>
  <c r="I131" i="47"/>
  <c r="I130" i="47"/>
  <c r="I129" i="47"/>
  <c r="I128" i="47"/>
  <c r="I127" i="47"/>
  <c r="I126" i="47"/>
  <c r="I125" i="47"/>
  <c r="I124" i="47"/>
  <c r="I123" i="47"/>
  <c r="I122" i="47"/>
  <c r="I121" i="47"/>
  <c r="I120" i="47"/>
  <c r="I119" i="47"/>
  <c r="I118" i="47"/>
  <c r="I117" i="47"/>
  <c r="I116" i="47"/>
  <c r="I115" i="47"/>
  <c r="I114" i="47"/>
  <c r="I113" i="47"/>
  <c r="I112" i="47"/>
  <c r="I111" i="47"/>
  <c r="I110" i="47"/>
  <c r="I109" i="47"/>
  <c r="I108" i="47"/>
  <c r="I107" i="47"/>
  <c r="I106" i="47"/>
  <c r="I105" i="47"/>
  <c r="I104" i="47"/>
  <c r="I103" i="47"/>
  <c r="I102" i="47"/>
  <c r="I101" i="47"/>
  <c r="I100" i="47"/>
  <c r="I99" i="47"/>
  <c r="I98" i="47"/>
  <c r="I97" i="47"/>
  <c r="I96" i="47"/>
  <c r="I95" i="47"/>
  <c r="I94" i="47"/>
  <c r="I93" i="47"/>
  <c r="I92" i="47"/>
  <c r="I91" i="47"/>
  <c r="I90" i="47"/>
  <c r="I89" i="47"/>
  <c r="I88" i="47"/>
  <c r="I87" i="47"/>
  <c r="I86" i="47"/>
  <c r="I85" i="47"/>
  <c r="I84" i="47"/>
  <c r="I83" i="47"/>
  <c r="I82" i="47"/>
  <c r="I81" i="47"/>
  <c r="I80" i="47"/>
  <c r="I79" i="47"/>
  <c r="I78" i="47"/>
  <c r="I77" i="47"/>
  <c r="I76" i="47"/>
  <c r="I75" i="47"/>
  <c r="I74" i="47"/>
  <c r="I73" i="47"/>
  <c r="I72" i="47"/>
  <c r="I71" i="47"/>
  <c r="I70" i="47"/>
  <c r="I69" i="47"/>
  <c r="I68" i="47"/>
  <c r="I67" i="47"/>
  <c r="G67" i="47"/>
  <c r="I66" i="47"/>
  <c r="G66" i="47"/>
  <c r="I65" i="47"/>
  <c r="G65" i="47"/>
  <c r="I64" i="47"/>
  <c r="G64" i="47"/>
  <c r="I63" i="47"/>
  <c r="G63" i="47"/>
  <c r="I62" i="47"/>
  <c r="G62" i="47"/>
  <c r="I61" i="47"/>
  <c r="G61" i="47"/>
  <c r="I60" i="47"/>
  <c r="G60" i="47"/>
  <c r="I59" i="47"/>
  <c r="G59" i="47"/>
  <c r="I58" i="47"/>
  <c r="G58" i="47"/>
  <c r="I57" i="47"/>
  <c r="G57" i="47"/>
  <c r="I56" i="47"/>
  <c r="G56" i="47"/>
  <c r="I55" i="47"/>
  <c r="G55" i="47"/>
  <c r="I54" i="47"/>
  <c r="G54" i="47"/>
  <c r="I53" i="47"/>
  <c r="G53" i="47"/>
  <c r="I52" i="47"/>
  <c r="G52" i="47"/>
  <c r="I51" i="47"/>
  <c r="G51" i="47"/>
  <c r="I50" i="47"/>
  <c r="G50" i="47"/>
  <c r="I49" i="47"/>
  <c r="G49" i="47"/>
  <c r="I48" i="47"/>
  <c r="G48" i="47"/>
  <c r="I47" i="47"/>
  <c r="G47" i="47"/>
  <c r="I46" i="47"/>
  <c r="G46" i="47"/>
  <c r="I45" i="47"/>
  <c r="G45" i="47"/>
  <c r="I44" i="47"/>
  <c r="G44" i="47"/>
  <c r="I43" i="47"/>
  <c r="G43" i="47"/>
  <c r="I42" i="47"/>
  <c r="G42" i="47"/>
  <c r="AH22" i="47"/>
  <c r="AB22" i="47"/>
  <c r="AA21" i="47"/>
  <c r="Y20" i="47"/>
  <c r="AH18" i="47"/>
  <c r="AG18" i="47"/>
  <c r="AE18" i="47"/>
  <c r="I9" i="47"/>
  <c r="G9" i="47"/>
  <c r="C9" i="47"/>
  <c r="C8" i="47"/>
  <c r="I7" i="47"/>
  <c r="G7" i="47"/>
  <c r="I6" i="47"/>
  <c r="G6" i="47"/>
  <c r="C6" i="47"/>
  <c r="I3" i="47"/>
  <c r="I2" i="47"/>
  <c r="Z19" i="46"/>
  <c r="Y19" i="46"/>
  <c r="AG17" i="46"/>
  <c r="W17" i="46"/>
  <c r="Y16" i="46"/>
  <c r="C8" i="46"/>
  <c r="G6" i="46"/>
  <c r="I903" i="45"/>
  <c r="I902" i="45"/>
  <c r="I901" i="45"/>
  <c r="I900" i="45"/>
  <c r="I899" i="45"/>
  <c r="I898" i="45"/>
  <c r="I897" i="45"/>
  <c r="I896" i="45"/>
  <c r="I895" i="45"/>
  <c r="I894" i="45"/>
  <c r="I893" i="45"/>
  <c r="I892" i="45"/>
  <c r="I891" i="45"/>
  <c r="I890" i="45"/>
  <c r="I889" i="45"/>
  <c r="I888" i="45"/>
  <c r="I887" i="45"/>
  <c r="I886" i="45"/>
  <c r="I885" i="45"/>
  <c r="I884" i="45"/>
  <c r="I883" i="45"/>
  <c r="I882" i="45"/>
  <c r="I881" i="45"/>
  <c r="I880" i="45"/>
  <c r="I879" i="45"/>
  <c r="I878" i="45"/>
  <c r="I877" i="45"/>
  <c r="I876" i="45"/>
  <c r="I875" i="45"/>
  <c r="I874" i="45"/>
  <c r="I873" i="45"/>
  <c r="I872" i="45"/>
  <c r="I871" i="45"/>
  <c r="I870" i="45"/>
  <c r="I869" i="45"/>
  <c r="I868" i="45"/>
  <c r="I867" i="45"/>
  <c r="I866" i="45"/>
  <c r="I865" i="45"/>
  <c r="I864" i="45"/>
  <c r="I863" i="45"/>
  <c r="I862" i="45"/>
  <c r="I861" i="45"/>
  <c r="I860" i="45"/>
  <c r="I859" i="45"/>
  <c r="I858" i="45"/>
  <c r="I857" i="45"/>
  <c r="I856" i="45"/>
  <c r="I855" i="45"/>
  <c r="I854" i="45"/>
  <c r="I853" i="45"/>
  <c r="I852" i="45"/>
  <c r="I851" i="45"/>
  <c r="I850" i="45"/>
  <c r="I849" i="45"/>
  <c r="I848" i="45"/>
  <c r="I847" i="45"/>
  <c r="I846" i="45"/>
  <c r="I845" i="45"/>
  <c r="I844" i="45"/>
  <c r="I843" i="45"/>
  <c r="I842" i="45"/>
  <c r="I841" i="45"/>
  <c r="I840" i="45"/>
  <c r="I839" i="45"/>
  <c r="I838" i="45"/>
  <c r="I837" i="45"/>
  <c r="I836" i="45"/>
  <c r="I835" i="45"/>
  <c r="I834" i="45"/>
  <c r="I833" i="45"/>
  <c r="I832" i="45"/>
  <c r="I831" i="45"/>
  <c r="I830" i="45"/>
  <c r="I829" i="45"/>
  <c r="I828" i="45"/>
  <c r="I827" i="45"/>
  <c r="I826" i="45"/>
  <c r="I825" i="45"/>
  <c r="I824" i="45"/>
  <c r="I823" i="45"/>
  <c r="I822" i="45"/>
  <c r="I821" i="45"/>
  <c r="I820" i="45"/>
  <c r="I819" i="45"/>
  <c r="I818" i="45"/>
  <c r="I817" i="45"/>
  <c r="I816" i="45"/>
  <c r="I815" i="45"/>
  <c r="I814" i="45"/>
  <c r="I813" i="45"/>
  <c r="I812" i="45"/>
  <c r="I811" i="45"/>
  <c r="I810" i="45"/>
  <c r="I809" i="45"/>
  <c r="I808" i="45"/>
  <c r="I807" i="45"/>
  <c r="I806" i="45"/>
  <c r="I805" i="45"/>
  <c r="I804" i="45"/>
  <c r="I803" i="45"/>
  <c r="I802" i="45"/>
  <c r="I801" i="45"/>
  <c r="I800" i="45"/>
  <c r="I799" i="45"/>
  <c r="I798" i="45"/>
  <c r="I797" i="45"/>
  <c r="I796" i="45"/>
  <c r="I795" i="45"/>
  <c r="I794" i="45"/>
  <c r="I793" i="45"/>
  <c r="I792" i="45"/>
  <c r="I791" i="45"/>
  <c r="I790" i="45"/>
  <c r="I789" i="45"/>
  <c r="I788" i="45"/>
  <c r="I787" i="45"/>
  <c r="I786" i="45"/>
  <c r="I785" i="45"/>
  <c r="I784" i="45"/>
  <c r="I783" i="45"/>
  <c r="I782" i="45"/>
  <c r="I781" i="45"/>
  <c r="I780" i="45"/>
  <c r="I779" i="45"/>
  <c r="I778" i="45"/>
  <c r="I777" i="45"/>
  <c r="I776" i="45"/>
  <c r="I775" i="45"/>
  <c r="I774" i="45"/>
  <c r="I773" i="45"/>
  <c r="I772" i="45"/>
  <c r="I771" i="45"/>
  <c r="I770" i="45"/>
  <c r="I769" i="45"/>
  <c r="I768" i="45"/>
  <c r="I767" i="45"/>
  <c r="I766" i="45"/>
  <c r="I765" i="45"/>
  <c r="I764" i="45"/>
  <c r="I763" i="45"/>
  <c r="I762" i="45"/>
  <c r="I761" i="45"/>
  <c r="I760" i="45"/>
  <c r="I759" i="45"/>
  <c r="I758" i="45"/>
  <c r="I757" i="45"/>
  <c r="I756" i="45"/>
  <c r="I755" i="45"/>
  <c r="I754" i="45"/>
  <c r="I753" i="45"/>
  <c r="I752" i="45"/>
  <c r="I751" i="45"/>
  <c r="I750" i="45"/>
  <c r="I749" i="45"/>
  <c r="I748" i="45"/>
  <c r="I747" i="45"/>
  <c r="I746" i="45"/>
  <c r="I745" i="45"/>
  <c r="I744" i="45"/>
  <c r="I743" i="45"/>
  <c r="I742" i="45"/>
  <c r="I741" i="45"/>
  <c r="I740" i="45"/>
  <c r="I739" i="45"/>
  <c r="I738" i="45"/>
  <c r="I737" i="45"/>
  <c r="I736" i="45"/>
  <c r="I735" i="45"/>
  <c r="I734" i="45"/>
  <c r="I733" i="45"/>
  <c r="I732" i="45"/>
  <c r="I731" i="45"/>
  <c r="I730" i="45"/>
  <c r="I729" i="45"/>
  <c r="I728" i="45"/>
  <c r="I727" i="45"/>
  <c r="I726" i="45"/>
  <c r="I725" i="45"/>
  <c r="I724" i="45"/>
  <c r="I723" i="45"/>
  <c r="I722" i="45"/>
  <c r="I721" i="45"/>
  <c r="I720" i="45"/>
  <c r="I719" i="45"/>
  <c r="I718" i="45"/>
  <c r="I717" i="45"/>
  <c r="I716" i="45"/>
  <c r="I715" i="45"/>
  <c r="I714" i="45"/>
  <c r="I713" i="45"/>
  <c r="I712" i="45"/>
  <c r="I711" i="45"/>
  <c r="I710" i="45"/>
  <c r="I709" i="45"/>
  <c r="I708" i="45"/>
  <c r="I707" i="45"/>
  <c r="I706" i="45"/>
  <c r="I705" i="45"/>
  <c r="I704" i="45"/>
  <c r="I703" i="45"/>
  <c r="I702" i="45"/>
  <c r="I701" i="45"/>
  <c r="I700" i="45"/>
  <c r="I699" i="45"/>
  <c r="I698" i="45"/>
  <c r="I697" i="45"/>
  <c r="I696" i="45"/>
  <c r="I695" i="45"/>
  <c r="I694" i="45"/>
  <c r="I693" i="45"/>
  <c r="I692" i="45"/>
  <c r="I691" i="45"/>
  <c r="I690" i="45"/>
  <c r="I689" i="45"/>
  <c r="I688" i="45"/>
  <c r="I687" i="45"/>
  <c r="I686" i="45"/>
  <c r="I685" i="45"/>
  <c r="I684" i="45"/>
  <c r="I683" i="45"/>
  <c r="I682" i="45"/>
  <c r="I681" i="45"/>
  <c r="I680" i="45"/>
  <c r="I679" i="45"/>
  <c r="I678" i="45"/>
  <c r="I677" i="45"/>
  <c r="I676" i="45"/>
  <c r="I675" i="45"/>
  <c r="I674" i="45"/>
  <c r="I673" i="45"/>
  <c r="I672" i="45"/>
  <c r="I671" i="45"/>
  <c r="I670" i="45"/>
  <c r="I669" i="45"/>
  <c r="I668" i="45"/>
  <c r="I667" i="45"/>
  <c r="I666" i="45"/>
  <c r="I665" i="45"/>
  <c r="I664" i="45"/>
  <c r="I663" i="45"/>
  <c r="I662" i="45"/>
  <c r="I661" i="45"/>
  <c r="I660" i="45"/>
  <c r="I659" i="45"/>
  <c r="I658" i="45"/>
  <c r="I657" i="45"/>
  <c r="I656" i="45"/>
  <c r="I655" i="45"/>
  <c r="I654" i="45"/>
  <c r="I653" i="45"/>
  <c r="I652" i="45"/>
  <c r="I651" i="45"/>
  <c r="I650" i="45"/>
  <c r="I649" i="45"/>
  <c r="I648" i="45"/>
  <c r="I647" i="45"/>
  <c r="I646" i="45"/>
  <c r="I645" i="45"/>
  <c r="I644" i="45"/>
  <c r="I643" i="45"/>
  <c r="I642" i="45"/>
  <c r="I641" i="45"/>
  <c r="I640" i="45"/>
  <c r="I639" i="45"/>
  <c r="I638" i="45"/>
  <c r="I637" i="45"/>
  <c r="I636" i="45"/>
  <c r="I635" i="45"/>
  <c r="I634" i="45"/>
  <c r="I633" i="45"/>
  <c r="I632" i="45"/>
  <c r="I631" i="45"/>
  <c r="I630" i="45"/>
  <c r="I629" i="45"/>
  <c r="I628" i="45"/>
  <c r="I627" i="45"/>
  <c r="I626" i="45"/>
  <c r="I625" i="45"/>
  <c r="I624" i="45"/>
  <c r="I623" i="45"/>
  <c r="I622" i="45"/>
  <c r="I621" i="45"/>
  <c r="I620" i="45"/>
  <c r="I619" i="45"/>
  <c r="I618" i="45"/>
  <c r="I617" i="45"/>
  <c r="I616" i="45"/>
  <c r="I615" i="45"/>
  <c r="I614" i="45"/>
  <c r="I613" i="45"/>
  <c r="I612" i="45"/>
  <c r="I611" i="45"/>
  <c r="I610" i="45"/>
  <c r="I609" i="45"/>
  <c r="I608" i="45"/>
  <c r="I607" i="45"/>
  <c r="I606" i="45"/>
  <c r="I605" i="45"/>
  <c r="I604" i="45"/>
  <c r="I603" i="45"/>
  <c r="I602" i="45"/>
  <c r="I601" i="45"/>
  <c r="I600" i="45"/>
  <c r="I599" i="45"/>
  <c r="I598" i="45"/>
  <c r="I597" i="45"/>
  <c r="I596" i="45"/>
  <c r="I595" i="45"/>
  <c r="I594" i="45"/>
  <c r="I593" i="45"/>
  <c r="I592" i="45"/>
  <c r="I591" i="45"/>
  <c r="I590" i="45"/>
  <c r="I589" i="45"/>
  <c r="I588" i="45"/>
  <c r="I587" i="45"/>
  <c r="I586" i="45"/>
  <c r="I585" i="45"/>
  <c r="I584" i="45"/>
  <c r="I583" i="45"/>
  <c r="I582" i="45"/>
  <c r="I581" i="45"/>
  <c r="I580" i="45"/>
  <c r="I579" i="45"/>
  <c r="I578" i="45"/>
  <c r="I577" i="45"/>
  <c r="I576" i="45"/>
  <c r="I575" i="45"/>
  <c r="I574" i="45"/>
  <c r="I573" i="45"/>
  <c r="I572" i="45"/>
  <c r="I571" i="45"/>
  <c r="I570" i="45"/>
  <c r="I569" i="45"/>
  <c r="I568" i="45"/>
  <c r="I567" i="45"/>
  <c r="I566" i="45"/>
  <c r="I565" i="45"/>
  <c r="I564" i="45"/>
  <c r="I563" i="45"/>
  <c r="I562" i="45"/>
  <c r="I561" i="45"/>
  <c r="I560" i="45"/>
  <c r="I559" i="45"/>
  <c r="I558" i="45"/>
  <c r="I557" i="45"/>
  <c r="I556" i="45"/>
  <c r="I555" i="45"/>
  <c r="I554" i="45"/>
  <c r="I553" i="45"/>
  <c r="I552" i="45"/>
  <c r="I551" i="45"/>
  <c r="I550" i="45"/>
  <c r="I549" i="45"/>
  <c r="I548" i="45"/>
  <c r="I547" i="45"/>
  <c r="I546" i="45"/>
  <c r="I545" i="45"/>
  <c r="I544" i="45"/>
  <c r="I543" i="45"/>
  <c r="I542" i="45"/>
  <c r="I541" i="45"/>
  <c r="I540" i="45"/>
  <c r="I539" i="45"/>
  <c r="I538" i="45"/>
  <c r="I537" i="45"/>
  <c r="I536" i="45"/>
  <c r="I535" i="45"/>
  <c r="I534" i="45"/>
  <c r="I533" i="45"/>
  <c r="I532" i="45"/>
  <c r="I531" i="45"/>
  <c r="I530" i="45"/>
  <c r="I529" i="45"/>
  <c r="I528" i="45"/>
  <c r="I527" i="45"/>
  <c r="I526" i="45"/>
  <c r="I525" i="45"/>
  <c r="I524" i="45"/>
  <c r="I523" i="45"/>
  <c r="I522" i="45"/>
  <c r="I521" i="45"/>
  <c r="I520" i="45"/>
  <c r="I519" i="45"/>
  <c r="I518" i="45"/>
  <c r="I517" i="45"/>
  <c r="I516" i="45"/>
  <c r="I515" i="45"/>
  <c r="I514" i="45"/>
  <c r="I513" i="45"/>
  <c r="I512" i="45"/>
  <c r="I511" i="45"/>
  <c r="I510" i="45"/>
  <c r="I509" i="45"/>
  <c r="I508" i="45"/>
  <c r="I507" i="45"/>
  <c r="I506" i="45"/>
  <c r="I505" i="45"/>
  <c r="I504" i="45"/>
  <c r="I503" i="45"/>
  <c r="I502" i="45"/>
  <c r="I501" i="45"/>
  <c r="I500" i="45"/>
  <c r="I499" i="45"/>
  <c r="I498" i="45"/>
  <c r="I497" i="45"/>
  <c r="I496" i="45"/>
  <c r="I495" i="45"/>
  <c r="I494" i="45"/>
  <c r="I493" i="45"/>
  <c r="I492" i="45"/>
  <c r="I491" i="45"/>
  <c r="I490" i="45"/>
  <c r="I489" i="45"/>
  <c r="I488" i="45"/>
  <c r="I487" i="45"/>
  <c r="I486" i="45"/>
  <c r="I485" i="45"/>
  <c r="I484" i="45"/>
  <c r="I483" i="45"/>
  <c r="I482" i="45"/>
  <c r="I481" i="45"/>
  <c r="I480" i="45"/>
  <c r="I479" i="45"/>
  <c r="I478" i="45"/>
  <c r="I477" i="45"/>
  <c r="I476" i="45"/>
  <c r="I475" i="45"/>
  <c r="I474" i="45"/>
  <c r="I473" i="45"/>
  <c r="I472" i="45"/>
  <c r="I471" i="45"/>
  <c r="I470" i="45"/>
  <c r="I469" i="45"/>
  <c r="I468" i="45"/>
  <c r="I467" i="45"/>
  <c r="I466" i="45"/>
  <c r="I465" i="45"/>
  <c r="I464" i="45"/>
  <c r="I463" i="45"/>
  <c r="I462" i="45"/>
  <c r="I461" i="45"/>
  <c r="I460" i="45"/>
  <c r="I459" i="45"/>
  <c r="I458" i="45"/>
  <c r="I457" i="45"/>
  <c r="I456" i="45"/>
  <c r="I455" i="45"/>
  <c r="I454" i="45"/>
  <c r="I453" i="45"/>
  <c r="I452" i="45"/>
  <c r="I451" i="45"/>
  <c r="I450" i="45"/>
  <c r="I449" i="45"/>
  <c r="I448" i="45"/>
  <c r="I447" i="45"/>
  <c r="I446" i="45"/>
  <c r="I445" i="45"/>
  <c r="I444" i="45"/>
  <c r="I443" i="45"/>
  <c r="I442" i="45"/>
  <c r="I441" i="45"/>
  <c r="I440" i="45"/>
  <c r="I439" i="45"/>
  <c r="I438" i="45"/>
  <c r="I437" i="45"/>
  <c r="I436" i="45"/>
  <c r="I435" i="45"/>
  <c r="I434" i="45"/>
  <c r="I433" i="45"/>
  <c r="I432" i="45"/>
  <c r="I431" i="45"/>
  <c r="I430" i="45"/>
  <c r="I429" i="45"/>
  <c r="I428" i="45"/>
  <c r="I427" i="45"/>
  <c r="I426" i="45"/>
  <c r="I425" i="45"/>
  <c r="I424" i="45"/>
  <c r="I423" i="45"/>
  <c r="I422" i="45"/>
  <c r="I421" i="45"/>
  <c r="I420" i="45"/>
  <c r="I419" i="45"/>
  <c r="I418" i="45"/>
  <c r="I417" i="45"/>
  <c r="I416" i="45"/>
  <c r="I415" i="45"/>
  <c r="I414" i="45"/>
  <c r="I413" i="45"/>
  <c r="I412" i="45"/>
  <c r="I411" i="45"/>
  <c r="I410" i="45"/>
  <c r="I409" i="45"/>
  <c r="I408" i="45"/>
  <c r="I407" i="45"/>
  <c r="I406" i="45"/>
  <c r="I405" i="45"/>
  <c r="I404" i="45"/>
  <c r="I403" i="45"/>
  <c r="I402" i="45"/>
  <c r="I401" i="45"/>
  <c r="I400" i="45"/>
  <c r="I399" i="45"/>
  <c r="I398" i="45"/>
  <c r="I397" i="45"/>
  <c r="I396" i="45"/>
  <c r="I395" i="45"/>
  <c r="I394" i="45"/>
  <c r="I393" i="45"/>
  <c r="I392" i="45"/>
  <c r="I391" i="45"/>
  <c r="I390" i="45"/>
  <c r="I389" i="45"/>
  <c r="I388" i="45"/>
  <c r="I387" i="45"/>
  <c r="I386" i="45"/>
  <c r="I385" i="45"/>
  <c r="I384" i="45"/>
  <c r="I383" i="45"/>
  <c r="I382" i="45"/>
  <c r="I381" i="45"/>
  <c r="I380" i="45"/>
  <c r="I379" i="45"/>
  <c r="I378" i="45"/>
  <c r="I377" i="45"/>
  <c r="I376" i="45"/>
  <c r="I375" i="45"/>
  <c r="I374" i="45"/>
  <c r="I373" i="45"/>
  <c r="I372" i="45"/>
  <c r="I371" i="45"/>
  <c r="I370" i="45"/>
  <c r="I369" i="45"/>
  <c r="I368" i="45"/>
  <c r="I367" i="45"/>
  <c r="I366" i="45"/>
  <c r="I365" i="45"/>
  <c r="I364" i="45"/>
  <c r="I363" i="45"/>
  <c r="I362" i="45"/>
  <c r="I361" i="45"/>
  <c r="I360" i="45"/>
  <c r="I359" i="45"/>
  <c r="I358" i="45"/>
  <c r="I357" i="45"/>
  <c r="I356" i="45"/>
  <c r="I355" i="45"/>
  <c r="I354" i="45"/>
  <c r="I353" i="45"/>
  <c r="I352" i="45"/>
  <c r="I351" i="45"/>
  <c r="I350" i="45"/>
  <c r="I349" i="45"/>
  <c r="I348" i="45"/>
  <c r="I347" i="45"/>
  <c r="I346" i="45"/>
  <c r="I345" i="45"/>
  <c r="I344" i="45"/>
  <c r="I343" i="45"/>
  <c r="I342" i="45"/>
  <c r="I341" i="45"/>
  <c r="I340" i="45"/>
  <c r="I339" i="45"/>
  <c r="I338" i="45"/>
  <c r="I337" i="45"/>
  <c r="I336" i="45"/>
  <c r="I335" i="45"/>
  <c r="I334" i="45"/>
  <c r="I333" i="45"/>
  <c r="I332" i="45"/>
  <c r="I331" i="45"/>
  <c r="I330" i="45"/>
  <c r="I329" i="45"/>
  <c r="I328" i="45"/>
  <c r="I327" i="45"/>
  <c r="I326" i="45"/>
  <c r="I325" i="45"/>
  <c r="I324" i="45"/>
  <c r="I323" i="45"/>
  <c r="I322" i="45"/>
  <c r="I321" i="45"/>
  <c r="I320" i="45"/>
  <c r="I319" i="45"/>
  <c r="I318" i="45"/>
  <c r="I317" i="45"/>
  <c r="I316" i="45"/>
  <c r="I315" i="45"/>
  <c r="I314" i="45"/>
  <c r="I313" i="45"/>
  <c r="I312" i="45"/>
  <c r="I311" i="45"/>
  <c r="I310" i="45"/>
  <c r="I309" i="45"/>
  <c r="I308" i="45"/>
  <c r="I307" i="45"/>
  <c r="I306" i="45"/>
  <c r="I305" i="45"/>
  <c r="I304" i="45"/>
  <c r="I303" i="45"/>
  <c r="I302" i="45"/>
  <c r="I301" i="45"/>
  <c r="I300" i="45"/>
  <c r="I299" i="45"/>
  <c r="I298" i="45"/>
  <c r="I297" i="45"/>
  <c r="I296" i="45"/>
  <c r="I295" i="45"/>
  <c r="I294" i="45"/>
  <c r="I293" i="45"/>
  <c r="I292" i="45"/>
  <c r="I291" i="45"/>
  <c r="I290" i="45"/>
  <c r="I289" i="45"/>
  <c r="I288" i="45"/>
  <c r="I287" i="45"/>
  <c r="I286" i="45"/>
  <c r="I285" i="45"/>
  <c r="I284" i="45"/>
  <c r="I283" i="45"/>
  <c r="I282" i="45"/>
  <c r="I281" i="45"/>
  <c r="I280" i="45"/>
  <c r="I279" i="45"/>
  <c r="I278" i="45"/>
  <c r="I277" i="45"/>
  <c r="I276" i="45"/>
  <c r="I275" i="45"/>
  <c r="I274" i="45"/>
  <c r="I273" i="45"/>
  <c r="I272" i="45"/>
  <c r="I271" i="45"/>
  <c r="I270" i="45"/>
  <c r="I269" i="45"/>
  <c r="I268" i="45"/>
  <c r="I267" i="45"/>
  <c r="I266" i="45"/>
  <c r="I265" i="45"/>
  <c r="I264" i="45"/>
  <c r="I263" i="45"/>
  <c r="I262" i="45"/>
  <c r="I261" i="45"/>
  <c r="I260" i="45"/>
  <c r="I259" i="45"/>
  <c r="I258" i="45"/>
  <c r="I257" i="45"/>
  <c r="I256" i="45"/>
  <c r="I255" i="45"/>
  <c r="I254" i="45"/>
  <c r="I253" i="45"/>
  <c r="I252" i="45"/>
  <c r="I251" i="45"/>
  <c r="I250" i="45"/>
  <c r="I249" i="45"/>
  <c r="I248" i="45"/>
  <c r="I247" i="45"/>
  <c r="I246" i="45"/>
  <c r="I245" i="45"/>
  <c r="I244" i="45"/>
  <c r="I243" i="45"/>
  <c r="I242" i="45"/>
  <c r="I241" i="45"/>
  <c r="I240" i="45"/>
  <c r="I239" i="45"/>
  <c r="I238" i="45"/>
  <c r="I237" i="45"/>
  <c r="I236" i="45"/>
  <c r="I235" i="45"/>
  <c r="I234" i="45"/>
  <c r="I233" i="45"/>
  <c r="I232" i="45"/>
  <c r="I231" i="45"/>
  <c r="I230" i="45"/>
  <c r="I229" i="45"/>
  <c r="I228" i="45"/>
  <c r="I227" i="45"/>
  <c r="I226" i="45"/>
  <c r="I225" i="45"/>
  <c r="I224" i="45"/>
  <c r="I223" i="45"/>
  <c r="I222" i="45"/>
  <c r="I221" i="45"/>
  <c r="I220" i="45"/>
  <c r="I219" i="45"/>
  <c r="I218" i="45"/>
  <c r="I217" i="45"/>
  <c r="I216" i="45"/>
  <c r="I215" i="45"/>
  <c r="I214" i="45"/>
  <c r="I213" i="45"/>
  <c r="I212" i="45"/>
  <c r="I211" i="45"/>
  <c r="I210" i="45"/>
  <c r="I209" i="45"/>
  <c r="I208" i="45"/>
  <c r="I207" i="45"/>
  <c r="I206" i="45"/>
  <c r="I205" i="45"/>
  <c r="I204" i="45"/>
  <c r="I203" i="45"/>
  <c r="I202" i="45"/>
  <c r="I201" i="45"/>
  <c r="I200" i="45"/>
  <c r="I199" i="45"/>
  <c r="I198" i="45"/>
  <c r="I197" i="45"/>
  <c r="I196" i="45"/>
  <c r="I195" i="45"/>
  <c r="I194" i="45"/>
  <c r="I193" i="45"/>
  <c r="I192" i="45"/>
  <c r="I191" i="45"/>
  <c r="I190" i="45"/>
  <c r="I189" i="45"/>
  <c r="I188" i="45"/>
  <c r="I187" i="45"/>
  <c r="I186" i="45"/>
  <c r="I185" i="45"/>
  <c r="I184" i="45"/>
  <c r="I183" i="45"/>
  <c r="I182" i="45"/>
  <c r="I181" i="45"/>
  <c r="I180" i="45"/>
  <c r="I179" i="45"/>
  <c r="I178" i="45"/>
  <c r="I177" i="45"/>
  <c r="I176" i="45"/>
  <c r="I175" i="45"/>
  <c r="I174" i="45"/>
  <c r="I173" i="45"/>
  <c r="I172" i="45"/>
  <c r="I171" i="45"/>
  <c r="I170" i="45"/>
  <c r="I169" i="45"/>
  <c r="I168" i="45"/>
  <c r="I167" i="45"/>
  <c r="I166" i="45"/>
  <c r="I165" i="45"/>
  <c r="I164" i="45"/>
  <c r="I163" i="45"/>
  <c r="I162" i="45"/>
  <c r="I161" i="45"/>
  <c r="I160" i="45"/>
  <c r="I159" i="45"/>
  <c r="I158" i="45"/>
  <c r="I157" i="45"/>
  <c r="I156" i="45"/>
  <c r="I155" i="45"/>
  <c r="I154" i="45"/>
  <c r="I153" i="45"/>
  <c r="I152" i="45"/>
  <c r="I151" i="45"/>
  <c r="I150" i="45"/>
  <c r="I149" i="45"/>
  <c r="I148" i="45"/>
  <c r="I147" i="45"/>
  <c r="I146" i="45"/>
  <c r="I145" i="45"/>
  <c r="I144" i="45"/>
  <c r="I143" i="45"/>
  <c r="I142" i="45"/>
  <c r="I141" i="45"/>
  <c r="I140" i="45"/>
  <c r="I139" i="45"/>
  <c r="I138" i="45"/>
  <c r="I137" i="45"/>
  <c r="I136" i="45"/>
  <c r="I135" i="45"/>
  <c r="I134" i="45"/>
  <c r="I133" i="45"/>
  <c r="I132" i="45"/>
  <c r="I131" i="45"/>
  <c r="I130" i="45"/>
  <c r="I129" i="45"/>
  <c r="I128" i="45"/>
  <c r="I127" i="45"/>
  <c r="I126" i="45"/>
  <c r="I125" i="45"/>
  <c r="I124" i="45"/>
  <c r="I123" i="45"/>
  <c r="I122" i="45"/>
  <c r="I121" i="45"/>
  <c r="I120" i="45"/>
  <c r="I119" i="45"/>
  <c r="I118" i="45"/>
  <c r="I117" i="45"/>
  <c r="I116" i="45"/>
  <c r="I115" i="45"/>
  <c r="I114" i="45"/>
  <c r="I113" i="45"/>
  <c r="I112" i="45"/>
  <c r="I111" i="45"/>
  <c r="I110" i="45"/>
  <c r="I109" i="45"/>
  <c r="I108" i="45"/>
  <c r="I107" i="45"/>
  <c r="I106" i="45"/>
  <c r="I105" i="45"/>
  <c r="I104" i="45"/>
  <c r="I103" i="45"/>
  <c r="I102" i="45"/>
  <c r="I101" i="45"/>
  <c r="I100" i="45"/>
  <c r="I99" i="45"/>
  <c r="I98" i="45"/>
  <c r="I97" i="45"/>
  <c r="I96" i="45"/>
  <c r="I95" i="45"/>
  <c r="I94" i="45"/>
  <c r="I93" i="45"/>
  <c r="I92" i="45"/>
  <c r="I91" i="45"/>
  <c r="I90" i="45"/>
  <c r="I89" i="45"/>
  <c r="I88" i="45"/>
  <c r="I87" i="45"/>
  <c r="I86" i="45"/>
  <c r="I85" i="45"/>
  <c r="I84" i="45"/>
  <c r="I83" i="45"/>
  <c r="I82" i="45"/>
  <c r="I81" i="45"/>
  <c r="I80" i="45"/>
  <c r="I79" i="45"/>
  <c r="I78" i="45"/>
  <c r="I77" i="45"/>
  <c r="I76" i="45"/>
  <c r="I75" i="45"/>
  <c r="I74" i="45"/>
  <c r="I73" i="45"/>
  <c r="I72" i="45"/>
  <c r="I71" i="45"/>
  <c r="I70" i="45"/>
  <c r="I69" i="45"/>
  <c r="I68" i="45"/>
  <c r="I67" i="45"/>
  <c r="G67" i="45"/>
  <c r="I66" i="45"/>
  <c r="G66" i="45"/>
  <c r="I65" i="45"/>
  <c r="G65" i="45"/>
  <c r="I64" i="45"/>
  <c r="G64" i="45"/>
  <c r="I63" i="45"/>
  <c r="G63" i="45"/>
  <c r="I62" i="45"/>
  <c r="G62" i="45"/>
  <c r="I61" i="45"/>
  <c r="G61" i="45"/>
  <c r="I60" i="45"/>
  <c r="G60" i="45"/>
  <c r="I59" i="45"/>
  <c r="G59" i="45"/>
  <c r="I58" i="45"/>
  <c r="G58" i="45"/>
  <c r="I57" i="45"/>
  <c r="G57" i="45"/>
  <c r="I56" i="45"/>
  <c r="G56" i="45"/>
  <c r="I55" i="45"/>
  <c r="G55" i="45"/>
  <c r="I54" i="45"/>
  <c r="G54" i="45"/>
  <c r="I53" i="45"/>
  <c r="G53" i="45"/>
  <c r="I52" i="45"/>
  <c r="G52" i="45"/>
  <c r="I51" i="45"/>
  <c r="G51" i="45"/>
  <c r="I50" i="45"/>
  <c r="G50" i="45"/>
  <c r="I49" i="45"/>
  <c r="G49" i="45"/>
  <c r="I48" i="45"/>
  <c r="G48" i="45"/>
  <c r="I47" i="45"/>
  <c r="G47" i="45"/>
  <c r="I46" i="45"/>
  <c r="G46" i="45"/>
  <c r="I45" i="45"/>
  <c r="G45" i="45"/>
  <c r="I44" i="45"/>
  <c r="G44" i="45"/>
  <c r="I43" i="45"/>
  <c r="G43" i="45"/>
  <c r="I42" i="45"/>
  <c r="G42" i="45"/>
  <c r="AC23" i="45"/>
  <c r="Z23" i="45"/>
  <c r="AF22" i="45"/>
  <c r="AE22" i="45"/>
  <c r="AA21" i="45"/>
  <c r="AE20" i="45"/>
  <c r="AD20" i="45"/>
  <c r="AH19" i="45"/>
  <c r="AE19" i="45"/>
  <c r="AK18" i="45"/>
  <c r="AJ18" i="45"/>
  <c r="AL17" i="45"/>
  <c r="AE17" i="45"/>
  <c r="Z17" i="45"/>
  <c r="X17" i="45"/>
  <c r="I9" i="45"/>
  <c r="G9" i="45"/>
  <c r="C9" i="45"/>
  <c r="C8" i="45"/>
  <c r="I7" i="45"/>
  <c r="G7" i="45"/>
  <c r="I6" i="45"/>
  <c r="G6" i="45"/>
  <c r="C6" i="45"/>
  <c r="I3" i="45"/>
  <c r="I2" i="45"/>
  <c r="Z24" i="35"/>
  <c r="AL23" i="35"/>
  <c r="H15" i="14"/>
  <c r="G15" i="14"/>
  <c r="F15" i="14"/>
  <c r="H14" i="14"/>
  <c r="AH26" i="55" s="1"/>
  <c r="G14" i="14"/>
  <c r="AL27" i="53" s="1"/>
  <c r="F14" i="14"/>
  <c r="H13" i="14"/>
  <c r="G13" i="14"/>
  <c r="F13" i="14"/>
  <c r="H12" i="14"/>
  <c r="U21" i="56" s="1"/>
  <c r="G12" i="14"/>
  <c r="AE25" i="53" s="1"/>
  <c r="F12" i="14"/>
  <c r="AD21" i="50" s="1"/>
  <c r="H11" i="14"/>
  <c r="AG19" i="56" s="1"/>
  <c r="G11" i="14"/>
  <c r="AE23" i="53" s="1"/>
  <c r="F11" i="14"/>
  <c r="AB23" i="49" s="1"/>
  <c r="H10" i="14"/>
  <c r="G10" i="14"/>
  <c r="F10" i="14"/>
  <c r="H9" i="14"/>
  <c r="G9" i="14"/>
  <c r="F9" i="14"/>
  <c r="H8" i="14"/>
  <c r="AA21" i="55" s="1"/>
  <c r="G8" i="14"/>
  <c r="X21" i="53" s="1"/>
  <c r="F8" i="14"/>
  <c r="AC18" i="50" s="1"/>
  <c r="H7" i="14"/>
  <c r="G7" i="14"/>
  <c r="F7" i="14"/>
  <c r="H6" i="14"/>
  <c r="AE17" i="56" s="1"/>
  <c r="G6" i="14"/>
  <c r="AF17" i="54" s="1"/>
  <c r="F6" i="14"/>
  <c r="AF19" i="49" s="1"/>
  <c r="H5" i="14"/>
  <c r="AB16" i="56" s="1"/>
  <c r="G5" i="14"/>
  <c r="AE17" i="53" s="1"/>
  <c r="F5" i="14"/>
  <c r="Y16" i="49" s="1"/>
  <c r="C15" i="14"/>
  <c r="D15" i="14"/>
  <c r="E15" i="14"/>
  <c r="C6" i="14"/>
  <c r="U17" i="46" s="1"/>
  <c r="D6" i="14"/>
  <c r="X17" i="48" s="1"/>
  <c r="E6" i="14"/>
  <c r="AH17" i="36" s="1"/>
  <c r="C7" i="14"/>
  <c r="D7" i="14"/>
  <c r="E7" i="14"/>
  <c r="C8" i="14"/>
  <c r="D8" i="14"/>
  <c r="E8" i="14"/>
  <c r="C9" i="14"/>
  <c r="D9" i="14"/>
  <c r="E9" i="14"/>
  <c r="C10" i="14"/>
  <c r="D10" i="14"/>
  <c r="E10" i="14"/>
  <c r="C11" i="14"/>
  <c r="AD18" i="46" s="1"/>
  <c r="D11" i="14"/>
  <c r="X21" i="47" s="1"/>
  <c r="E11" i="14"/>
  <c r="C12" i="14"/>
  <c r="D12" i="14"/>
  <c r="E12" i="14"/>
  <c r="C13" i="14"/>
  <c r="D13" i="14"/>
  <c r="E13" i="14"/>
  <c r="C14" i="14"/>
  <c r="AJ23" i="45" s="1"/>
  <c r="D14" i="14"/>
  <c r="AK23" i="47" s="1"/>
  <c r="E14" i="14"/>
  <c r="AL22" i="35" s="1"/>
  <c r="D5" i="14"/>
  <c r="AK16" i="47" s="1"/>
  <c r="E5" i="14"/>
  <c r="AH16" i="36" s="1"/>
  <c r="C5" i="14"/>
  <c r="AC17" i="45" s="1"/>
  <c r="D36" i="13"/>
  <c r="E36" i="13"/>
  <c r="F36" i="13"/>
  <c r="G36" i="13"/>
  <c r="H36" i="13"/>
  <c r="I36" i="13"/>
  <c r="J36" i="13"/>
  <c r="K36" i="13"/>
  <c r="D37" i="13"/>
  <c r="E37" i="13"/>
  <c r="F37" i="13"/>
  <c r="G37" i="13"/>
  <c r="H37" i="13"/>
  <c r="I37" i="13"/>
  <c r="J37" i="13"/>
  <c r="K37" i="13"/>
  <c r="C37" i="13"/>
  <c r="C36" i="13"/>
  <c r="D16" i="13"/>
  <c r="C21" i="13" s="1"/>
  <c r="E16" i="13"/>
  <c r="F16" i="13"/>
  <c r="G16" i="13"/>
  <c r="H16" i="13"/>
  <c r="C24" i="13" s="1"/>
  <c r="I16" i="13"/>
  <c r="J16" i="13"/>
  <c r="K16" i="13"/>
  <c r="D17" i="13"/>
  <c r="E17" i="13"/>
  <c r="F17" i="13"/>
  <c r="G17" i="13"/>
  <c r="H17" i="13"/>
  <c r="I17" i="13"/>
  <c r="J17" i="13"/>
  <c r="K17" i="13"/>
  <c r="C17" i="13"/>
  <c r="C16" i="13"/>
  <c r="H34" i="14"/>
  <c r="L14" i="14" s="1"/>
  <c r="H33" i="14"/>
  <c r="L13" i="14" s="1"/>
  <c r="H32" i="14"/>
  <c r="N12" i="14" s="1"/>
  <c r="H31" i="14"/>
  <c r="H30" i="14"/>
  <c r="H29" i="14"/>
  <c r="H28" i="14"/>
  <c r="H27" i="14"/>
  <c r="M7" i="14" s="1"/>
  <c r="AH24" i="35" s="1"/>
  <c r="H26" i="14"/>
  <c r="M6" i="14" s="1"/>
  <c r="H25" i="14"/>
  <c r="K5" i="14" s="1"/>
  <c r="H44" i="14"/>
  <c r="H45" i="14"/>
  <c r="H46" i="14"/>
  <c r="H47" i="14"/>
  <c r="H48" i="14"/>
  <c r="H49" i="14"/>
  <c r="H50" i="14"/>
  <c r="H51" i="14"/>
  <c r="H52" i="14"/>
  <c r="H43" i="14"/>
  <c r="U6" i="9"/>
  <c r="V6" i="9"/>
  <c r="W6" i="9"/>
  <c r="U8" i="9"/>
  <c r="V8" i="9"/>
  <c r="W8" i="9"/>
  <c r="U9" i="9"/>
  <c r="V9" i="9"/>
  <c r="W9" i="9"/>
  <c r="U13" i="9"/>
  <c r="V13" i="9"/>
  <c r="W13" i="9"/>
  <c r="U14" i="9"/>
  <c r="V14" i="9"/>
  <c r="W14" i="9"/>
  <c r="U15" i="9"/>
  <c r="V15" i="9"/>
  <c r="W15" i="9"/>
  <c r="U16" i="9"/>
  <c r="V16" i="9"/>
  <c r="W16" i="9"/>
  <c r="U22" i="9"/>
  <c r="V22" i="9"/>
  <c r="W22" i="9"/>
  <c r="U23" i="9"/>
  <c r="V23" i="9"/>
  <c r="W23" i="9"/>
  <c r="U26" i="9"/>
  <c r="V26" i="9"/>
  <c r="W26" i="9"/>
  <c r="U29" i="9"/>
  <c r="V29" i="9"/>
  <c r="W29" i="9"/>
  <c r="U32" i="9"/>
  <c r="V32" i="9"/>
  <c r="W32" i="9"/>
  <c r="U34" i="9"/>
  <c r="V34" i="9"/>
  <c r="W34" i="9"/>
  <c r="U40" i="9"/>
  <c r="V40" i="9"/>
  <c r="W40" i="9"/>
  <c r="U41" i="9"/>
  <c r="V41" i="9"/>
  <c r="W41" i="9"/>
  <c r="U44" i="9"/>
  <c r="V44" i="9"/>
  <c r="W44" i="9"/>
  <c r="U52" i="9"/>
  <c r="V52" i="9"/>
  <c r="W52" i="9"/>
  <c r="U54" i="9"/>
  <c r="V54" i="9"/>
  <c r="W54" i="9"/>
  <c r="U55" i="9"/>
  <c r="V55" i="9"/>
  <c r="W55" i="9"/>
  <c r="U56" i="9"/>
  <c r="V56" i="9"/>
  <c r="W56" i="9"/>
  <c r="U58" i="9"/>
  <c r="V58" i="9"/>
  <c r="W58" i="9"/>
  <c r="U67" i="9"/>
  <c r="V67" i="9"/>
  <c r="W67" i="9"/>
  <c r="U70" i="9"/>
  <c r="V70" i="9"/>
  <c r="W70" i="9"/>
  <c r="U72" i="9"/>
  <c r="V72" i="9"/>
  <c r="W72" i="9"/>
  <c r="U73" i="9"/>
  <c r="V73" i="9"/>
  <c r="W73" i="9"/>
  <c r="U74" i="9"/>
  <c r="V74" i="9"/>
  <c r="W74" i="9"/>
  <c r="U77" i="9"/>
  <c r="V77" i="9"/>
  <c r="W77" i="9"/>
  <c r="U78" i="9"/>
  <c r="V78" i="9"/>
  <c r="W78" i="9"/>
  <c r="U80" i="9"/>
  <c r="V80" i="9"/>
  <c r="W80" i="9"/>
  <c r="U81" i="9"/>
  <c r="V81" i="9"/>
  <c r="W81" i="9"/>
  <c r="U82" i="9"/>
  <c r="V82" i="9"/>
  <c r="W82" i="9"/>
  <c r="U84" i="9"/>
  <c r="V84" i="9"/>
  <c r="W84" i="9"/>
  <c r="U91" i="9"/>
  <c r="V91" i="9"/>
  <c r="W91" i="9"/>
  <c r="U92" i="9"/>
  <c r="V92" i="9"/>
  <c r="W92" i="9"/>
  <c r="U93" i="9"/>
  <c r="V93" i="9"/>
  <c r="W93" i="9"/>
  <c r="U98" i="9"/>
  <c r="V98" i="9"/>
  <c r="W98" i="9"/>
  <c r="U99" i="9"/>
  <c r="V99" i="9"/>
  <c r="W99" i="9"/>
  <c r="U100" i="9"/>
  <c r="V100" i="9"/>
  <c r="W100" i="9"/>
  <c r="U101" i="9"/>
  <c r="V101" i="9"/>
  <c r="W101" i="9"/>
  <c r="U103" i="9"/>
  <c r="V103" i="9"/>
  <c r="W103" i="9"/>
  <c r="U105" i="9"/>
  <c r="V105" i="9"/>
  <c r="W105" i="9"/>
  <c r="U109" i="9"/>
  <c r="V109" i="9"/>
  <c r="W109" i="9"/>
  <c r="U110" i="9"/>
  <c r="V110" i="9"/>
  <c r="W110" i="9"/>
  <c r="U112" i="9"/>
  <c r="V112" i="9"/>
  <c r="W112" i="9"/>
  <c r="U114" i="9"/>
  <c r="V114" i="9"/>
  <c r="W114" i="9"/>
  <c r="U119" i="9"/>
  <c r="V119" i="9"/>
  <c r="W119" i="9"/>
  <c r="U120" i="9"/>
  <c r="V120" i="9"/>
  <c r="W120" i="9"/>
  <c r="U121" i="9"/>
  <c r="V121" i="9"/>
  <c r="W121" i="9"/>
  <c r="U122" i="9"/>
  <c r="V122" i="9"/>
  <c r="W122" i="9"/>
  <c r="U128" i="9"/>
  <c r="V128" i="9"/>
  <c r="W128" i="9"/>
  <c r="U132" i="9"/>
  <c r="V132" i="9"/>
  <c r="W132" i="9"/>
  <c r="U133" i="9"/>
  <c r="V133" i="9"/>
  <c r="W133" i="9"/>
  <c r="U134" i="9"/>
  <c r="V134" i="9"/>
  <c r="W134" i="9"/>
  <c r="U135" i="9"/>
  <c r="V135" i="9"/>
  <c r="W135" i="9"/>
  <c r="U137" i="9"/>
  <c r="V137" i="9"/>
  <c r="W137" i="9"/>
  <c r="U142" i="9"/>
  <c r="V142" i="9"/>
  <c r="W142" i="9"/>
  <c r="U144" i="9"/>
  <c r="V144" i="9"/>
  <c r="W144" i="9"/>
  <c r="U145" i="9"/>
  <c r="V145" i="9"/>
  <c r="W145" i="9"/>
  <c r="U146" i="9"/>
  <c r="V146" i="9"/>
  <c r="W146" i="9"/>
  <c r="U150" i="9"/>
  <c r="V150" i="9"/>
  <c r="W150" i="9"/>
  <c r="U151" i="9"/>
  <c r="V151" i="9"/>
  <c r="W151" i="9"/>
  <c r="U152" i="9"/>
  <c r="V152" i="9"/>
  <c r="W152" i="9"/>
  <c r="U155" i="9"/>
  <c r="V155" i="9"/>
  <c r="W155" i="9"/>
  <c r="U161" i="9"/>
  <c r="V161" i="9"/>
  <c r="W161" i="9"/>
  <c r="U162" i="9"/>
  <c r="V162" i="9"/>
  <c r="W162" i="9"/>
  <c r="U163" i="9"/>
  <c r="V163" i="9"/>
  <c r="W163" i="9"/>
  <c r="U165" i="9"/>
  <c r="V165" i="9"/>
  <c r="W165" i="9"/>
  <c r="U166" i="9"/>
  <c r="V166" i="9"/>
  <c r="W166" i="9"/>
  <c r="U169" i="9"/>
  <c r="V169" i="9"/>
  <c r="W169" i="9"/>
  <c r="U172" i="9"/>
  <c r="V172" i="9"/>
  <c r="W172" i="9"/>
  <c r="U176" i="9"/>
  <c r="V176" i="9"/>
  <c r="W176" i="9"/>
  <c r="U177" i="9"/>
  <c r="V177" i="9"/>
  <c r="W177" i="9"/>
  <c r="U178" i="9"/>
  <c r="V178" i="9"/>
  <c r="W178" i="9"/>
  <c r="U183" i="9"/>
  <c r="V183" i="9"/>
  <c r="W183" i="9"/>
  <c r="U185" i="9"/>
  <c r="V185" i="9"/>
  <c r="W185" i="9"/>
  <c r="U186" i="9"/>
  <c r="V186" i="9"/>
  <c r="W186" i="9"/>
  <c r="U187" i="9"/>
  <c r="V187" i="9"/>
  <c r="W187" i="9"/>
  <c r="U188" i="9"/>
  <c r="V188" i="9"/>
  <c r="W188" i="9"/>
  <c r="U191" i="9"/>
  <c r="V191" i="9"/>
  <c r="W191" i="9"/>
  <c r="U192" i="9"/>
  <c r="V192" i="9"/>
  <c r="W192" i="9"/>
  <c r="U194" i="9"/>
  <c r="V194" i="9"/>
  <c r="W194" i="9"/>
  <c r="U204" i="9"/>
  <c r="V204" i="9"/>
  <c r="W204" i="9"/>
  <c r="U205" i="9"/>
  <c r="V205" i="9"/>
  <c r="W205" i="9"/>
  <c r="U206" i="9"/>
  <c r="V206" i="9"/>
  <c r="W206" i="9"/>
  <c r="U208" i="9"/>
  <c r="V208" i="9"/>
  <c r="W208" i="9"/>
  <c r="U210" i="9"/>
  <c r="V210" i="9"/>
  <c r="W210" i="9"/>
  <c r="U211" i="9"/>
  <c r="V211" i="9"/>
  <c r="W211" i="9"/>
  <c r="U213" i="9"/>
  <c r="V213" i="9"/>
  <c r="W213" i="9"/>
  <c r="U217" i="9"/>
  <c r="V217" i="9"/>
  <c r="W217" i="9"/>
  <c r="M6" i="9"/>
  <c r="M7" i="9"/>
  <c r="M8" i="9"/>
  <c r="M9" i="9"/>
  <c r="M10" i="9"/>
  <c r="M11" i="9"/>
  <c r="M12" i="9"/>
  <c r="M13" i="9"/>
  <c r="M14" i="9"/>
  <c r="M15" i="9"/>
  <c r="M16" i="9"/>
  <c r="M17" i="9"/>
  <c r="M18" i="9"/>
  <c r="M19" i="9"/>
  <c r="M22" i="9"/>
  <c r="M23" i="9"/>
  <c r="M24" i="9"/>
  <c r="M26" i="9"/>
  <c r="M28" i="9"/>
  <c r="M29" i="9"/>
  <c r="M30" i="9"/>
  <c r="M31" i="9"/>
  <c r="M32" i="9"/>
  <c r="M33" i="9"/>
  <c r="M34" i="9"/>
  <c r="M36" i="9"/>
  <c r="M39" i="9"/>
  <c r="M40" i="9"/>
  <c r="M41" i="9"/>
  <c r="M42" i="9"/>
  <c r="M44" i="9"/>
  <c r="M45" i="9"/>
  <c r="M46" i="9"/>
  <c r="M49" i="9"/>
  <c r="M50" i="9"/>
  <c r="M52" i="9"/>
  <c r="M53" i="9"/>
  <c r="M54" i="9"/>
  <c r="M55" i="9"/>
  <c r="M56" i="9"/>
  <c r="M58" i="9"/>
  <c r="M59" i="9"/>
  <c r="M62" i="9"/>
  <c r="M63" i="9"/>
  <c r="M64" i="9"/>
  <c r="M65" i="9"/>
  <c r="M66" i="9"/>
  <c r="M67" i="9"/>
  <c r="M70" i="9"/>
  <c r="M72" i="9"/>
  <c r="M73" i="9"/>
  <c r="M74" i="9"/>
  <c r="M76" i="9"/>
  <c r="M77" i="9"/>
  <c r="M78" i="9"/>
  <c r="M80" i="9"/>
  <c r="M81" i="9"/>
  <c r="M82" i="9"/>
  <c r="M84" i="9"/>
  <c r="M87" i="9"/>
  <c r="M91" i="9"/>
  <c r="M92" i="9"/>
  <c r="M93" i="9"/>
  <c r="M94" i="9"/>
  <c r="M95" i="9"/>
  <c r="M96" i="9"/>
  <c r="M97" i="9"/>
  <c r="M98" i="9"/>
  <c r="M99" i="9"/>
  <c r="M100" i="9"/>
  <c r="M101" i="9"/>
  <c r="M102" i="9"/>
  <c r="M103" i="9"/>
  <c r="M105" i="9"/>
  <c r="M108" i="9"/>
  <c r="M109" i="9"/>
  <c r="M110" i="9"/>
  <c r="M111" i="9"/>
  <c r="M113" i="9"/>
  <c r="M114" i="9"/>
  <c r="M116" i="9"/>
  <c r="M118" i="9"/>
  <c r="M119" i="9"/>
  <c r="M120" i="9"/>
  <c r="M121" i="9"/>
  <c r="M122" i="9"/>
  <c r="M125" i="9"/>
  <c r="M127" i="9"/>
  <c r="M128" i="9"/>
  <c r="M130" i="9"/>
  <c r="M131" i="9"/>
  <c r="M132" i="9"/>
  <c r="M133" i="9"/>
  <c r="M134" i="9"/>
  <c r="M135" i="9"/>
  <c r="M137" i="9"/>
  <c r="M140" i="9"/>
  <c r="M142" i="9"/>
  <c r="M144" i="9"/>
  <c r="M145" i="9"/>
  <c r="M146" i="9"/>
  <c r="M149" i="9"/>
  <c r="M150" i="9"/>
  <c r="M151" i="9"/>
  <c r="M152" i="9"/>
  <c r="M153" i="9"/>
  <c r="M156" i="9"/>
  <c r="M159" i="9"/>
  <c r="M161" i="9"/>
  <c r="M162" i="9"/>
  <c r="M163" i="9"/>
  <c r="M164" i="9"/>
  <c r="M165" i="9"/>
  <c r="M166" i="9"/>
  <c r="M169" i="9"/>
  <c r="M170" i="9"/>
  <c r="M172" i="9"/>
  <c r="M173" i="9"/>
  <c r="M175" i="9"/>
  <c r="M176" i="9"/>
  <c r="M177" i="9"/>
  <c r="M178" i="9"/>
  <c r="M180" i="9"/>
  <c r="M181" i="9"/>
  <c r="M183" i="9"/>
  <c r="M185" i="9"/>
  <c r="M186" i="9"/>
  <c r="M187" i="9"/>
  <c r="M188" i="9"/>
  <c r="M191" i="9"/>
  <c r="M192" i="9"/>
  <c r="M193" i="9"/>
  <c r="M194" i="9"/>
  <c r="M195" i="9"/>
  <c r="M196" i="9"/>
  <c r="M197" i="9"/>
  <c r="M203" i="9"/>
  <c r="M204" i="9"/>
  <c r="M206" i="9"/>
  <c r="M208" i="9"/>
  <c r="M209" i="9"/>
  <c r="M210" i="9"/>
  <c r="M211" i="9"/>
  <c r="M212" i="9"/>
  <c r="M213" i="9"/>
  <c r="M215" i="9"/>
  <c r="M217" i="9"/>
  <c r="M218" i="9"/>
  <c r="M219" i="9"/>
  <c r="M220" i="9"/>
  <c r="M221" i="9"/>
  <c r="J6" i="9"/>
  <c r="K6" i="9"/>
  <c r="L6" i="9"/>
  <c r="J7" i="9"/>
  <c r="K7" i="9"/>
  <c r="L7" i="9"/>
  <c r="J8" i="9"/>
  <c r="K8" i="9"/>
  <c r="L8" i="9"/>
  <c r="J9" i="9"/>
  <c r="K9" i="9"/>
  <c r="L9" i="9"/>
  <c r="J10" i="9"/>
  <c r="K10" i="9"/>
  <c r="L10" i="9"/>
  <c r="J11" i="9"/>
  <c r="K11" i="9"/>
  <c r="L11" i="9"/>
  <c r="J12" i="9"/>
  <c r="K12" i="9"/>
  <c r="L12" i="9"/>
  <c r="J13" i="9"/>
  <c r="K13" i="9"/>
  <c r="L13" i="9"/>
  <c r="J14" i="9"/>
  <c r="K14" i="9"/>
  <c r="L14" i="9"/>
  <c r="J15" i="9"/>
  <c r="K15" i="9"/>
  <c r="L15" i="9"/>
  <c r="J16" i="9"/>
  <c r="K16" i="9"/>
  <c r="L16" i="9"/>
  <c r="J17" i="9"/>
  <c r="K17" i="9"/>
  <c r="L17" i="9"/>
  <c r="J18" i="9"/>
  <c r="K18" i="9"/>
  <c r="L18" i="9"/>
  <c r="J19" i="9"/>
  <c r="K19" i="9"/>
  <c r="L19" i="9"/>
  <c r="J22" i="9"/>
  <c r="K22" i="9"/>
  <c r="L22" i="9"/>
  <c r="J23" i="9"/>
  <c r="K23" i="9"/>
  <c r="L23" i="9"/>
  <c r="J24" i="9"/>
  <c r="K24" i="9"/>
  <c r="L24" i="9"/>
  <c r="J26" i="9"/>
  <c r="K26" i="9"/>
  <c r="L26" i="9"/>
  <c r="J28" i="9"/>
  <c r="K28" i="9"/>
  <c r="L28" i="9"/>
  <c r="J29" i="9"/>
  <c r="K29" i="9"/>
  <c r="L29" i="9"/>
  <c r="J30" i="9"/>
  <c r="K30" i="9"/>
  <c r="L30" i="9"/>
  <c r="J31" i="9"/>
  <c r="K31" i="9"/>
  <c r="L31" i="9"/>
  <c r="J32" i="9"/>
  <c r="K32" i="9"/>
  <c r="L32" i="9"/>
  <c r="J33" i="9"/>
  <c r="K33" i="9"/>
  <c r="L33" i="9"/>
  <c r="J34" i="9"/>
  <c r="K34" i="9"/>
  <c r="L34" i="9"/>
  <c r="J36" i="9"/>
  <c r="K36" i="9"/>
  <c r="L36" i="9"/>
  <c r="J39" i="9"/>
  <c r="K39" i="9"/>
  <c r="L39" i="9"/>
  <c r="J40" i="9"/>
  <c r="K40" i="9"/>
  <c r="L40" i="9"/>
  <c r="J41" i="9"/>
  <c r="K41" i="9"/>
  <c r="L41" i="9"/>
  <c r="J42" i="9"/>
  <c r="K42" i="9"/>
  <c r="L42" i="9"/>
  <c r="J44" i="9"/>
  <c r="K44" i="9"/>
  <c r="L44" i="9"/>
  <c r="J45" i="9"/>
  <c r="K45" i="9"/>
  <c r="L45" i="9"/>
  <c r="J46" i="9"/>
  <c r="K46" i="9"/>
  <c r="L46" i="9"/>
  <c r="J49" i="9"/>
  <c r="K49" i="9"/>
  <c r="L49" i="9"/>
  <c r="J50" i="9"/>
  <c r="K50" i="9"/>
  <c r="L50" i="9"/>
  <c r="J52" i="9"/>
  <c r="K52" i="9"/>
  <c r="L52" i="9"/>
  <c r="J53" i="9"/>
  <c r="K53" i="9"/>
  <c r="L53" i="9"/>
  <c r="J54" i="9"/>
  <c r="K54" i="9"/>
  <c r="L54" i="9"/>
  <c r="J55" i="9"/>
  <c r="K55" i="9"/>
  <c r="L55" i="9"/>
  <c r="J56" i="9"/>
  <c r="K56" i="9"/>
  <c r="L56" i="9"/>
  <c r="J58" i="9"/>
  <c r="K58" i="9"/>
  <c r="L58" i="9"/>
  <c r="J59" i="9"/>
  <c r="K59" i="9"/>
  <c r="L59" i="9"/>
  <c r="J62" i="9"/>
  <c r="K62" i="9"/>
  <c r="L62" i="9"/>
  <c r="J63" i="9"/>
  <c r="K63" i="9"/>
  <c r="L63" i="9"/>
  <c r="J64" i="9"/>
  <c r="K64" i="9"/>
  <c r="L64" i="9"/>
  <c r="J65" i="9"/>
  <c r="K65" i="9"/>
  <c r="L65" i="9"/>
  <c r="J66" i="9"/>
  <c r="K66" i="9"/>
  <c r="L66" i="9"/>
  <c r="J67" i="9"/>
  <c r="K67" i="9"/>
  <c r="L67" i="9"/>
  <c r="J70" i="9"/>
  <c r="K70" i="9"/>
  <c r="L70" i="9"/>
  <c r="J72" i="9"/>
  <c r="K72" i="9"/>
  <c r="L72" i="9"/>
  <c r="J73" i="9"/>
  <c r="K73" i="9"/>
  <c r="L73" i="9"/>
  <c r="J74" i="9"/>
  <c r="K74" i="9"/>
  <c r="L74" i="9"/>
  <c r="J76" i="9"/>
  <c r="K76" i="9"/>
  <c r="L76" i="9"/>
  <c r="J77" i="9"/>
  <c r="K77" i="9"/>
  <c r="L77" i="9"/>
  <c r="J78" i="9"/>
  <c r="K78" i="9"/>
  <c r="L78" i="9"/>
  <c r="J80" i="9"/>
  <c r="K80" i="9"/>
  <c r="L80" i="9"/>
  <c r="J81" i="9"/>
  <c r="K81" i="9"/>
  <c r="L81" i="9"/>
  <c r="J82" i="9"/>
  <c r="K82" i="9"/>
  <c r="L82" i="9"/>
  <c r="J84" i="9"/>
  <c r="K84" i="9"/>
  <c r="L84" i="9"/>
  <c r="J87" i="9"/>
  <c r="K87" i="9"/>
  <c r="L87" i="9"/>
  <c r="J91" i="9"/>
  <c r="K91" i="9"/>
  <c r="L91" i="9"/>
  <c r="J92" i="9"/>
  <c r="K92" i="9"/>
  <c r="L92" i="9"/>
  <c r="J93" i="9"/>
  <c r="K93" i="9"/>
  <c r="L93" i="9"/>
  <c r="J94" i="9"/>
  <c r="K94" i="9"/>
  <c r="L94" i="9"/>
  <c r="J95" i="9"/>
  <c r="K95" i="9"/>
  <c r="L95" i="9"/>
  <c r="J96" i="9"/>
  <c r="K96" i="9"/>
  <c r="L96" i="9"/>
  <c r="J97" i="9"/>
  <c r="K97" i="9"/>
  <c r="L97" i="9"/>
  <c r="J98" i="9"/>
  <c r="K98" i="9"/>
  <c r="L98" i="9"/>
  <c r="J99" i="9"/>
  <c r="K99" i="9"/>
  <c r="L99" i="9"/>
  <c r="J100" i="9"/>
  <c r="K100" i="9"/>
  <c r="L100" i="9"/>
  <c r="J101" i="9"/>
  <c r="K101" i="9"/>
  <c r="L101" i="9"/>
  <c r="J102" i="9"/>
  <c r="K102" i="9"/>
  <c r="L102" i="9"/>
  <c r="J103" i="9"/>
  <c r="K103" i="9"/>
  <c r="L103" i="9"/>
  <c r="J105" i="9"/>
  <c r="K105" i="9"/>
  <c r="L105" i="9"/>
  <c r="J108" i="9"/>
  <c r="K108" i="9"/>
  <c r="L108" i="9"/>
  <c r="J109" i="9"/>
  <c r="K109" i="9"/>
  <c r="L109" i="9"/>
  <c r="J110" i="9"/>
  <c r="K110" i="9"/>
  <c r="L110" i="9"/>
  <c r="J111" i="9"/>
  <c r="K111" i="9"/>
  <c r="L111" i="9"/>
  <c r="J113" i="9"/>
  <c r="K113" i="9"/>
  <c r="L113" i="9"/>
  <c r="J114" i="9"/>
  <c r="K114" i="9"/>
  <c r="L114" i="9"/>
  <c r="J116" i="9"/>
  <c r="K116" i="9"/>
  <c r="L116" i="9"/>
  <c r="J118" i="9"/>
  <c r="K118" i="9"/>
  <c r="L118" i="9"/>
  <c r="J119" i="9"/>
  <c r="K119" i="9"/>
  <c r="L119" i="9"/>
  <c r="J120" i="9"/>
  <c r="K120" i="9"/>
  <c r="L120" i="9"/>
  <c r="J121" i="9"/>
  <c r="K121" i="9"/>
  <c r="L121" i="9"/>
  <c r="J122" i="9"/>
  <c r="K122" i="9"/>
  <c r="L122" i="9"/>
  <c r="J125" i="9"/>
  <c r="K125" i="9"/>
  <c r="L125" i="9"/>
  <c r="J127" i="9"/>
  <c r="K127" i="9"/>
  <c r="L127" i="9"/>
  <c r="J128" i="9"/>
  <c r="K128" i="9"/>
  <c r="L128" i="9"/>
  <c r="J130" i="9"/>
  <c r="K130" i="9"/>
  <c r="L130" i="9"/>
  <c r="J131" i="9"/>
  <c r="K131" i="9"/>
  <c r="L131" i="9"/>
  <c r="J132" i="9"/>
  <c r="K132" i="9"/>
  <c r="L132" i="9"/>
  <c r="J133" i="9"/>
  <c r="K133" i="9"/>
  <c r="L133" i="9"/>
  <c r="J134" i="9"/>
  <c r="K134" i="9"/>
  <c r="L134" i="9"/>
  <c r="J135" i="9"/>
  <c r="K135" i="9"/>
  <c r="L135" i="9"/>
  <c r="J137" i="9"/>
  <c r="K137" i="9"/>
  <c r="L137" i="9"/>
  <c r="J140" i="9"/>
  <c r="K140" i="9"/>
  <c r="L140" i="9"/>
  <c r="J142" i="9"/>
  <c r="K142" i="9"/>
  <c r="L142" i="9"/>
  <c r="J144" i="9"/>
  <c r="K144" i="9"/>
  <c r="L144" i="9"/>
  <c r="J145" i="9"/>
  <c r="K145" i="9"/>
  <c r="L145" i="9"/>
  <c r="J146" i="9"/>
  <c r="K146" i="9"/>
  <c r="L146" i="9"/>
  <c r="J149" i="9"/>
  <c r="K149" i="9"/>
  <c r="L149" i="9"/>
  <c r="J150" i="9"/>
  <c r="K150" i="9"/>
  <c r="L150" i="9"/>
  <c r="J151" i="9"/>
  <c r="K151" i="9"/>
  <c r="L151" i="9"/>
  <c r="J152" i="9"/>
  <c r="K152" i="9"/>
  <c r="L152" i="9"/>
  <c r="J153" i="9"/>
  <c r="K153" i="9"/>
  <c r="L153" i="9"/>
  <c r="J156" i="9"/>
  <c r="K156" i="9"/>
  <c r="L156" i="9"/>
  <c r="J159" i="9"/>
  <c r="K159" i="9"/>
  <c r="L159" i="9"/>
  <c r="J161" i="9"/>
  <c r="K161" i="9"/>
  <c r="L161" i="9"/>
  <c r="J162" i="9"/>
  <c r="K162" i="9"/>
  <c r="L162" i="9"/>
  <c r="J163" i="9"/>
  <c r="K163" i="9"/>
  <c r="L163" i="9"/>
  <c r="J164" i="9"/>
  <c r="K164" i="9"/>
  <c r="L164" i="9"/>
  <c r="J165" i="9"/>
  <c r="K165" i="9"/>
  <c r="L165" i="9"/>
  <c r="J166" i="9"/>
  <c r="K166" i="9"/>
  <c r="L166" i="9"/>
  <c r="J169" i="9"/>
  <c r="K169" i="9"/>
  <c r="L169" i="9"/>
  <c r="J170" i="9"/>
  <c r="K170" i="9"/>
  <c r="L170" i="9"/>
  <c r="J172" i="9"/>
  <c r="K172" i="9"/>
  <c r="L172" i="9"/>
  <c r="J173" i="9"/>
  <c r="K173" i="9"/>
  <c r="L173" i="9"/>
  <c r="J175" i="9"/>
  <c r="K175" i="9"/>
  <c r="L175" i="9"/>
  <c r="J176" i="9"/>
  <c r="K176" i="9"/>
  <c r="L176" i="9"/>
  <c r="J177" i="9"/>
  <c r="K177" i="9"/>
  <c r="L177" i="9"/>
  <c r="J178" i="9"/>
  <c r="K178" i="9"/>
  <c r="L178" i="9"/>
  <c r="J180" i="9"/>
  <c r="K180" i="9"/>
  <c r="L180" i="9"/>
  <c r="J181" i="9"/>
  <c r="K181" i="9"/>
  <c r="L181" i="9"/>
  <c r="J183" i="9"/>
  <c r="K183" i="9"/>
  <c r="L183" i="9"/>
  <c r="J185" i="9"/>
  <c r="K185" i="9"/>
  <c r="L185" i="9"/>
  <c r="J186" i="9"/>
  <c r="K186" i="9"/>
  <c r="L186" i="9"/>
  <c r="J187" i="9"/>
  <c r="K187" i="9"/>
  <c r="L187" i="9"/>
  <c r="J188" i="9"/>
  <c r="K188" i="9"/>
  <c r="L188" i="9"/>
  <c r="J191" i="9"/>
  <c r="K191" i="9"/>
  <c r="L191" i="9"/>
  <c r="J192" i="9"/>
  <c r="K192" i="9"/>
  <c r="L192" i="9"/>
  <c r="J193" i="9"/>
  <c r="K193" i="9"/>
  <c r="L193" i="9"/>
  <c r="J194" i="9"/>
  <c r="K194" i="9"/>
  <c r="L194" i="9"/>
  <c r="J195" i="9"/>
  <c r="K195" i="9"/>
  <c r="L195" i="9"/>
  <c r="J196" i="9"/>
  <c r="K196" i="9"/>
  <c r="L196" i="9"/>
  <c r="J197" i="9"/>
  <c r="K197" i="9"/>
  <c r="L197" i="9"/>
  <c r="J203" i="9"/>
  <c r="K203" i="9"/>
  <c r="L203" i="9"/>
  <c r="J204" i="9"/>
  <c r="K204" i="9"/>
  <c r="L204" i="9"/>
  <c r="J206" i="9"/>
  <c r="K206" i="9"/>
  <c r="L206" i="9"/>
  <c r="J208" i="9"/>
  <c r="K208" i="9"/>
  <c r="L208" i="9"/>
  <c r="J209" i="9"/>
  <c r="K209" i="9"/>
  <c r="L209" i="9"/>
  <c r="J210" i="9"/>
  <c r="K210" i="9"/>
  <c r="L210" i="9"/>
  <c r="J211" i="9"/>
  <c r="K211" i="9"/>
  <c r="L211" i="9"/>
  <c r="J212" i="9"/>
  <c r="K212" i="9"/>
  <c r="L212" i="9"/>
  <c r="J213" i="9"/>
  <c r="K213" i="9"/>
  <c r="L213" i="9"/>
  <c r="J215" i="9"/>
  <c r="K215" i="9"/>
  <c r="L215" i="9"/>
  <c r="J217" i="9"/>
  <c r="K217" i="9"/>
  <c r="L217" i="9"/>
  <c r="J218" i="9"/>
  <c r="K218" i="9"/>
  <c r="L218" i="9"/>
  <c r="J219" i="9"/>
  <c r="K219" i="9"/>
  <c r="L219" i="9"/>
  <c r="J220" i="9"/>
  <c r="K220" i="9"/>
  <c r="L220" i="9"/>
  <c r="J221" i="9"/>
  <c r="K221" i="9"/>
  <c r="L221" i="9"/>
  <c r="D7" i="39"/>
  <c r="B3" i="38"/>
  <c r="B4" i="38"/>
  <c r="B5" i="38"/>
  <c r="B6" i="38"/>
  <c r="B7" i="38"/>
  <c r="B8" i="38"/>
  <c r="B9" i="38"/>
  <c r="B10" i="38"/>
  <c r="B11" i="38"/>
  <c r="B12" i="38"/>
  <c r="B13" i="38"/>
  <c r="B14" i="38"/>
  <c r="B15" i="38"/>
  <c r="B2" i="38"/>
  <c r="C3" i="38"/>
  <c r="D3" i="38"/>
  <c r="E3" i="38"/>
  <c r="C4" i="38"/>
  <c r="D4" i="38"/>
  <c r="E4" i="38"/>
  <c r="C5" i="38"/>
  <c r="D5" i="38"/>
  <c r="E5" i="38"/>
  <c r="C6" i="38"/>
  <c r="D6" i="38"/>
  <c r="E6" i="38"/>
  <c r="C7" i="38"/>
  <c r="D7" i="38"/>
  <c r="E7" i="38"/>
  <c r="C8" i="38"/>
  <c r="D8" i="38"/>
  <c r="E8" i="38"/>
  <c r="F9" i="38"/>
  <c r="F10" i="38"/>
  <c r="F11" i="38"/>
  <c r="C12" i="38"/>
  <c r="D12" i="38"/>
  <c r="E12" i="38"/>
  <c r="F13" i="38"/>
  <c r="C14" i="38"/>
  <c r="D14" i="38"/>
  <c r="E14" i="38"/>
  <c r="C15" i="38"/>
  <c r="D15" i="38"/>
  <c r="E15" i="38"/>
  <c r="D2" i="38"/>
  <c r="E2" i="38"/>
  <c r="C2" i="38"/>
  <c r="B17" i="38"/>
  <c r="C17" i="38"/>
  <c r="D17" i="38"/>
  <c r="E17" i="38"/>
  <c r="B18" i="38"/>
  <c r="C18" i="38"/>
  <c r="D18" i="38"/>
  <c r="E18" i="38"/>
  <c r="B19" i="38"/>
  <c r="C19" i="38"/>
  <c r="D19" i="38"/>
  <c r="E19" i="38"/>
  <c r="B20" i="38"/>
  <c r="C20" i="38"/>
  <c r="D20" i="38"/>
  <c r="E20" i="38"/>
  <c r="B21" i="38"/>
  <c r="F21" i="38"/>
  <c r="B22" i="38"/>
  <c r="C22" i="38"/>
  <c r="D22" i="38"/>
  <c r="E22" i="38"/>
  <c r="B23" i="38"/>
  <c r="C23" i="38"/>
  <c r="D23" i="38"/>
  <c r="E23" i="38"/>
  <c r="B24" i="38"/>
  <c r="C24" i="38"/>
  <c r="D24" i="38"/>
  <c r="E24" i="38"/>
  <c r="B25" i="38"/>
  <c r="F25" i="38"/>
  <c r="B26" i="38"/>
  <c r="C26" i="38"/>
  <c r="D26" i="38"/>
  <c r="E26" i="38"/>
  <c r="B27" i="38"/>
  <c r="F27" i="38"/>
  <c r="B28" i="38"/>
  <c r="F28" i="38"/>
  <c r="B29" i="38"/>
  <c r="C29" i="38"/>
  <c r="D29" i="38"/>
  <c r="E29" i="38"/>
  <c r="C16" i="38"/>
  <c r="D16" i="38"/>
  <c r="E16" i="38"/>
  <c r="B16" i="38"/>
  <c r="C8" i="36"/>
  <c r="G6" i="36"/>
  <c r="I903" i="35"/>
  <c r="I902" i="35"/>
  <c r="I901" i="35"/>
  <c r="I900" i="35"/>
  <c r="I899" i="35"/>
  <c r="I898" i="35"/>
  <c r="I897" i="35"/>
  <c r="I896" i="35"/>
  <c r="I895" i="35"/>
  <c r="I894" i="35"/>
  <c r="I893" i="35"/>
  <c r="I892" i="35"/>
  <c r="I891" i="35"/>
  <c r="I890" i="35"/>
  <c r="I889" i="35"/>
  <c r="I888" i="35"/>
  <c r="I887" i="35"/>
  <c r="I886" i="35"/>
  <c r="I885" i="35"/>
  <c r="I884" i="35"/>
  <c r="I883" i="35"/>
  <c r="I882" i="35"/>
  <c r="I881" i="35"/>
  <c r="I880" i="35"/>
  <c r="I879" i="35"/>
  <c r="I878" i="35"/>
  <c r="I877" i="35"/>
  <c r="I876" i="35"/>
  <c r="I875" i="35"/>
  <c r="I874" i="35"/>
  <c r="I873" i="35"/>
  <c r="I872" i="35"/>
  <c r="I871" i="35"/>
  <c r="I870" i="35"/>
  <c r="I869" i="35"/>
  <c r="I868" i="35"/>
  <c r="I867" i="35"/>
  <c r="I866" i="35"/>
  <c r="I865" i="35"/>
  <c r="I864" i="35"/>
  <c r="I863" i="35"/>
  <c r="I862" i="35"/>
  <c r="I861" i="35"/>
  <c r="I860" i="35"/>
  <c r="I859" i="35"/>
  <c r="I858" i="35"/>
  <c r="I857" i="35"/>
  <c r="I856" i="35"/>
  <c r="I855" i="35"/>
  <c r="I854" i="35"/>
  <c r="I853" i="35"/>
  <c r="I852" i="35"/>
  <c r="I851" i="35"/>
  <c r="I850" i="35"/>
  <c r="I849" i="35"/>
  <c r="I848" i="35"/>
  <c r="I847" i="35"/>
  <c r="I846" i="35"/>
  <c r="I845" i="35"/>
  <c r="I844" i="35"/>
  <c r="I843" i="35"/>
  <c r="I842" i="35"/>
  <c r="I841" i="35"/>
  <c r="I840" i="35"/>
  <c r="I839" i="35"/>
  <c r="I838" i="35"/>
  <c r="I837" i="35"/>
  <c r="I836" i="35"/>
  <c r="I835" i="35"/>
  <c r="I834" i="35"/>
  <c r="I833" i="35"/>
  <c r="I832" i="35"/>
  <c r="I831" i="35"/>
  <c r="I830" i="35"/>
  <c r="I829" i="35"/>
  <c r="I828" i="35"/>
  <c r="I827" i="35"/>
  <c r="I826" i="35"/>
  <c r="I825" i="35"/>
  <c r="I824" i="35"/>
  <c r="I823" i="35"/>
  <c r="I822" i="35"/>
  <c r="I821" i="35"/>
  <c r="I820" i="35"/>
  <c r="I819" i="35"/>
  <c r="I818" i="35"/>
  <c r="I817" i="35"/>
  <c r="I816" i="35"/>
  <c r="I815" i="35"/>
  <c r="I814" i="35"/>
  <c r="I813" i="35"/>
  <c r="I812" i="35"/>
  <c r="I811" i="35"/>
  <c r="I810" i="35"/>
  <c r="I809" i="35"/>
  <c r="I808" i="35"/>
  <c r="I807" i="35"/>
  <c r="I806" i="35"/>
  <c r="I805" i="35"/>
  <c r="I804" i="35"/>
  <c r="I803" i="35"/>
  <c r="I802" i="35"/>
  <c r="I801" i="35"/>
  <c r="I800" i="35"/>
  <c r="I799" i="35"/>
  <c r="I798" i="35"/>
  <c r="I797" i="35"/>
  <c r="I796" i="35"/>
  <c r="I795" i="35"/>
  <c r="I794" i="35"/>
  <c r="I793" i="35"/>
  <c r="I792" i="35"/>
  <c r="I791" i="35"/>
  <c r="I790" i="35"/>
  <c r="I789" i="35"/>
  <c r="I788" i="35"/>
  <c r="I787" i="35"/>
  <c r="I786" i="35"/>
  <c r="I785" i="35"/>
  <c r="I784" i="35"/>
  <c r="I783" i="35"/>
  <c r="I782" i="35"/>
  <c r="I781" i="35"/>
  <c r="I780" i="35"/>
  <c r="I779" i="35"/>
  <c r="I778" i="35"/>
  <c r="I777" i="35"/>
  <c r="I776" i="35"/>
  <c r="I775" i="35"/>
  <c r="I774" i="35"/>
  <c r="I773" i="35"/>
  <c r="I772" i="35"/>
  <c r="I771" i="35"/>
  <c r="I770" i="35"/>
  <c r="I769" i="35"/>
  <c r="I768" i="35"/>
  <c r="I767" i="35"/>
  <c r="I766" i="35"/>
  <c r="I765" i="35"/>
  <c r="I764" i="35"/>
  <c r="I763" i="35"/>
  <c r="I762" i="35"/>
  <c r="I761" i="35"/>
  <c r="I760" i="35"/>
  <c r="I759" i="35"/>
  <c r="I758" i="35"/>
  <c r="I757" i="35"/>
  <c r="I756" i="35"/>
  <c r="I755" i="35"/>
  <c r="I754" i="35"/>
  <c r="I753" i="35"/>
  <c r="I752" i="35"/>
  <c r="I751" i="35"/>
  <c r="I750" i="35"/>
  <c r="I749" i="35"/>
  <c r="I748" i="35"/>
  <c r="I747" i="35"/>
  <c r="I746" i="35"/>
  <c r="I745" i="35"/>
  <c r="I744" i="35"/>
  <c r="I743" i="35"/>
  <c r="I742" i="35"/>
  <c r="I741" i="35"/>
  <c r="I740" i="35"/>
  <c r="I739" i="35"/>
  <c r="I738" i="35"/>
  <c r="I737" i="35"/>
  <c r="I736" i="35"/>
  <c r="I735" i="35"/>
  <c r="I734" i="35"/>
  <c r="I733" i="35"/>
  <c r="I732" i="35"/>
  <c r="I731" i="35"/>
  <c r="I730" i="35"/>
  <c r="I729" i="35"/>
  <c r="I728" i="35"/>
  <c r="I727" i="35"/>
  <c r="I726" i="35"/>
  <c r="I725" i="35"/>
  <c r="I724" i="35"/>
  <c r="I723" i="35"/>
  <c r="I722" i="35"/>
  <c r="I721" i="35"/>
  <c r="I720" i="35"/>
  <c r="I719" i="35"/>
  <c r="I718" i="35"/>
  <c r="I717" i="35"/>
  <c r="I716" i="35"/>
  <c r="I715" i="35"/>
  <c r="I714" i="35"/>
  <c r="I713" i="35"/>
  <c r="I712" i="35"/>
  <c r="I711" i="35"/>
  <c r="I710" i="35"/>
  <c r="I709" i="35"/>
  <c r="I708" i="35"/>
  <c r="I707" i="35"/>
  <c r="I706" i="35"/>
  <c r="I705" i="35"/>
  <c r="I704" i="35"/>
  <c r="I703" i="35"/>
  <c r="I702" i="35"/>
  <c r="I701" i="35"/>
  <c r="I700" i="35"/>
  <c r="I699" i="35"/>
  <c r="I698" i="35"/>
  <c r="I697" i="35"/>
  <c r="I696" i="35"/>
  <c r="I695" i="35"/>
  <c r="I694" i="35"/>
  <c r="I693" i="35"/>
  <c r="I692" i="35"/>
  <c r="I691" i="35"/>
  <c r="I690" i="35"/>
  <c r="I689" i="35"/>
  <c r="I688" i="35"/>
  <c r="I687" i="35"/>
  <c r="I686" i="35"/>
  <c r="I685" i="35"/>
  <c r="I684" i="35"/>
  <c r="I683" i="35"/>
  <c r="I682" i="35"/>
  <c r="I681" i="35"/>
  <c r="I680" i="35"/>
  <c r="I679" i="35"/>
  <c r="I678" i="35"/>
  <c r="I677" i="35"/>
  <c r="I676" i="35"/>
  <c r="I675" i="35"/>
  <c r="I674" i="35"/>
  <c r="I673" i="35"/>
  <c r="I672" i="35"/>
  <c r="I671" i="35"/>
  <c r="I670" i="35"/>
  <c r="I669" i="35"/>
  <c r="I668" i="35"/>
  <c r="I667" i="35"/>
  <c r="I666" i="35"/>
  <c r="I665" i="35"/>
  <c r="I664" i="35"/>
  <c r="I663" i="35"/>
  <c r="I662" i="35"/>
  <c r="I661" i="35"/>
  <c r="I660" i="35"/>
  <c r="I659" i="35"/>
  <c r="I658" i="35"/>
  <c r="I657" i="35"/>
  <c r="I656" i="35"/>
  <c r="I655" i="35"/>
  <c r="I654" i="35"/>
  <c r="I653" i="35"/>
  <c r="I652" i="35"/>
  <c r="I651" i="35"/>
  <c r="I650" i="35"/>
  <c r="I649" i="35"/>
  <c r="I648" i="35"/>
  <c r="I647" i="35"/>
  <c r="I646" i="35"/>
  <c r="I645" i="35"/>
  <c r="I644" i="35"/>
  <c r="I643" i="35"/>
  <c r="I642" i="35"/>
  <c r="I641" i="35"/>
  <c r="I640" i="35"/>
  <c r="I639" i="35"/>
  <c r="I638" i="35"/>
  <c r="I637" i="35"/>
  <c r="I636" i="35"/>
  <c r="I635" i="35"/>
  <c r="I634" i="35"/>
  <c r="I633" i="35"/>
  <c r="I632" i="35"/>
  <c r="I631" i="35"/>
  <c r="I630" i="35"/>
  <c r="I629" i="35"/>
  <c r="I628" i="35"/>
  <c r="I627" i="35"/>
  <c r="I626" i="35"/>
  <c r="I625" i="35"/>
  <c r="I624" i="35"/>
  <c r="I623" i="35"/>
  <c r="I622" i="35"/>
  <c r="I621" i="35"/>
  <c r="I620" i="35"/>
  <c r="I619" i="35"/>
  <c r="I618" i="35"/>
  <c r="I617" i="35"/>
  <c r="I616" i="35"/>
  <c r="I615" i="35"/>
  <c r="I614" i="35"/>
  <c r="I613" i="35"/>
  <c r="I612" i="35"/>
  <c r="I611" i="35"/>
  <c r="I610" i="35"/>
  <c r="I609" i="35"/>
  <c r="I608" i="35"/>
  <c r="I607" i="35"/>
  <c r="I606" i="35"/>
  <c r="I605" i="35"/>
  <c r="I604" i="35"/>
  <c r="I603" i="35"/>
  <c r="I602" i="35"/>
  <c r="I601" i="35"/>
  <c r="I600" i="35"/>
  <c r="I599" i="35"/>
  <c r="I598" i="35"/>
  <c r="I597" i="35"/>
  <c r="I596" i="35"/>
  <c r="I595" i="35"/>
  <c r="I594" i="35"/>
  <c r="I593" i="35"/>
  <c r="I592" i="35"/>
  <c r="I591" i="35"/>
  <c r="I590" i="35"/>
  <c r="I589" i="35"/>
  <c r="I588" i="35"/>
  <c r="I587" i="35"/>
  <c r="I586" i="35"/>
  <c r="I585" i="35"/>
  <c r="I584" i="35"/>
  <c r="I583" i="35"/>
  <c r="I582" i="35"/>
  <c r="I581" i="35"/>
  <c r="I580" i="35"/>
  <c r="I579" i="35"/>
  <c r="I578" i="35"/>
  <c r="I577" i="35"/>
  <c r="I576" i="35"/>
  <c r="I575" i="35"/>
  <c r="I574" i="35"/>
  <c r="I573" i="35"/>
  <c r="I572" i="35"/>
  <c r="I571" i="35"/>
  <c r="I570" i="35"/>
  <c r="I569" i="35"/>
  <c r="I568" i="35"/>
  <c r="I567" i="35"/>
  <c r="I566" i="35"/>
  <c r="I565" i="35"/>
  <c r="I564" i="35"/>
  <c r="I563" i="35"/>
  <c r="I562" i="35"/>
  <c r="I561" i="35"/>
  <c r="I560" i="35"/>
  <c r="I559" i="35"/>
  <c r="I558" i="35"/>
  <c r="I557" i="35"/>
  <c r="I556" i="35"/>
  <c r="I555" i="35"/>
  <c r="I554" i="35"/>
  <c r="I553" i="35"/>
  <c r="I552" i="35"/>
  <c r="I551" i="35"/>
  <c r="I550" i="35"/>
  <c r="I549" i="35"/>
  <c r="I548" i="35"/>
  <c r="I547" i="35"/>
  <c r="I546" i="35"/>
  <c r="I545" i="35"/>
  <c r="I544" i="35"/>
  <c r="I543" i="35"/>
  <c r="I542" i="35"/>
  <c r="I541" i="35"/>
  <c r="I540" i="35"/>
  <c r="I539" i="35"/>
  <c r="I538" i="35"/>
  <c r="I537" i="35"/>
  <c r="I536" i="35"/>
  <c r="I535" i="35"/>
  <c r="I534" i="35"/>
  <c r="I533" i="35"/>
  <c r="I532" i="35"/>
  <c r="I531" i="35"/>
  <c r="I530" i="35"/>
  <c r="I529" i="35"/>
  <c r="I528" i="35"/>
  <c r="I527" i="35"/>
  <c r="I526" i="35"/>
  <c r="I525" i="35"/>
  <c r="I524" i="35"/>
  <c r="I523" i="35"/>
  <c r="I522" i="35"/>
  <c r="I521" i="35"/>
  <c r="I520" i="35"/>
  <c r="I519" i="35"/>
  <c r="I518" i="35"/>
  <c r="I517" i="35"/>
  <c r="I516" i="35"/>
  <c r="I515" i="35"/>
  <c r="I514" i="35"/>
  <c r="I513" i="35"/>
  <c r="I512" i="35"/>
  <c r="I511" i="35"/>
  <c r="I510" i="35"/>
  <c r="I509" i="35"/>
  <c r="I508" i="35"/>
  <c r="I507" i="35"/>
  <c r="I506" i="35"/>
  <c r="I505" i="35"/>
  <c r="I504" i="35"/>
  <c r="I503" i="35"/>
  <c r="I502" i="35"/>
  <c r="I501" i="35"/>
  <c r="I500" i="35"/>
  <c r="I499" i="35"/>
  <c r="I498" i="35"/>
  <c r="I497" i="35"/>
  <c r="I496" i="35"/>
  <c r="I495" i="35"/>
  <c r="I494" i="35"/>
  <c r="I493" i="35"/>
  <c r="I492" i="35"/>
  <c r="I491" i="35"/>
  <c r="I490" i="35"/>
  <c r="I489" i="35"/>
  <c r="I488" i="35"/>
  <c r="I487" i="35"/>
  <c r="I486" i="35"/>
  <c r="I485" i="35"/>
  <c r="I484" i="35"/>
  <c r="I483" i="35"/>
  <c r="I482" i="35"/>
  <c r="I481" i="35"/>
  <c r="I480" i="35"/>
  <c r="I479" i="35"/>
  <c r="I478" i="35"/>
  <c r="I477" i="35"/>
  <c r="I476" i="35"/>
  <c r="I475" i="35"/>
  <c r="I474" i="35"/>
  <c r="I473" i="35"/>
  <c r="I472" i="35"/>
  <c r="I471" i="35"/>
  <c r="I470" i="35"/>
  <c r="I469" i="35"/>
  <c r="I468" i="35"/>
  <c r="I467" i="35"/>
  <c r="I466" i="35"/>
  <c r="I465" i="35"/>
  <c r="I464" i="35"/>
  <c r="I463" i="35"/>
  <c r="I462" i="35"/>
  <c r="I461" i="35"/>
  <c r="I460" i="35"/>
  <c r="I459" i="35"/>
  <c r="I458" i="35"/>
  <c r="I457" i="35"/>
  <c r="I456" i="35"/>
  <c r="I455" i="35"/>
  <c r="I454" i="35"/>
  <c r="I453" i="35"/>
  <c r="I452" i="35"/>
  <c r="I451" i="35"/>
  <c r="I450" i="35"/>
  <c r="I449" i="35"/>
  <c r="I448" i="35"/>
  <c r="I447" i="35"/>
  <c r="I446" i="35"/>
  <c r="I445" i="35"/>
  <c r="I444" i="35"/>
  <c r="I443" i="35"/>
  <c r="I442" i="35"/>
  <c r="I441" i="35"/>
  <c r="I440" i="35"/>
  <c r="I439" i="35"/>
  <c r="I438" i="35"/>
  <c r="I437" i="35"/>
  <c r="I436" i="35"/>
  <c r="I435" i="35"/>
  <c r="I434" i="35"/>
  <c r="I433" i="35"/>
  <c r="I432" i="35"/>
  <c r="I431" i="35"/>
  <c r="I430" i="35"/>
  <c r="I429" i="35"/>
  <c r="I428" i="35"/>
  <c r="I427" i="35"/>
  <c r="I426" i="35"/>
  <c r="I425" i="35"/>
  <c r="I424" i="35"/>
  <c r="I423" i="35"/>
  <c r="I422" i="35"/>
  <c r="I421" i="35"/>
  <c r="I420" i="35"/>
  <c r="I419" i="35"/>
  <c r="I418" i="35"/>
  <c r="I417" i="35"/>
  <c r="I416" i="35"/>
  <c r="I415" i="35"/>
  <c r="I414" i="35"/>
  <c r="I413" i="35"/>
  <c r="I412" i="35"/>
  <c r="I411" i="35"/>
  <c r="I410" i="35"/>
  <c r="I409" i="35"/>
  <c r="I408" i="35"/>
  <c r="I407" i="35"/>
  <c r="I406" i="35"/>
  <c r="I405" i="35"/>
  <c r="I404" i="35"/>
  <c r="I403" i="35"/>
  <c r="I402" i="35"/>
  <c r="I401" i="35"/>
  <c r="I400" i="35"/>
  <c r="I399" i="35"/>
  <c r="I398" i="35"/>
  <c r="I397" i="35"/>
  <c r="I396" i="35"/>
  <c r="I395" i="35"/>
  <c r="I394" i="35"/>
  <c r="I393" i="35"/>
  <c r="I392" i="35"/>
  <c r="I391" i="35"/>
  <c r="I390" i="35"/>
  <c r="I389" i="35"/>
  <c r="I388" i="35"/>
  <c r="I387" i="35"/>
  <c r="I386" i="35"/>
  <c r="I385" i="35"/>
  <c r="I384" i="35"/>
  <c r="I383" i="35"/>
  <c r="I382" i="35"/>
  <c r="I381" i="35"/>
  <c r="I380" i="35"/>
  <c r="I379" i="35"/>
  <c r="I378" i="35"/>
  <c r="I377" i="35"/>
  <c r="I376" i="35"/>
  <c r="I375" i="35"/>
  <c r="I374" i="35"/>
  <c r="I373" i="35"/>
  <c r="I372" i="35"/>
  <c r="I371" i="35"/>
  <c r="I370" i="35"/>
  <c r="I369" i="35"/>
  <c r="I368" i="35"/>
  <c r="I367" i="35"/>
  <c r="I366" i="35"/>
  <c r="I365" i="35"/>
  <c r="I364" i="35"/>
  <c r="I363" i="35"/>
  <c r="I362" i="35"/>
  <c r="I361" i="35"/>
  <c r="I360" i="35"/>
  <c r="I359" i="35"/>
  <c r="I358" i="35"/>
  <c r="I357" i="35"/>
  <c r="I356" i="35"/>
  <c r="I355" i="35"/>
  <c r="I354" i="35"/>
  <c r="I353" i="35"/>
  <c r="I352" i="35"/>
  <c r="I351" i="35"/>
  <c r="I350" i="35"/>
  <c r="I349" i="35"/>
  <c r="I348" i="35"/>
  <c r="I347" i="35"/>
  <c r="I346" i="35"/>
  <c r="I345" i="35"/>
  <c r="I344" i="35"/>
  <c r="I343" i="35"/>
  <c r="I342" i="35"/>
  <c r="I341" i="35"/>
  <c r="I340" i="35"/>
  <c r="I339" i="35"/>
  <c r="I338" i="35"/>
  <c r="I337" i="35"/>
  <c r="I336" i="35"/>
  <c r="I335" i="35"/>
  <c r="I334" i="35"/>
  <c r="I333" i="35"/>
  <c r="I332" i="35"/>
  <c r="I331" i="35"/>
  <c r="I330" i="35"/>
  <c r="I329" i="35"/>
  <c r="I328" i="35"/>
  <c r="I327" i="35"/>
  <c r="I326" i="35"/>
  <c r="I325" i="35"/>
  <c r="I324" i="35"/>
  <c r="I323" i="35"/>
  <c r="I322" i="35"/>
  <c r="I321" i="35"/>
  <c r="I320" i="35"/>
  <c r="I319" i="35"/>
  <c r="I318" i="35"/>
  <c r="I317" i="35"/>
  <c r="I316" i="35"/>
  <c r="I315" i="35"/>
  <c r="I314" i="35"/>
  <c r="I313" i="35"/>
  <c r="I312" i="35"/>
  <c r="I311" i="35"/>
  <c r="I310" i="35"/>
  <c r="I309" i="35"/>
  <c r="I308" i="35"/>
  <c r="I307" i="35"/>
  <c r="I306" i="35"/>
  <c r="I305" i="35"/>
  <c r="I304" i="35"/>
  <c r="I303" i="35"/>
  <c r="I302" i="35"/>
  <c r="I301" i="35"/>
  <c r="I300" i="35"/>
  <c r="I299" i="35"/>
  <c r="I298" i="35"/>
  <c r="I297" i="35"/>
  <c r="I296" i="35"/>
  <c r="I295" i="35"/>
  <c r="I294" i="35"/>
  <c r="I293" i="35"/>
  <c r="I292" i="35"/>
  <c r="I291" i="35"/>
  <c r="I290" i="35"/>
  <c r="I289" i="35"/>
  <c r="I288" i="35"/>
  <c r="I287" i="35"/>
  <c r="I286" i="35"/>
  <c r="I285" i="35"/>
  <c r="I284" i="35"/>
  <c r="I283" i="35"/>
  <c r="I282" i="35"/>
  <c r="I281" i="35"/>
  <c r="I280" i="35"/>
  <c r="I279" i="35"/>
  <c r="I278" i="35"/>
  <c r="I277" i="35"/>
  <c r="I276" i="35"/>
  <c r="I275" i="35"/>
  <c r="I274" i="35"/>
  <c r="I273" i="35"/>
  <c r="I272" i="35"/>
  <c r="I271" i="35"/>
  <c r="I270" i="35"/>
  <c r="I269" i="35"/>
  <c r="I268" i="35"/>
  <c r="I267" i="35"/>
  <c r="I266" i="35"/>
  <c r="I265" i="35"/>
  <c r="I264" i="35"/>
  <c r="I263" i="35"/>
  <c r="I262" i="35"/>
  <c r="I261" i="35"/>
  <c r="I260" i="35"/>
  <c r="I259" i="35"/>
  <c r="I258" i="35"/>
  <c r="I257" i="35"/>
  <c r="I256" i="35"/>
  <c r="I255" i="35"/>
  <c r="I254" i="35"/>
  <c r="I253" i="35"/>
  <c r="I252" i="35"/>
  <c r="I251" i="35"/>
  <c r="I250" i="35"/>
  <c r="I249" i="35"/>
  <c r="I248" i="35"/>
  <c r="I247" i="35"/>
  <c r="I246" i="35"/>
  <c r="I245" i="35"/>
  <c r="I244" i="35"/>
  <c r="I243" i="35"/>
  <c r="I242" i="35"/>
  <c r="I241" i="35"/>
  <c r="I240" i="35"/>
  <c r="I239" i="35"/>
  <c r="I238" i="35"/>
  <c r="I237" i="35"/>
  <c r="I236" i="35"/>
  <c r="I235" i="35"/>
  <c r="I234" i="35"/>
  <c r="I233" i="35"/>
  <c r="I232" i="35"/>
  <c r="I231" i="35"/>
  <c r="I230" i="35"/>
  <c r="I229" i="35"/>
  <c r="I228" i="35"/>
  <c r="I227" i="35"/>
  <c r="I226" i="35"/>
  <c r="I225" i="35"/>
  <c r="I224" i="35"/>
  <c r="I223" i="35"/>
  <c r="I222" i="35"/>
  <c r="I221" i="35"/>
  <c r="I220" i="35"/>
  <c r="I219" i="35"/>
  <c r="I218" i="35"/>
  <c r="I217" i="35"/>
  <c r="I216" i="35"/>
  <c r="I215" i="35"/>
  <c r="I214" i="35"/>
  <c r="I213" i="35"/>
  <c r="I212" i="35"/>
  <c r="I211" i="35"/>
  <c r="I210" i="35"/>
  <c r="I209" i="35"/>
  <c r="I208" i="35"/>
  <c r="I207" i="35"/>
  <c r="I206" i="35"/>
  <c r="I205" i="35"/>
  <c r="I204" i="35"/>
  <c r="I203" i="35"/>
  <c r="I202" i="35"/>
  <c r="I201" i="35"/>
  <c r="I200" i="35"/>
  <c r="I199" i="35"/>
  <c r="I198" i="35"/>
  <c r="I197" i="35"/>
  <c r="I196" i="35"/>
  <c r="I195" i="35"/>
  <c r="I194" i="35"/>
  <c r="I193" i="35"/>
  <c r="I192" i="35"/>
  <c r="I191" i="35"/>
  <c r="I190" i="35"/>
  <c r="I189" i="35"/>
  <c r="I188" i="35"/>
  <c r="I187" i="35"/>
  <c r="I186" i="35"/>
  <c r="I185" i="35"/>
  <c r="I184" i="35"/>
  <c r="I183" i="35"/>
  <c r="I182" i="35"/>
  <c r="I181" i="35"/>
  <c r="I180" i="35"/>
  <c r="I179" i="35"/>
  <c r="I178" i="35"/>
  <c r="I177" i="35"/>
  <c r="I176" i="35"/>
  <c r="I175" i="35"/>
  <c r="I174" i="35"/>
  <c r="I173" i="35"/>
  <c r="I172" i="35"/>
  <c r="I171" i="35"/>
  <c r="I170" i="35"/>
  <c r="I169" i="35"/>
  <c r="I168" i="35"/>
  <c r="I167" i="35"/>
  <c r="I166" i="35"/>
  <c r="I165" i="35"/>
  <c r="I164" i="35"/>
  <c r="I163" i="35"/>
  <c r="I162" i="35"/>
  <c r="I161" i="35"/>
  <c r="I160" i="35"/>
  <c r="I159" i="35"/>
  <c r="I158" i="35"/>
  <c r="I157" i="35"/>
  <c r="I156" i="35"/>
  <c r="I155" i="35"/>
  <c r="I154" i="35"/>
  <c r="I153" i="35"/>
  <c r="I152" i="35"/>
  <c r="I151" i="35"/>
  <c r="I150" i="35"/>
  <c r="I149" i="35"/>
  <c r="I148" i="35"/>
  <c r="I147" i="35"/>
  <c r="I146" i="35"/>
  <c r="I145" i="35"/>
  <c r="I144" i="35"/>
  <c r="I143" i="35"/>
  <c r="I142" i="35"/>
  <c r="I141" i="35"/>
  <c r="I140" i="35"/>
  <c r="I139" i="35"/>
  <c r="I138" i="35"/>
  <c r="I137" i="35"/>
  <c r="I136" i="35"/>
  <c r="I135" i="35"/>
  <c r="I134" i="35"/>
  <c r="I133" i="35"/>
  <c r="I132" i="35"/>
  <c r="I131" i="35"/>
  <c r="I130" i="35"/>
  <c r="I129" i="35"/>
  <c r="I128" i="35"/>
  <c r="I127" i="35"/>
  <c r="I126" i="35"/>
  <c r="I125" i="35"/>
  <c r="I124" i="35"/>
  <c r="I123" i="35"/>
  <c r="I122" i="35"/>
  <c r="I121" i="35"/>
  <c r="I120" i="35"/>
  <c r="I119" i="35"/>
  <c r="I118" i="35"/>
  <c r="I117" i="35"/>
  <c r="I116" i="35"/>
  <c r="I115" i="35"/>
  <c r="I114" i="35"/>
  <c r="I113" i="35"/>
  <c r="I112" i="35"/>
  <c r="I111" i="35"/>
  <c r="I110" i="35"/>
  <c r="I109" i="35"/>
  <c r="I108" i="35"/>
  <c r="I107" i="35"/>
  <c r="I106" i="35"/>
  <c r="I105" i="35"/>
  <c r="I104" i="35"/>
  <c r="I103" i="35"/>
  <c r="I102" i="35"/>
  <c r="I101" i="35"/>
  <c r="I100" i="35"/>
  <c r="I99" i="35"/>
  <c r="I98" i="35"/>
  <c r="I97" i="35"/>
  <c r="I96" i="35"/>
  <c r="I95" i="35"/>
  <c r="I94" i="35"/>
  <c r="I93" i="35"/>
  <c r="I92" i="35"/>
  <c r="I91" i="35"/>
  <c r="I90" i="35"/>
  <c r="I89" i="35"/>
  <c r="I88" i="35"/>
  <c r="I87" i="35"/>
  <c r="I86" i="35"/>
  <c r="I85" i="35"/>
  <c r="I84" i="35"/>
  <c r="I83" i="35"/>
  <c r="I82" i="35"/>
  <c r="I81" i="35"/>
  <c r="I80" i="35"/>
  <c r="I79" i="35"/>
  <c r="I78" i="35"/>
  <c r="I77" i="35"/>
  <c r="I76" i="35"/>
  <c r="I75" i="35"/>
  <c r="I74" i="35"/>
  <c r="I73" i="35"/>
  <c r="I72" i="35"/>
  <c r="I71" i="35"/>
  <c r="I70" i="35"/>
  <c r="I69" i="35"/>
  <c r="I68" i="35"/>
  <c r="I67" i="35"/>
  <c r="G67" i="35"/>
  <c r="I66" i="35"/>
  <c r="G66" i="35"/>
  <c r="I65" i="35"/>
  <c r="G65" i="35"/>
  <c r="I64" i="35"/>
  <c r="G64" i="35"/>
  <c r="I63" i="35"/>
  <c r="G63" i="35"/>
  <c r="I62" i="35"/>
  <c r="G62" i="35"/>
  <c r="I61" i="35"/>
  <c r="G61" i="35"/>
  <c r="I60" i="35"/>
  <c r="G60" i="35"/>
  <c r="I59" i="35"/>
  <c r="G59" i="35"/>
  <c r="I58" i="35"/>
  <c r="G58" i="35"/>
  <c r="I57" i="35"/>
  <c r="G57" i="35"/>
  <c r="I56" i="35"/>
  <c r="G56" i="35"/>
  <c r="I55" i="35"/>
  <c r="G55" i="35"/>
  <c r="I54" i="35"/>
  <c r="G54" i="35"/>
  <c r="I53" i="35"/>
  <c r="G53" i="35"/>
  <c r="I52" i="35"/>
  <c r="G52" i="35"/>
  <c r="I51" i="35"/>
  <c r="G51" i="35"/>
  <c r="I50" i="35"/>
  <c r="G50" i="35"/>
  <c r="I49" i="35"/>
  <c r="G49" i="35"/>
  <c r="I48" i="35"/>
  <c r="G48" i="35"/>
  <c r="I47" i="35"/>
  <c r="G47" i="35"/>
  <c r="I46" i="35"/>
  <c r="G46" i="35"/>
  <c r="I45" i="35"/>
  <c r="G45" i="35"/>
  <c r="I44" i="35"/>
  <c r="G44" i="35"/>
  <c r="I43" i="35"/>
  <c r="G43" i="35"/>
  <c r="I42" i="35"/>
  <c r="G42" i="35"/>
  <c r="I9" i="35"/>
  <c r="G9" i="35"/>
  <c r="C9" i="35"/>
  <c r="C8" i="35"/>
  <c r="I7" i="35"/>
  <c r="G7" i="35"/>
  <c r="I6" i="35"/>
  <c r="G6" i="35"/>
  <c r="C6" i="35"/>
  <c r="I3" i="35"/>
  <c r="I2" i="35"/>
  <c r="C8" i="13"/>
  <c r="H15" i="26"/>
  <c r="I15" i="26"/>
  <c r="J15" i="26"/>
  <c r="N15" i="26"/>
  <c r="E15" i="26"/>
  <c r="K15" i="26"/>
  <c r="L15" i="26"/>
  <c r="M15" i="26"/>
  <c r="F15" i="26"/>
  <c r="G15" i="26"/>
  <c r="AI20" i="49" l="1"/>
  <c r="AD16" i="56"/>
  <c r="AA22" i="45"/>
  <c r="AF17" i="45"/>
  <c r="AF19" i="45"/>
  <c r="AB21" i="45"/>
  <c r="AA23" i="45"/>
  <c r="X17" i="46"/>
  <c r="AH19" i="47"/>
  <c r="AJ22" i="47"/>
  <c r="AF18" i="48"/>
  <c r="Y24" i="49"/>
  <c r="Z25" i="49"/>
  <c r="W18" i="50"/>
  <c r="AH21" i="50"/>
  <c r="AC18" i="53"/>
  <c r="AI19" i="53"/>
  <c r="AK22" i="53"/>
  <c r="Y25" i="53"/>
  <c r="AH26" i="53"/>
  <c r="Z19" i="54"/>
  <c r="AE19" i="55"/>
  <c r="AF23" i="55"/>
  <c r="AJ26" i="55"/>
  <c r="T17" i="56"/>
  <c r="AH23" i="45"/>
  <c r="AK17" i="45"/>
  <c r="AG19" i="45"/>
  <c r="AF21" i="45"/>
  <c r="AB23" i="45"/>
  <c r="Y17" i="46"/>
  <c r="AI19" i="47"/>
  <c r="AK22" i="47"/>
  <c r="Z24" i="49"/>
  <c r="AA25" i="49"/>
  <c r="AE18" i="50"/>
  <c r="AC26" i="53"/>
  <c r="AD18" i="53"/>
  <c r="AL19" i="53"/>
  <c r="AL22" i="53"/>
  <c r="Z25" i="53"/>
  <c r="AB27" i="53"/>
  <c r="AC26" i="55"/>
  <c r="AG20" i="55"/>
  <c r="AG23" i="55"/>
  <c r="AL26" i="55"/>
  <c r="U17" i="56"/>
  <c r="X23" i="49"/>
  <c r="AA24" i="49"/>
  <c r="AB25" i="49"/>
  <c r="X21" i="50"/>
  <c r="AE18" i="53"/>
  <c r="AG20" i="53"/>
  <c r="AG23" i="53"/>
  <c r="AA25" i="53"/>
  <c r="AC27" i="53"/>
  <c r="AJ27" i="55"/>
  <c r="AH20" i="55"/>
  <c r="X25" i="55"/>
  <c r="Y27" i="55"/>
  <c r="AH17" i="56"/>
  <c r="AG17" i="53"/>
  <c r="AH16" i="45"/>
  <c r="AH18" i="45"/>
  <c r="AB20" i="45"/>
  <c r="AC22" i="45"/>
  <c r="AL23" i="45"/>
  <c r="AF18" i="46"/>
  <c r="AK17" i="47"/>
  <c r="Z20" i="47"/>
  <c r="AB24" i="49"/>
  <c r="AC25" i="49"/>
  <c r="Y21" i="50"/>
  <c r="Y19" i="53"/>
  <c r="AA21" i="53"/>
  <c r="AH23" i="53"/>
  <c r="AG25" i="53"/>
  <c r="AE27" i="53"/>
  <c r="AI20" i="55"/>
  <c r="Y25" i="55"/>
  <c r="U18" i="56"/>
  <c r="AH21" i="45"/>
  <c r="AD16" i="47"/>
  <c r="AI16" i="45"/>
  <c r="AI18" i="45"/>
  <c r="AC20" i="45"/>
  <c r="AD22" i="45"/>
  <c r="AH19" i="46"/>
  <c r="X19" i="46"/>
  <c r="X18" i="47"/>
  <c r="Z21" i="47"/>
  <c r="T17" i="48"/>
  <c r="AG24" i="49"/>
  <c r="AH25" i="49"/>
  <c r="Z21" i="50"/>
  <c r="Z16" i="53"/>
  <c r="Z19" i="53"/>
  <c r="Z22" i="53"/>
  <c r="AI23" i="53"/>
  <c r="AI25" i="53"/>
  <c r="AB16" i="55"/>
  <c r="X22" i="55"/>
  <c r="Z25" i="55"/>
  <c r="W19" i="56"/>
  <c r="AI16" i="53"/>
  <c r="AI17" i="55"/>
  <c r="AH21" i="56"/>
  <c r="AA19" i="56"/>
  <c r="N11" i="14"/>
  <c r="X22" i="35"/>
  <c r="T19" i="36"/>
  <c r="AG16" i="45"/>
  <c r="AD17" i="45"/>
  <c r="AA18" i="45"/>
  <c r="AD19" i="45"/>
  <c r="AA20" i="45"/>
  <c r="Z21" i="45"/>
  <c r="AL21" i="45"/>
  <c r="Y23" i="45"/>
  <c r="AK23" i="45"/>
  <c r="V17" i="46"/>
  <c r="AE18" i="46"/>
  <c r="AC16" i="47"/>
  <c r="AL16" i="47"/>
  <c r="AD18" i="47"/>
  <c r="AG19" i="47"/>
  <c r="Y21" i="47"/>
  <c r="AG22" i="47"/>
  <c r="AL23" i="47"/>
  <c r="AB18" i="48"/>
  <c r="AH19" i="49"/>
  <c r="AH20" i="49"/>
  <c r="AH17" i="49"/>
  <c r="Z17" i="49"/>
  <c r="AF16" i="49"/>
  <c r="X24" i="49"/>
  <c r="AF24" i="49"/>
  <c r="Y25" i="49"/>
  <c r="AG25" i="49"/>
  <c r="V18" i="50"/>
  <c r="AD18" i="50"/>
  <c r="W21" i="50"/>
  <c r="AE21" i="50"/>
  <c r="Y16" i="53"/>
  <c r="AG16" i="53"/>
  <c r="AF17" i="53"/>
  <c r="Y18" i="53"/>
  <c r="X19" i="53"/>
  <c r="AF19" i="53"/>
  <c r="AF20" i="53"/>
  <c r="Y21" i="53"/>
  <c r="Y22" i="53"/>
  <c r="AG22" i="53"/>
  <c r="AF23" i="53"/>
  <c r="Y24" i="53"/>
  <c r="X25" i="53"/>
  <c r="AF25" i="53"/>
  <c r="AE26" i="53"/>
  <c r="Y27" i="53"/>
  <c r="Y19" i="54"/>
  <c r="AA16" i="55"/>
  <c r="AH17" i="55"/>
  <c r="AA19" i="55"/>
  <c r="AF20" i="55"/>
  <c r="AB21" i="55"/>
  <c r="AI22" i="55"/>
  <c r="AA24" i="55"/>
  <c r="AF25" i="55"/>
  <c r="AI26" i="55"/>
  <c r="AG21" i="56"/>
  <c r="AC16" i="56"/>
  <c r="AF17" i="56"/>
  <c r="V19" i="56"/>
  <c r="AH19" i="56"/>
  <c r="W21" i="56"/>
  <c r="AG17" i="49"/>
  <c r="Y17" i="49"/>
  <c r="AE16" i="49"/>
  <c r="X21" i="56"/>
  <c r="AL17" i="35"/>
  <c r="AE16" i="47"/>
  <c r="AL17" i="47"/>
  <c r="AA23" i="49"/>
  <c r="AJ20" i="49"/>
  <c r="AF17" i="49"/>
  <c r="AL16" i="49"/>
  <c r="AD16" i="49"/>
  <c r="X18" i="50"/>
  <c r="AF18" i="50"/>
  <c r="AA16" i="53"/>
  <c r="AK16" i="53"/>
  <c r="AH17" i="53"/>
  <c r="AH20" i="53"/>
  <c r="AD21" i="53"/>
  <c r="AC16" i="55"/>
  <c r="AJ17" i="55"/>
  <c r="T18" i="56"/>
  <c r="AA20" i="56"/>
  <c r="AL16" i="35"/>
  <c r="AL18" i="35"/>
  <c r="AF16" i="47"/>
  <c r="AL20" i="49"/>
  <c r="AE17" i="49"/>
  <c r="AK16" i="49"/>
  <c r="AC16" i="49"/>
  <c r="Y18" i="50"/>
  <c r="AG18" i="50"/>
  <c r="AB16" i="53"/>
  <c r="AL16" i="53"/>
  <c r="AI17" i="53"/>
  <c r="AI20" i="53"/>
  <c r="AE21" i="53"/>
  <c r="AE16" i="55"/>
  <c r="AK17" i="55"/>
  <c r="T16" i="56"/>
  <c r="AB20" i="56"/>
  <c r="X16" i="35"/>
  <c r="T16" i="36"/>
  <c r="AG16" i="47"/>
  <c r="Y18" i="47"/>
  <c r="AC19" i="47"/>
  <c r="AC22" i="47"/>
  <c r="AL22" i="47"/>
  <c r="U17" i="48"/>
  <c r="AJ27" i="49"/>
  <c r="AL17" i="49"/>
  <c r="AD17" i="49"/>
  <c r="AJ16" i="49"/>
  <c r="AB16" i="49"/>
  <c r="Z18" i="50"/>
  <c r="AH18" i="50"/>
  <c r="AC16" i="53"/>
  <c r="Y17" i="53"/>
  <c r="AJ17" i="53"/>
  <c r="Y20" i="53"/>
  <c r="AJ20" i="53"/>
  <c r="AG21" i="53"/>
  <c r="AC22" i="53"/>
  <c r="Y23" i="53"/>
  <c r="AJ23" i="53"/>
  <c r="AE24" i="53"/>
  <c r="AB25" i="53"/>
  <c r="X26" i="53"/>
  <c r="AI26" i="53"/>
  <c r="AH27" i="53"/>
  <c r="AB17" i="54"/>
  <c r="AI16" i="55"/>
  <c r="AA18" i="55"/>
  <c r="AF19" i="55"/>
  <c r="AJ20" i="55"/>
  <c r="AA22" i="55"/>
  <c r="AH23" i="55"/>
  <c r="AA25" i="55"/>
  <c r="AE26" i="55"/>
  <c r="Z27" i="55"/>
  <c r="V16" i="56"/>
  <c r="AB17" i="56"/>
  <c r="X18" i="56"/>
  <c r="AC19" i="56"/>
  <c r="AD20" i="56"/>
  <c r="N8" i="14"/>
  <c r="X17" i="35"/>
  <c r="AD16" i="45"/>
  <c r="AA17" i="45"/>
  <c r="X18" i="45"/>
  <c r="AL18" i="45"/>
  <c r="AI19" i="45"/>
  <c r="AL20" i="45"/>
  <c r="AI21" i="45"/>
  <c r="AG22" i="45"/>
  <c r="AD23" i="45"/>
  <c r="Z16" i="46"/>
  <c r="AH17" i="46"/>
  <c r="AA22" i="47"/>
  <c r="AH16" i="47"/>
  <c r="Z18" i="47"/>
  <c r="AD19" i="47"/>
  <c r="AK20" i="47"/>
  <c r="AD22" i="47"/>
  <c r="AI23" i="47"/>
  <c r="V17" i="48"/>
  <c r="Y17" i="50"/>
  <c r="AK17" i="49"/>
  <c r="AC17" i="49"/>
  <c r="AI16" i="49"/>
  <c r="AA16" i="49"/>
  <c r="AC24" i="49"/>
  <c r="AK24" i="49"/>
  <c r="AD25" i="49"/>
  <c r="AL25" i="49"/>
  <c r="AA18" i="50"/>
  <c r="T21" i="50"/>
  <c r="AB21" i="50"/>
  <c r="AJ27" i="53"/>
  <c r="AD16" i="53"/>
  <c r="AB17" i="53"/>
  <c r="AK17" i="53"/>
  <c r="AG18" i="53"/>
  <c r="AC19" i="53"/>
  <c r="AB20" i="53"/>
  <c r="AK20" i="53"/>
  <c r="AJ21" i="53"/>
  <c r="AD22" i="53"/>
  <c r="AB23" i="53"/>
  <c r="AK23" i="53"/>
  <c r="AG24" i="53"/>
  <c r="AC25" i="53"/>
  <c r="AA26" i="53"/>
  <c r="AJ26" i="53"/>
  <c r="AI27" i="53"/>
  <c r="AD17" i="54"/>
  <c r="X16" i="55"/>
  <c r="AE17" i="55"/>
  <c r="X19" i="55"/>
  <c r="AI19" i="55"/>
  <c r="AK20" i="55"/>
  <c r="AB22" i="55"/>
  <c r="AI23" i="55"/>
  <c r="AB25" i="55"/>
  <c r="AF26" i="55"/>
  <c r="AK27" i="55"/>
  <c r="W16" i="56"/>
  <c r="AC17" i="56"/>
  <c r="Y18" i="56"/>
  <c r="AD19" i="56"/>
  <c r="AE20" i="56"/>
  <c r="L9" i="14"/>
  <c r="AA26" i="47" s="1"/>
  <c r="X18" i="35"/>
  <c r="T17" i="36"/>
  <c r="AE16" i="45"/>
  <c r="AB17" i="45"/>
  <c r="Y18" i="45"/>
  <c r="X19" i="45"/>
  <c r="AJ19" i="45"/>
  <c r="X21" i="45"/>
  <c r="AJ21" i="45"/>
  <c r="AH22" i="45"/>
  <c r="AI23" i="45"/>
  <c r="AA16" i="46"/>
  <c r="AC18" i="46"/>
  <c r="AH23" i="47"/>
  <c r="AI16" i="47"/>
  <c r="AA18" i="47"/>
  <c r="AE19" i="47"/>
  <c r="AL20" i="47"/>
  <c r="AE22" i="47"/>
  <c r="AJ23" i="47"/>
  <c r="W17" i="48"/>
  <c r="AE19" i="49"/>
  <c r="AJ17" i="49"/>
  <c r="AB17" i="49"/>
  <c r="AH16" i="49"/>
  <c r="Z16" i="49"/>
  <c r="AD24" i="49"/>
  <c r="AL24" i="49"/>
  <c r="AE25" i="49"/>
  <c r="T18" i="50"/>
  <c r="AB18" i="50"/>
  <c r="U21" i="50"/>
  <c r="AC21" i="50"/>
  <c r="AE16" i="53"/>
  <c r="AC17" i="53"/>
  <c r="AL17" i="53"/>
  <c r="AJ18" i="53"/>
  <c r="AD19" i="53"/>
  <c r="AC20" i="53"/>
  <c r="AL20" i="53"/>
  <c r="AK21" i="53"/>
  <c r="AE22" i="53"/>
  <c r="AC23" i="53"/>
  <c r="AL23" i="53"/>
  <c r="AJ24" i="53"/>
  <c r="AD25" i="53"/>
  <c r="AB26" i="53"/>
  <c r="AK26" i="53"/>
  <c r="AK27" i="53"/>
  <c r="AE17" i="54"/>
  <c r="Y16" i="55"/>
  <c r="AF17" i="55"/>
  <c r="Y19" i="55"/>
  <c r="AJ19" i="55"/>
  <c r="X21" i="55"/>
  <c r="AC22" i="55"/>
  <c r="AJ23" i="55"/>
  <c r="AC25" i="55"/>
  <c r="AG26" i="55"/>
  <c r="AL27" i="55"/>
  <c r="X16" i="56"/>
  <c r="AD17" i="56"/>
  <c r="Z18" i="56"/>
  <c r="AF19" i="56"/>
  <c r="AF20" i="56"/>
  <c r="X19" i="35"/>
  <c r="AF16" i="45"/>
  <c r="Z18" i="45"/>
  <c r="AC19" i="45"/>
  <c r="Z20" i="45"/>
  <c r="Y21" i="45"/>
  <c r="AK21" i="45"/>
  <c r="X23" i="45"/>
  <c r="AC18" i="47"/>
  <c r="AF19" i="47"/>
  <c r="AF22" i="47"/>
  <c r="AI17" i="49"/>
  <c r="AA17" i="49"/>
  <c r="AG16" i="49"/>
  <c r="AE24" i="49"/>
  <c r="X25" i="49"/>
  <c r="K25" i="49" s="1"/>
  <c r="AF25" i="49"/>
  <c r="U18" i="50"/>
  <c r="V21" i="50"/>
  <c r="X16" i="53"/>
  <c r="AF16" i="53"/>
  <c r="X18" i="53"/>
  <c r="AK18" i="53"/>
  <c r="AE19" i="53"/>
  <c r="AE20" i="53"/>
  <c r="X22" i="53"/>
  <c r="AF22" i="53"/>
  <c r="X24" i="53"/>
  <c r="AK24" i="53"/>
  <c r="AD26" i="53"/>
  <c r="AL26" i="53"/>
  <c r="Z16" i="55"/>
  <c r="AG17" i="55"/>
  <c r="Z19" i="55"/>
  <c r="AE20" i="55"/>
  <c r="AE22" i="55"/>
  <c r="AK23" i="55"/>
  <c r="AE25" i="55"/>
  <c r="U19" i="56"/>
  <c r="K11" i="14"/>
  <c r="L8" i="14"/>
  <c r="AE25" i="47" s="1"/>
  <c r="M14" i="14"/>
  <c r="AG29" i="47"/>
  <c r="AI29" i="47"/>
  <c r="X29" i="47"/>
  <c r="AH29" i="47"/>
  <c r="P6" i="14"/>
  <c r="P14" i="14"/>
  <c r="O9" i="14"/>
  <c r="AK29" i="53" s="1"/>
  <c r="K10" i="14"/>
  <c r="AD27" i="45" s="1"/>
  <c r="O10" i="14"/>
  <c r="N14" i="14"/>
  <c r="K9" i="14"/>
  <c r="AL26" i="45" s="1"/>
  <c r="M13" i="14"/>
  <c r="AG29" i="35" s="1"/>
  <c r="P13" i="14"/>
  <c r="Z31" i="55" s="1"/>
  <c r="M8" i="14"/>
  <c r="AE25" i="35" s="1"/>
  <c r="N9" i="14"/>
  <c r="X29" i="49" s="1"/>
  <c r="K8" i="14"/>
  <c r="AF25" i="45" s="1"/>
  <c r="P9" i="14"/>
  <c r="M9" i="14"/>
  <c r="AE26" i="35" s="1"/>
  <c r="L10" i="14"/>
  <c r="AA27" i="47" s="1"/>
  <c r="N10" i="14"/>
  <c r="AD30" i="49" s="1"/>
  <c r="AG31" i="55"/>
  <c r="AF31" i="55"/>
  <c r="AE31" i="55"/>
  <c r="Y31" i="55"/>
  <c r="X31" i="55"/>
  <c r="AH31" i="55"/>
  <c r="AL31" i="55"/>
  <c r="AK31" i="55"/>
  <c r="AI31" i="55"/>
  <c r="AL29" i="53"/>
  <c r="AC29" i="53"/>
  <c r="AG26" i="35"/>
  <c r="X26" i="35"/>
  <c r="AK26" i="35"/>
  <c r="Z26" i="35"/>
  <c r="AB26" i="35"/>
  <c r="AH25" i="35"/>
  <c r="Z25" i="35"/>
  <c r="AA25" i="35"/>
  <c r="AC25" i="35"/>
  <c r="AK25" i="47"/>
  <c r="AJ25" i="47"/>
  <c r="AG25" i="47"/>
  <c r="AF25" i="47"/>
  <c r="AL25" i="47"/>
  <c r="AI25" i="47"/>
  <c r="AH25" i="47"/>
  <c r="AD25" i="47"/>
  <c r="AC25" i="47"/>
  <c r="AB25" i="47"/>
  <c r="AA25" i="47"/>
  <c r="Z25" i="47"/>
  <c r="Y25" i="47"/>
  <c r="X25" i="47"/>
  <c r="AI24" i="35"/>
  <c r="AJ24" i="35"/>
  <c r="AK24" i="35"/>
  <c r="AL24" i="35"/>
  <c r="X24" i="35"/>
  <c r="Y24" i="35"/>
  <c r="AA24" i="35"/>
  <c r="AB24" i="35"/>
  <c r="AC24" i="35"/>
  <c r="AD24" i="35"/>
  <c r="AE24" i="35"/>
  <c r="AF24" i="35"/>
  <c r="AG24" i="35"/>
  <c r="AD26" i="35"/>
  <c r="N7" i="14"/>
  <c r="AG26" i="47"/>
  <c r="Z30" i="49"/>
  <c r="O7" i="14"/>
  <c r="AJ29" i="47"/>
  <c r="P7" i="14"/>
  <c r="O12" i="14"/>
  <c r="AB25" i="45"/>
  <c r="AK29" i="47"/>
  <c r="AC25" i="45"/>
  <c r="AL29" i="47"/>
  <c r="P11" i="14"/>
  <c r="AD25" i="45"/>
  <c r="AK26" i="47"/>
  <c r="O11" i="14"/>
  <c r="AE25" i="45"/>
  <c r="AC29" i="35"/>
  <c r="Y27" i="45"/>
  <c r="X29" i="55"/>
  <c r="P8" i="14"/>
  <c r="AJ25" i="45"/>
  <c r="AC27" i="45"/>
  <c r="X30" i="53"/>
  <c r="AB29" i="55"/>
  <c r="L5" i="14"/>
  <c r="K7" i="14"/>
  <c r="P10" i="14"/>
  <c r="O8" i="14"/>
  <c r="AK25" i="45"/>
  <c r="Y30" i="53"/>
  <c r="AC29" i="55"/>
  <c r="AE29" i="55"/>
  <c r="K6" i="14"/>
  <c r="L7" i="14"/>
  <c r="Y29" i="47"/>
  <c r="AF29" i="55"/>
  <c r="Z29" i="55"/>
  <c r="X26" i="47"/>
  <c r="Z29" i="47"/>
  <c r="AG29" i="55"/>
  <c r="Y26" i="47"/>
  <c r="AG27" i="47"/>
  <c r="AA29" i="47"/>
  <c r="AD30" i="53"/>
  <c r="AH29" i="55"/>
  <c r="K13" i="14"/>
  <c r="P12" i="14"/>
  <c r="AJ27" i="45"/>
  <c r="Z26" i="47"/>
  <c r="AB29" i="47"/>
  <c r="AE30" i="53"/>
  <c r="AI29" i="55"/>
  <c r="N5" i="14"/>
  <c r="N13" i="14"/>
  <c r="AC26" i="45"/>
  <c r="AK27" i="45"/>
  <c r="AC29" i="47"/>
  <c r="AF30" i="53"/>
  <c r="AJ29" i="55"/>
  <c r="L12" i="14"/>
  <c r="O5" i="14"/>
  <c r="O13" i="14"/>
  <c r="K14" i="14"/>
  <c r="AD29" i="47"/>
  <c r="AG30" i="53"/>
  <c r="AK29" i="55"/>
  <c r="AL25" i="45"/>
  <c r="K12" i="14"/>
  <c r="P5" i="14"/>
  <c r="AE29" i="47"/>
  <c r="AL29" i="55"/>
  <c r="AI25" i="45"/>
  <c r="AI30" i="49"/>
  <c r="AA29" i="55"/>
  <c r="N6" i="14"/>
  <c r="AF29" i="47"/>
  <c r="L11" i="14"/>
  <c r="O6" i="14"/>
  <c r="O14" i="14"/>
  <c r="AG17" i="56"/>
  <c r="U16" i="56"/>
  <c r="V18" i="56"/>
  <c r="AC20" i="56"/>
  <c r="Y16" i="56"/>
  <c r="AB18" i="56"/>
  <c r="AG20" i="56"/>
  <c r="Z16" i="56"/>
  <c r="AC18" i="56"/>
  <c r="AH20" i="56"/>
  <c r="AA16" i="56"/>
  <c r="T19" i="56"/>
  <c r="T21" i="56"/>
  <c r="AF16" i="56"/>
  <c r="X19" i="56"/>
  <c r="Y21" i="56"/>
  <c r="AG16" i="56"/>
  <c r="Y19" i="56"/>
  <c r="AA21" i="56"/>
  <c r="AH16" i="56"/>
  <c r="Z19" i="56"/>
  <c r="AB21" i="56"/>
  <c r="AD16" i="55"/>
  <c r="AL17" i="55"/>
  <c r="AD19" i="55"/>
  <c r="AL20" i="55"/>
  <c r="AD22" i="55"/>
  <c r="AL23" i="55"/>
  <c r="AD25" i="55"/>
  <c r="AK26" i="55"/>
  <c r="AF16" i="55"/>
  <c r="X18" i="55"/>
  <c r="AF22" i="55"/>
  <c r="X24" i="55"/>
  <c r="AG16" i="55"/>
  <c r="Y18" i="55"/>
  <c r="AG19" i="55"/>
  <c r="Y21" i="55"/>
  <c r="AG22" i="55"/>
  <c r="Y24" i="55"/>
  <c r="AG25" i="55"/>
  <c r="AH16" i="55"/>
  <c r="Z18" i="55"/>
  <c r="AH19" i="55"/>
  <c r="Z21" i="55"/>
  <c r="AH22" i="55"/>
  <c r="Z24" i="55"/>
  <c r="AH25" i="55"/>
  <c r="X27" i="55"/>
  <c r="AE16" i="56"/>
  <c r="W18" i="56"/>
  <c r="AE19" i="56"/>
  <c r="V21" i="56"/>
  <c r="AL16" i="55"/>
  <c r="AD18" i="55"/>
  <c r="AD21" i="55"/>
  <c r="AL22" i="55"/>
  <c r="AL25" i="55"/>
  <c r="AB27" i="55"/>
  <c r="AA18" i="56"/>
  <c r="Z21" i="56"/>
  <c r="AB24" i="55"/>
  <c r="AD24" i="55"/>
  <c r="AF21" i="55"/>
  <c r="Y20" i="55"/>
  <c r="AG24" i="55"/>
  <c r="AE27" i="55"/>
  <c r="V17" i="56"/>
  <c r="AD18" i="56"/>
  <c r="U20" i="56"/>
  <c r="AC21" i="56"/>
  <c r="AJ16" i="55"/>
  <c r="AJ22" i="55"/>
  <c r="X17" i="55"/>
  <c r="AF24" i="55"/>
  <c r="Y17" i="55"/>
  <c r="AG18" i="55"/>
  <c r="AG21" i="55"/>
  <c r="Y23" i="55"/>
  <c r="X26" i="55"/>
  <c r="Z17" i="55"/>
  <c r="AH18" i="55"/>
  <c r="Z20" i="55"/>
  <c r="AH21" i="55"/>
  <c r="Z23" i="55"/>
  <c r="AH24" i="55"/>
  <c r="Y26" i="55"/>
  <c r="AF27" i="55"/>
  <c r="W17" i="56"/>
  <c r="AE18" i="56"/>
  <c r="V20" i="56"/>
  <c r="AD21" i="56"/>
  <c r="AB18" i="55"/>
  <c r="AE21" i="55"/>
  <c r="X17" i="56"/>
  <c r="AF18" i="56"/>
  <c r="W20" i="56"/>
  <c r="AE21" i="56"/>
  <c r="AC18" i="55"/>
  <c r="AC24" i="55"/>
  <c r="AE18" i="55"/>
  <c r="AF18" i="55"/>
  <c r="X20" i="55"/>
  <c r="X23" i="55"/>
  <c r="AD27" i="55"/>
  <c r="AA17" i="55"/>
  <c r="AI18" i="55"/>
  <c r="AA20" i="55"/>
  <c r="AI21" i="55"/>
  <c r="AA23" i="55"/>
  <c r="AI24" i="55"/>
  <c r="Z26" i="55"/>
  <c r="AG27" i="55"/>
  <c r="AB17" i="55"/>
  <c r="AJ18" i="55"/>
  <c r="AB20" i="55"/>
  <c r="AJ21" i="55"/>
  <c r="AB23" i="55"/>
  <c r="AJ24" i="55"/>
  <c r="AA26" i="55"/>
  <c r="AH27" i="55"/>
  <c r="Y17" i="56"/>
  <c r="AG18" i="56"/>
  <c r="X20" i="56"/>
  <c r="AF21" i="56"/>
  <c r="AL19" i="55"/>
  <c r="AC27" i="55"/>
  <c r="AK18" i="55"/>
  <c r="Z17" i="56"/>
  <c r="AH18" i="56"/>
  <c r="Y20" i="56"/>
  <c r="AK16" i="55"/>
  <c r="AK19" i="55"/>
  <c r="AC21" i="55"/>
  <c r="AK22" i="55"/>
  <c r="AK25" i="55"/>
  <c r="AA27" i="55"/>
  <c r="AE24" i="55"/>
  <c r="AC17" i="55"/>
  <c r="AC20" i="55"/>
  <c r="AK21" i="55"/>
  <c r="AC23" i="55"/>
  <c r="AK24" i="55"/>
  <c r="AB26" i="55"/>
  <c r="AI27" i="55"/>
  <c r="AD17" i="55"/>
  <c r="AL18" i="55"/>
  <c r="AD20" i="55"/>
  <c r="AL21" i="55"/>
  <c r="AD23" i="55"/>
  <c r="AL24" i="55"/>
  <c r="AA17" i="56"/>
  <c r="Z20" i="56"/>
  <c r="AB16" i="54"/>
  <c r="T18" i="54"/>
  <c r="W19" i="54"/>
  <c r="AG17" i="54"/>
  <c r="AH17" i="54"/>
  <c r="T19" i="54"/>
  <c r="V19" i="54"/>
  <c r="X19" i="54"/>
  <c r="AH21" i="54"/>
  <c r="AB19" i="54"/>
  <c r="AC19" i="54"/>
  <c r="T16" i="54"/>
  <c r="AA20" i="54"/>
  <c r="AC20" i="54"/>
  <c r="W16" i="54"/>
  <c r="AD20" i="54"/>
  <c r="X16" i="54"/>
  <c r="AE20" i="54"/>
  <c r="Y16" i="54"/>
  <c r="AF20" i="54"/>
  <c r="V16" i="54"/>
  <c r="Z16" i="54"/>
  <c r="AG20" i="54"/>
  <c r="AA19" i="54"/>
  <c r="AA16" i="54"/>
  <c r="U16" i="54"/>
  <c r="AC17" i="54"/>
  <c r="U19" i="54"/>
  <c r="AB20" i="54"/>
  <c r="AC16" i="54"/>
  <c r="T21" i="54"/>
  <c r="AD16" i="54"/>
  <c r="V18" i="54"/>
  <c r="AD19" i="54"/>
  <c r="U21" i="54"/>
  <c r="AH16" i="53"/>
  <c r="Z18" i="53"/>
  <c r="AH19" i="53"/>
  <c r="Z21" i="53"/>
  <c r="AH22" i="53"/>
  <c r="Z24" i="53"/>
  <c r="AH25" i="53"/>
  <c r="X27" i="53"/>
  <c r="AE16" i="54"/>
  <c r="W18" i="54"/>
  <c r="AE19" i="54"/>
  <c r="V21" i="54"/>
  <c r="AF16" i="54"/>
  <c r="X18" i="54"/>
  <c r="AF19" i="54"/>
  <c r="W21" i="54"/>
  <c r="AJ16" i="53"/>
  <c r="AB18" i="53"/>
  <c r="AJ19" i="53"/>
  <c r="AB21" i="53"/>
  <c r="AJ22" i="53"/>
  <c r="AB24" i="53"/>
  <c r="AJ25" i="53"/>
  <c r="Z27" i="53"/>
  <c r="AG16" i="54"/>
  <c r="Y18" i="54"/>
  <c r="AG19" i="54"/>
  <c r="X21" i="54"/>
  <c r="U18" i="54"/>
  <c r="AK19" i="53"/>
  <c r="AC21" i="53"/>
  <c r="AK25" i="53"/>
  <c r="AA27" i="53"/>
  <c r="AH16" i="54"/>
  <c r="Z18" i="54"/>
  <c r="AH19" i="54"/>
  <c r="Y21" i="54"/>
  <c r="T17" i="54"/>
  <c r="AB18" i="54"/>
  <c r="AA21" i="54"/>
  <c r="X17" i="53"/>
  <c r="AF18" i="53"/>
  <c r="X20" i="53"/>
  <c r="AF21" i="53"/>
  <c r="X23" i="53"/>
  <c r="AF24" i="53"/>
  <c r="AD27" i="53"/>
  <c r="U17" i="54"/>
  <c r="AC18" i="54"/>
  <c r="T20" i="54"/>
  <c r="AB21" i="54"/>
  <c r="AA18" i="54"/>
  <c r="Z21" i="54"/>
  <c r="V17" i="54"/>
  <c r="AD18" i="54"/>
  <c r="AC21" i="54"/>
  <c r="Z17" i="53"/>
  <c r="AH18" i="53"/>
  <c r="Z20" i="53"/>
  <c r="AH21" i="53"/>
  <c r="Z23" i="53"/>
  <c r="AH24" i="53"/>
  <c r="Y26" i="53"/>
  <c r="AF27" i="53"/>
  <c r="W17" i="54"/>
  <c r="AE18" i="54"/>
  <c r="V20" i="54"/>
  <c r="AD21" i="54"/>
  <c r="U20" i="54"/>
  <c r="AA17" i="53"/>
  <c r="AI18" i="53"/>
  <c r="AA20" i="53"/>
  <c r="AI21" i="53"/>
  <c r="AA23" i="53"/>
  <c r="AI24" i="53"/>
  <c r="Z26" i="53"/>
  <c r="AG27" i="53"/>
  <c r="X17" i="54"/>
  <c r="AF18" i="54"/>
  <c r="W20" i="54"/>
  <c r="AE21" i="54"/>
  <c r="Y17" i="54"/>
  <c r="AG18" i="54"/>
  <c r="X20" i="54"/>
  <c r="AF21" i="54"/>
  <c r="Z17" i="54"/>
  <c r="AH18" i="54"/>
  <c r="Y20" i="54"/>
  <c r="AG21" i="54"/>
  <c r="AD17" i="53"/>
  <c r="AL18" i="53"/>
  <c r="AD20" i="53"/>
  <c r="AL21" i="53"/>
  <c r="AD23" i="53"/>
  <c r="AL24" i="53"/>
  <c r="AA17" i="54"/>
  <c r="Z20" i="54"/>
  <c r="X21" i="49"/>
  <c r="AA21" i="49"/>
  <c r="AG20" i="49"/>
  <c r="AB21" i="49"/>
  <c r="AD20" i="49"/>
  <c r="AE20" i="49"/>
  <c r="AF20" i="49"/>
  <c r="AK20" i="49"/>
  <c r="Y21" i="49"/>
  <c r="Z21" i="49"/>
  <c r="AC21" i="49"/>
  <c r="AD21" i="49"/>
  <c r="AE21" i="49"/>
  <c r="AF21" i="49"/>
  <c r="X20" i="49"/>
  <c r="AG21" i="49"/>
  <c r="Y20" i="49"/>
  <c r="AH21" i="49"/>
  <c r="Z20" i="49"/>
  <c r="AI21" i="49"/>
  <c r="AA20" i="49"/>
  <c r="AJ21" i="49"/>
  <c r="AB20" i="49"/>
  <c r="AK21" i="49"/>
  <c r="AC20" i="49"/>
  <c r="AL21" i="49"/>
  <c r="AI19" i="49"/>
  <c r="AD26" i="49"/>
  <c r="AE26" i="49"/>
  <c r="AH26" i="49"/>
  <c r="AF26" i="49"/>
  <c r="AK27" i="49"/>
  <c r="AL27" i="49"/>
  <c r="AG26" i="49"/>
  <c r="X18" i="49"/>
  <c r="Y18" i="49"/>
  <c r="Z18" i="49"/>
  <c r="AA18" i="49"/>
  <c r="AG19" i="49"/>
  <c r="AJ19" i="49"/>
  <c r="Y23" i="49"/>
  <c r="Z23" i="49"/>
  <c r="T17" i="50"/>
  <c r="U17" i="50"/>
  <c r="AH20" i="50"/>
  <c r="V17" i="50"/>
  <c r="W17" i="50"/>
  <c r="X17" i="50"/>
  <c r="AC19" i="50"/>
  <c r="AD19" i="50"/>
  <c r="AB19" i="50"/>
  <c r="AE19" i="50"/>
  <c r="AF19" i="50"/>
  <c r="AB18" i="49"/>
  <c r="AJ26" i="49"/>
  <c r="AD18" i="49"/>
  <c r="X22" i="49"/>
  <c r="AG18" i="49"/>
  <c r="V16" i="50"/>
  <c r="AE17" i="50"/>
  <c r="AF17" i="50"/>
  <c r="AJ18" i="49"/>
  <c r="Y16" i="50"/>
  <c r="AG17" i="50"/>
  <c r="X20" i="50"/>
  <c r="AK18" i="49"/>
  <c r="AC22" i="49"/>
  <c r="AK23" i="49"/>
  <c r="AA27" i="49"/>
  <c r="Z16" i="50"/>
  <c r="AH17" i="50"/>
  <c r="Y20" i="50"/>
  <c r="AI26" i="49"/>
  <c r="AC18" i="49"/>
  <c r="AC23" i="49"/>
  <c r="AK26" i="49"/>
  <c r="T16" i="50"/>
  <c r="AF18" i="49"/>
  <c r="V20" i="50"/>
  <c r="AI23" i="49"/>
  <c r="W20" i="50"/>
  <c r="AB22" i="49"/>
  <c r="AJ23" i="49"/>
  <c r="AL18" i="49"/>
  <c r="AD22" i="49"/>
  <c r="AL23" i="49"/>
  <c r="AB27" i="49"/>
  <c r="AA16" i="50"/>
  <c r="Z20" i="50"/>
  <c r="AK19" i="49"/>
  <c r="U20" i="50"/>
  <c r="AH23" i="49"/>
  <c r="W16" i="50"/>
  <c r="Z27" i="49"/>
  <c r="AE22" i="49"/>
  <c r="AC27" i="49"/>
  <c r="AB16" i="50"/>
  <c r="T19" i="50"/>
  <c r="AA20" i="50"/>
  <c r="AL19" i="49"/>
  <c r="AE18" i="49"/>
  <c r="AD17" i="50"/>
  <c r="AH18" i="49"/>
  <c r="Z22" i="49"/>
  <c r="X27" i="49"/>
  <c r="AI18" i="49"/>
  <c r="AA22" i="49"/>
  <c r="Y27" i="49"/>
  <c r="X16" i="50"/>
  <c r="X16" i="49"/>
  <c r="X19" i="49"/>
  <c r="AF22" i="49"/>
  <c r="AD27" i="49"/>
  <c r="AC16" i="50"/>
  <c r="U19" i="50"/>
  <c r="AB20" i="50"/>
  <c r="Z17" i="50"/>
  <c r="AL26" i="49"/>
  <c r="AB17" i="50"/>
  <c r="U16" i="50"/>
  <c r="AD20" i="50"/>
  <c r="AA19" i="49"/>
  <c r="AI22" i="49"/>
  <c r="Z26" i="49"/>
  <c r="AG27" i="49"/>
  <c r="AF16" i="50"/>
  <c r="X19" i="50"/>
  <c r="AE20" i="50"/>
  <c r="AG19" i="50"/>
  <c r="X17" i="49"/>
  <c r="AF23" i="49"/>
  <c r="T20" i="50"/>
  <c r="AG23" i="49"/>
  <c r="AG22" i="49"/>
  <c r="AC20" i="50"/>
  <c r="Z19" i="49"/>
  <c r="AF27" i="49"/>
  <c r="W19" i="50"/>
  <c r="AG16" i="50"/>
  <c r="Y19" i="50"/>
  <c r="AF20" i="50"/>
  <c r="AC17" i="50"/>
  <c r="Y22" i="49"/>
  <c r="AE27" i="49"/>
  <c r="V19" i="50"/>
  <c r="AH22" i="49"/>
  <c r="AC19" i="49"/>
  <c r="AK22" i="49"/>
  <c r="AB26" i="49"/>
  <c r="AI27" i="49"/>
  <c r="AH16" i="50"/>
  <c r="Z19" i="50"/>
  <c r="AG20" i="50"/>
  <c r="AH19" i="50"/>
  <c r="AD23" i="49"/>
  <c r="AA17" i="50"/>
  <c r="AE23" i="49"/>
  <c r="Y19" i="49"/>
  <c r="X26" i="49"/>
  <c r="AD16" i="50"/>
  <c r="Y26" i="49"/>
  <c r="AE16" i="50"/>
  <c r="AB19" i="49"/>
  <c r="AJ22" i="49"/>
  <c r="AA26" i="49"/>
  <c r="AH27" i="49"/>
  <c r="AD19" i="49"/>
  <c r="AL22" i="49"/>
  <c r="AA19" i="50"/>
  <c r="Z17" i="48"/>
  <c r="AH18" i="48"/>
  <c r="AJ16" i="47"/>
  <c r="AB18" i="47"/>
  <c r="AJ19" i="47"/>
  <c r="AB21" i="47"/>
  <c r="AI22" i="47"/>
  <c r="AA17" i="48"/>
  <c r="AG18" i="48"/>
  <c r="AK19" i="47"/>
  <c r="AB17" i="48"/>
  <c r="AL19" i="47"/>
  <c r="AD21" i="47"/>
  <c r="U16" i="48"/>
  <c r="AC17" i="48"/>
  <c r="T19" i="48"/>
  <c r="AE21" i="47"/>
  <c r="V16" i="48"/>
  <c r="AD17" i="48"/>
  <c r="U19" i="48"/>
  <c r="X17" i="47"/>
  <c r="AF18" i="47"/>
  <c r="X20" i="47"/>
  <c r="AF21" i="47"/>
  <c r="W16" i="48"/>
  <c r="AE17" i="48"/>
  <c r="V19" i="48"/>
  <c r="AH17" i="48"/>
  <c r="AC21" i="47"/>
  <c r="AF17" i="48"/>
  <c r="AC17" i="47"/>
  <c r="AB16" i="48"/>
  <c r="T18" i="48"/>
  <c r="AD17" i="47"/>
  <c r="AL18" i="47"/>
  <c r="AD20" i="47"/>
  <c r="AL21" i="47"/>
  <c r="AB23" i="47"/>
  <c r="AC16" i="48"/>
  <c r="U18" i="48"/>
  <c r="AB19" i="48"/>
  <c r="AB20" i="47"/>
  <c r="AK18" i="47"/>
  <c r="AK21" i="47"/>
  <c r="AA23" i="47"/>
  <c r="AA19" i="48"/>
  <c r="AE17" i="47"/>
  <c r="AE20" i="47"/>
  <c r="AC23" i="47"/>
  <c r="AD16" i="48"/>
  <c r="V18" i="48"/>
  <c r="AC19" i="48"/>
  <c r="T16" i="48"/>
  <c r="Y16" i="48"/>
  <c r="AA17" i="47"/>
  <c r="Y19" i="48"/>
  <c r="AB17" i="47"/>
  <c r="AE16" i="48"/>
  <c r="W18" i="48"/>
  <c r="AD19" i="48"/>
  <c r="AE23" i="47"/>
  <c r="AF16" i="48"/>
  <c r="X18" i="48"/>
  <c r="AE19" i="48"/>
  <c r="Y17" i="48"/>
  <c r="Y17" i="47"/>
  <c r="W19" i="48"/>
  <c r="X23" i="47"/>
  <c r="X19" i="48"/>
  <c r="AJ18" i="47"/>
  <c r="Z23" i="47"/>
  <c r="AA16" i="48"/>
  <c r="Z19" i="48"/>
  <c r="AC20" i="47"/>
  <c r="X16" i="47"/>
  <c r="AF17" i="47"/>
  <c r="X19" i="47"/>
  <c r="AF20" i="47"/>
  <c r="AD23" i="47"/>
  <c r="AG17" i="47"/>
  <c r="Y19" i="47"/>
  <c r="AG20" i="47"/>
  <c r="Z16" i="47"/>
  <c r="AH17" i="47"/>
  <c r="Z19" i="47"/>
  <c r="AH20" i="47"/>
  <c r="Y22" i="47"/>
  <c r="AF23" i="47"/>
  <c r="AG16" i="48"/>
  <c r="Y18" i="48"/>
  <c r="AF19" i="48"/>
  <c r="AG21" i="47"/>
  <c r="X16" i="48"/>
  <c r="Z17" i="47"/>
  <c r="X22" i="47"/>
  <c r="AA16" i="47"/>
  <c r="AI17" i="47"/>
  <c r="AA19" i="47"/>
  <c r="AI20" i="47"/>
  <c r="Z22" i="47"/>
  <c r="AG23" i="47"/>
  <c r="AH16" i="48"/>
  <c r="Z18" i="48"/>
  <c r="AG19" i="48"/>
  <c r="AH21" i="47"/>
  <c r="AG17" i="48"/>
  <c r="AI18" i="47"/>
  <c r="AA20" i="47"/>
  <c r="AI21" i="47"/>
  <c r="Y23" i="47"/>
  <c r="Z16" i="48"/>
  <c r="AJ21" i="47"/>
  <c r="Y16" i="47"/>
  <c r="AB16" i="47"/>
  <c r="AJ17" i="47"/>
  <c r="AB19" i="47"/>
  <c r="AJ20" i="47"/>
  <c r="AA18" i="48"/>
  <c r="AC16" i="45"/>
  <c r="AK20" i="45"/>
  <c r="AB22" i="45"/>
  <c r="T17" i="46"/>
  <c r="AB18" i="46"/>
  <c r="AI22" i="45"/>
  <c r="AA17" i="46"/>
  <c r="AK16" i="45"/>
  <c r="AK19" i="45"/>
  <c r="AJ22" i="45"/>
  <c r="AL16" i="45"/>
  <c r="AL19" i="45"/>
  <c r="AK22" i="45"/>
  <c r="U16" i="46"/>
  <c r="AC17" i="46"/>
  <c r="T19" i="46"/>
  <c r="AG18" i="46"/>
  <c r="AH18" i="46"/>
  <c r="AB18" i="45"/>
  <c r="AC18" i="45"/>
  <c r="AC21" i="45"/>
  <c r="T16" i="46"/>
  <c r="AB17" i="46"/>
  <c r="AD18" i="45"/>
  <c r="AD21" i="45"/>
  <c r="AE18" i="45"/>
  <c r="AE21" i="45"/>
  <c r="AL22" i="45"/>
  <c r="V16" i="46"/>
  <c r="AD17" i="46"/>
  <c r="U19" i="46"/>
  <c r="Z17" i="46"/>
  <c r="AJ16" i="45"/>
  <c r="AF18" i="45"/>
  <c r="X20" i="45"/>
  <c r="W16" i="46"/>
  <c r="AE17" i="46"/>
  <c r="V19" i="46"/>
  <c r="Y17" i="45"/>
  <c r="AG18" i="45"/>
  <c r="Y20" i="45"/>
  <c r="AG21" i="45"/>
  <c r="X16" i="46"/>
  <c r="AF17" i="46"/>
  <c r="W19" i="46"/>
  <c r="AB16" i="46"/>
  <c r="AC16" i="46"/>
  <c r="AD16" i="46"/>
  <c r="AE16" i="46"/>
  <c r="Y16" i="45"/>
  <c r="X22" i="45"/>
  <c r="AF16" i="46"/>
  <c r="Z16" i="45"/>
  <c r="AH17" i="45"/>
  <c r="Z19" i="45"/>
  <c r="AH20" i="45"/>
  <c r="Y22" i="45"/>
  <c r="AF23" i="45"/>
  <c r="AG16" i="46"/>
  <c r="Y18" i="46"/>
  <c r="AF19" i="46"/>
  <c r="T18" i="46"/>
  <c r="U18" i="46"/>
  <c r="V18" i="46"/>
  <c r="AF20" i="45"/>
  <c r="AD19" i="46"/>
  <c r="Y19" i="45"/>
  <c r="AE19" i="46"/>
  <c r="AA16" i="45"/>
  <c r="AI17" i="45"/>
  <c r="AA19" i="45"/>
  <c r="AI20" i="45"/>
  <c r="Z22" i="45"/>
  <c r="AG23" i="45"/>
  <c r="AH16" i="46"/>
  <c r="Z18" i="46"/>
  <c r="AG19" i="46"/>
  <c r="AA19" i="46"/>
  <c r="AB19" i="46"/>
  <c r="AC19" i="46"/>
  <c r="X16" i="45"/>
  <c r="W18" i="46"/>
  <c r="AG17" i="45"/>
  <c r="AG20" i="45"/>
  <c r="AE23" i="45"/>
  <c r="X18" i="46"/>
  <c r="AB16" i="45"/>
  <c r="AJ17" i="45"/>
  <c r="AB19" i="45"/>
  <c r="AJ20" i="45"/>
  <c r="AA18" i="46"/>
  <c r="AL20" i="35"/>
  <c r="T18" i="36"/>
  <c r="X20" i="35"/>
  <c r="X21" i="35"/>
  <c r="X23" i="35"/>
  <c r="AH19" i="36"/>
  <c r="M12" i="14"/>
  <c r="L6" i="14"/>
  <c r="M11" i="14"/>
  <c r="AL19" i="35"/>
  <c r="AH18" i="36"/>
  <c r="M5" i="14"/>
  <c r="AL21" i="35"/>
  <c r="M10" i="14"/>
  <c r="H54" i="14"/>
  <c r="H36" i="14"/>
  <c r="AF29" i="35" l="1"/>
  <c r="AB26" i="45"/>
  <c r="AI27" i="45"/>
  <c r="AH25" i="45"/>
  <c r="Y29" i="35"/>
  <c r="AL26" i="47"/>
  <c r="AE29" i="35"/>
  <c r="AB30" i="49"/>
  <c r="AA30" i="49"/>
  <c r="Z25" i="45"/>
  <c r="AL25" i="35"/>
  <c r="Y25" i="35"/>
  <c r="AE30" i="49"/>
  <c r="AD26" i="47"/>
  <c r="AA26" i="45"/>
  <c r="AK30" i="49"/>
  <c r="X27" i="45"/>
  <c r="AI29" i="35"/>
  <c r="AK25" i="35"/>
  <c r="AI25" i="35"/>
  <c r="AL29" i="35"/>
  <c r="AK27" i="47"/>
  <c r="AJ27" i="47"/>
  <c r="X29" i="35"/>
  <c r="AB27" i="47"/>
  <c r="AC30" i="49"/>
  <c r="AI26" i="47"/>
  <c r="AH26" i="47"/>
  <c r="AG25" i="35"/>
  <c r="AD25" i="35"/>
  <c r="AF26" i="47"/>
  <c r="G21" i="50"/>
  <c r="AC26" i="47"/>
  <c r="AB26" i="47"/>
  <c r="AE27" i="47"/>
  <c r="AF30" i="49"/>
  <c r="AD29" i="35"/>
  <c r="AK26" i="45"/>
  <c r="AA25" i="45"/>
  <c r="AJ25" i="35"/>
  <c r="K25" i="35" s="1"/>
  <c r="AF25" i="35"/>
  <c r="X25" i="35"/>
  <c r="AE26" i="47"/>
  <c r="K24" i="49"/>
  <c r="AL30" i="49"/>
  <c r="AD26" i="45"/>
  <c r="AI27" i="47"/>
  <c r="AJ30" i="49"/>
  <c r="AJ26" i="47"/>
  <c r="AH29" i="35"/>
  <c r="AH27" i="47"/>
  <c r="AF27" i="47"/>
  <c r="AB25" i="35"/>
  <c r="AJ26" i="35"/>
  <c r="AD29" i="53"/>
  <c r="Z29" i="53"/>
  <c r="K22" i="53"/>
  <c r="AK29" i="49"/>
  <c r="AH29" i="49"/>
  <c r="AG29" i="49"/>
  <c r="AF29" i="49"/>
  <c r="AC26" i="35"/>
  <c r="AI26" i="35"/>
  <c r="AE29" i="53"/>
  <c r="AC29" i="49"/>
  <c r="AF29" i="53"/>
  <c r="AD29" i="49"/>
  <c r="AA26" i="35"/>
  <c r="AH26" i="35"/>
  <c r="AG29" i="53"/>
  <c r="AJ29" i="49"/>
  <c r="AI29" i="53"/>
  <c r="K16" i="53"/>
  <c r="AA29" i="49"/>
  <c r="AE29" i="49"/>
  <c r="Y26" i="35"/>
  <c r="AF26" i="35"/>
  <c r="X29" i="53"/>
  <c r="G18" i="50"/>
  <c r="Z29" i="49"/>
  <c r="AI29" i="49"/>
  <c r="AB29" i="49"/>
  <c r="AL26" i="35"/>
  <c r="Y29" i="53"/>
  <c r="AA31" i="55"/>
  <c r="AJ29" i="53"/>
  <c r="AJ31" i="55"/>
  <c r="AB31" i="55"/>
  <c r="AC31" i="55"/>
  <c r="AD31" i="55"/>
  <c r="AA29" i="53"/>
  <c r="AH29" i="53"/>
  <c r="AB29" i="53"/>
  <c r="K29" i="47"/>
  <c r="K26" i="47"/>
  <c r="X30" i="49"/>
  <c r="AH30" i="49"/>
  <c r="AG30" i="49"/>
  <c r="Y30" i="49"/>
  <c r="AK29" i="35"/>
  <c r="AB29" i="35"/>
  <c r="Z29" i="35"/>
  <c r="AA29" i="35"/>
  <c r="AJ29" i="35"/>
  <c r="AL27" i="47"/>
  <c r="AD27" i="47"/>
  <c r="Z27" i="47"/>
  <c r="AC27" i="47"/>
  <c r="X27" i="47"/>
  <c r="Y27" i="47"/>
  <c r="AG26" i="45"/>
  <c r="AJ26" i="45"/>
  <c r="AI26" i="45"/>
  <c r="AH26" i="45"/>
  <c r="Y26" i="45"/>
  <c r="AF26" i="45"/>
  <c r="AE26" i="45"/>
  <c r="Z26" i="45"/>
  <c r="X26" i="45"/>
  <c r="K25" i="47"/>
  <c r="AD29" i="55"/>
  <c r="Y29" i="55"/>
  <c r="K29" i="55" s="1"/>
  <c r="AJ30" i="53"/>
  <c r="AH30" i="53"/>
  <c r="AC30" i="53"/>
  <c r="AB30" i="53"/>
  <c r="AA30" i="53"/>
  <c r="Z30" i="53"/>
  <c r="AL30" i="53"/>
  <c r="AK30" i="53"/>
  <c r="AI30" i="53"/>
  <c r="X25" i="45"/>
  <c r="AG25" i="45"/>
  <c r="Y25" i="45"/>
  <c r="AL27" i="45"/>
  <c r="AH27" i="45"/>
  <c r="AF27" i="45"/>
  <c r="AA27" i="45"/>
  <c r="AE27" i="45"/>
  <c r="AB27" i="45"/>
  <c r="Z27" i="45"/>
  <c r="AG27" i="45"/>
  <c r="AL29" i="49"/>
  <c r="Y29" i="49"/>
  <c r="Z28" i="45"/>
  <c r="Y28" i="45"/>
  <c r="AJ28" i="45"/>
  <c r="X28" i="45"/>
  <c r="AK28" i="45"/>
  <c r="AL28" i="45"/>
  <c r="AH28" i="45"/>
  <c r="AG28" i="45"/>
  <c r="AF28" i="45"/>
  <c r="AA28" i="45"/>
  <c r="AE28" i="45"/>
  <c r="AD28" i="45"/>
  <c r="AC28" i="45"/>
  <c r="AB28" i="45"/>
  <c r="AI28" i="45"/>
  <c r="AG31" i="49"/>
  <c r="AF31" i="49"/>
  <c r="AE31" i="49"/>
  <c r="AD31" i="49"/>
  <c r="AC31" i="49"/>
  <c r="AB31" i="49"/>
  <c r="AA31" i="49"/>
  <c r="Z31" i="49"/>
  <c r="Y31" i="49"/>
  <c r="X31" i="49"/>
  <c r="AH31" i="49"/>
  <c r="AL31" i="49"/>
  <c r="AK31" i="49"/>
  <c r="AJ31" i="49"/>
  <c r="AI31" i="49"/>
  <c r="K24" i="53"/>
  <c r="AE28" i="49"/>
  <c r="AD28" i="49"/>
  <c r="AC28" i="49"/>
  <c r="AB28" i="49"/>
  <c r="AA28" i="49"/>
  <c r="Z28" i="49"/>
  <c r="Y28" i="49"/>
  <c r="X28" i="49"/>
  <c r="AL28" i="49"/>
  <c r="AK28" i="49"/>
  <c r="AJ28" i="49"/>
  <c r="AI28" i="49"/>
  <c r="AH28" i="49"/>
  <c r="AG28" i="49"/>
  <c r="AF28" i="49"/>
  <c r="G20" i="56"/>
  <c r="AI29" i="45"/>
  <c r="AH29" i="45"/>
  <c r="Y29" i="45"/>
  <c r="AG29" i="45"/>
  <c r="AF29" i="45"/>
  <c r="AE29" i="45"/>
  <c r="AD29" i="45"/>
  <c r="AC29" i="45"/>
  <c r="AB29" i="45"/>
  <c r="Z29" i="45"/>
  <c r="AA29" i="45"/>
  <c r="X29" i="45"/>
  <c r="AL29" i="45"/>
  <c r="AK29" i="45"/>
  <c r="AJ29" i="45"/>
  <c r="AK24" i="47"/>
  <c r="AJ24" i="47"/>
  <c r="X24" i="47"/>
  <c r="AI24" i="47"/>
  <c r="AH24" i="47"/>
  <c r="AG24" i="47"/>
  <c r="AF24" i="47"/>
  <c r="AE24" i="47"/>
  <c r="AD24" i="47"/>
  <c r="AB24" i="47"/>
  <c r="AA24" i="47"/>
  <c r="AC24" i="47"/>
  <c r="Z24" i="47"/>
  <c r="Y24" i="47"/>
  <c r="AL24" i="47"/>
  <c r="K24" i="35"/>
  <c r="K23" i="45"/>
  <c r="K17" i="45"/>
  <c r="AA28" i="35"/>
  <c r="AC28" i="35"/>
  <c r="AB28" i="35"/>
  <c r="AD28" i="35"/>
  <c r="AE28" i="35"/>
  <c r="AF28" i="35"/>
  <c r="X28" i="35"/>
  <c r="AG28" i="35"/>
  <c r="AH28" i="35"/>
  <c r="AJ28" i="35"/>
  <c r="AK28" i="35"/>
  <c r="AI28" i="35"/>
  <c r="AL28" i="35"/>
  <c r="Y28" i="35"/>
  <c r="Z28" i="35"/>
  <c r="AI31" i="53"/>
  <c r="AF31" i="53"/>
  <c r="AE31" i="53"/>
  <c r="AL31" i="53"/>
  <c r="AK31" i="53"/>
  <c r="AJ31" i="53"/>
  <c r="AH31" i="53"/>
  <c r="AG31" i="53"/>
  <c r="AC31" i="53"/>
  <c r="AB31" i="53"/>
  <c r="AA31" i="53"/>
  <c r="Z31" i="53"/>
  <c r="Y31" i="53"/>
  <c r="X31" i="53"/>
  <c r="AD31" i="53"/>
  <c r="AE28" i="55"/>
  <c r="AD28" i="55"/>
  <c r="AC28" i="55"/>
  <c r="AB28" i="55"/>
  <c r="AA28" i="55"/>
  <c r="Z28" i="55"/>
  <c r="Y28" i="55"/>
  <c r="X28" i="55"/>
  <c r="AL28" i="55"/>
  <c r="AK28" i="55"/>
  <c r="AF28" i="55"/>
  <c r="AJ28" i="55"/>
  <c r="AI28" i="55"/>
  <c r="AH28" i="55"/>
  <c r="AG28" i="55"/>
  <c r="G17" i="56"/>
  <c r="X28" i="47"/>
  <c r="AI28" i="47"/>
  <c r="AH28" i="47"/>
  <c r="AL28" i="47"/>
  <c r="AK28" i="47"/>
  <c r="AJ28" i="47"/>
  <c r="AF28" i="47"/>
  <c r="AE28" i="47"/>
  <c r="AD28" i="47"/>
  <c r="AC28" i="47"/>
  <c r="AB28" i="47"/>
  <c r="AA28" i="47"/>
  <c r="Z28" i="47"/>
  <c r="Y28" i="47"/>
  <c r="AG28" i="47"/>
  <c r="Z27" i="35"/>
  <c r="AE27" i="35"/>
  <c r="AA27" i="35"/>
  <c r="AD27" i="35"/>
  <c r="X27" i="35"/>
  <c r="Y27" i="35"/>
  <c r="AB27" i="35"/>
  <c r="AC27" i="35"/>
  <c r="AG27" i="35"/>
  <c r="AH27" i="35"/>
  <c r="AI27" i="35"/>
  <c r="AJ27" i="35"/>
  <c r="AK27" i="35"/>
  <c r="AL27" i="35"/>
  <c r="AF27" i="35"/>
  <c r="X30" i="55"/>
  <c r="AH30" i="55"/>
  <c r="AL30" i="55"/>
  <c r="AI30" i="55"/>
  <c r="AK30" i="55"/>
  <c r="AJ30" i="55"/>
  <c r="AF30" i="55"/>
  <c r="AE30" i="55"/>
  <c r="AD30" i="55"/>
  <c r="AC30" i="55"/>
  <c r="AB30" i="55"/>
  <c r="AA30" i="55"/>
  <c r="Z30" i="55"/>
  <c r="Y30" i="55"/>
  <c r="AG30" i="55"/>
  <c r="AL24" i="45"/>
  <c r="Y24" i="45"/>
  <c r="AK24" i="45"/>
  <c r="AD24" i="45"/>
  <c r="Z24" i="45"/>
  <c r="AJ24" i="45"/>
  <c r="AI24" i="45"/>
  <c r="AH24" i="45"/>
  <c r="AG24" i="45"/>
  <c r="AF24" i="45"/>
  <c r="AC24" i="45"/>
  <c r="AE24" i="45"/>
  <c r="AB24" i="45"/>
  <c r="AA24" i="45"/>
  <c r="X24" i="45"/>
  <c r="AL28" i="53"/>
  <c r="AK28" i="53"/>
  <c r="AJ28" i="53"/>
  <c r="AG28" i="53"/>
  <c r="AD28" i="53"/>
  <c r="AC28" i="53"/>
  <c r="AI28" i="53"/>
  <c r="AH28" i="53"/>
  <c r="AF28" i="53"/>
  <c r="AE28" i="53"/>
  <c r="AA28" i="53"/>
  <c r="Z28" i="53"/>
  <c r="Y28" i="53"/>
  <c r="X28" i="53"/>
  <c r="AB28" i="53"/>
  <c r="G19" i="56"/>
  <c r="G18" i="56"/>
  <c r="G16" i="56"/>
  <c r="K24" i="55"/>
  <c r="K20" i="55"/>
  <c r="K18" i="55"/>
  <c r="K23" i="55"/>
  <c r="K26" i="55"/>
  <c r="G21" i="56"/>
  <c r="K21" i="55"/>
  <c r="K27" i="55"/>
  <c r="K25" i="55"/>
  <c r="K17" i="55"/>
  <c r="K22" i="55"/>
  <c r="K19" i="55"/>
  <c r="K16" i="55"/>
  <c r="G19" i="54"/>
  <c r="G16" i="54"/>
  <c r="G18" i="54"/>
  <c r="K21" i="53"/>
  <c r="K19" i="53"/>
  <c r="K23" i="53"/>
  <c r="K27" i="53"/>
  <c r="K18" i="53"/>
  <c r="K20" i="53"/>
  <c r="G21" i="54"/>
  <c r="K17" i="53"/>
  <c r="K26" i="53"/>
  <c r="G17" i="54"/>
  <c r="K25" i="53"/>
  <c r="G20" i="54"/>
  <c r="K20" i="49"/>
  <c r="K21" i="49"/>
  <c r="G17" i="50"/>
  <c r="G20" i="50"/>
  <c r="K19" i="49"/>
  <c r="K17" i="49"/>
  <c r="K16" i="49"/>
  <c r="K27" i="49"/>
  <c r="K26" i="49"/>
  <c r="K22" i="49"/>
  <c r="G19" i="50"/>
  <c r="G16" i="50"/>
  <c r="K18" i="49"/>
  <c r="K23" i="49"/>
  <c r="K20" i="47"/>
  <c r="K23" i="47"/>
  <c r="G17" i="48"/>
  <c r="G19" i="48"/>
  <c r="G18" i="48"/>
  <c r="G16" i="48"/>
  <c r="K19" i="47"/>
  <c r="K21" i="47"/>
  <c r="K17" i="47"/>
  <c r="K16" i="47"/>
  <c r="K18" i="47"/>
  <c r="K22" i="47"/>
  <c r="K19" i="45"/>
  <c r="K21" i="45"/>
  <c r="G18" i="46"/>
  <c r="K18" i="45"/>
  <c r="K16" i="45"/>
  <c r="K20" i="45"/>
  <c r="G19" i="46"/>
  <c r="K22" i="45"/>
  <c r="G17" i="46"/>
  <c r="G16" i="46"/>
  <c r="F65" i="14"/>
  <c r="I64" i="14"/>
  <c r="J64" i="14"/>
  <c r="K64" i="14"/>
  <c r="L64" i="14"/>
  <c r="M64" i="14"/>
  <c r="N64" i="14"/>
  <c r="O64" i="14"/>
  <c r="P64" i="14"/>
  <c r="H64" i="14"/>
  <c r="F63" i="14"/>
  <c r="G63" i="14"/>
  <c r="H63" i="14"/>
  <c r="I63" i="14"/>
  <c r="J63" i="14"/>
  <c r="K63" i="14"/>
  <c r="L63" i="14"/>
  <c r="M63" i="14"/>
  <c r="N63" i="14"/>
  <c r="O63" i="14"/>
  <c r="P63" i="14"/>
  <c r="Q63" i="14"/>
  <c r="R63" i="14"/>
  <c r="S63" i="14"/>
  <c r="E63" i="14"/>
  <c r="K31" i="55" l="1"/>
  <c r="K26" i="35"/>
  <c r="K30" i="49"/>
  <c r="K29" i="53"/>
  <c r="K29" i="49"/>
  <c r="K29" i="35"/>
  <c r="K30" i="53"/>
  <c r="K26" i="45"/>
  <c r="K27" i="45"/>
  <c r="K27" i="47"/>
  <c r="K25" i="45"/>
  <c r="K28" i="35"/>
  <c r="K30" i="55"/>
  <c r="K28" i="49"/>
  <c r="K31" i="53"/>
  <c r="K28" i="53"/>
  <c r="K24" i="47"/>
  <c r="K28" i="47"/>
  <c r="K29" i="45"/>
  <c r="K27" i="35"/>
  <c r="K28" i="45"/>
  <c r="K28" i="55"/>
  <c r="K24" i="45"/>
  <c r="K31" i="49"/>
  <c r="C63" i="14"/>
  <c r="U17" i="36"/>
  <c r="Y16" i="35"/>
  <c r="Y22" i="35"/>
  <c r="Y17" i="35"/>
  <c r="U19" i="36"/>
  <c r="U16" i="36"/>
  <c r="Y19" i="35"/>
  <c r="Y23" i="35"/>
  <c r="Y18" i="35"/>
  <c r="Y21" i="35"/>
  <c r="U18" i="36"/>
  <c r="Y20" i="35"/>
  <c r="E64" i="14"/>
  <c r="G65" i="14"/>
  <c r="Z16" i="35" l="1"/>
  <c r="V16" i="36"/>
  <c r="Z18" i="35"/>
  <c r="Z22" i="35"/>
  <c r="V17" i="36"/>
  <c r="Z21" i="35"/>
  <c r="Z23" i="35"/>
  <c r="Z19" i="35"/>
  <c r="Z17" i="35"/>
  <c r="V19" i="36"/>
  <c r="Z20" i="35"/>
  <c r="V18" i="36"/>
  <c r="S64" i="14"/>
  <c r="H65" i="14"/>
  <c r="F64" i="14"/>
  <c r="AA18" i="35" l="1"/>
  <c r="AA16" i="35"/>
  <c r="AA22" i="35"/>
  <c r="W16" i="36"/>
  <c r="AA21" i="35"/>
  <c r="W19" i="36"/>
  <c r="W17" i="36"/>
  <c r="AA17" i="35"/>
  <c r="AA19" i="35"/>
  <c r="AA23" i="35"/>
  <c r="AA20" i="35"/>
  <c r="W18" i="36"/>
  <c r="I65" i="14"/>
  <c r="R64" i="14"/>
  <c r="G64" i="14"/>
  <c r="D55" i="14"/>
  <c r="E55" i="14"/>
  <c r="D56" i="14"/>
  <c r="E56" i="14"/>
  <c r="C56" i="14"/>
  <c r="C55" i="14"/>
  <c r="D38" i="14"/>
  <c r="E38" i="14"/>
  <c r="C38" i="14"/>
  <c r="D37" i="14"/>
  <c r="E37" i="14"/>
  <c r="C37" i="14"/>
  <c r="AB16" i="35" l="1"/>
  <c r="AB22" i="35"/>
  <c r="AB21" i="35"/>
  <c r="AB23" i="35"/>
  <c r="AB19" i="35"/>
  <c r="X19" i="36"/>
  <c r="AB17" i="35"/>
  <c r="X16" i="36"/>
  <c r="X18" i="36"/>
  <c r="AB20" i="35"/>
  <c r="AB18" i="35"/>
  <c r="X17" i="36"/>
  <c r="Q64" i="14"/>
  <c r="C64" i="14" s="1"/>
  <c r="J65" i="14"/>
  <c r="AC23" i="35" l="1"/>
  <c r="AC16" i="35"/>
  <c r="Y19" i="36"/>
  <c r="AC19" i="35"/>
  <c r="Y17" i="36"/>
  <c r="AC17" i="35"/>
  <c r="Y18" i="36"/>
  <c r="AC20" i="35"/>
  <c r="AC18" i="35"/>
  <c r="Y16" i="36"/>
  <c r="AC22" i="35"/>
  <c r="AC21" i="35"/>
  <c r="K65" i="14"/>
  <c r="Z17" i="36" l="1"/>
  <c r="AD18" i="35"/>
  <c r="AD19" i="35"/>
  <c r="Z19" i="36"/>
  <c r="AD22" i="35"/>
  <c r="Z16" i="36"/>
  <c r="AD21" i="35"/>
  <c r="AD17" i="35"/>
  <c r="AD23" i="35"/>
  <c r="AD20" i="35"/>
  <c r="Z18" i="36"/>
  <c r="AD16" i="35"/>
  <c r="L65" i="14"/>
  <c r="M26" i="14"/>
  <c r="M27" i="14"/>
  <c r="M28" i="14"/>
  <c r="M29" i="14"/>
  <c r="M30" i="14"/>
  <c r="M31" i="14"/>
  <c r="M32" i="14"/>
  <c r="M33" i="14"/>
  <c r="M34" i="14"/>
  <c r="M35" i="14"/>
  <c r="M25" i="14"/>
  <c r="AA17" i="36" l="1"/>
  <c r="AE18" i="35"/>
  <c r="AE19" i="35"/>
  <c r="AA19" i="36"/>
  <c r="AE22" i="35"/>
  <c r="AA16" i="36"/>
  <c r="AE21" i="35"/>
  <c r="AE16" i="35"/>
  <c r="AE20" i="35"/>
  <c r="AE17" i="35"/>
  <c r="AA18" i="36"/>
  <c r="AE23" i="35"/>
  <c r="M65" i="14"/>
  <c r="K106" i="18"/>
  <c r="L106" i="18" s="1"/>
  <c r="M106" i="18" s="1"/>
  <c r="N106" i="18" s="1"/>
  <c r="K95" i="18"/>
  <c r="L95" i="18" s="1"/>
  <c r="M95" i="18" s="1"/>
  <c r="N95" i="18" s="1"/>
  <c r="K84" i="18"/>
  <c r="L84" i="18" s="1"/>
  <c r="M84" i="18" s="1"/>
  <c r="N84" i="18" s="1"/>
  <c r="K73" i="18"/>
  <c r="L73" i="18" s="1"/>
  <c r="M73" i="18" s="1"/>
  <c r="N73" i="18" s="1"/>
  <c r="K62" i="18"/>
  <c r="L62" i="18" s="1"/>
  <c r="M62" i="18" s="1"/>
  <c r="N62" i="18" s="1"/>
  <c r="K51" i="18"/>
  <c r="L51" i="18" s="1"/>
  <c r="M51" i="18" s="1"/>
  <c r="N51" i="18" s="1"/>
  <c r="K40" i="18"/>
  <c r="L40" i="18" s="1"/>
  <c r="M40" i="18" s="1"/>
  <c r="N40" i="18" s="1"/>
  <c r="K29" i="18"/>
  <c r="L29" i="18" s="1"/>
  <c r="M29" i="18" s="1"/>
  <c r="N29" i="18" s="1"/>
  <c r="K18" i="18"/>
  <c r="L18" i="18" s="1"/>
  <c r="M18" i="18" s="1"/>
  <c r="N18" i="18" s="1"/>
  <c r="K7" i="18"/>
  <c r="L7" i="18" s="1"/>
  <c r="M7" i="18" s="1"/>
  <c r="N7" i="18" s="1"/>
  <c r="G106" i="18"/>
  <c r="H106" i="18" s="1"/>
  <c r="I106" i="18" s="1"/>
  <c r="G95" i="18"/>
  <c r="H95" i="18" s="1"/>
  <c r="I95" i="18" s="1"/>
  <c r="G84" i="18"/>
  <c r="H84" i="18" s="1"/>
  <c r="I84" i="18" s="1"/>
  <c r="G73" i="18"/>
  <c r="H73" i="18" s="1"/>
  <c r="I73" i="18" s="1"/>
  <c r="G62" i="18"/>
  <c r="H62" i="18" s="1"/>
  <c r="I62" i="18" s="1"/>
  <c r="G51" i="18"/>
  <c r="H51" i="18" s="1"/>
  <c r="I51" i="18" s="1"/>
  <c r="G40" i="18"/>
  <c r="H40" i="18" s="1"/>
  <c r="I40" i="18" s="1"/>
  <c r="G29" i="18"/>
  <c r="H29" i="18" s="1"/>
  <c r="I29" i="18" s="1"/>
  <c r="G18" i="18"/>
  <c r="H18" i="18" s="1"/>
  <c r="I18" i="18" s="1"/>
  <c r="G7" i="18"/>
  <c r="H7" i="18" s="1"/>
  <c r="I7" i="18" s="1"/>
  <c r="AF18" i="35" l="1"/>
  <c r="AF23" i="35"/>
  <c r="AF16" i="35"/>
  <c r="AF22" i="35"/>
  <c r="AB16" i="36"/>
  <c r="AB19" i="36"/>
  <c r="AF19" i="35"/>
  <c r="AF21" i="35"/>
  <c r="AF20" i="35"/>
  <c r="AB17" i="36"/>
  <c r="AB18" i="36"/>
  <c r="AF17" i="35"/>
  <c r="N65" i="14"/>
  <c r="AG18" i="35" l="1"/>
  <c r="AG23" i="35"/>
  <c r="AG16" i="35"/>
  <c r="AG22" i="35"/>
  <c r="AC19" i="36"/>
  <c r="AC16" i="36"/>
  <c r="AG19" i="35"/>
  <c r="AC17" i="36"/>
  <c r="AG17" i="35"/>
  <c r="AG21" i="35"/>
  <c r="AC18" i="36"/>
  <c r="AG20" i="35"/>
  <c r="O65" i="14"/>
  <c r="O15" i="26"/>
  <c r="AH18" i="35" l="1"/>
  <c r="AH19" i="35"/>
  <c r="AH23" i="35"/>
  <c r="AD19" i="36"/>
  <c r="AH16" i="35"/>
  <c r="AH22" i="35"/>
  <c r="AD16" i="36"/>
  <c r="AD17" i="36"/>
  <c r="AH21" i="35"/>
  <c r="AH17" i="35"/>
  <c r="AH20" i="35"/>
  <c r="AD18" i="36"/>
  <c r="P65" i="14"/>
  <c r="AF4" i="9"/>
  <c r="AE4" i="9"/>
  <c r="G16" i="26"/>
  <c r="N16" i="26"/>
  <c r="I16" i="26"/>
  <c r="H16" i="26"/>
  <c r="L16" i="26"/>
  <c r="J16" i="26"/>
  <c r="K16" i="26"/>
  <c r="M16" i="26"/>
  <c r="E16" i="26"/>
  <c r="F16" i="26"/>
  <c r="G14" i="26"/>
  <c r="N14" i="26"/>
  <c r="I14" i="26"/>
  <c r="H14" i="26"/>
  <c r="L14" i="26"/>
  <c r="J14" i="26"/>
  <c r="K14" i="26"/>
  <c r="M14" i="26"/>
  <c r="E14" i="26"/>
  <c r="F14" i="26"/>
  <c r="G13" i="26"/>
  <c r="N13" i="26"/>
  <c r="I13" i="26"/>
  <c r="H13" i="26"/>
  <c r="L13" i="26"/>
  <c r="J13" i="26"/>
  <c r="K13" i="26"/>
  <c r="M13" i="26"/>
  <c r="E13" i="26"/>
  <c r="F13" i="26"/>
  <c r="G12" i="26"/>
  <c r="N12" i="26"/>
  <c r="I12" i="26"/>
  <c r="H12" i="26"/>
  <c r="L12" i="26"/>
  <c r="J12" i="26"/>
  <c r="K12" i="26"/>
  <c r="M12" i="26"/>
  <c r="E12" i="26"/>
  <c r="F12" i="26"/>
  <c r="G11" i="26"/>
  <c r="N11" i="26"/>
  <c r="I11" i="26"/>
  <c r="H11" i="26"/>
  <c r="L11" i="26"/>
  <c r="J11" i="26"/>
  <c r="K11" i="26"/>
  <c r="M11" i="26"/>
  <c r="E11" i="26"/>
  <c r="F11" i="26"/>
  <c r="G10" i="26"/>
  <c r="N10" i="26"/>
  <c r="I10" i="26"/>
  <c r="H10" i="26"/>
  <c r="L10" i="26"/>
  <c r="J10" i="26"/>
  <c r="K10" i="26"/>
  <c r="M10" i="26"/>
  <c r="E10" i="26"/>
  <c r="F10" i="26"/>
  <c r="G9" i="26"/>
  <c r="N9" i="26"/>
  <c r="I9" i="26"/>
  <c r="H9" i="26"/>
  <c r="L9" i="26"/>
  <c r="J9" i="26"/>
  <c r="K9" i="26"/>
  <c r="M9" i="26"/>
  <c r="E9" i="26"/>
  <c r="F9" i="26"/>
  <c r="G8" i="26"/>
  <c r="N8" i="26"/>
  <c r="I8" i="26"/>
  <c r="H8" i="26"/>
  <c r="L8" i="26"/>
  <c r="J8" i="26"/>
  <c r="K8" i="26"/>
  <c r="M8" i="26"/>
  <c r="E8" i="26"/>
  <c r="F8" i="26"/>
  <c r="G7" i="26"/>
  <c r="N7" i="26"/>
  <c r="I7" i="26"/>
  <c r="H7" i="26"/>
  <c r="L7" i="26"/>
  <c r="J7" i="26"/>
  <c r="K7" i="26"/>
  <c r="M7" i="26"/>
  <c r="E7" i="26"/>
  <c r="F7" i="26"/>
  <c r="G6" i="26"/>
  <c r="N6" i="26"/>
  <c r="I6" i="26"/>
  <c r="H6" i="26"/>
  <c r="L6" i="26"/>
  <c r="J6" i="26"/>
  <c r="K6" i="26"/>
  <c r="M6" i="26"/>
  <c r="E6" i="26"/>
  <c r="F6" i="26"/>
  <c r="G5" i="26"/>
  <c r="N5" i="26"/>
  <c r="I5" i="26"/>
  <c r="H5" i="26"/>
  <c r="L5" i="26"/>
  <c r="J5" i="26"/>
  <c r="K5" i="26"/>
  <c r="M5" i="26"/>
  <c r="E5" i="26"/>
  <c r="F5" i="26"/>
  <c r="AI23" i="35" l="1"/>
  <c r="AI22" i="35"/>
  <c r="AI17" i="35"/>
  <c r="AE17" i="36"/>
  <c r="AI18" i="35"/>
  <c r="AE19" i="36"/>
  <c r="AI16" i="35"/>
  <c r="AE16" i="36"/>
  <c r="AE18" i="36"/>
  <c r="AI19" i="35"/>
  <c r="AI21" i="35"/>
  <c r="AI20" i="35"/>
  <c r="Q65" i="14"/>
  <c r="O7" i="26"/>
  <c r="O11" i="26"/>
  <c r="P11" i="26" s="1"/>
  <c r="O12" i="26"/>
  <c r="P12" i="26" s="1"/>
  <c r="O8" i="26"/>
  <c r="P8" i="26" s="1"/>
  <c r="O5" i="26"/>
  <c r="P5" i="26" s="1"/>
  <c r="O13" i="26"/>
  <c r="P13" i="26" s="1"/>
  <c r="O9" i="26"/>
  <c r="P9" i="26" s="1"/>
  <c r="O6" i="26"/>
  <c r="P6" i="26" s="1"/>
  <c r="O14" i="26"/>
  <c r="P14" i="26" s="1"/>
  <c r="O10" i="26"/>
  <c r="P10" i="26" s="1"/>
  <c r="P7" i="26"/>
  <c r="AJ17" i="35" l="1"/>
  <c r="AJ23" i="35"/>
  <c r="AJ19" i="35"/>
  <c r="AJ22" i="35"/>
  <c r="AF17" i="36"/>
  <c r="AF16" i="36"/>
  <c r="AJ18" i="35"/>
  <c r="AJ16" i="35"/>
  <c r="AF19" i="36"/>
  <c r="AJ21" i="35"/>
  <c r="AF18" i="36"/>
  <c r="AJ20" i="35"/>
  <c r="R65" i="14"/>
  <c r="E106" i="18"/>
  <c r="E95" i="18"/>
  <c r="E84" i="18"/>
  <c r="E73" i="18"/>
  <c r="E62" i="18"/>
  <c r="E51" i="18"/>
  <c r="E40" i="18"/>
  <c r="E29" i="18"/>
  <c r="E18" i="18"/>
  <c r="E7" i="18"/>
  <c r="F52" i="14"/>
  <c r="K52" i="14" s="1"/>
  <c r="F51" i="14"/>
  <c r="K51" i="14" s="1"/>
  <c r="F50" i="14"/>
  <c r="I50" i="14" s="1"/>
  <c r="F49" i="14"/>
  <c r="K49" i="14" s="1"/>
  <c r="F48" i="14"/>
  <c r="K48" i="14" s="1"/>
  <c r="F47" i="14"/>
  <c r="J47" i="14" s="1"/>
  <c r="F46" i="14"/>
  <c r="K46" i="14" s="1"/>
  <c r="F45" i="14"/>
  <c r="K45" i="14" s="1"/>
  <c r="F44" i="14"/>
  <c r="K44" i="14" s="1"/>
  <c r="F43" i="14"/>
  <c r="K43" i="14" s="1"/>
  <c r="F26" i="14"/>
  <c r="I26" i="14" s="1"/>
  <c r="F27" i="14"/>
  <c r="I27" i="14" s="1"/>
  <c r="F28" i="14"/>
  <c r="K28" i="14" s="1"/>
  <c r="F29" i="14"/>
  <c r="I29" i="14" s="1"/>
  <c r="F30" i="14"/>
  <c r="I30" i="14" s="1"/>
  <c r="F31" i="14"/>
  <c r="I31" i="14" s="1"/>
  <c r="F32" i="14"/>
  <c r="I32" i="14" s="1"/>
  <c r="F33" i="14"/>
  <c r="K33" i="14" s="1"/>
  <c r="F34" i="14"/>
  <c r="I34" i="14" s="1"/>
  <c r="F25" i="14"/>
  <c r="J25" i="14" s="1"/>
  <c r="Q338" i="10"/>
  <c r="G336" i="10"/>
  <c r="M336" i="10" s="1"/>
  <c r="O336" i="10" s="1"/>
  <c r="D336" i="10" a="1"/>
  <c r="D336" i="10" s="1"/>
  <c r="C336" i="10"/>
  <c r="B336" i="10"/>
  <c r="G335" i="10"/>
  <c r="M335" i="10" s="1"/>
  <c r="O335" i="10" s="1"/>
  <c r="D335" i="10" a="1"/>
  <c r="D335" i="10" s="1"/>
  <c r="C335" i="10"/>
  <c r="B335" i="10"/>
  <c r="G334" i="10"/>
  <c r="D334" i="10" a="1"/>
  <c r="D334" i="10" s="1"/>
  <c r="C334" i="10"/>
  <c r="B334" i="10"/>
  <c r="G333" i="10"/>
  <c r="D333" i="10" a="1"/>
  <c r="D333" i="10" s="1"/>
  <c r="C333" i="10"/>
  <c r="B333" i="10"/>
  <c r="G332" i="10"/>
  <c r="M332" i="10" s="1"/>
  <c r="O332" i="10" s="1"/>
  <c r="D332" i="10" a="1"/>
  <c r="D332" i="10" s="1"/>
  <c r="C332" i="10"/>
  <c r="B332" i="10"/>
  <c r="M331" i="10"/>
  <c r="G331" i="10"/>
  <c r="D331" i="10" a="1"/>
  <c r="D331" i="10" s="1"/>
  <c r="C331" i="10"/>
  <c r="J331" i="10" s="1"/>
  <c r="B331" i="10"/>
  <c r="G330" i="10"/>
  <c r="D330" i="10" a="1"/>
  <c r="D330" i="10" s="1"/>
  <c r="C330" i="10"/>
  <c r="B330" i="10"/>
  <c r="G329" i="10"/>
  <c r="D329" i="10" a="1"/>
  <c r="D329" i="10" s="1"/>
  <c r="C329" i="10"/>
  <c r="B329" i="10"/>
  <c r="G328" i="10"/>
  <c r="M328" i="10" s="1"/>
  <c r="D328" i="10" a="1"/>
  <c r="D328" i="10" s="1"/>
  <c r="C328" i="10"/>
  <c r="B328" i="10"/>
  <c r="J327" i="10"/>
  <c r="G327" i="10"/>
  <c r="M327" i="10" s="1"/>
  <c r="D327" i="10" a="1"/>
  <c r="D327" i="10" s="1"/>
  <c r="C327" i="10"/>
  <c r="B327" i="10"/>
  <c r="G326" i="10"/>
  <c r="D326" i="10" a="1"/>
  <c r="D326" i="10" s="1"/>
  <c r="C326" i="10"/>
  <c r="B326" i="10"/>
  <c r="G325" i="10"/>
  <c r="D325" i="10" a="1"/>
  <c r="D325" i="10" s="1"/>
  <c r="C325" i="10"/>
  <c r="B325" i="10"/>
  <c r="G324" i="10"/>
  <c r="M324" i="10" s="1"/>
  <c r="D324" i="10" a="1"/>
  <c r="D324" i="10" s="1"/>
  <c r="C324" i="10"/>
  <c r="B324" i="10"/>
  <c r="G323" i="10"/>
  <c r="M323" i="10" s="1"/>
  <c r="O323" i="10" s="1"/>
  <c r="D323" i="10" a="1"/>
  <c r="D323" i="10" s="1"/>
  <c r="C323" i="10"/>
  <c r="B323" i="10"/>
  <c r="G322" i="10"/>
  <c r="M322" i="10" s="1"/>
  <c r="O322" i="10" s="1"/>
  <c r="D322" i="10" a="1"/>
  <c r="D322" i="10" s="1"/>
  <c r="C322" i="10"/>
  <c r="B322" i="10"/>
  <c r="G321" i="10"/>
  <c r="D321" i="10" a="1"/>
  <c r="D321" i="10" s="1"/>
  <c r="C321" i="10"/>
  <c r="B321" i="10"/>
  <c r="G320" i="10"/>
  <c r="M320" i="10" s="1"/>
  <c r="D320" i="10" a="1"/>
  <c r="D320" i="10" s="1"/>
  <c r="C320" i="10"/>
  <c r="B320" i="10"/>
  <c r="G319" i="10"/>
  <c r="M319" i="10" s="1"/>
  <c r="D319" i="10" a="1"/>
  <c r="D319" i="10" s="1"/>
  <c r="C319" i="10"/>
  <c r="B319" i="10"/>
  <c r="G318" i="10"/>
  <c r="M318" i="10" s="1"/>
  <c r="D318" i="10" a="1"/>
  <c r="D318" i="10" s="1"/>
  <c r="C318" i="10"/>
  <c r="B318" i="10"/>
  <c r="G317" i="10"/>
  <c r="D317" i="10" a="1"/>
  <c r="D317" i="10" s="1"/>
  <c r="C317" i="10"/>
  <c r="B317" i="10"/>
  <c r="G316" i="10"/>
  <c r="M316" i="10" s="1"/>
  <c r="O316" i="10" s="1"/>
  <c r="D316" i="10" a="1"/>
  <c r="D316" i="10" s="1"/>
  <c r="C316" i="10"/>
  <c r="J316" i="10" s="1"/>
  <c r="B316" i="10"/>
  <c r="G315" i="10"/>
  <c r="M315" i="10" s="1"/>
  <c r="O315" i="10" s="1"/>
  <c r="D315" i="10" a="1"/>
  <c r="D315" i="10" s="1"/>
  <c r="C315" i="10"/>
  <c r="B315" i="10"/>
  <c r="G314" i="10"/>
  <c r="M314" i="10" s="1"/>
  <c r="O314" i="10" s="1"/>
  <c r="D314" i="10" a="1"/>
  <c r="D314" i="10" s="1"/>
  <c r="C314" i="10"/>
  <c r="B314" i="10"/>
  <c r="G313" i="10"/>
  <c r="D313" i="10" a="1"/>
  <c r="D313" i="10" s="1"/>
  <c r="C313" i="10"/>
  <c r="B313" i="10"/>
  <c r="G312" i="10"/>
  <c r="M312" i="10" s="1"/>
  <c r="O312" i="10" s="1"/>
  <c r="D312" i="10" a="1"/>
  <c r="D312" i="10" s="1"/>
  <c r="C312" i="10"/>
  <c r="B312" i="10"/>
  <c r="G311" i="10"/>
  <c r="M311" i="10" s="1"/>
  <c r="O311" i="10" s="1"/>
  <c r="D311" i="10" a="1"/>
  <c r="D311" i="10" s="1"/>
  <c r="C311" i="10"/>
  <c r="B311" i="10"/>
  <c r="G310" i="10"/>
  <c r="M310" i="10" s="1"/>
  <c r="D310" i="10" a="1"/>
  <c r="D310" i="10" s="1"/>
  <c r="C310" i="10"/>
  <c r="B310" i="10"/>
  <c r="G309" i="10"/>
  <c r="D309" i="10" a="1"/>
  <c r="D309" i="10" s="1"/>
  <c r="C309" i="10"/>
  <c r="B309" i="10"/>
  <c r="G308" i="10"/>
  <c r="M308" i="10" s="1"/>
  <c r="D308" i="10" a="1"/>
  <c r="D308" i="10" s="1"/>
  <c r="C308" i="10"/>
  <c r="B308" i="10"/>
  <c r="G307" i="10"/>
  <c r="M307" i="10" s="1"/>
  <c r="D307" i="10" a="1"/>
  <c r="D307" i="10" s="1"/>
  <c r="C307" i="10"/>
  <c r="J307" i="10" s="1"/>
  <c r="B307" i="10"/>
  <c r="G306" i="10"/>
  <c r="M306" i="10" s="1"/>
  <c r="O306" i="10" s="1"/>
  <c r="D306" i="10" a="1"/>
  <c r="D306" i="10" s="1"/>
  <c r="C306" i="10"/>
  <c r="B306" i="10"/>
  <c r="G305" i="10"/>
  <c r="D305" i="10" a="1"/>
  <c r="D305" i="10" s="1"/>
  <c r="C305" i="10"/>
  <c r="B305" i="10"/>
  <c r="G304" i="10"/>
  <c r="M304" i="10" s="1"/>
  <c r="O304" i="10" s="1"/>
  <c r="D304" i="10" a="1"/>
  <c r="D304" i="10" s="1"/>
  <c r="C304" i="10"/>
  <c r="B304" i="10"/>
  <c r="M303" i="10"/>
  <c r="G303" i="10"/>
  <c r="D303" i="10" a="1"/>
  <c r="D303" i="10" s="1"/>
  <c r="C303" i="10"/>
  <c r="B303" i="10"/>
  <c r="G302" i="10"/>
  <c r="D302" i="10" a="1"/>
  <c r="D302" i="10" s="1"/>
  <c r="C302" i="10"/>
  <c r="B302" i="10"/>
  <c r="G301" i="10"/>
  <c r="D301" i="10" a="1"/>
  <c r="D301" i="10" s="1"/>
  <c r="C301" i="10"/>
  <c r="B301" i="10"/>
  <c r="H300" i="10"/>
  <c r="G300" i="10"/>
  <c r="M300" i="10" s="1"/>
  <c r="D300" i="10" a="1"/>
  <c r="D300" i="10" s="1"/>
  <c r="C300" i="10"/>
  <c r="J300" i="10" s="1"/>
  <c r="B300" i="10"/>
  <c r="G299" i="10"/>
  <c r="H299" i="10" s="1"/>
  <c r="D299" i="10" a="1"/>
  <c r="D299" i="10" s="1"/>
  <c r="C299" i="10"/>
  <c r="B299" i="10"/>
  <c r="G298" i="10"/>
  <c r="M298" i="10" s="1"/>
  <c r="D298" i="10" a="1"/>
  <c r="D298" i="10" s="1"/>
  <c r="C298" i="10"/>
  <c r="B298" i="10"/>
  <c r="G297" i="10"/>
  <c r="D297" i="10" a="1"/>
  <c r="D297" i="10" s="1"/>
  <c r="C297" i="10"/>
  <c r="B297" i="10"/>
  <c r="G296" i="10"/>
  <c r="M296" i="10" s="1"/>
  <c r="O296" i="10" s="1"/>
  <c r="D296" i="10" a="1"/>
  <c r="D296" i="10" s="1"/>
  <c r="C296" i="10"/>
  <c r="B296" i="10"/>
  <c r="M295" i="10"/>
  <c r="G295" i="10"/>
  <c r="D295" i="10" a="1"/>
  <c r="D295" i="10" s="1"/>
  <c r="C295" i="10"/>
  <c r="B295" i="10"/>
  <c r="G294" i="10"/>
  <c r="M294" i="10" s="1"/>
  <c r="D294" i="10" a="1"/>
  <c r="D294" i="10" s="1"/>
  <c r="C294" i="10"/>
  <c r="B294" i="10"/>
  <c r="G293" i="10"/>
  <c r="D293" i="10" a="1"/>
  <c r="D293" i="10" s="1"/>
  <c r="C293" i="10"/>
  <c r="B293" i="10"/>
  <c r="G292" i="10"/>
  <c r="M292" i="10" s="1"/>
  <c r="O292" i="10" s="1"/>
  <c r="D292" i="10" a="1"/>
  <c r="D292" i="10" s="1"/>
  <c r="C292" i="10"/>
  <c r="J292" i="10" s="1"/>
  <c r="B292" i="10"/>
  <c r="G291" i="10"/>
  <c r="M291" i="10" s="1"/>
  <c r="O291" i="10" s="1"/>
  <c r="D291" i="10" a="1"/>
  <c r="D291" i="10" s="1"/>
  <c r="C291" i="10"/>
  <c r="B291" i="10"/>
  <c r="G290" i="10"/>
  <c r="D290" i="10" a="1"/>
  <c r="D290" i="10" s="1"/>
  <c r="C290" i="10"/>
  <c r="B290" i="10"/>
  <c r="G289" i="10"/>
  <c r="D289" i="10" a="1"/>
  <c r="D289" i="10" s="1"/>
  <c r="C289" i="10"/>
  <c r="B289" i="10"/>
  <c r="G288" i="10"/>
  <c r="M288" i="10" s="1"/>
  <c r="O288" i="10" s="1"/>
  <c r="D288" i="10" a="1"/>
  <c r="D288" i="10" s="1"/>
  <c r="C288" i="10"/>
  <c r="J288" i="10" s="1"/>
  <c r="B288" i="10"/>
  <c r="G287" i="10"/>
  <c r="M287" i="10" s="1"/>
  <c r="D287" i="10" a="1"/>
  <c r="D287" i="10" s="1"/>
  <c r="C287" i="10"/>
  <c r="B287" i="10"/>
  <c r="G286" i="10"/>
  <c r="M286" i="10" s="1"/>
  <c r="O286" i="10" s="1"/>
  <c r="D286" i="10" a="1"/>
  <c r="D286" i="10" s="1"/>
  <c r="C286" i="10"/>
  <c r="B286" i="10"/>
  <c r="G285" i="10"/>
  <c r="M285" i="10" s="1"/>
  <c r="O285" i="10" s="1"/>
  <c r="D285" i="10" a="1"/>
  <c r="D285" i="10" s="1"/>
  <c r="C285" i="10"/>
  <c r="B285" i="10"/>
  <c r="G284" i="10"/>
  <c r="M284" i="10" s="1"/>
  <c r="O284" i="10" s="1"/>
  <c r="D284" i="10" a="1"/>
  <c r="D284" i="10" s="1"/>
  <c r="C284" i="10"/>
  <c r="B284" i="10"/>
  <c r="G283" i="10"/>
  <c r="D283" i="10" a="1"/>
  <c r="D283" i="10" s="1"/>
  <c r="C283" i="10"/>
  <c r="B283" i="10"/>
  <c r="M282" i="10"/>
  <c r="O282" i="10" s="1"/>
  <c r="G282" i="10"/>
  <c r="D282" i="10" a="1"/>
  <c r="D282" i="10" s="1"/>
  <c r="C282" i="10"/>
  <c r="B282" i="10"/>
  <c r="G281" i="10"/>
  <c r="M281" i="10" s="1"/>
  <c r="O281" i="10" s="1"/>
  <c r="D281" i="10" a="1"/>
  <c r="D281" i="10" s="1"/>
  <c r="C281" i="10"/>
  <c r="B281" i="10"/>
  <c r="G280" i="10"/>
  <c r="M280" i="10" s="1"/>
  <c r="D280" i="10" a="1"/>
  <c r="D280" i="10" s="1"/>
  <c r="C280" i="10"/>
  <c r="B280" i="10"/>
  <c r="M279" i="10"/>
  <c r="O279" i="10" s="1"/>
  <c r="G279" i="10"/>
  <c r="D279" i="10" a="1"/>
  <c r="D279" i="10" s="1"/>
  <c r="C279" i="10"/>
  <c r="B279" i="10"/>
  <c r="G278" i="10"/>
  <c r="D278" i="10" a="1"/>
  <c r="D278" i="10" s="1"/>
  <c r="C278" i="10"/>
  <c r="B278" i="10"/>
  <c r="G277" i="10"/>
  <c r="M277" i="10" s="1"/>
  <c r="D277" i="10" a="1"/>
  <c r="D277" i="10" s="1"/>
  <c r="C277" i="10"/>
  <c r="J277" i="10" s="1"/>
  <c r="B277" i="10"/>
  <c r="G276" i="10"/>
  <c r="M276" i="10" s="1"/>
  <c r="D276" i="10" a="1"/>
  <c r="D276" i="10" s="1"/>
  <c r="C276" i="10"/>
  <c r="B276" i="10"/>
  <c r="G275" i="10"/>
  <c r="D275" i="10" a="1"/>
  <c r="D275" i="10" s="1"/>
  <c r="C275" i="10"/>
  <c r="B275" i="10"/>
  <c r="G274" i="10"/>
  <c r="M274" i="10" s="1"/>
  <c r="D274" i="10" a="1"/>
  <c r="D274" i="10" s="1"/>
  <c r="C274" i="10"/>
  <c r="B274" i="10"/>
  <c r="G273" i="10"/>
  <c r="M273" i="10" s="1"/>
  <c r="D273" i="10"/>
  <c r="D273" i="10" a="1"/>
  <c r="C273" i="10"/>
  <c r="B273" i="10"/>
  <c r="G272" i="10"/>
  <c r="M272" i="10" s="1"/>
  <c r="O272" i="10" s="1"/>
  <c r="D272" i="10" a="1"/>
  <c r="D272" i="10" s="1"/>
  <c r="C272" i="10"/>
  <c r="B272" i="10"/>
  <c r="G271" i="10"/>
  <c r="M271" i="10" s="1"/>
  <c r="D271" i="10" a="1"/>
  <c r="D271" i="10" s="1"/>
  <c r="C271" i="10"/>
  <c r="J271" i="10" s="1"/>
  <c r="B271" i="10"/>
  <c r="G270" i="10"/>
  <c r="M270" i="10" s="1"/>
  <c r="D270" i="10" a="1"/>
  <c r="D270" i="10" s="1"/>
  <c r="C270" i="10"/>
  <c r="B270" i="10"/>
  <c r="G269" i="10"/>
  <c r="M269" i="10" s="1"/>
  <c r="O269" i="10" s="1"/>
  <c r="D269" i="10" a="1"/>
  <c r="D269" i="10" s="1"/>
  <c r="C269" i="10"/>
  <c r="B269" i="10"/>
  <c r="G268" i="10"/>
  <c r="D268" i="10" a="1"/>
  <c r="D268" i="10" s="1"/>
  <c r="C268" i="10"/>
  <c r="B268" i="10"/>
  <c r="M267" i="10"/>
  <c r="O267" i="10" s="1"/>
  <c r="G267" i="10"/>
  <c r="D267" i="10" a="1"/>
  <c r="D267" i="10" s="1"/>
  <c r="C267" i="10"/>
  <c r="B267" i="10"/>
  <c r="G266" i="10"/>
  <c r="M266" i="10" s="1"/>
  <c r="O266" i="10" s="1"/>
  <c r="D266" i="10" a="1"/>
  <c r="D266" i="10" s="1"/>
  <c r="C266" i="10"/>
  <c r="B266" i="10"/>
  <c r="G265" i="10"/>
  <c r="M265" i="10" s="1"/>
  <c r="O265" i="10" s="1"/>
  <c r="D265" i="10" a="1"/>
  <c r="D265" i="10" s="1"/>
  <c r="C265" i="10"/>
  <c r="J265" i="10" s="1"/>
  <c r="B265" i="10"/>
  <c r="G264" i="10"/>
  <c r="D264" i="10" a="1"/>
  <c r="D264" i="10" s="1"/>
  <c r="C264" i="10"/>
  <c r="B264" i="10"/>
  <c r="G263" i="10"/>
  <c r="J263" i="10" s="1"/>
  <c r="D263" i="10" a="1"/>
  <c r="D263" i="10" s="1"/>
  <c r="C263" i="10"/>
  <c r="B263" i="10"/>
  <c r="M262" i="10"/>
  <c r="G262" i="10"/>
  <c r="H262" i="10" s="1"/>
  <c r="D262" i="10" a="1"/>
  <c r="D262" i="10" s="1"/>
  <c r="C262" i="10"/>
  <c r="J262" i="10" s="1"/>
  <c r="B262" i="10"/>
  <c r="G261" i="10"/>
  <c r="M261" i="10" s="1"/>
  <c r="D261" i="10" a="1"/>
  <c r="D261" i="10" s="1"/>
  <c r="C261" i="10"/>
  <c r="B261" i="10"/>
  <c r="G260" i="10"/>
  <c r="D260" i="10" a="1"/>
  <c r="D260" i="10" s="1"/>
  <c r="C260" i="10"/>
  <c r="B260" i="10"/>
  <c r="G259" i="10"/>
  <c r="D259" i="10" a="1"/>
  <c r="D259" i="10" s="1"/>
  <c r="C259" i="10"/>
  <c r="B259" i="10"/>
  <c r="G258" i="10"/>
  <c r="D258" i="10" a="1"/>
  <c r="D258" i="10" s="1"/>
  <c r="C258" i="10"/>
  <c r="J258" i="10" s="1"/>
  <c r="B258" i="10"/>
  <c r="G257" i="10"/>
  <c r="H257" i="10" s="1"/>
  <c r="D257" i="10" a="1"/>
  <c r="D257" i="10" s="1"/>
  <c r="C257" i="10"/>
  <c r="B257" i="10"/>
  <c r="G256" i="10"/>
  <c r="M256" i="10" s="1"/>
  <c r="D256" i="10" a="1"/>
  <c r="D256" i="10" s="1"/>
  <c r="C256" i="10"/>
  <c r="J256" i="10" s="1"/>
  <c r="B256" i="10"/>
  <c r="G255" i="10"/>
  <c r="M255" i="10" s="1"/>
  <c r="D255" i="10" a="1"/>
  <c r="D255" i="10" s="1"/>
  <c r="C255" i="10"/>
  <c r="B255" i="10"/>
  <c r="M254" i="10"/>
  <c r="G254" i="10"/>
  <c r="H254" i="10" s="1"/>
  <c r="D254" i="10" a="1"/>
  <c r="D254" i="10" s="1"/>
  <c r="C254" i="10"/>
  <c r="J254" i="10" s="1"/>
  <c r="B254" i="10"/>
  <c r="G253" i="10"/>
  <c r="H253" i="10" s="1"/>
  <c r="D253" i="10" a="1"/>
  <c r="D253" i="10" s="1"/>
  <c r="C253" i="10"/>
  <c r="B253" i="10"/>
  <c r="G252" i="10"/>
  <c r="M252" i="10" s="1"/>
  <c r="O252" i="10" s="1"/>
  <c r="D252" i="10" a="1"/>
  <c r="D252" i="10" s="1"/>
  <c r="C252" i="10"/>
  <c r="B252" i="10"/>
  <c r="G251" i="10"/>
  <c r="M251" i="10" s="1"/>
  <c r="O251" i="10" s="1"/>
  <c r="D251" i="10" a="1"/>
  <c r="D251" i="10" s="1"/>
  <c r="C251" i="10"/>
  <c r="B251" i="10"/>
  <c r="G250" i="10"/>
  <c r="D250" i="10" a="1"/>
  <c r="D250" i="10" s="1"/>
  <c r="C250" i="10"/>
  <c r="B250" i="10"/>
  <c r="M249" i="10"/>
  <c r="G249" i="10"/>
  <c r="D249" i="10"/>
  <c r="D249" i="10" a="1"/>
  <c r="C249" i="10"/>
  <c r="J249" i="10" s="1"/>
  <c r="B249" i="10"/>
  <c r="G248" i="10"/>
  <c r="M248" i="10" s="1"/>
  <c r="O248" i="10" s="1"/>
  <c r="D248" i="10" a="1"/>
  <c r="D248" i="10" s="1"/>
  <c r="C248" i="10"/>
  <c r="B248" i="10"/>
  <c r="G247" i="10"/>
  <c r="D247" i="10" a="1"/>
  <c r="D247" i="10" s="1"/>
  <c r="C247" i="10"/>
  <c r="B247" i="10"/>
  <c r="G246" i="10"/>
  <c r="D246" i="10" a="1"/>
  <c r="D246" i="10" s="1"/>
  <c r="C246" i="10"/>
  <c r="B246" i="10"/>
  <c r="G245" i="10"/>
  <c r="M245" i="10" s="1"/>
  <c r="O245" i="10" s="1"/>
  <c r="D245" i="10" a="1"/>
  <c r="D245" i="10" s="1"/>
  <c r="C245" i="10"/>
  <c r="B245" i="10"/>
  <c r="G244" i="10"/>
  <c r="D244" i="10" a="1"/>
  <c r="D244" i="10" s="1"/>
  <c r="C244" i="10"/>
  <c r="B244" i="10"/>
  <c r="G243" i="10"/>
  <c r="D243" i="10" a="1"/>
  <c r="D243" i="10" s="1"/>
  <c r="C243" i="10"/>
  <c r="B243" i="10"/>
  <c r="G242" i="10"/>
  <c r="D242" i="10" a="1"/>
  <c r="D242" i="10" s="1"/>
  <c r="C242" i="10"/>
  <c r="B242" i="10"/>
  <c r="G241" i="10"/>
  <c r="D241" i="10" a="1"/>
  <c r="D241" i="10" s="1"/>
  <c r="C241" i="10"/>
  <c r="B241" i="10"/>
  <c r="G240" i="10"/>
  <c r="D240" i="10" a="1"/>
  <c r="D240" i="10" s="1"/>
  <c r="C240" i="10"/>
  <c r="J240" i="10" s="1"/>
  <c r="B240" i="10"/>
  <c r="G239" i="10"/>
  <c r="D239" i="10" a="1"/>
  <c r="D239" i="10" s="1"/>
  <c r="C239" i="10"/>
  <c r="B239" i="10"/>
  <c r="G238" i="10"/>
  <c r="D238" i="10" a="1"/>
  <c r="D238" i="10" s="1"/>
  <c r="C238" i="10"/>
  <c r="B238" i="10"/>
  <c r="G237" i="10"/>
  <c r="D237" i="10" a="1"/>
  <c r="D237" i="10" s="1"/>
  <c r="C237" i="10"/>
  <c r="B237" i="10"/>
  <c r="G236" i="10"/>
  <c r="M236" i="10" s="1"/>
  <c r="D236" i="10" a="1"/>
  <c r="D236" i="10" s="1"/>
  <c r="C236" i="10"/>
  <c r="B236" i="10"/>
  <c r="G235" i="10"/>
  <c r="M235" i="10" s="1"/>
  <c r="O235" i="10" s="1"/>
  <c r="D235" i="10" a="1"/>
  <c r="D235" i="10" s="1"/>
  <c r="C235" i="10"/>
  <c r="B235" i="10"/>
  <c r="G234" i="10"/>
  <c r="D234" i="10" a="1"/>
  <c r="D234" i="10" s="1"/>
  <c r="C234" i="10"/>
  <c r="B234" i="10"/>
  <c r="G233" i="10"/>
  <c r="M233" i="10" s="1"/>
  <c r="D233" i="10" a="1"/>
  <c r="D233" i="10" s="1"/>
  <c r="C233" i="10"/>
  <c r="B233" i="10"/>
  <c r="G232" i="10"/>
  <c r="M232" i="10" s="1"/>
  <c r="O232" i="10" s="1"/>
  <c r="D232" i="10" a="1"/>
  <c r="D232" i="10" s="1"/>
  <c r="C232" i="10"/>
  <c r="B232" i="10"/>
  <c r="G231" i="10"/>
  <c r="M231" i="10" s="1"/>
  <c r="O231" i="10" s="1"/>
  <c r="D231" i="10" a="1"/>
  <c r="D231" i="10" s="1"/>
  <c r="C231" i="10"/>
  <c r="B231" i="10"/>
  <c r="G230" i="10"/>
  <c r="D230" i="10" a="1"/>
  <c r="D230" i="10" s="1"/>
  <c r="C230" i="10"/>
  <c r="B230" i="10"/>
  <c r="G229" i="10"/>
  <c r="M229" i="10" s="1"/>
  <c r="O229" i="10" s="1"/>
  <c r="D229" i="10" a="1"/>
  <c r="D229" i="10" s="1"/>
  <c r="C229" i="10"/>
  <c r="B229" i="10"/>
  <c r="G228" i="10"/>
  <c r="M228" i="10" s="1"/>
  <c r="D228" i="10" a="1"/>
  <c r="D228" i="10" s="1"/>
  <c r="C228" i="10"/>
  <c r="B228" i="10"/>
  <c r="G227" i="10"/>
  <c r="M227" i="10" s="1"/>
  <c r="O227" i="10" s="1"/>
  <c r="D227" i="10" a="1"/>
  <c r="D227" i="10" s="1"/>
  <c r="C227" i="10"/>
  <c r="B227" i="10"/>
  <c r="G226" i="10"/>
  <c r="D226" i="10" a="1"/>
  <c r="D226" i="10" s="1"/>
  <c r="C226" i="10"/>
  <c r="B226" i="10"/>
  <c r="G225" i="10"/>
  <c r="M225" i="10" s="1"/>
  <c r="D225" i="10" a="1"/>
  <c r="D225" i="10" s="1"/>
  <c r="C225" i="10"/>
  <c r="B225" i="10"/>
  <c r="G224" i="10"/>
  <c r="M224" i="10" s="1"/>
  <c r="O224" i="10" s="1"/>
  <c r="D224" i="10" a="1"/>
  <c r="D224" i="10" s="1"/>
  <c r="C224" i="10"/>
  <c r="J224" i="10" s="1"/>
  <c r="B224" i="10"/>
  <c r="G223" i="10"/>
  <c r="M223" i="10" s="1"/>
  <c r="O223" i="10" s="1"/>
  <c r="D223" i="10" a="1"/>
  <c r="D223" i="10" s="1"/>
  <c r="C223" i="10"/>
  <c r="J223" i="10" s="1"/>
  <c r="B223" i="10"/>
  <c r="G222" i="10"/>
  <c r="D222" i="10" a="1"/>
  <c r="D222" i="10" s="1"/>
  <c r="C222" i="10"/>
  <c r="B222" i="10"/>
  <c r="M221" i="10"/>
  <c r="G221" i="10"/>
  <c r="D221" i="10" a="1"/>
  <c r="D221" i="10" s="1"/>
  <c r="C221" i="10"/>
  <c r="J221" i="10" s="1"/>
  <c r="B221" i="10"/>
  <c r="G220" i="10"/>
  <c r="M220" i="10" s="1"/>
  <c r="D220" i="10" a="1"/>
  <c r="D220" i="10" s="1"/>
  <c r="C220" i="10"/>
  <c r="B220" i="10"/>
  <c r="G219" i="10"/>
  <c r="H219" i="10" s="1"/>
  <c r="D219" i="10" a="1"/>
  <c r="D219" i="10" s="1"/>
  <c r="C219" i="10"/>
  <c r="B219" i="10"/>
  <c r="G218" i="10"/>
  <c r="D218" i="10" a="1"/>
  <c r="D218" i="10" s="1"/>
  <c r="C218" i="10"/>
  <c r="B218" i="10"/>
  <c r="G217" i="10"/>
  <c r="M217" i="10" s="1"/>
  <c r="D217" i="10" a="1"/>
  <c r="D217" i="10" s="1"/>
  <c r="C217" i="10"/>
  <c r="B217" i="10"/>
  <c r="G216" i="10"/>
  <c r="M216" i="10" s="1"/>
  <c r="D216" i="10" a="1"/>
  <c r="D216" i="10" s="1"/>
  <c r="C216" i="10"/>
  <c r="B216" i="10"/>
  <c r="G215" i="10"/>
  <c r="M215" i="10" s="1"/>
  <c r="O215" i="10" s="1"/>
  <c r="D215" i="10" a="1"/>
  <c r="D215" i="10" s="1"/>
  <c r="C215" i="10"/>
  <c r="B215" i="10"/>
  <c r="G214" i="10"/>
  <c r="D214" i="10" a="1"/>
  <c r="D214" i="10" s="1"/>
  <c r="C214" i="10"/>
  <c r="B214" i="10"/>
  <c r="G213" i="10"/>
  <c r="M213" i="10" s="1"/>
  <c r="O213" i="10" s="1"/>
  <c r="D213" i="10" a="1"/>
  <c r="D213" i="10" s="1"/>
  <c r="C213" i="10"/>
  <c r="B213" i="10"/>
  <c r="G212" i="10"/>
  <c r="M212" i="10" s="1"/>
  <c r="D212" i="10" a="1"/>
  <c r="D212" i="10" s="1"/>
  <c r="C212" i="10"/>
  <c r="B212" i="10"/>
  <c r="G211" i="10"/>
  <c r="M211" i="10" s="1"/>
  <c r="O211" i="10" s="1"/>
  <c r="D211" i="10" a="1"/>
  <c r="D211" i="10" s="1"/>
  <c r="C211" i="10"/>
  <c r="B211" i="10"/>
  <c r="G210" i="10"/>
  <c r="M210" i="10" s="1"/>
  <c r="O210" i="10" s="1"/>
  <c r="D210" i="10" a="1"/>
  <c r="D210" i="10" s="1"/>
  <c r="C210" i="10"/>
  <c r="B210" i="10"/>
  <c r="M209" i="10"/>
  <c r="G209" i="10"/>
  <c r="D209" i="10" a="1"/>
  <c r="D209" i="10" s="1"/>
  <c r="C209" i="10"/>
  <c r="B209" i="10"/>
  <c r="G208" i="10"/>
  <c r="M208" i="10" s="1"/>
  <c r="D208" i="10" a="1"/>
  <c r="D208" i="10" s="1"/>
  <c r="C208" i="10"/>
  <c r="B208" i="10"/>
  <c r="G207" i="10"/>
  <c r="M207" i="10" s="1"/>
  <c r="O207" i="10" s="1"/>
  <c r="D207" i="10" a="1"/>
  <c r="D207" i="10" s="1"/>
  <c r="C207" i="10"/>
  <c r="B207" i="10"/>
  <c r="G206" i="10"/>
  <c r="D206" i="10" a="1"/>
  <c r="D206" i="10" s="1"/>
  <c r="C206" i="10"/>
  <c r="B206" i="10"/>
  <c r="G205" i="10"/>
  <c r="M205" i="10" s="1"/>
  <c r="D205" i="10" a="1"/>
  <c r="D205" i="10" s="1"/>
  <c r="C205" i="10"/>
  <c r="B205" i="10"/>
  <c r="G204" i="10"/>
  <c r="D204" i="10" a="1"/>
  <c r="D204" i="10" s="1"/>
  <c r="C204" i="10"/>
  <c r="B204" i="10"/>
  <c r="G203" i="10"/>
  <c r="M203" i="10" s="1"/>
  <c r="D203" i="10" a="1"/>
  <c r="D203" i="10" s="1"/>
  <c r="C203" i="10"/>
  <c r="B203" i="10"/>
  <c r="G202" i="10"/>
  <c r="M202" i="10" s="1"/>
  <c r="O202" i="10" s="1"/>
  <c r="D202" i="10" a="1"/>
  <c r="D202" i="10" s="1"/>
  <c r="C202" i="10"/>
  <c r="J202" i="10" s="1"/>
  <c r="B202" i="10"/>
  <c r="G201" i="10"/>
  <c r="M201" i="10" s="1"/>
  <c r="D201" i="10" a="1"/>
  <c r="D201" i="10" s="1"/>
  <c r="C201" i="10"/>
  <c r="B201" i="10"/>
  <c r="G200" i="10"/>
  <c r="M200" i="10" s="1"/>
  <c r="D200" i="10" a="1"/>
  <c r="D200" i="10" s="1"/>
  <c r="C200" i="10"/>
  <c r="B200" i="10"/>
  <c r="G199" i="10"/>
  <c r="M199" i="10" s="1"/>
  <c r="D199" i="10"/>
  <c r="D199" i="10" a="1"/>
  <c r="C199" i="10"/>
  <c r="B199" i="10"/>
  <c r="G198" i="10"/>
  <c r="M198" i="10" s="1"/>
  <c r="D198" i="10" a="1"/>
  <c r="D198" i="10" s="1"/>
  <c r="C198" i="10"/>
  <c r="B198" i="10"/>
  <c r="G197" i="10"/>
  <c r="M197" i="10" s="1"/>
  <c r="O197" i="10" s="1"/>
  <c r="D197" i="10" a="1"/>
  <c r="D197" i="10" s="1"/>
  <c r="C197" i="10"/>
  <c r="B197" i="10"/>
  <c r="G196" i="10"/>
  <c r="H196" i="10" s="1"/>
  <c r="D196" i="10" a="1"/>
  <c r="D196" i="10" s="1"/>
  <c r="C196" i="10"/>
  <c r="B196" i="10"/>
  <c r="G195" i="10"/>
  <c r="M195" i="10" s="1"/>
  <c r="O195" i="10" s="1"/>
  <c r="D195" i="10" a="1"/>
  <c r="D195" i="10" s="1"/>
  <c r="C195" i="10"/>
  <c r="B195" i="10"/>
  <c r="G194" i="10"/>
  <c r="M194" i="10" s="1"/>
  <c r="O194" i="10" s="1"/>
  <c r="D194" i="10" a="1"/>
  <c r="D194" i="10" s="1"/>
  <c r="C194" i="10"/>
  <c r="B194" i="10"/>
  <c r="G193" i="10"/>
  <c r="D193" i="10"/>
  <c r="D193" i="10" a="1"/>
  <c r="C193" i="10"/>
  <c r="B193" i="10"/>
  <c r="G192" i="10"/>
  <c r="M192" i="10" s="1"/>
  <c r="D192" i="10" a="1"/>
  <c r="D192" i="10" s="1"/>
  <c r="C192" i="10"/>
  <c r="B192" i="10"/>
  <c r="G191" i="10"/>
  <c r="D191" i="10" a="1"/>
  <c r="D191" i="10" s="1"/>
  <c r="C191" i="10"/>
  <c r="J191" i="10" s="1"/>
  <c r="B191" i="10"/>
  <c r="G190" i="10"/>
  <c r="M190" i="10" s="1"/>
  <c r="O190" i="10" s="1"/>
  <c r="D190" i="10"/>
  <c r="D190" i="10" a="1"/>
  <c r="C190" i="10"/>
  <c r="J190" i="10" s="1"/>
  <c r="B190" i="10"/>
  <c r="G189" i="10"/>
  <c r="D189" i="10" a="1"/>
  <c r="D189" i="10" s="1"/>
  <c r="C189" i="10"/>
  <c r="B189" i="10"/>
  <c r="G188" i="10"/>
  <c r="M188" i="10" s="1"/>
  <c r="O188" i="10" s="1"/>
  <c r="D188" i="10" a="1"/>
  <c r="D188" i="10" s="1"/>
  <c r="C188" i="10"/>
  <c r="B188" i="10"/>
  <c r="G187" i="10"/>
  <c r="D187" i="10"/>
  <c r="D187" i="10" a="1"/>
  <c r="C187" i="10"/>
  <c r="B187" i="10"/>
  <c r="G186" i="10"/>
  <c r="M186" i="10" s="1"/>
  <c r="O186" i="10" s="1"/>
  <c r="D186" i="10" a="1"/>
  <c r="D186" i="10" s="1"/>
  <c r="C186" i="10"/>
  <c r="B186" i="10"/>
  <c r="G185" i="10"/>
  <c r="D185" i="10" a="1"/>
  <c r="D185" i="10" s="1"/>
  <c r="C185" i="10"/>
  <c r="B185" i="10"/>
  <c r="G184" i="10"/>
  <c r="M184" i="10" s="1"/>
  <c r="D184" i="10" a="1"/>
  <c r="D184" i="10" s="1"/>
  <c r="C184" i="10"/>
  <c r="B184" i="10"/>
  <c r="G183" i="10"/>
  <c r="H183" i="10" s="1"/>
  <c r="D183" i="10" a="1"/>
  <c r="D183" i="10" s="1"/>
  <c r="C183" i="10"/>
  <c r="B183" i="10"/>
  <c r="G182" i="10"/>
  <c r="M182" i="10" s="1"/>
  <c r="O182" i="10" s="1"/>
  <c r="D182" i="10" a="1"/>
  <c r="D182" i="10" s="1"/>
  <c r="C182" i="10"/>
  <c r="J182" i="10" s="1"/>
  <c r="B182" i="10"/>
  <c r="G181" i="10"/>
  <c r="D181" i="10" a="1"/>
  <c r="D181" i="10" s="1"/>
  <c r="C181" i="10"/>
  <c r="B181" i="10"/>
  <c r="G180" i="10"/>
  <c r="M180" i="10" s="1"/>
  <c r="D180" i="10" a="1"/>
  <c r="D180" i="10" s="1"/>
  <c r="C180" i="10"/>
  <c r="B180" i="10"/>
  <c r="G179" i="10"/>
  <c r="D179" i="10" a="1"/>
  <c r="D179" i="10" s="1"/>
  <c r="C179" i="10"/>
  <c r="B179" i="10"/>
  <c r="G178" i="10"/>
  <c r="M178" i="10" s="1"/>
  <c r="D178" i="10" a="1"/>
  <c r="D178" i="10" s="1"/>
  <c r="C178" i="10"/>
  <c r="B178" i="10"/>
  <c r="G177" i="10"/>
  <c r="D177" i="10" a="1"/>
  <c r="D177" i="10" s="1"/>
  <c r="C177" i="10"/>
  <c r="B177" i="10"/>
  <c r="G176" i="10"/>
  <c r="D176" i="10" a="1"/>
  <c r="D176" i="10" s="1"/>
  <c r="C176" i="10"/>
  <c r="B176" i="10"/>
  <c r="G175" i="10"/>
  <c r="M175" i="10" s="1"/>
  <c r="D175" i="10" a="1"/>
  <c r="D175" i="10" s="1"/>
  <c r="C175" i="10"/>
  <c r="B175" i="10"/>
  <c r="J174" i="10"/>
  <c r="G174" i="10"/>
  <c r="M174" i="10" s="1"/>
  <c r="O174" i="10" s="1"/>
  <c r="D174" i="10" a="1"/>
  <c r="D174" i="10" s="1"/>
  <c r="C174" i="10"/>
  <c r="B174" i="10"/>
  <c r="G173" i="10"/>
  <c r="H173" i="10" s="1"/>
  <c r="D173" i="10" a="1"/>
  <c r="D173" i="10" s="1"/>
  <c r="C173" i="10"/>
  <c r="B173" i="10"/>
  <c r="G172" i="10"/>
  <c r="J172" i="10" s="1"/>
  <c r="D172" i="10" a="1"/>
  <c r="D172" i="10" s="1"/>
  <c r="C172" i="10"/>
  <c r="B172" i="10"/>
  <c r="G171" i="10"/>
  <c r="M171" i="10" s="1"/>
  <c r="D171" i="10" a="1"/>
  <c r="D171" i="10" s="1"/>
  <c r="C171" i="10"/>
  <c r="B171" i="10"/>
  <c r="G170" i="10"/>
  <c r="M170" i="10" s="1"/>
  <c r="O170" i="10" s="1"/>
  <c r="D170" i="10" a="1"/>
  <c r="D170" i="10" s="1"/>
  <c r="C170" i="10"/>
  <c r="B170" i="10"/>
  <c r="J169" i="10"/>
  <c r="G169" i="10"/>
  <c r="D169" i="10" a="1"/>
  <c r="D169" i="10" s="1"/>
  <c r="C169" i="10"/>
  <c r="B169" i="10"/>
  <c r="G168" i="10"/>
  <c r="H168" i="10" s="1"/>
  <c r="D168" i="10" a="1"/>
  <c r="D168" i="10" s="1"/>
  <c r="C168" i="10"/>
  <c r="B168" i="10"/>
  <c r="G167" i="10"/>
  <c r="M167" i="10" s="1"/>
  <c r="D167" i="10" a="1"/>
  <c r="D167" i="10" s="1"/>
  <c r="C167" i="10"/>
  <c r="B167" i="10"/>
  <c r="G166" i="10"/>
  <c r="M166" i="10" s="1"/>
  <c r="D166" i="10" a="1"/>
  <c r="D166" i="10" s="1"/>
  <c r="C166" i="10"/>
  <c r="B166" i="10"/>
  <c r="G165" i="10"/>
  <c r="H165" i="10" s="1"/>
  <c r="D165" i="10" a="1"/>
  <c r="D165" i="10" s="1"/>
  <c r="C165" i="10"/>
  <c r="B165" i="10"/>
  <c r="G164" i="10"/>
  <c r="M164" i="10" s="1"/>
  <c r="D164" i="10" a="1"/>
  <c r="D164" i="10" s="1"/>
  <c r="C164" i="10"/>
  <c r="B164" i="10"/>
  <c r="G163" i="10"/>
  <c r="M163" i="10" s="1"/>
  <c r="D163" i="10" a="1"/>
  <c r="D163" i="10" s="1"/>
  <c r="C163" i="10"/>
  <c r="B163" i="10"/>
  <c r="G162" i="10"/>
  <c r="H162" i="10" s="1"/>
  <c r="D162" i="10" a="1"/>
  <c r="D162" i="10" s="1"/>
  <c r="C162" i="10"/>
  <c r="B162" i="10"/>
  <c r="G161" i="10"/>
  <c r="D161" i="10" a="1"/>
  <c r="D161" i="10" s="1"/>
  <c r="C161" i="10"/>
  <c r="B161" i="10"/>
  <c r="G160" i="10"/>
  <c r="M160" i="10" s="1"/>
  <c r="O160" i="10" s="1"/>
  <c r="D160" i="10" a="1"/>
  <c r="D160" i="10" s="1"/>
  <c r="C160" i="10"/>
  <c r="B160" i="10"/>
  <c r="G159" i="10"/>
  <c r="M159" i="10" s="1"/>
  <c r="D159" i="10" a="1"/>
  <c r="D159" i="10" s="1"/>
  <c r="C159" i="10"/>
  <c r="B159" i="10"/>
  <c r="G158" i="10"/>
  <c r="M158" i="10" s="1"/>
  <c r="O158" i="10" s="1"/>
  <c r="D158" i="10" a="1"/>
  <c r="D158" i="10" s="1"/>
  <c r="C158" i="10"/>
  <c r="B158" i="10"/>
  <c r="G157" i="10"/>
  <c r="D157" i="10" a="1"/>
  <c r="D157" i="10" s="1"/>
  <c r="C157" i="10"/>
  <c r="B157" i="10"/>
  <c r="G156" i="10"/>
  <c r="M156" i="10" s="1"/>
  <c r="O156" i="10" s="1"/>
  <c r="D156" i="10" a="1"/>
  <c r="D156" i="10" s="1"/>
  <c r="C156" i="10"/>
  <c r="B156" i="10"/>
  <c r="G155" i="10"/>
  <c r="D155" i="10" a="1"/>
  <c r="D155" i="10" s="1"/>
  <c r="C155" i="10"/>
  <c r="B155" i="10"/>
  <c r="G154" i="10"/>
  <c r="M154" i="10" s="1"/>
  <c r="D154" i="10" a="1"/>
  <c r="D154" i="10" s="1"/>
  <c r="C154" i="10"/>
  <c r="B154" i="10"/>
  <c r="G153" i="10"/>
  <c r="D153" i="10" a="1"/>
  <c r="D153" i="10" s="1"/>
  <c r="C153" i="10"/>
  <c r="B153" i="10"/>
  <c r="G152" i="10"/>
  <c r="M152" i="10" s="1"/>
  <c r="O152" i="10" s="1"/>
  <c r="D152" i="10" a="1"/>
  <c r="D152" i="10" s="1"/>
  <c r="C152" i="10"/>
  <c r="B152" i="10"/>
  <c r="G151" i="10"/>
  <c r="D151" i="10" a="1"/>
  <c r="D151" i="10" s="1"/>
  <c r="C151" i="10"/>
  <c r="B151" i="10"/>
  <c r="M150" i="10"/>
  <c r="O150" i="10" s="1"/>
  <c r="G150" i="10"/>
  <c r="D150" i="10" a="1"/>
  <c r="D150" i="10" s="1"/>
  <c r="C150" i="10"/>
  <c r="B150" i="10"/>
  <c r="G149" i="10"/>
  <c r="D149" i="10" a="1"/>
  <c r="D149" i="10" s="1"/>
  <c r="C149" i="10"/>
  <c r="B149" i="10"/>
  <c r="G148" i="10"/>
  <c r="M148" i="10" s="1"/>
  <c r="O148" i="10" s="1"/>
  <c r="D148" i="10" a="1"/>
  <c r="D148" i="10" s="1"/>
  <c r="C148" i="10"/>
  <c r="B148" i="10"/>
  <c r="G147" i="10"/>
  <c r="M147" i="10" s="1"/>
  <c r="D147" i="10" a="1"/>
  <c r="D147" i="10" s="1"/>
  <c r="C147" i="10"/>
  <c r="B147" i="10"/>
  <c r="G146" i="10"/>
  <c r="M146" i="10" s="1"/>
  <c r="D146" i="10" a="1"/>
  <c r="D146" i="10" s="1"/>
  <c r="C146" i="10"/>
  <c r="B146" i="10"/>
  <c r="J145" i="10"/>
  <c r="G145" i="10"/>
  <c r="D145" i="10" a="1"/>
  <c r="D145" i="10" s="1"/>
  <c r="C145" i="10"/>
  <c r="B145" i="10"/>
  <c r="G144" i="10"/>
  <c r="D144" i="10" a="1"/>
  <c r="D144" i="10" s="1"/>
  <c r="C144" i="10"/>
  <c r="B144" i="10"/>
  <c r="G143" i="10"/>
  <c r="M143" i="10" s="1"/>
  <c r="D143" i="10" a="1"/>
  <c r="D143" i="10" s="1"/>
  <c r="C143" i="10"/>
  <c r="J143" i="10" s="1"/>
  <c r="B143" i="10"/>
  <c r="G142" i="10"/>
  <c r="M142" i="10" s="1"/>
  <c r="O142" i="10" s="1"/>
  <c r="D142" i="10" a="1"/>
  <c r="D142" i="10" s="1"/>
  <c r="C142" i="10"/>
  <c r="B142" i="10"/>
  <c r="G141" i="10"/>
  <c r="M141" i="10" s="1"/>
  <c r="D141" i="10" a="1"/>
  <c r="D141" i="10" s="1"/>
  <c r="C141" i="10"/>
  <c r="J141" i="10" s="1"/>
  <c r="B141" i="10"/>
  <c r="G140" i="10"/>
  <c r="D140" i="10"/>
  <c r="D140" i="10" a="1"/>
  <c r="C140" i="10"/>
  <c r="B140" i="10"/>
  <c r="G139" i="10"/>
  <c r="M139" i="10" s="1"/>
  <c r="O139" i="10" s="1"/>
  <c r="D139" i="10" a="1"/>
  <c r="D139" i="10" s="1"/>
  <c r="C139" i="10"/>
  <c r="B139" i="10"/>
  <c r="G138" i="10"/>
  <c r="M138" i="10" s="1"/>
  <c r="O138" i="10" s="1"/>
  <c r="D138" i="10" a="1"/>
  <c r="D138" i="10" s="1"/>
  <c r="C138" i="10"/>
  <c r="B138" i="10"/>
  <c r="G137" i="10"/>
  <c r="M137" i="10" s="1"/>
  <c r="D137" i="10" a="1"/>
  <c r="D137" i="10" s="1"/>
  <c r="C137" i="10"/>
  <c r="B137" i="10"/>
  <c r="G136" i="10"/>
  <c r="M136" i="10" s="1"/>
  <c r="D136" i="10" a="1"/>
  <c r="D136" i="10" s="1"/>
  <c r="C136" i="10"/>
  <c r="B136" i="10"/>
  <c r="G135" i="10"/>
  <c r="M135" i="10" s="1"/>
  <c r="D135" i="10" a="1"/>
  <c r="D135" i="10" s="1"/>
  <c r="C135" i="10"/>
  <c r="B135" i="10"/>
  <c r="G134" i="10"/>
  <c r="M134" i="10" s="1"/>
  <c r="O134" i="10" s="1"/>
  <c r="D134" i="10" a="1"/>
  <c r="D134" i="10" s="1"/>
  <c r="C134" i="10"/>
  <c r="B134" i="10"/>
  <c r="J133" i="10"/>
  <c r="G133" i="10"/>
  <c r="M133" i="10" s="1"/>
  <c r="D133" i="10" a="1"/>
  <c r="D133" i="10" s="1"/>
  <c r="C133" i="10"/>
  <c r="B133" i="10"/>
  <c r="G132" i="10"/>
  <c r="M132" i="10" s="1"/>
  <c r="O132" i="10" s="1"/>
  <c r="D132" i="10" a="1"/>
  <c r="D132" i="10" s="1"/>
  <c r="C132" i="10"/>
  <c r="B132" i="10"/>
  <c r="G131" i="10"/>
  <c r="M131" i="10" s="1"/>
  <c r="O131" i="10" s="1"/>
  <c r="D131" i="10" a="1"/>
  <c r="D131" i="10" s="1"/>
  <c r="C131" i="10"/>
  <c r="J131" i="10" s="1"/>
  <c r="B131" i="10"/>
  <c r="G130" i="10"/>
  <c r="M130" i="10" s="1"/>
  <c r="D130" i="10" a="1"/>
  <c r="D130" i="10" s="1"/>
  <c r="C130" i="10"/>
  <c r="B130" i="10"/>
  <c r="G129" i="10"/>
  <c r="M129" i="10" s="1"/>
  <c r="O129" i="10" s="1"/>
  <c r="D129" i="10" a="1"/>
  <c r="D129" i="10" s="1"/>
  <c r="C129" i="10"/>
  <c r="B129" i="10"/>
  <c r="G128" i="10"/>
  <c r="D128" i="10" a="1"/>
  <c r="D128" i="10" s="1"/>
  <c r="C128" i="10"/>
  <c r="B128" i="10"/>
  <c r="G127" i="10"/>
  <c r="M127" i="10" s="1"/>
  <c r="O127" i="10" s="1"/>
  <c r="D127" i="10" a="1"/>
  <c r="D127" i="10" s="1"/>
  <c r="C127" i="10"/>
  <c r="J127" i="10" s="1"/>
  <c r="B127" i="10"/>
  <c r="G126" i="10"/>
  <c r="D126" i="10" a="1"/>
  <c r="D126" i="10" s="1"/>
  <c r="C126" i="10"/>
  <c r="B126" i="10"/>
  <c r="G125" i="10"/>
  <c r="M125" i="10" s="1"/>
  <c r="D125" i="10" a="1"/>
  <c r="D125" i="10" s="1"/>
  <c r="C125" i="10"/>
  <c r="J125" i="10" s="1"/>
  <c r="B125" i="10"/>
  <c r="G124" i="10"/>
  <c r="M124" i="10" s="1"/>
  <c r="D124" i="10" a="1"/>
  <c r="D124" i="10" s="1"/>
  <c r="C124" i="10"/>
  <c r="B124" i="10"/>
  <c r="G123" i="10"/>
  <c r="D123" i="10" a="1"/>
  <c r="D123" i="10" s="1"/>
  <c r="C123" i="10"/>
  <c r="B123" i="10"/>
  <c r="G122" i="10"/>
  <c r="D122" i="10" a="1"/>
  <c r="D122" i="10" s="1"/>
  <c r="C122" i="10"/>
  <c r="B122" i="10"/>
  <c r="G121" i="10"/>
  <c r="M121" i="10" s="1"/>
  <c r="D121" i="10" a="1"/>
  <c r="D121" i="10" s="1"/>
  <c r="C121" i="10"/>
  <c r="B121" i="10"/>
  <c r="G120" i="10"/>
  <c r="M120" i="10" s="1"/>
  <c r="D120" i="10" a="1"/>
  <c r="D120" i="10" s="1"/>
  <c r="C120" i="10"/>
  <c r="B120" i="10"/>
  <c r="J119" i="10"/>
  <c r="G119" i="10"/>
  <c r="H119" i="10" s="1"/>
  <c r="D119" i="10" a="1"/>
  <c r="D119" i="10" s="1"/>
  <c r="C119" i="10"/>
  <c r="B119" i="10"/>
  <c r="G118" i="10"/>
  <c r="M118" i="10" s="1"/>
  <c r="O118" i="10" s="1"/>
  <c r="D118" i="10" a="1"/>
  <c r="D118" i="10" s="1"/>
  <c r="C118" i="10"/>
  <c r="B118" i="10"/>
  <c r="G117" i="10"/>
  <c r="D117" i="10" a="1"/>
  <c r="D117" i="10" s="1"/>
  <c r="C117" i="10"/>
  <c r="J117" i="10" s="1"/>
  <c r="B117" i="10"/>
  <c r="G116" i="10"/>
  <c r="M116" i="10" s="1"/>
  <c r="D116" i="10" a="1"/>
  <c r="D116" i="10" s="1"/>
  <c r="C116" i="10"/>
  <c r="J116" i="10" s="1"/>
  <c r="B116" i="10"/>
  <c r="G115" i="10"/>
  <c r="M115" i="10" s="1"/>
  <c r="O115" i="10" s="1"/>
  <c r="D115" i="10" a="1"/>
  <c r="D115" i="10" s="1"/>
  <c r="C115" i="10"/>
  <c r="B115" i="10"/>
  <c r="G114" i="10"/>
  <c r="M114" i="10" s="1"/>
  <c r="O114" i="10" s="1"/>
  <c r="D114" i="10" a="1"/>
  <c r="D114" i="10" s="1"/>
  <c r="C114" i="10"/>
  <c r="B114" i="10"/>
  <c r="G113" i="10"/>
  <c r="J113" i="10" s="1"/>
  <c r="D113" i="10" a="1"/>
  <c r="D113" i="10" s="1"/>
  <c r="C113" i="10"/>
  <c r="B113" i="10"/>
  <c r="G112" i="10"/>
  <c r="M112" i="10" s="1"/>
  <c r="D112" i="10" a="1"/>
  <c r="D112" i="10" s="1"/>
  <c r="C112" i="10"/>
  <c r="B112" i="10"/>
  <c r="G111" i="10"/>
  <c r="M111" i="10" s="1"/>
  <c r="O111" i="10" s="1"/>
  <c r="D111" i="10" a="1"/>
  <c r="D111" i="10" s="1"/>
  <c r="C111" i="10"/>
  <c r="B111" i="10"/>
  <c r="G110" i="10"/>
  <c r="M110" i="10" s="1"/>
  <c r="O110" i="10" s="1"/>
  <c r="D110" i="10" a="1"/>
  <c r="D110" i="10" s="1"/>
  <c r="C110" i="10"/>
  <c r="B110" i="10"/>
  <c r="G109" i="10"/>
  <c r="D109" i="10" a="1"/>
  <c r="D109" i="10" s="1"/>
  <c r="C109" i="10"/>
  <c r="B109" i="10"/>
  <c r="G108" i="10"/>
  <c r="M108" i="10" s="1"/>
  <c r="O108" i="10" s="1"/>
  <c r="D108" i="10" a="1"/>
  <c r="D108" i="10" s="1"/>
  <c r="C108" i="10"/>
  <c r="J108" i="10" s="1"/>
  <c r="B108" i="10"/>
  <c r="G107" i="10"/>
  <c r="M107" i="10" s="1"/>
  <c r="D107" i="10" a="1"/>
  <c r="D107" i="10" s="1"/>
  <c r="C107" i="10"/>
  <c r="B107" i="10"/>
  <c r="G106" i="10"/>
  <c r="M106" i="10" s="1"/>
  <c r="D106" i="10" a="1"/>
  <c r="D106" i="10" s="1"/>
  <c r="C106" i="10"/>
  <c r="B106" i="10"/>
  <c r="G105" i="10"/>
  <c r="D105" i="10" a="1"/>
  <c r="D105" i="10" s="1"/>
  <c r="C105" i="10"/>
  <c r="B105" i="10"/>
  <c r="G104" i="10"/>
  <c r="M104" i="10" s="1"/>
  <c r="D104" i="10" a="1"/>
  <c r="D104" i="10" s="1"/>
  <c r="C104" i="10"/>
  <c r="B104" i="10"/>
  <c r="G103" i="10"/>
  <c r="H103" i="10" s="1"/>
  <c r="D103" i="10" a="1"/>
  <c r="D103" i="10" s="1"/>
  <c r="C103" i="10"/>
  <c r="J103" i="10" s="1"/>
  <c r="B103" i="10"/>
  <c r="G102" i="10"/>
  <c r="H102" i="10" s="1"/>
  <c r="D102" i="10" a="1"/>
  <c r="D102" i="10" s="1"/>
  <c r="C102" i="10"/>
  <c r="B102" i="10"/>
  <c r="G101" i="10"/>
  <c r="D101" i="10" a="1"/>
  <c r="D101" i="10" s="1"/>
  <c r="C101" i="10"/>
  <c r="B101" i="10"/>
  <c r="G100" i="10"/>
  <c r="M100" i="10" s="1"/>
  <c r="D100" i="10" a="1"/>
  <c r="D100" i="10" s="1"/>
  <c r="C100" i="10"/>
  <c r="B100" i="10"/>
  <c r="G99" i="10"/>
  <c r="M99" i="10" s="1"/>
  <c r="D99" i="10" a="1"/>
  <c r="D99" i="10" s="1"/>
  <c r="C99" i="10"/>
  <c r="B99" i="10"/>
  <c r="G98" i="10"/>
  <c r="M98" i="10" s="1"/>
  <c r="O98" i="10" s="1"/>
  <c r="D98" i="10" a="1"/>
  <c r="D98" i="10" s="1"/>
  <c r="C98" i="10"/>
  <c r="J98" i="10" s="1"/>
  <c r="B98" i="10"/>
  <c r="G97" i="10"/>
  <c r="H97" i="10" s="1"/>
  <c r="D97" i="10" a="1"/>
  <c r="D97" i="10" s="1"/>
  <c r="C97" i="10"/>
  <c r="B97" i="10"/>
  <c r="G96" i="10"/>
  <c r="M96" i="10" s="1"/>
  <c r="O96" i="10" s="1"/>
  <c r="D96" i="10" a="1"/>
  <c r="D96" i="10" s="1"/>
  <c r="C96" i="10"/>
  <c r="B96" i="10"/>
  <c r="G95" i="10"/>
  <c r="M95" i="10" s="1"/>
  <c r="D95" i="10"/>
  <c r="D95" i="10" a="1"/>
  <c r="C95" i="10"/>
  <c r="B95" i="10"/>
  <c r="G94" i="10"/>
  <c r="M94" i="10" s="1"/>
  <c r="O94" i="10" s="1"/>
  <c r="D94" i="10" a="1"/>
  <c r="D94" i="10" s="1"/>
  <c r="C94" i="10"/>
  <c r="B94" i="10"/>
  <c r="G93" i="10"/>
  <c r="D93" i="10" a="1"/>
  <c r="D93" i="10" s="1"/>
  <c r="C93" i="10"/>
  <c r="B93" i="10"/>
  <c r="G92" i="10"/>
  <c r="M92" i="10" s="1"/>
  <c r="D92" i="10" a="1"/>
  <c r="D92" i="10" s="1"/>
  <c r="C92" i="10"/>
  <c r="B92" i="10"/>
  <c r="G91" i="10"/>
  <c r="H91" i="10" s="1"/>
  <c r="D91" i="10" a="1"/>
  <c r="D91" i="10" s="1"/>
  <c r="C91" i="10"/>
  <c r="B91" i="10"/>
  <c r="G90" i="10"/>
  <c r="M90" i="10" s="1"/>
  <c r="O90" i="10" s="1"/>
  <c r="D90" i="10" a="1"/>
  <c r="D90" i="10" s="1"/>
  <c r="C90" i="10"/>
  <c r="B90" i="10"/>
  <c r="K89" i="10"/>
  <c r="G89" i="10"/>
  <c r="D89" i="10" a="1"/>
  <c r="D89" i="10" s="1"/>
  <c r="C89" i="10"/>
  <c r="B89" i="10"/>
  <c r="Q87" i="10"/>
  <c r="P87" i="10"/>
  <c r="O87" i="10"/>
  <c r="N87" i="10"/>
  <c r="M87" i="10"/>
  <c r="L87" i="10"/>
  <c r="K87" i="10"/>
  <c r="J87" i="10"/>
  <c r="H87" i="10"/>
  <c r="E87" i="10"/>
  <c r="D87" i="10"/>
  <c r="O86" i="10"/>
  <c r="J86" i="10"/>
  <c r="G86" i="10"/>
  <c r="C86" i="10"/>
  <c r="Q81" i="10"/>
  <c r="B65" i="10"/>
  <c r="B64" i="10"/>
  <c r="B63" i="10"/>
  <c r="B62" i="10"/>
  <c r="B61" i="10"/>
  <c r="B60" i="10"/>
  <c r="B59" i="10"/>
  <c r="B56" i="10"/>
  <c r="B55" i="10"/>
  <c r="B54" i="10"/>
  <c r="B53" i="10"/>
  <c r="B52" i="10"/>
  <c r="B51" i="10"/>
  <c r="B48" i="10"/>
  <c r="B47" i="10"/>
  <c r="B46" i="10"/>
  <c r="B42" i="10"/>
  <c r="B41" i="10"/>
  <c r="B40" i="10"/>
  <c r="B39" i="10"/>
  <c r="G14" i="10"/>
  <c r="G87" i="10" s="1"/>
  <c r="C14" i="10"/>
  <c r="C87" i="10" s="1"/>
  <c r="AK19" i="35" l="1"/>
  <c r="K19" i="35" s="1"/>
  <c r="AK17" i="35"/>
  <c r="K17" i="35" s="1"/>
  <c r="AK23" i="35"/>
  <c r="K23" i="35" s="1"/>
  <c r="AG17" i="36"/>
  <c r="G17" i="36" s="1"/>
  <c r="AK22" i="35"/>
  <c r="K22" i="35" s="1"/>
  <c r="AG16" i="36"/>
  <c r="G16" i="36" s="1"/>
  <c r="AK16" i="35"/>
  <c r="K16" i="35" s="1"/>
  <c r="AG19" i="36"/>
  <c r="G19" i="36" s="1"/>
  <c r="AK18" i="35"/>
  <c r="K18" i="35" s="1"/>
  <c r="AG18" i="36"/>
  <c r="G18" i="36" s="1"/>
  <c r="AK21" i="35"/>
  <c r="K21" i="35" s="1"/>
  <c r="AK20" i="35"/>
  <c r="K20" i="35" s="1"/>
  <c r="C65" i="14"/>
  <c r="J109" i="10"/>
  <c r="J115" i="10"/>
  <c r="J198" i="10"/>
  <c r="J208" i="10"/>
  <c r="J217" i="10"/>
  <c r="J219" i="10"/>
  <c r="H233" i="10"/>
  <c r="J299" i="10"/>
  <c r="J111" i="10"/>
  <c r="J149" i="10"/>
  <c r="H163" i="10"/>
  <c r="J167" i="10"/>
  <c r="J101" i="10"/>
  <c r="J215" i="10"/>
  <c r="J226" i="10"/>
  <c r="J252" i="10"/>
  <c r="J151" i="10"/>
  <c r="H167" i="10"/>
  <c r="J192" i="10"/>
  <c r="M219" i="10"/>
  <c r="J335" i="10"/>
  <c r="J155" i="10"/>
  <c r="M155" i="10"/>
  <c r="O155" i="10" s="1"/>
  <c r="J163" i="10"/>
  <c r="O163" i="10" s="1"/>
  <c r="J183" i="10"/>
  <c r="J261" i="10"/>
  <c r="O261" i="10" s="1"/>
  <c r="J91" i="10"/>
  <c r="J97" i="10"/>
  <c r="J137" i="10"/>
  <c r="J139" i="10"/>
  <c r="J170" i="10"/>
  <c r="J235" i="10"/>
  <c r="J237" i="10"/>
  <c r="J272" i="10"/>
  <c r="J291" i="10"/>
  <c r="J310" i="10"/>
  <c r="E327" i="10"/>
  <c r="E92" i="10"/>
  <c r="E299" i="10"/>
  <c r="E236" i="10"/>
  <c r="E133" i="10"/>
  <c r="E163" i="10"/>
  <c r="E196" i="10"/>
  <c r="G72" i="10"/>
  <c r="E166" i="10"/>
  <c r="J93" i="10"/>
  <c r="E103" i="10"/>
  <c r="J107" i="10"/>
  <c r="O107" i="10" s="1"/>
  <c r="J124" i="10"/>
  <c r="J128" i="10"/>
  <c r="J102" i="10"/>
  <c r="M103" i="10"/>
  <c r="O103" i="10" s="1"/>
  <c r="J114" i="10"/>
  <c r="J121" i="10"/>
  <c r="O133" i="10"/>
  <c r="O143" i="10"/>
  <c r="J161" i="10"/>
  <c r="J164" i="10"/>
  <c r="J166" i="10"/>
  <c r="J175" i="10"/>
  <c r="O175" i="10" s="1"/>
  <c r="J188" i="10"/>
  <c r="M196" i="10"/>
  <c r="J200" i="10"/>
  <c r="O200" i="10" s="1"/>
  <c r="J220" i="10"/>
  <c r="O220" i="10" s="1"/>
  <c r="M253" i="10"/>
  <c r="E255" i="10"/>
  <c r="J257" i="10"/>
  <c r="H258" i="10"/>
  <c r="J304" i="10"/>
  <c r="J322" i="10"/>
  <c r="J332" i="10"/>
  <c r="E102" i="10"/>
  <c r="E164" i="10"/>
  <c r="H169" i="10"/>
  <c r="E220" i="10"/>
  <c r="E257" i="10"/>
  <c r="H327" i="10"/>
  <c r="J99" i="10"/>
  <c r="M102" i="10"/>
  <c r="O102" i="10" s="1"/>
  <c r="E104" i="10"/>
  <c r="J118" i="10"/>
  <c r="J147" i="10"/>
  <c r="J153" i="10"/>
  <c r="M169" i="10"/>
  <c r="J173" i="10"/>
  <c r="O217" i="10"/>
  <c r="H220" i="10"/>
  <c r="J227" i="10"/>
  <c r="H236" i="10"/>
  <c r="J248" i="10"/>
  <c r="E254" i="10"/>
  <c r="M257" i="10"/>
  <c r="E261" i="10"/>
  <c r="J274" i="10"/>
  <c r="O274" i="10" s="1"/>
  <c r="J281" i="10"/>
  <c r="J303" i="10"/>
  <c r="O303" i="10" s="1"/>
  <c r="J319" i="10"/>
  <c r="J160" i="10"/>
  <c r="H166" i="10"/>
  <c r="E168" i="10"/>
  <c r="J194" i="10"/>
  <c r="J231" i="10"/>
  <c r="J253" i="10"/>
  <c r="E256" i="10"/>
  <c r="J259" i="10"/>
  <c r="J296" i="10"/>
  <c r="J323" i="10"/>
  <c r="D73" i="10"/>
  <c r="E165" i="10"/>
  <c r="E189" i="10"/>
  <c r="O192" i="10"/>
  <c r="E263" i="10"/>
  <c r="O319" i="10"/>
  <c r="E219" i="10"/>
  <c r="E91" i="10"/>
  <c r="E162" i="10"/>
  <c r="J180" i="10"/>
  <c r="O180" i="10" s="1"/>
  <c r="O219" i="10"/>
  <c r="E300" i="10"/>
  <c r="H123" i="10"/>
  <c r="O99" i="10"/>
  <c r="J105" i="10"/>
  <c r="J95" i="10"/>
  <c r="J135" i="10"/>
  <c r="O135" i="10" s="1"/>
  <c r="J157" i="10"/>
  <c r="J159" i="10"/>
  <c r="O159" i="10" s="1"/>
  <c r="E167" i="10"/>
  <c r="J205" i="10"/>
  <c r="J233" i="10"/>
  <c r="O233" i="10" s="1"/>
  <c r="J239" i="10"/>
  <c r="J250" i="10"/>
  <c r="E262" i="10"/>
  <c r="M263" i="10"/>
  <c r="O263" i="10" s="1"/>
  <c r="J270" i="10"/>
  <c r="O270" i="10" s="1"/>
  <c r="H276" i="10"/>
  <c r="J287" i="10"/>
  <c r="O287" i="10" s="1"/>
  <c r="O300" i="10"/>
  <c r="J311" i="10"/>
  <c r="E107" i="10"/>
  <c r="O166" i="10"/>
  <c r="O116" i="10"/>
  <c r="H133" i="10"/>
  <c r="M151" i="10"/>
  <c r="O151" i="10" s="1"/>
  <c r="M168" i="10"/>
  <c r="O198" i="10"/>
  <c r="J222" i="10"/>
  <c r="M259" i="10"/>
  <c r="O259" i="10" s="1"/>
  <c r="J269" i="10"/>
  <c r="J276" i="10"/>
  <c r="O276" i="10" s="1"/>
  <c r="E108" i="10"/>
  <c r="O125" i="10"/>
  <c r="H104" i="10"/>
  <c r="J106" i="10"/>
  <c r="J156" i="10"/>
  <c r="J162" i="10"/>
  <c r="M165" i="10"/>
  <c r="J213" i="10"/>
  <c r="J216" i="10"/>
  <c r="O216" i="10" s="1"/>
  <c r="J234" i="10"/>
  <c r="J236" i="10"/>
  <c r="H261" i="10"/>
  <c r="J110" i="10"/>
  <c r="M119" i="10"/>
  <c r="O119" i="10" s="1"/>
  <c r="J71" i="10"/>
  <c r="J152" i="10"/>
  <c r="H164" i="10"/>
  <c r="J187" i="10"/>
  <c r="J196" i="10"/>
  <c r="J199" i="10"/>
  <c r="J230" i="10"/>
  <c r="J232" i="10"/>
  <c r="M258" i="10"/>
  <c r="O258" i="10" s="1"/>
  <c r="J273" i="10"/>
  <c r="O273" i="10" s="1"/>
  <c r="J302" i="10"/>
  <c r="C88" i="10"/>
  <c r="C39" i="10" s="1" a="1"/>
  <c r="C39" i="10" s="1"/>
  <c r="O121" i="10"/>
  <c r="J148" i="10"/>
  <c r="J158" i="10"/>
  <c r="J168" i="10"/>
  <c r="J181" i="10"/>
  <c r="J184" i="10"/>
  <c r="O184" i="10" s="1"/>
  <c r="J207" i="10"/>
  <c r="J212" i="10"/>
  <c r="J229" i="10"/>
  <c r="J241" i="10"/>
  <c r="J267" i="10"/>
  <c r="J279" i="10"/>
  <c r="J282" i="10"/>
  <c r="J295" i="10"/>
  <c r="M299" i="10"/>
  <c r="M302" i="10"/>
  <c r="O302" i="10" s="1"/>
  <c r="J328" i="10"/>
  <c r="O328" i="10" s="1"/>
  <c r="M91" i="10"/>
  <c r="O91" i="10" s="1"/>
  <c r="J120" i="10"/>
  <c r="J154" i="10"/>
  <c r="M162" i="10"/>
  <c r="O162" i="10" s="1"/>
  <c r="J165" i="10"/>
  <c r="J266" i="10"/>
  <c r="J284" i="10"/>
  <c r="J315" i="10"/>
  <c r="J324" i="10"/>
  <c r="O324" i="10" s="1"/>
  <c r="J132" i="10"/>
  <c r="J171" i="10"/>
  <c r="O171" i="10" s="1"/>
  <c r="J177" i="10"/>
  <c r="J195" i="10"/>
  <c r="O205" i="10"/>
  <c r="J228" i="10"/>
  <c r="O228" i="10" s="1"/>
  <c r="J238" i="10"/>
  <c r="J308" i="10"/>
  <c r="O308" i="10" s="1"/>
  <c r="J312" i="10"/>
  <c r="J336" i="10"/>
  <c r="J89" i="10"/>
  <c r="O89" i="10" s="1"/>
  <c r="J112" i="10"/>
  <c r="O112" i="10" s="1"/>
  <c r="O137" i="10"/>
  <c r="O141" i="10"/>
  <c r="J178" i="10"/>
  <c r="O196" i="10"/>
  <c r="J203" i="10"/>
  <c r="J211" i="10"/>
  <c r="J225" i="10"/>
  <c r="O225" i="10" s="1"/>
  <c r="J245" i="10"/>
  <c r="J286" i="10"/>
  <c r="J320" i="10"/>
  <c r="I25" i="14"/>
  <c r="J28" i="14"/>
  <c r="I28" i="14"/>
  <c r="J33" i="14"/>
  <c r="K30" i="14"/>
  <c r="I45" i="14"/>
  <c r="K47" i="14"/>
  <c r="J50" i="14"/>
  <c r="I33" i="14"/>
  <c r="J30" i="14"/>
  <c r="K27" i="14"/>
  <c r="J45" i="14"/>
  <c r="I48" i="14"/>
  <c r="K50" i="14"/>
  <c r="K25" i="14"/>
  <c r="K32" i="14"/>
  <c r="J27" i="14"/>
  <c r="I43" i="14"/>
  <c r="J48" i="14"/>
  <c r="I51" i="14"/>
  <c r="J32" i="14"/>
  <c r="K29" i="14"/>
  <c r="J43" i="14"/>
  <c r="I46" i="14"/>
  <c r="J51" i="14"/>
  <c r="K34" i="14"/>
  <c r="J29" i="14"/>
  <c r="K26" i="14"/>
  <c r="J46" i="14"/>
  <c r="I49" i="14"/>
  <c r="J34" i="14"/>
  <c r="K31" i="14"/>
  <c r="J26" i="14"/>
  <c r="I44" i="14"/>
  <c r="J49" i="14"/>
  <c r="I52" i="14"/>
  <c r="J31" i="14"/>
  <c r="J44" i="14"/>
  <c r="I47" i="14"/>
  <c r="J52" i="14"/>
  <c r="F54" i="14"/>
  <c r="F36" i="14"/>
  <c r="C59" i="10" a="1"/>
  <c r="C59" i="10" s="1"/>
  <c r="C56" i="10" a="1"/>
  <c r="C56" i="10" s="1"/>
  <c r="C55" i="10" a="1"/>
  <c r="C55" i="10" s="1"/>
  <c r="D80" i="10"/>
  <c r="C75" i="10"/>
  <c r="G74" i="10"/>
  <c r="D72" i="10"/>
  <c r="C80" i="10"/>
  <c r="G79" i="10"/>
  <c r="D77" i="10"/>
  <c r="H114" i="10"/>
  <c r="H116" i="10"/>
  <c r="E124" i="10"/>
  <c r="C69" i="10"/>
  <c r="C74" i="10"/>
  <c r="O77" i="10"/>
  <c r="D342" i="10"/>
  <c r="E317" i="10"/>
  <c r="E293" i="10"/>
  <c r="E323" i="10"/>
  <c r="E309" i="10"/>
  <c r="E303" i="10"/>
  <c r="E315" i="10"/>
  <c r="E301" i="10"/>
  <c r="E319" i="10"/>
  <c r="E305" i="10"/>
  <c r="E268" i="10"/>
  <c r="E252" i="10"/>
  <c r="E232" i="10"/>
  <c r="E228" i="10"/>
  <c r="E224" i="10"/>
  <c r="E273" i="10"/>
  <c r="E248" i="10"/>
  <c r="E260" i="10"/>
  <c r="E244" i="10"/>
  <c r="E206" i="10"/>
  <c r="E204" i="10"/>
  <c r="E222" i="10"/>
  <c r="E216" i="10"/>
  <c r="E214" i="10"/>
  <c r="E194" i="10"/>
  <c r="E77" i="10" s="1"/>
  <c r="E201" i="10"/>
  <c r="E73" i="10" s="1"/>
  <c r="E197" i="10"/>
  <c r="E140" i="10"/>
  <c r="E136" i="10"/>
  <c r="E76" i="10" s="1"/>
  <c r="E247" i="10"/>
  <c r="E177" i="10"/>
  <c r="E170" i="10"/>
  <c r="E193" i="10"/>
  <c r="E143" i="10"/>
  <c r="E128" i="10"/>
  <c r="E147" i="10"/>
  <c r="E210" i="10"/>
  <c r="E159" i="10"/>
  <c r="E151" i="10"/>
  <c r="E121" i="10"/>
  <c r="E90" i="10"/>
  <c r="H96" i="10"/>
  <c r="H100" i="10"/>
  <c r="E106" i="10"/>
  <c r="H107" i="10"/>
  <c r="E113" i="10"/>
  <c r="E119" i="10"/>
  <c r="E120" i="10"/>
  <c r="E131" i="10"/>
  <c r="E132" i="10"/>
  <c r="H145" i="10"/>
  <c r="E174" i="10"/>
  <c r="D69" i="10"/>
  <c r="C70" i="10"/>
  <c r="J72" i="10"/>
  <c r="G73" i="10"/>
  <c r="D74" i="10"/>
  <c r="D75" i="10"/>
  <c r="C76" i="10"/>
  <c r="C78" i="10"/>
  <c r="D343" i="10"/>
  <c r="H335" i="10"/>
  <c r="H331" i="10"/>
  <c r="H323" i="10"/>
  <c r="H319" i="10"/>
  <c r="H315" i="10"/>
  <c r="H316" i="10"/>
  <c r="H310" i="10"/>
  <c r="H296" i="10"/>
  <c r="H292" i="10"/>
  <c r="H308" i="10"/>
  <c r="H288" i="10"/>
  <c r="H332" i="10"/>
  <c r="H320" i="10"/>
  <c r="H282" i="10"/>
  <c r="H328" i="10"/>
  <c r="H312" i="10"/>
  <c r="H324" i="10"/>
  <c r="H304" i="10"/>
  <c r="H298" i="10"/>
  <c r="H80" i="10" s="1"/>
  <c r="H265" i="10"/>
  <c r="H289" i="10"/>
  <c r="H245" i="10"/>
  <c r="H239" i="10"/>
  <c r="H229" i="10"/>
  <c r="H225" i="10"/>
  <c r="H269" i="10"/>
  <c r="H268" i="10"/>
  <c r="H249" i="10"/>
  <c r="H281" i="10"/>
  <c r="H232" i="10"/>
  <c r="H228" i="10"/>
  <c r="H224" i="10"/>
  <c r="H216" i="10"/>
  <c r="H212" i="10"/>
  <c r="H215" i="10"/>
  <c r="H223" i="10"/>
  <c r="H205" i="10"/>
  <c r="H199" i="10"/>
  <c r="H195" i="10"/>
  <c r="H235" i="10"/>
  <c r="H211" i="10"/>
  <c r="H207" i="10"/>
  <c r="H231" i="10"/>
  <c r="H221" i="10"/>
  <c r="H217" i="10"/>
  <c r="H178" i="10"/>
  <c r="H72" i="10" s="1"/>
  <c r="H141" i="10"/>
  <c r="H137" i="10"/>
  <c r="H202" i="10"/>
  <c r="H198" i="10"/>
  <c r="H190" i="10"/>
  <c r="H227" i="10"/>
  <c r="H209" i="10"/>
  <c r="H174" i="10"/>
  <c r="H213" i="10"/>
  <c r="H194" i="10"/>
  <c r="H77" i="10" s="1"/>
  <c r="H159" i="10"/>
  <c r="H155" i="10"/>
  <c r="H148" i="10"/>
  <c r="H152" i="10"/>
  <c r="H121" i="10"/>
  <c r="H160" i="10"/>
  <c r="H90" i="10"/>
  <c r="H132" i="10"/>
  <c r="H124" i="10"/>
  <c r="H182" i="10"/>
  <c r="H156" i="10"/>
  <c r="O95" i="10"/>
  <c r="H106" i="10"/>
  <c r="H108" i="10"/>
  <c r="H113" i="10"/>
  <c r="E118" i="10"/>
  <c r="O120" i="10"/>
  <c r="E123" i="10"/>
  <c r="E127" i="10"/>
  <c r="M128" i="10"/>
  <c r="O128" i="10" s="1"/>
  <c r="H128" i="10"/>
  <c r="G69" i="10"/>
  <c r="D70" i="10"/>
  <c r="D76" i="10"/>
  <c r="C77" i="10"/>
  <c r="D78" i="10"/>
  <c r="C79" i="10"/>
  <c r="J90" i="10"/>
  <c r="J92" i="10"/>
  <c r="J104" i="10"/>
  <c r="O104" i="10" s="1"/>
  <c r="E105" i="10"/>
  <c r="O106" i="10"/>
  <c r="E111" i="10"/>
  <c r="E112" i="10"/>
  <c r="H118" i="10"/>
  <c r="H120" i="10"/>
  <c r="J122" i="10"/>
  <c r="J78" i="10" s="1"/>
  <c r="E156" i="10"/>
  <c r="H171" i="10"/>
  <c r="C71" i="10"/>
  <c r="G75" i="10"/>
  <c r="G77" i="10"/>
  <c r="D79" i="10"/>
  <c r="J94" i="10"/>
  <c r="H105" i="10"/>
  <c r="E110" i="10"/>
  <c r="H111" i="10"/>
  <c r="E117" i="10"/>
  <c r="J126" i="10"/>
  <c r="E135" i="10"/>
  <c r="E139" i="10"/>
  <c r="M144" i="10"/>
  <c r="O144" i="10" s="1"/>
  <c r="H144" i="10"/>
  <c r="E155" i="10"/>
  <c r="G70" i="10"/>
  <c r="D71" i="10"/>
  <c r="J74" i="10"/>
  <c r="G76" i="10"/>
  <c r="G78" i="10"/>
  <c r="G80" i="10"/>
  <c r="E94" i="10"/>
  <c r="J96" i="10"/>
  <c r="J100" i="10"/>
  <c r="H110" i="10"/>
  <c r="H112" i="10"/>
  <c r="H117" i="10"/>
  <c r="H136" i="10"/>
  <c r="H76" i="10" s="1"/>
  <c r="M140" i="10"/>
  <c r="H140" i="10"/>
  <c r="H143" i="10"/>
  <c r="O147" i="10"/>
  <c r="C72" i="10"/>
  <c r="J77" i="10"/>
  <c r="D88" i="10"/>
  <c r="E93" i="10"/>
  <c r="H94" i="10"/>
  <c r="E95" i="10"/>
  <c r="E98" i="10"/>
  <c r="E99" i="10"/>
  <c r="E101" i="10"/>
  <c r="E109" i="10"/>
  <c r="E115" i="10"/>
  <c r="E116" i="10"/>
  <c r="M122" i="10"/>
  <c r="H122" i="10"/>
  <c r="H78" i="10" s="1"/>
  <c r="E161" i="10"/>
  <c r="H179" i="10"/>
  <c r="M179" i="10"/>
  <c r="O179" i="10" s="1"/>
  <c r="G71" i="10"/>
  <c r="C73" i="10"/>
  <c r="H92" i="10"/>
  <c r="H93" i="10"/>
  <c r="H95" i="10"/>
  <c r="E96" i="10"/>
  <c r="E97" i="10"/>
  <c r="H98" i="10"/>
  <c r="H99" i="10"/>
  <c r="E100" i="10"/>
  <c r="H101" i="10"/>
  <c r="H109" i="10"/>
  <c r="E114" i="10"/>
  <c r="H115" i="10"/>
  <c r="H126" i="10"/>
  <c r="M126" i="10"/>
  <c r="O126" i="10" s="1"/>
  <c r="M123" i="10"/>
  <c r="E154" i="10"/>
  <c r="H161" i="10"/>
  <c r="E169" i="10"/>
  <c r="E173" i="10"/>
  <c r="E185" i="10"/>
  <c r="H200" i="10"/>
  <c r="M93" i="10"/>
  <c r="O93" i="10" s="1"/>
  <c r="M97" i="10"/>
  <c r="O97" i="10" s="1"/>
  <c r="M101" i="10"/>
  <c r="O101" i="10" s="1"/>
  <c r="M105" i="10"/>
  <c r="O105" i="10" s="1"/>
  <c r="M109" i="10"/>
  <c r="O109" i="10" s="1"/>
  <c r="M113" i="10"/>
  <c r="O113" i="10" s="1"/>
  <c r="M117" i="10"/>
  <c r="O117" i="10" s="1"/>
  <c r="E129" i="10"/>
  <c r="J134" i="10"/>
  <c r="J150" i="10"/>
  <c r="E153" i="10"/>
  <c r="H154" i="10"/>
  <c r="E160" i="10"/>
  <c r="O178" i="10"/>
  <c r="O72" i="10" s="1"/>
  <c r="E181" i="10"/>
  <c r="E130" i="10"/>
  <c r="E75" i="10" s="1"/>
  <c r="E134" i="10"/>
  <c r="E150" i="10"/>
  <c r="E152" i="10"/>
  <c r="H153" i="10"/>
  <c r="O154" i="10"/>
  <c r="E172" i="10"/>
  <c r="E71" i="10" s="1"/>
  <c r="E180" i="10"/>
  <c r="E184" i="10"/>
  <c r="E217" i="10"/>
  <c r="E125" i="10"/>
  <c r="H127" i="10"/>
  <c r="H129" i="10"/>
  <c r="H130" i="10"/>
  <c r="H75" i="10" s="1"/>
  <c r="H134" i="10"/>
  <c r="J136" i="10"/>
  <c r="O136" i="10" s="1"/>
  <c r="J138" i="10"/>
  <c r="E149" i="10"/>
  <c r="H150" i="10"/>
  <c r="H151" i="10"/>
  <c r="E158" i="10"/>
  <c r="O169" i="10"/>
  <c r="J176" i="10"/>
  <c r="J129" i="10"/>
  <c r="J130" i="10"/>
  <c r="J75" i="10" s="1"/>
  <c r="E138" i="10"/>
  <c r="J140" i="10"/>
  <c r="J142" i="10"/>
  <c r="J146" i="10"/>
  <c r="E148" i="10"/>
  <c r="H149" i="10"/>
  <c r="H158" i="10"/>
  <c r="J179" i="10"/>
  <c r="E192" i="10"/>
  <c r="J123" i="10"/>
  <c r="O124" i="10"/>
  <c r="H125" i="10"/>
  <c r="H135" i="10"/>
  <c r="E137" i="10"/>
  <c r="H138" i="10"/>
  <c r="E142" i="10"/>
  <c r="J144" i="10"/>
  <c r="E146" i="10"/>
  <c r="E157" i="10"/>
  <c r="O164" i="10"/>
  <c r="O165" i="10"/>
  <c r="O168" i="10"/>
  <c r="E122" i="10"/>
  <c r="E78" i="10" s="1"/>
  <c r="E126" i="10"/>
  <c r="H131" i="10"/>
  <c r="H139" i="10"/>
  <c r="E141" i="10"/>
  <c r="H142" i="10"/>
  <c r="E144" i="10"/>
  <c r="E145" i="10"/>
  <c r="H146" i="10"/>
  <c r="H147" i="10"/>
  <c r="H157" i="10"/>
  <c r="O167" i="10"/>
  <c r="H176" i="10"/>
  <c r="M176" i="10"/>
  <c r="O176" i="10" s="1"/>
  <c r="E183" i="10"/>
  <c r="E188" i="10"/>
  <c r="H204" i="10"/>
  <c r="M204" i="10"/>
  <c r="J204" i="10"/>
  <c r="M173" i="10"/>
  <c r="O173" i="10" s="1"/>
  <c r="E203" i="10"/>
  <c r="E74" i="10" s="1"/>
  <c r="E209" i="10"/>
  <c r="M145" i="10"/>
  <c r="O145" i="10" s="1"/>
  <c r="M149" i="10"/>
  <c r="O149" i="10" s="1"/>
  <c r="M153" i="10"/>
  <c r="O153" i="10" s="1"/>
  <c r="M157" i="10"/>
  <c r="O157" i="10" s="1"/>
  <c r="M161" i="10"/>
  <c r="O161" i="10" s="1"/>
  <c r="H172" i="10"/>
  <c r="H71" i="10" s="1"/>
  <c r="H180" i="10"/>
  <c r="H184" i="10"/>
  <c r="E186" i="10"/>
  <c r="E187" i="10"/>
  <c r="E191" i="10"/>
  <c r="H192" i="10"/>
  <c r="M193" i="10"/>
  <c r="J193" i="10"/>
  <c r="H193" i="10"/>
  <c r="E199" i="10"/>
  <c r="H203" i="10"/>
  <c r="H74" i="10" s="1"/>
  <c r="E212" i="10"/>
  <c r="E238" i="10"/>
  <c r="M185" i="10"/>
  <c r="O185" i="10" s="1"/>
  <c r="J185" i="10"/>
  <c r="H185" i="10"/>
  <c r="H187" i="10"/>
  <c r="H188" i="10"/>
  <c r="E190" i="10"/>
  <c r="H191" i="10"/>
  <c r="E198" i="10"/>
  <c r="O199" i="10"/>
  <c r="E202" i="10"/>
  <c r="O203" i="10"/>
  <c r="M206" i="10"/>
  <c r="O206" i="10" s="1"/>
  <c r="J206" i="10"/>
  <c r="H206" i="10"/>
  <c r="E208" i="10"/>
  <c r="E234" i="10"/>
  <c r="E175" i="10"/>
  <c r="M177" i="10"/>
  <c r="H177" i="10"/>
  <c r="H186" i="10"/>
  <c r="M189" i="10"/>
  <c r="J189" i="10"/>
  <c r="H189" i="10"/>
  <c r="E205" i="10"/>
  <c r="E230" i="10"/>
  <c r="O236" i="10"/>
  <c r="H170" i="10"/>
  <c r="E178" i="10"/>
  <c r="E72" i="10" s="1"/>
  <c r="M181" i="10"/>
  <c r="H181" i="10"/>
  <c r="J186" i="10"/>
  <c r="E226" i="10"/>
  <c r="E171" i="10"/>
  <c r="M172" i="10"/>
  <c r="O172" i="10" s="1"/>
  <c r="O71" i="10" s="1"/>
  <c r="H175" i="10"/>
  <c r="E182" i="10"/>
  <c r="E207" i="10"/>
  <c r="O208" i="10"/>
  <c r="E218" i="10"/>
  <c r="E176" i="10"/>
  <c r="E179" i="10"/>
  <c r="E195" i="10"/>
  <c r="E200" i="10"/>
  <c r="J218" i="10"/>
  <c r="H218" i="10"/>
  <c r="M218" i="10"/>
  <c r="O218" i="10" s="1"/>
  <c r="E211" i="10"/>
  <c r="O212" i="10"/>
  <c r="H241" i="10"/>
  <c r="M244" i="10"/>
  <c r="H244" i="10"/>
  <c r="O257" i="10"/>
  <c r="M183" i="10"/>
  <c r="O183" i="10" s="1"/>
  <c r="M187" i="10"/>
  <c r="O187" i="10" s="1"/>
  <c r="M191" i="10"/>
  <c r="O191" i="10" s="1"/>
  <c r="H197" i="10"/>
  <c r="H201" i="10"/>
  <c r="H73" i="10" s="1"/>
  <c r="H210" i="10"/>
  <c r="O221" i="10"/>
  <c r="E235" i="10"/>
  <c r="E237" i="10"/>
  <c r="E243" i="10"/>
  <c r="E246" i="10"/>
  <c r="E250" i="10"/>
  <c r="E258" i="10"/>
  <c r="E313" i="10"/>
  <c r="E321" i="10"/>
  <c r="J197" i="10"/>
  <c r="J201" i="10"/>
  <c r="O201" i="10" s="1"/>
  <c r="O73" i="10" s="1"/>
  <c r="J209" i="10"/>
  <c r="J210" i="10"/>
  <c r="E225" i="10"/>
  <c r="H237" i="10"/>
  <c r="E240" i="10"/>
  <c r="H243" i="10"/>
  <c r="E264" i="10"/>
  <c r="M290" i="10"/>
  <c r="O290" i="10" s="1"/>
  <c r="J290" i="10"/>
  <c r="H290" i="10"/>
  <c r="E292" i="10"/>
  <c r="H208" i="10"/>
  <c r="E223" i="10"/>
  <c r="E229" i="10"/>
  <c r="M240" i="10"/>
  <c r="O240" i="10" s="1"/>
  <c r="H240" i="10"/>
  <c r="E245" i="10"/>
  <c r="E267" i="10"/>
  <c r="E215" i="10"/>
  <c r="E239" i="10"/>
  <c r="O249" i="10"/>
  <c r="O254" i="10"/>
  <c r="H286" i="10"/>
  <c r="E213" i="10"/>
  <c r="E227" i="10"/>
  <c r="E233" i="10"/>
  <c r="E242" i="10"/>
  <c r="J244" i="10"/>
  <c r="E270" i="10"/>
  <c r="J214" i="10"/>
  <c r="H214" i="10"/>
  <c r="M214" i="10"/>
  <c r="O214" i="10" s="1"/>
  <c r="E221" i="10"/>
  <c r="E231" i="10"/>
  <c r="H242" i="10"/>
  <c r="M242" i="10"/>
  <c r="O242" i="10" s="1"/>
  <c r="E251" i="10"/>
  <c r="E259" i="10"/>
  <c r="H283" i="10"/>
  <c r="M283" i="10"/>
  <c r="J283" i="10"/>
  <c r="M222" i="10"/>
  <c r="O222" i="10" s="1"/>
  <c r="M226" i="10"/>
  <c r="O226" i="10" s="1"/>
  <c r="M230" i="10"/>
  <c r="O230" i="10" s="1"/>
  <c r="M234" i="10"/>
  <c r="O234" i="10" s="1"/>
  <c r="M237" i="10"/>
  <c r="O237" i="10" s="1"/>
  <c r="H238" i="10"/>
  <c r="J243" i="10"/>
  <c r="H246" i="10"/>
  <c r="O253" i="10"/>
  <c r="O256" i="10"/>
  <c r="O262" i="10"/>
  <c r="M268" i="10"/>
  <c r="J268" i="10"/>
  <c r="O271" i="10"/>
  <c r="E276" i="10"/>
  <c r="E280" i="10"/>
  <c r="H287" i="10"/>
  <c r="E295" i="10"/>
  <c r="E304" i="10"/>
  <c r="E331" i="10"/>
  <c r="M239" i="10"/>
  <c r="O239" i="10" s="1"/>
  <c r="M243" i="10"/>
  <c r="O243" i="10" s="1"/>
  <c r="H252" i="10"/>
  <c r="E253" i="10"/>
  <c r="H256" i="10"/>
  <c r="H270" i="10"/>
  <c r="E279" i="10"/>
  <c r="E283" i="10"/>
  <c r="M293" i="10"/>
  <c r="O293" i="10" s="1"/>
  <c r="J293" i="10"/>
  <c r="H293" i="10"/>
  <c r="M241" i="10"/>
  <c r="O241" i="10" s="1"/>
  <c r="M246" i="10"/>
  <c r="O246" i="10" s="1"/>
  <c r="H247" i="10"/>
  <c r="H250" i="10"/>
  <c r="E275" i="10"/>
  <c r="H222" i="10"/>
  <c r="H226" i="10"/>
  <c r="H230" i="10"/>
  <c r="H234" i="10"/>
  <c r="M238" i="10"/>
  <c r="O238" i="10" s="1"/>
  <c r="J247" i="10"/>
  <c r="H274" i="10"/>
  <c r="E282" i="10"/>
  <c r="E285" i="10"/>
  <c r="E289" i="10"/>
  <c r="E294" i="10"/>
  <c r="E297" i="10"/>
  <c r="E320" i="10"/>
  <c r="E241" i="10"/>
  <c r="J246" i="10"/>
  <c r="M247" i="10"/>
  <c r="M260" i="10"/>
  <c r="J260" i="10"/>
  <c r="E265" i="10"/>
  <c r="E272" i="10"/>
  <c r="O277" i="10"/>
  <c r="E284" i="10"/>
  <c r="E288" i="10"/>
  <c r="E291" i="10"/>
  <c r="E311" i="10"/>
  <c r="J242" i="10"/>
  <c r="M250" i="10"/>
  <c r="O250" i="10" s="1"/>
  <c r="H251" i="10"/>
  <c r="H260" i="10"/>
  <c r="M264" i="10"/>
  <c r="J264" i="10"/>
  <c r="E266" i="10"/>
  <c r="H272" i="10"/>
  <c r="M278" i="10"/>
  <c r="J278" i="10"/>
  <c r="H278" i="10"/>
  <c r="H79" i="10" s="1"/>
  <c r="E281" i="10"/>
  <c r="H284" i="10"/>
  <c r="E296" i="10"/>
  <c r="E307" i="10"/>
  <c r="E335" i="10"/>
  <c r="H248" i="10"/>
  <c r="E249" i="10"/>
  <c r="J251" i="10"/>
  <c r="J255" i="10"/>
  <c r="O255" i="10" s="1"/>
  <c r="H255" i="10"/>
  <c r="H264" i="10"/>
  <c r="H266" i="10"/>
  <c r="E269" i="10"/>
  <c r="E271" i="10"/>
  <c r="E277" i="10"/>
  <c r="E287" i="10"/>
  <c r="H322" i="10"/>
  <c r="E306" i="10"/>
  <c r="E312" i="10"/>
  <c r="M317" i="10"/>
  <c r="O317" i="10" s="1"/>
  <c r="J317" i="10"/>
  <c r="H317" i="10"/>
  <c r="E325" i="10"/>
  <c r="E70" i="10" s="1"/>
  <c r="H326" i="10"/>
  <c r="H69" i="10" s="1"/>
  <c r="J298" i="10"/>
  <c r="O298" i="10" s="1"/>
  <c r="O80" i="10" s="1"/>
  <c r="M305" i="10"/>
  <c r="O305" i="10" s="1"/>
  <c r="J305" i="10"/>
  <c r="H305" i="10"/>
  <c r="O310" i="10"/>
  <c r="H318" i="10"/>
  <c r="M325" i="10"/>
  <c r="J325" i="10"/>
  <c r="H325" i="10"/>
  <c r="H70" i="10" s="1"/>
  <c r="J326" i="10"/>
  <c r="J69" i="10" s="1"/>
  <c r="E328" i="10"/>
  <c r="E330" i="10"/>
  <c r="H273" i="10"/>
  <c r="H275" i="10"/>
  <c r="H291" i="10"/>
  <c r="H294" i="10"/>
  <c r="H306" i="10"/>
  <c r="H307" i="10"/>
  <c r="E314" i="10"/>
  <c r="J318" i="10"/>
  <c r="M326" i="10"/>
  <c r="E329" i="10"/>
  <c r="H330" i="10"/>
  <c r="E332" i="10"/>
  <c r="E334" i="10"/>
  <c r="H259" i="10"/>
  <c r="H263" i="10"/>
  <c r="H267" i="10"/>
  <c r="J275" i="10"/>
  <c r="H280" i="10"/>
  <c r="H285" i="10"/>
  <c r="E286" i="10"/>
  <c r="J294" i="10"/>
  <c r="H295" i="10"/>
  <c r="E302" i="10"/>
  <c r="J306" i="10"/>
  <c r="E308" i="10"/>
  <c r="M313" i="10"/>
  <c r="J313" i="10"/>
  <c r="H313" i="10"/>
  <c r="M329" i="10"/>
  <c r="O329" i="10" s="1"/>
  <c r="J329" i="10"/>
  <c r="H329" i="10"/>
  <c r="J330" i="10"/>
  <c r="E333" i="10"/>
  <c r="H334" i="10"/>
  <c r="E336" i="10"/>
  <c r="E274" i="10"/>
  <c r="J280" i="10"/>
  <c r="O280" i="10" s="1"/>
  <c r="J285" i="10"/>
  <c r="M301" i="10"/>
  <c r="J301" i="10"/>
  <c r="H301" i="10"/>
  <c r="H314" i="10"/>
  <c r="E322" i="10"/>
  <c r="O327" i="10"/>
  <c r="M330" i="10"/>
  <c r="O330" i="10" s="1"/>
  <c r="M333" i="10"/>
  <c r="J333" i="10"/>
  <c r="H333" i="10"/>
  <c r="J334" i="10"/>
  <c r="H336" i="10"/>
  <c r="H277" i="10"/>
  <c r="H279" i="10"/>
  <c r="H302" i="10"/>
  <c r="H303" i="10"/>
  <c r="E310" i="10"/>
  <c r="J314" i="10"/>
  <c r="E316" i="10"/>
  <c r="M321" i="10"/>
  <c r="O321" i="10" s="1"/>
  <c r="J321" i="10"/>
  <c r="H321" i="10"/>
  <c r="O331" i="10"/>
  <c r="M334" i="10"/>
  <c r="O334" i="10" s="1"/>
  <c r="M275" i="10"/>
  <c r="E298" i="10"/>
  <c r="E80" i="10" s="1"/>
  <c r="O307" i="10"/>
  <c r="M309" i="10"/>
  <c r="O309" i="10" s="1"/>
  <c r="J309" i="10"/>
  <c r="H309" i="10"/>
  <c r="H271" i="10"/>
  <c r="E278" i="10"/>
  <c r="E79" i="10" s="1"/>
  <c r="M289" i="10"/>
  <c r="J289" i="10"/>
  <c r="E290" i="10"/>
  <c r="O295" i="10"/>
  <c r="M297" i="10"/>
  <c r="O297" i="10" s="1"/>
  <c r="J297" i="10"/>
  <c r="H297" i="10"/>
  <c r="H311" i="10"/>
  <c r="E318" i="10"/>
  <c r="O320" i="10"/>
  <c r="E324" i="10"/>
  <c r="E326" i="10"/>
  <c r="E69" i="10" s="1"/>
  <c r="G26" i="14" l="1"/>
  <c r="G34" i="14"/>
  <c r="G27" i="14"/>
  <c r="G25" i="14"/>
  <c r="G28" i="14"/>
  <c r="G29" i="14"/>
  <c r="G30" i="14"/>
  <c r="G31" i="14"/>
  <c r="G32" i="14"/>
  <c r="G33" i="14"/>
  <c r="O177" i="10"/>
  <c r="O181" i="10"/>
  <c r="O299" i="10"/>
  <c r="O289" i="10"/>
  <c r="O275" i="10"/>
  <c r="C62" i="10" a="1"/>
  <c r="C62" i="10" s="1"/>
  <c r="J73" i="10"/>
  <c r="D344" i="10"/>
  <c r="C63" i="10" a="1"/>
  <c r="C63" i="10" s="1"/>
  <c r="C64" i="10" a="1"/>
  <c r="C64" i="10" s="1"/>
  <c r="C65" i="10" a="1"/>
  <c r="C65" i="10" s="1"/>
  <c r="J80" i="10"/>
  <c r="O122" i="10"/>
  <c r="C61" i="10" a="1"/>
  <c r="C61" i="10" s="1"/>
  <c r="O123" i="10"/>
  <c r="C47" i="10" a="1"/>
  <c r="C47" i="10" s="1"/>
  <c r="C40" i="10" a="1"/>
  <c r="C40" i="10" s="1"/>
  <c r="C53" i="10" a="1"/>
  <c r="C53" i="10" s="1"/>
  <c r="C60" i="10" a="1"/>
  <c r="C60" i="10" s="1"/>
  <c r="C52" i="10" a="1"/>
  <c r="C52" i="10" s="1"/>
  <c r="C46" i="10" a="1"/>
  <c r="C46" i="10" s="1"/>
  <c r="C51" i="10" a="1"/>
  <c r="C51" i="10" s="1"/>
  <c r="C41" i="10" a="1"/>
  <c r="C41" i="10" s="1"/>
  <c r="C42" i="10" a="1"/>
  <c r="C42" i="10" s="1"/>
  <c r="C54" i="10" a="1"/>
  <c r="C54" i="10" s="1"/>
  <c r="C48" i="10" a="1"/>
  <c r="C48" i="10" s="1"/>
  <c r="G50" i="14"/>
  <c r="G47" i="14"/>
  <c r="G45" i="14"/>
  <c r="G51" i="14"/>
  <c r="G44" i="14"/>
  <c r="G52" i="14"/>
  <c r="G46" i="14"/>
  <c r="G43" i="14"/>
  <c r="G48" i="14"/>
  <c r="G49" i="14"/>
  <c r="O76" i="10"/>
  <c r="K251" i="10"/>
  <c r="K283" i="10"/>
  <c r="L283" i="10" s="1"/>
  <c r="K264" i="10"/>
  <c r="K206" i="10"/>
  <c r="O204" i="10"/>
  <c r="O92" i="10"/>
  <c r="K242" i="10"/>
  <c r="O301" i="10"/>
  <c r="J79" i="10"/>
  <c r="O294" i="10"/>
  <c r="O244" i="10"/>
  <c r="O140" i="10"/>
  <c r="J88" i="10"/>
  <c r="K179" i="10" s="1"/>
  <c r="O264" i="10"/>
  <c r="K144" i="10"/>
  <c r="K134" i="10"/>
  <c r="D42" i="10" a="1"/>
  <c r="D42" i="10" s="1"/>
  <c r="D41" i="10" a="1"/>
  <c r="D41" i="10" s="1"/>
  <c r="D65" i="10" a="1"/>
  <c r="D65" i="10" s="1"/>
  <c r="D64" i="10" a="1"/>
  <c r="D64" i="10" s="1"/>
  <c r="D63" i="10" a="1"/>
  <c r="D63" i="10" s="1"/>
  <c r="D61" i="10" a="1"/>
  <c r="D61" i="10" s="1"/>
  <c r="D56" i="10" a="1"/>
  <c r="D56" i="10" s="1"/>
  <c r="D52" i="10" a="1"/>
  <c r="D52" i="10" s="1"/>
  <c r="D51" i="10" a="1"/>
  <c r="D51" i="10" s="1"/>
  <c r="D48" i="10" a="1"/>
  <c r="D48" i="10" s="1"/>
  <c r="D59" i="10" a="1"/>
  <c r="D59" i="10" s="1"/>
  <c r="D53" i="10" a="1"/>
  <c r="D53" i="10" s="1"/>
  <c r="D46" i="10" a="1"/>
  <c r="D46" i="10" s="1"/>
  <c r="D40" i="10" a="1"/>
  <c r="D40" i="10" s="1"/>
  <c r="D39" i="10" a="1"/>
  <c r="D39" i="10" s="1"/>
  <c r="D62" i="10" a="1"/>
  <c r="D62" i="10" s="1"/>
  <c r="D54" i="10" a="1"/>
  <c r="D54" i="10" s="1"/>
  <c r="D60" i="10" a="1"/>
  <c r="D60" i="10" s="1"/>
  <c r="D47" i="10" a="1"/>
  <c r="D47" i="10" s="1"/>
  <c r="D55" i="10" a="1"/>
  <c r="D55" i="10" s="1"/>
  <c r="K214" i="10"/>
  <c r="K305" i="10"/>
  <c r="K204" i="10"/>
  <c r="O313" i="10"/>
  <c r="O247" i="10"/>
  <c r="K185" i="10"/>
  <c r="K138" i="10"/>
  <c r="K100" i="10"/>
  <c r="O100" i="10"/>
  <c r="K314" i="10"/>
  <c r="K297" i="10"/>
  <c r="O333" i="10"/>
  <c r="K246" i="10"/>
  <c r="K146" i="10"/>
  <c r="O146" i="10"/>
  <c r="K136" i="10"/>
  <c r="J76" i="10"/>
  <c r="K330" i="10"/>
  <c r="K325" i="10"/>
  <c r="K260" i="10"/>
  <c r="K209" i="10"/>
  <c r="K186" i="10"/>
  <c r="K189" i="10"/>
  <c r="L189" i="10" s="1"/>
  <c r="K193" i="10"/>
  <c r="K130" i="10"/>
  <c r="J70" i="10"/>
  <c r="O130" i="10"/>
  <c r="K275" i="10"/>
  <c r="O278" i="10"/>
  <c r="K268" i="10"/>
  <c r="K243" i="10"/>
  <c r="O283" i="10"/>
  <c r="K96" i="10"/>
  <c r="K309" i="10"/>
  <c r="K285" i="10"/>
  <c r="K306" i="10"/>
  <c r="O326" i="10"/>
  <c r="O325" i="10"/>
  <c r="K298" i="10"/>
  <c r="O260" i="10"/>
  <c r="O268" i="10"/>
  <c r="K201" i="10"/>
  <c r="O209" i="10"/>
  <c r="O189" i="10"/>
  <c r="O74" i="10"/>
  <c r="O193" i="10"/>
  <c r="K129" i="10"/>
  <c r="K289" i="10"/>
  <c r="K321" i="10"/>
  <c r="K280" i="10"/>
  <c r="L280" i="10" s="1"/>
  <c r="K329" i="10"/>
  <c r="K318" i="10"/>
  <c r="K255" i="10"/>
  <c r="L255" i="10" s="1"/>
  <c r="O318" i="10"/>
  <c r="K293" i="10"/>
  <c r="K290" i="10"/>
  <c r="K197" i="10"/>
  <c r="O78" i="10"/>
  <c r="K122" i="10"/>
  <c r="K104" i="10"/>
  <c r="L104" i="10" s="1"/>
  <c r="C66" i="10" l="1"/>
  <c r="C43" i="10"/>
  <c r="K123" i="10"/>
  <c r="E46" i="10"/>
  <c r="E63" i="10"/>
  <c r="E55" i="10"/>
  <c r="E53" i="10"/>
  <c r="E64" i="10"/>
  <c r="E47" i="10"/>
  <c r="D66" i="10"/>
  <c r="E59" i="10"/>
  <c r="E65" i="10"/>
  <c r="K326" i="10"/>
  <c r="K150" i="10"/>
  <c r="K278" i="10"/>
  <c r="K92" i="10"/>
  <c r="L92" i="10" s="1"/>
  <c r="K313" i="10"/>
  <c r="K94" i="10"/>
  <c r="K294" i="10"/>
  <c r="E60" i="10"/>
  <c r="E48" i="10"/>
  <c r="E41" i="10"/>
  <c r="K142" i="10"/>
  <c r="K317" i="10"/>
  <c r="K301" i="10"/>
  <c r="K140" i="10"/>
  <c r="L140" i="10" s="1"/>
  <c r="K334" i="10"/>
  <c r="K80" i="10"/>
  <c r="K75" i="10"/>
  <c r="K76" i="10"/>
  <c r="O70" i="10"/>
  <c r="P278" i="10"/>
  <c r="O79" i="10"/>
  <c r="K70" i="10"/>
  <c r="O88" i="10"/>
  <c r="P318" i="10" s="1"/>
  <c r="E51" i="10"/>
  <c r="E42" i="10"/>
  <c r="K218" i="10"/>
  <c r="K247" i="10"/>
  <c r="K333" i="10"/>
  <c r="L333" i="10" s="1"/>
  <c r="K78" i="10"/>
  <c r="O75" i="10"/>
  <c r="E54" i="10"/>
  <c r="O69" i="10"/>
  <c r="E62" i="10"/>
  <c r="E52" i="10"/>
  <c r="E39" i="10"/>
  <c r="D43" i="10"/>
  <c r="E56" i="10"/>
  <c r="K323" i="10"/>
  <c r="K274" i="10"/>
  <c r="K258" i="10"/>
  <c r="K265" i="10"/>
  <c r="K271" i="10"/>
  <c r="K224" i="10"/>
  <c r="K232" i="10"/>
  <c r="K216" i="10"/>
  <c r="K228" i="10"/>
  <c r="K195" i="10"/>
  <c r="K149" i="10"/>
  <c r="K133" i="10"/>
  <c r="L133" i="10" s="1"/>
  <c r="K153" i="10"/>
  <c r="K119" i="10"/>
  <c r="L119" i="10" s="1"/>
  <c r="K222" i="10"/>
  <c r="K161" i="10"/>
  <c r="K175" i="10"/>
  <c r="K145" i="10"/>
  <c r="K157" i="10"/>
  <c r="K117" i="10"/>
  <c r="K105" i="10"/>
  <c r="P89" i="10"/>
  <c r="K113" i="10"/>
  <c r="J64" i="10" a="1"/>
  <c r="J64" i="10" s="1"/>
  <c r="J62" i="10" a="1"/>
  <c r="J62" i="10" s="1"/>
  <c r="J61" i="10" a="1"/>
  <c r="J61" i="10" s="1"/>
  <c r="J59" i="10" a="1"/>
  <c r="J59" i="10" s="1"/>
  <c r="J55" i="10" a="1"/>
  <c r="J55" i="10" s="1"/>
  <c r="J53" i="10" a="1"/>
  <c r="J53" i="10" s="1"/>
  <c r="J65" i="10" a="1"/>
  <c r="J65" i="10" s="1"/>
  <c r="J63" i="10" a="1"/>
  <c r="J63" i="10" s="1"/>
  <c r="J60" i="10" a="1"/>
  <c r="J60" i="10" s="1"/>
  <c r="J56" i="10" a="1"/>
  <c r="J56" i="10" s="1"/>
  <c r="J54" i="10" a="1"/>
  <c r="J54" i="10" s="1"/>
  <c r="J52" i="10" a="1"/>
  <c r="J52" i="10" s="1"/>
  <c r="K125" i="10"/>
  <c r="K109" i="10"/>
  <c r="J51" i="10" a="1"/>
  <c r="J51" i="10" s="1"/>
  <c r="J48" i="10" a="1"/>
  <c r="J48" i="10" s="1"/>
  <c r="J47" i="10" a="1"/>
  <c r="J47" i="10" s="1"/>
  <c r="J46" i="10" a="1"/>
  <c r="J46" i="10" s="1"/>
  <c r="J42" i="10" a="1"/>
  <c r="J42" i="10" s="1"/>
  <c r="J40" i="10" a="1"/>
  <c r="J40" i="10" s="1"/>
  <c r="J41" i="10" a="1"/>
  <c r="J41" i="10" s="1"/>
  <c r="J39" i="10" a="1"/>
  <c r="J39" i="10" s="1"/>
  <c r="K91" i="10"/>
  <c r="L91" i="10" s="1"/>
  <c r="K127" i="10"/>
  <c r="K181" i="10"/>
  <c r="K128" i="10"/>
  <c r="K187" i="10"/>
  <c r="K191" i="10"/>
  <c r="K225" i="10"/>
  <c r="K217" i="10"/>
  <c r="K273" i="10"/>
  <c r="K267" i="10"/>
  <c r="K286" i="10"/>
  <c r="K259" i="10"/>
  <c r="K292" i="10"/>
  <c r="K99" i="10"/>
  <c r="K131" i="10"/>
  <c r="K154" i="10"/>
  <c r="K116" i="10"/>
  <c r="K108" i="10"/>
  <c r="K165" i="10"/>
  <c r="L165" i="10" s="1"/>
  <c r="K155" i="10"/>
  <c r="K178" i="10"/>
  <c r="K237" i="10"/>
  <c r="K254" i="10"/>
  <c r="L254" i="10" s="1"/>
  <c r="K226" i="10"/>
  <c r="K239" i="10"/>
  <c r="K205" i="10"/>
  <c r="K320" i="10"/>
  <c r="K97" i="10"/>
  <c r="L97" i="10" s="1"/>
  <c r="K168" i="10"/>
  <c r="L168" i="10" s="1"/>
  <c r="K219" i="10"/>
  <c r="L219" i="10" s="1"/>
  <c r="K233" i="10"/>
  <c r="L233" i="10" s="1"/>
  <c r="K327" i="10"/>
  <c r="L327" i="10" s="1"/>
  <c r="K324" i="10"/>
  <c r="K101" i="10"/>
  <c r="K106" i="10"/>
  <c r="K110" i="10"/>
  <c r="K103" i="10"/>
  <c r="L103" i="10" s="1"/>
  <c r="K151" i="10"/>
  <c r="K167" i="10"/>
  <c r="L167" i="10" s="1"/>
  <c r="K166" i="10"/>
  <c r="L166" i="10" s="1"/>
  <c r="K159" i="10"/>
  <c r="K269" i="10"/>
  <c r="K241" i="10"/>
  <c r="K120" i="10"/>
  <c r="K141" i="10"/>
  <c r="K98" i="10"/>
  <c r="K211" i="10"/>
  <c r="K252" i="10"/>
  <c r="K315" i="10"/>
  <c r="K288" i="10"/>
  <c r="K295" i="10"/>
  <c r="K310" i="10"/>
  <c r="K276" i="10"/>
  <c r="L276" i="10" s="1"/>
  <c r="K336" i="10"/>
  <c r="K322" i="10"/>
  <c r="K112" i="10"/>
  <c r="K102" i="10"/>
  <c r="L102" i="10" s="1"/>
  <c r="K202" i="10"/>
  <c r="K192" i="10"/>
  <c r="K221" i="10"/>
  <c r="K266" i="10"/>
  <c r="K139" i="10"/>
  <c r="K160" i="10"/>
  <c r="K238" i="10"/>
  <c r="K171" i="10"/>
  <c r="K212" i="10"/>
  <c r="K170" i="10"/>
  <c r="K135" i="10"/>
  <c r="K173" i="10"/>
  <c r="L173" i="10" s="1"/>
  <c r="K240" i="10"/>
  <c r="L240" i="10" s="1"/>
  <c r="K220" i="10"/>
  <c r="L220" i="10" s="1"/>
  <c r="K249" i="10"/>
  <c r="K234" i="10"/>
  <c r="K256" i="10"/>
  <c r="L256" i="10" s="1"/>
  <c r="K261" i="10"/>
  <c r="L261" i="10" s="1"/>
  <c r="K281" i="10"/>
  <c r="K299" i="10"/>
  <c r="L299" i="10" s="1"/>
  <c r="K311" i="10"/>
  <c r="K300" i="10"/>
  <c r="L300" i="10" s="1"/>
  <c r="K328" i="10"/>
  <c r="K164" i="10"/>
  <c r="L164" i="10" s="1"/>
  <c r="K183" i="10"/>
  <c r="L183" i="10" s="1"/>
  <c r="K158" i="10"/>
  <c r="K124" i="10"/>
  <c r="K148" i="10"/>
  <c r="K156" i="10"/>
  <c r="K203" i="10"/>
  <c r="K207" i="10"/>
  <c r="K190" i="10"/>
  <c r="K303" i="10"/>
  <c r="K245" i="10"/>
  <c r="K213" i="10"/>
  <c r="K291" i="10"/>
  <c r="K302" i="10"/>
  <c r="K312" i="10"/>
  <c r="K307" i="10"/>
  <c r="K172" i="10"/>
  <c r="K132" i="10"/>
  <c r="K121" i="10"/>
  <c r="K147" i="10"/>
  <c r="K270" i="10"/>
  <c r="K107" i="10"/>
  <c r="K114" i="10"/>
  <c r="K199" i="10"/>
  <c r="K182" i="10"/>
  <c r="K208" i="10"/>
  <c r="K163" i="10"/>
  <c r="L163" i="10" s="1"/>
  <c r="K236" i="10"/>
  <c r="L236" i="10" s="1"/>
  <c r="K215" i="10"/>
  <c r="K198" i="10"/>
  <c r="K231" i="10"/>
  <c r="K248" i="10"/>
  <c r="K223" i="10"/>
  <c r="K262" i="10"/>
  <c r="L262" i="10" s="1"/>
  <c r="K287" i="10"/>
  <c r="K282" i="10"/>
  <c r="K272" i="10"/>
  <c r="K263" i="10"/>
  <c r="L263" i="10" s="1"/>
  <c r="K331" i="10"/>
  <c r="K229" i="10"/>
  <c r="K257" i="10"/>
  <c r="L257" i="10" s="1"/>
  <c r="K279" i="10"/>
  <c r="K332" i="10"/>
  <c r="K308" i="10"/>
  <c r="K95" i="10"/>
  <c r="K118" i="10"/>
  <c r="K111" i="10"/>
  <c r="K152" i="10"/>
  <c r="K169" i="10"/>
  <c r="K162" i="10"/>
  <c r="L162" i="10" s="1"/>
  <c r="K188" i="10"/>
  <c r="K174" i="10"/>
  <c r="K250" i="10"/>
  <c r="K200" i="10"/>
  <c r="K184" i="10"/>
  <c r="K253" i="10"/>
  <c r="L253" i="10" s="1"/>
  <c r="K196" i="10"/>
  <c r="L196" i="10" s="1"/>
  <c r="K296" i="10"/>
  <c r="K137" i="10"/>
  <c r="K194" i="10"/>
  <c r="K227" i="10"/>
  <c r="K319" i="10"/>
  <c r="K93" i="10"/>
  <c r="K115" i="10"/>
  <c r="K143" i="10"/>
  <c r="K177" i="10"/>
  <c r="K180" i="10"/>
  <c r="K230" i="10"/>
  <c r="L230" i="10" s="1"/>
  <c r="K235" i="10"/>
  <c r="K284" i="10"/>
  <c r="K277" i="10"/>
  <c r="K335" i="10"/>
  <c r="K316" i="10"/>
  <c r="K304" i="10"/>
  <c r="K244" i="10"/>
  <c r="P204" i="10"/>
  <c r="K126" i="10"/>
  <c r="K73" i="10"/>
  <c r="P333" i="10"/>
  <c r="Q333" i="10" s="1"/>
  <c r="P247" i="10"/>
  <c r="E40" i="10"/>
  <c r="E61" i="10"/>
  <c r="K176" i="10"/>
  <c r="K210" i="10"/>
  <c r="K90" i="10"/>
  <c r="L169" i="10" l="1"/>
  <c r="L258" i="10"/>
  <c r="L123" i="10"/>
  <c r="J43" i="10"/>
  <c r="P146" i="10"/>
  <c r="P313" i="10"/>
  <c r="P193" i="10"/>
  <c r="L90" i="10"/>
  <c r="K88" i="10"/>
  <c r="L285" i="10"/>
  <c r="L197" i="10"/>
  <c r="L284" i="10"/>
  <c r="L319" i="10"/>
  <c r="L200" i="10"/>
  <c r="L118" i="10"/>
  <c r="L198" i="10"/>
  <c r="L107" i="10"/>
  <c r="L302" i="10"/>
  <c r="L156" i="10"/>
  <c r="L311" i="10"/>
  <c r="L139" i="10"/>
  <c r="L336" i="10"/>
  <c r="L98" i="10"/>
  <c r="L151" i="10"/>
  <c r="L237" i="10"/>
  <c r="L99" i="10"/>
  <c r="L191" i="10"/>
  <c r="L210" i="10"/>
  <c r="L126" i="10"/>
  <c r="L235" i="10"/>
  <c r="L227" i="10"/>
  <c r="L250" i="10"/>
  <c r="L95" i="10"/>
  <c r="L272" i="10"/>
  <c r="L215" i="10"/>
  <c r="L270" i="10"/>
  <c r="L291" i="10"/>
  <c r="L148" i="10"/>
  <c r="L266" i="10"/>
  <c r="L141" i="10"/>
  <c r="L178" i="10"/>
  <c r="L72" i="10" s="1"/>
  <c r="K72" i="10"/>
  <c r="L292" i="10"/>
  <c r="L187" i="10"/>
  <c r="L176" i="10"/>
  <c r="L201" i="10"/>
  <c r="L73" i="10" s="1"/>
  <c r="L194" i="10"/>
  <c r="L77" i="10" s="1"/>
  <c r="K77" i="10"/>
  <c r="L174" i="10"/>
  <c r="L308" i="10"/>
  <c r="L282" i="10"/>
  <c r="L147" i="10"/>
  <c r="L213" i="10"/>
  <c r="L124" i="10"/>
  <c r="L281" i="10"/>
  <c r="L135" i="10"/>
  <c r="L221" i="10"/>
  <c r="L310" i="10"/>
  <c r="L120" i="10"/>
  <c r="L110" i="10"/>
  <c r="L155" i="10"/>
  <c r="L259" i="10"/>
  <c r="L128" i="10"/>
  <c r="L113" i="10"/>
  <c r="L222" i="10"/>
  <c r="L232" i="10"/>
  <c r="L134" i="10"/>
  <c r="L100" i="10"/>
  <c r="L129" i="10"/>
  <c r="L289" i="10"/>
  <c r="P79" i="10"/>
  <c r="L136" i="10"/>
  <c r="L76" i="10" s="1"/>
  <c r="L204" i="10"/>
  <c r="L317" i="10"/>
  <c r="L251" i="10"/>
  <c r="L109" i="10"/>
  <c r="L224" i="10"/>
  <c r="L246" i="10"/>
  <c r="L96" i="10"/>
  <c r="L314" i="10"/>
  <c r="L206" i="10"/>
  <c r="L142" i="10"/>
  <c r="L278" i="10"/>
  <c r="L79" i="10" s="1"/>
  <c r="K79" i="10"/>
  <c r="L264" i="10"/>
  <c r="L146" i="10"/>
  <c r="L244" i="10"/>
  <c r="L180" i="10"/>
  <c r="L137" i="10"/>
  <c r="L188" i="10"/>
  <c r="L332" i="10"/>
  <c r="L287" i="10"/>
  <c r="L121" i="10"/>
  <c r="L245" i="10"/>
  <c r="L158" i="10"/>
  <c r="L170" i="10"/>
  <c r="L192" i="10"/>
  <c r="L295" i="10"/>
  <c r="L241" i="10"/>
  <c r="L106" i="10"/>
  <c r="L320" i="10"/>
  <c r="L286" i="10"/>
  <c r="L181" i="10"/>
  <c r="L186" i="10"/>
  <c r="L304" i="10"/>
  <c r="L177" i="10"/>
  <c r="L296" i="10"/>
  <c r="L279" i="10"/>
  <c r="L208" i="10"/>
  <c r="L132" i="10"/>
  <c r="L303" i="10"/>
  <c r="L212" i="10"/>
  <c r="L202" i="10"/>
  <c r="L288" i="10"/>
  <c r="L269" i="10"/>
  <c r="L101" i="10"/>
  <c r="L205" i="10"/>
  <c r="L108" i="10"/>
  <c r="L267" i="10"/>
  <c r="L127" i="10"/>
  <c r="L306" i="10"/>
  <c r="L316" i="10"/>
  <c r="L143" i="10"/>
  <c r="L223" i="10"/>
  <c r="L182" i="10"/>
  <c r="L172" i="10"/>
  <c r="L71" i="10" s="1"/>
  <c r="K71" i="10"/>
  <c r="L190" i="10"/>
  <c r="L234" i="10"/>
  <c r="L171" i="10"/>
  <c r="L315" i="10"/>
  <c r="L159" i="10"/>
  <c r="L324" i="10"/>
  <c r="L239" i="10"/>
  <c r="L116" i="10"/>
  <c r="L273" i="10"/>
  <c r="L321" i="10"/>
  <c r="L335" i="10"/>
  <c r="L115" i="10"/>
  <c r="L152" i="10"/>
  <c r="L229" i="10"/>
  <c r="L248" i="10"/>
  <c r="L199" i="10"/>
  <c r="L307" i="10"/>
  <c r="L207" i="10"/>
  <c r="L328" i="10"/>
  <c r="L249" i="10"/>
  <c r="L238" i="10"/>
  <c r="L112" i="10"/>
  <c r="L252" i="10"/>
  <c r="L226" i="10"/>
  <c r="L154" i="10"/>
  <c r="L217" i="10"/>
  <c r="L209" i="10"/>
  <c r="L293" i="10"/>
  <c r="L277" i="10"/>
  <c r="L93" i="10"/>
  <c r="L184" i="10"/>
  <c r="L111" i="10"/>
  <c r="L331" i="10"/>
  <c r="L231" i="10"/>
  <c r="L114" i="10"/>
  <c r="L312" i="10"/>
  <c r="L203" i="10"/>
  <c r="L74" i="10" s="1"/>
  <c r="K74" i="10"/>
  <c r="L160" i="10"/>
  <c r="L322" i="10"/>
  <c r="L211" i="10"/>
  <c r="L131" i="10"/>
  <c r="L225" i="10"/>
  <c r="L125" i="10"/>
  <c r="L105" i="10"/>
  <c r="L153" i="10"/>
  <c r="L271" i="10"/>
  <c r="P291" i="10"/>
  <c r="Q291" i="10" s="1"/>
  <c r="P269" i="10"/>
  <c r="Q269" i="10" s="1"/>
  <c r="P232" i="10"/>
  <c r="Q232" i="10" s="1"/>
  <c r="P224" i="10"/>
  <c r="Q224" i="10" s="1"/>
  <c r="P252" i="10"/>
  <c r="Q252" i="10" s="1"/>
  <c r="P248" i="10"/>
  <c r="Q248" i="10" s="1"/>
  <c r="P159" i="10"/>
  <c r="P155" i="10"/>
  <c r="Q155" i="10" s="1"/>
  <c r="P197" i="10"/>
  <c r="Q197" i="10" s="1"/>
  <c r="P139" i="10"/>
  <c r="Q139" i="10" s="1"/>
  <c r="O65" i="10" a="1"/>
  <c r="O65" i="10" s="1"/>
  <c r="P119" i="10"/>
  <c r="Q119" i="10" s="1"/>
  <c r="P107" i="10"/>
  <c r="P115" i="10"/>
  <c r="Q115" i="10" s="1"/>
  <c r="O42" i="10" a="1"/>
  <c r="O42" i="10" s="1"/>
  <c r="O41" i="10" a="1"/>
  <c r="O41" i="10" s="1"/>
  <c r="O40" i="10" a="1"/>
  <c r="O40" i="10" s="1"/>
  <c r="P151" i="10"/>
  <c r="Q151" i="10" s="1"/>
  <c r="P111" i="10"/>
  <c r="Q111" i="10" s="1"/>
  <c r="O64" i="10" a="1"/>
  <c r="O64" i="10" s="1"/>
  <c r="O63" i="10" a="1"/>
  <c r="O63" i="10" s="1"/>
  <c r="O53" i="10" a="1"/>
  <c r="O53" i="10" s="1"/>
  <c r="O59" i="10" a="1"/>
  <c r="O59" i="10" s="1"/>
  <c r="O54" i="10" a="1"/>
  <c r="O54" i="10" s="1"/>
  <c r="O62" i="10" a="1"/>
  <c r="O62" i="10" s="1"/>
  <c r="O60" i="10" a="1"/>
  <c r="O60" i="10" s="1"/>
  <c r="O55" i="10" a="1"/>
  <c r="O55" i="10" s="1"/>
  <c r="O39" i="10" a="1"/>
  <c r="O39" i="10" s="1"/>
  <c r="O51" i="10" a="1"/>
  <c r="O51" i="10" s="1"/>
  <c r="O48" i="10" a="1"/>
  <c r="O48" i="10" s="1"/>
  <c r="O47" i="10" a="1"/>
  <c r="O47" i="10" s="1"/>
  <c r="O46" i="10" a="1"/>
  <c r="O46" i="10" s="1"/>
  <c r="O56" i="10" a="1"/>
  <c r="O56" i="10" s="1"/>
  <c r="O52" i="10" a="1"/>
  <c r="O52" i="10" s="1"/>
  <c r="O61" i="10" a="1"/>
  <c r="O61" i="10" s="1"/>
  <c r="P99" i="10"/>
  <c r="P103" i="10"/>
  <c r="Q103" i="10" s="1"/>
  <c r="P96" i="10"/>
  <c r="Q96" i="10" s="1"/>
  <c r="P121" i="10"/>
  <c r="P90" i="10"/>
  <c r="P102" i="10"/>
  <c r="Q102" i="10" s="1"/>
  <c r="P216" i="10"/>
  <c r="P184" i="10"/>
  <c r="P158" i="10"/>
  <c r="Q158" i="10" s="1"/>
  <c r="P166" i="10"/>
  <c r="Q166" i="10" s="1"/>
  <c r="P194" i="10"/>
  <c r="P186" i="10"/>
  <c r="Q186" i="10" s="1"/>
  <c r="P231" i="10"/>
  <c r="Q231" i="10" s="1"/>
  <c r="P235" i="10"/>
  <c r="Q235" i="10" s="1"/>
  <c r="P267" i="10"/>
  <c r="Q267" i="10" s="1"/>
  <c r="P328" i="10"/>
  <c r="P292" i="10"/>
  <c r="Q292" i="10" s="1"/>
  <c r="P285" i="10"/>
  <c r="Q285" i="10" s="1"/>
  <c r="P142" i="10"/>
  <c r="Q142" i="10" s="1"/>
  <c r="P188" i="10"/>
  <c r="Q188" i="10" s="1"/>
  <c r="P150" i="10"/>
  <c r="Q150" i="10" s="1"/>
  <c r="P192" i="10"/>
  <c r="P200" i="10"/>
  <c r="P263" i="10"/>
  <c r="Q263" i="10" s="1"/>
  <c r="P215" i="10"/>
  <c r="Q215" i="10" s="1"/>
  <c r="P225" i="10"/>
  <c r="P207" i="10"/>
  <c r="Q207" i="10" s="1"/>
  <c r="P276" i="10"/>
  <c r="Q276" i="10" s="1"/>
  <c r="P279" i="10"/>
  <c r="Q279" i="10" s="1"/>
  <c r="P300" i="10"/>
  <c r="Q300" i="10" s="1"/>
  <c r="P281" i="10"/>
  <c r="Q281" i="10" s="1"/>
  <c r="P323" i="10"/>
  <c r="Q323" i="10" s="1"/>
  <c r="P125" i="10"/>
  <c r="P108" i="10"/>
  <c r="Q108" i="10" s="1"/>
  <c r="P132" i="10"/>
  <c r="Q132" i="10" s="1"/>
  <c r="P129" i="10"/>
  <c r="Q129" i="10" s="1"/>
  <c r="P223" i="10"/>
  <c r="Q223" i="10" s="1"/>
  <c r="P288" i="10"/>
  <c r="Q288" i="10" s="1"/>
  <c r="P335" i="10"/>
  <c r="Q335" i="10" s="1"/>
  <c r="P138" i="10"/>
  <c r="Q138" i="10" s="1"/>
  <c r="P152" i="10"/>
  <c r="Q152" i="10" s="1"/>
  <c r="P196" i="10"/>
  <c r="Q196" i="10" s="1"/>
  <c r="P195" i="10"/>
  <c r="Q195" i="10" s="1"/>
  <c r="P227" i="10"/>
  <c r="Q227" i="10" s="1"/>
  <c r="P211" i="10"/>
  <c r="Q211" i="10" s="1"/>
  <c r="P261" i="10"/>
  <c r="Q261" i="10" s="1"/>
  <c r="P322" i="10"/>
  <c r="Q322" i="10" s="1"/>
  <c r="P127" i="10"/>
  <c r="Q127" i="10" s="1"/>
  <c r="P162" i="10"/>
  <c r="Q162" i="10" s="1"/>
  <c r="P135" i="10"/>
  <c r="P156" i="10"/>
  <c r="Q156" i="10" s="1"/>
  <c r="P170" i="10"/>
  <c r="Q170" i="10" s="1"/>
  <c r="P134" i="10"/>
  <c r="Q134" i="10" s="1"/>
  <c r="P233" i="10"/>
  <c r="Q233" i="10" s="1"/>
  <c r="P259" i="10"/>
  <c r="P219" i="10"/>
  <c r="Q219" i="10" s="1"/>
  <c r="P265" i="10"/>
  <c r="Q265" i="10" s="1"/>
  <c r="P336" i="10"/>
  <c r="Q336" i="10" s="1"/>
  <c r="P228" i="10"/>
  <c r="P251" i="10"/>
  <c r="Q251" i="10" s="1"/>
  <c r="P202" i="10"/>
  <c r="Q202" i="10" s="1"/>
  <c r="P131" i="10"/>
  <c r="Q131" i="10" s="1"/>
  <c r="P163" i="10"/>
  <c r="Q163" i="10" s="1"/>
  <c r="P220" i="10"/>
  <c r="Q220" i="10" s="1"/>
  <c r="P210" i="10"/>
  <c r="Q210" i="10" s="1"/>
  <c r="P213" i="10"/>
  <c r="Q213" i="10" s="1"/>
  <c r="P205" i="10"/>
  <c r="P266" i="10"/>
  <c r="Q266" i="10" s="1"/>
  <c r="P258" i="10"/>
  <c r="Q258" i="10" s="1"/>
  <c r="P284" i="10"/>
  <c r="Q284" i="10" s="1"/>
  <c r="P319" i="10"/>
  <c r="P270" i="10"/>
  <c r="P286" i="10"/>
  <c r="Q286" i="10" s="1"/>
  <c r="P229" i="10"/>
  <c r="Q229" i="10" s="1"/>
  <c r="P143" i="10"/>
  <c r="P110" i="10"/>
  <c r="Q110" i="10" s="1"/>
  <c r="P116" i="10"/>
  <c r="P180" i="10"/>
  <c r="P324" i="10"/>
  <c r="P312" i="10"/>
  <c r="Q312" i="10" s="1"/>
  <c r="P94" i="10"/>
  <c r="Q94" i="10" s="1"/>
  <c r="P175" i="10"/>
  <c r="P114" i="10"/>
  <c r="Q114" i="10" s="1"/>
  <c r="P160" i="10"/>
  <c r="Q160" i="10" s="1"/>
  <c r="P304" i="10"/>
  <c r="Q304" i="10" s="1"/>
  <c r="P217" i="10"/>
  <c r="P272" i="10"/>
  <c r="Q272" i="10" s="1"/>
  <c r="P287" i="10"/>
  <c r="P245" i="10"/>
  <c r="Q245" i="10" s="1"/>
  <c r="P306" i="10"/>
  <c r="Q306" i="10" s="1"/>
  <c r="P137" i="10"/>
  <c r="P174" i="10"/>
  <c r="Q174" i="10" s="1"/>
  <c r="P316" i="10"/>
  <c r="Q316" i="10" s="1"/>
  <c r="P274" i="10"/>
  <c r="P308" i="10"/>
  <c r="P118" i="10"/>
  <c r="Q118" i="10" s="1"/>
  <c r="P148" i="10"/>
  <c r="Q148" i="10" s="1"/>
  <c r="P190" i="10"/>
  <c r="Q190" i="10" s="1"/>
  <c r="P296" i="10"/>
  <c r="Q296" i="10" s="1"/>
  <c r="P314" i="10"/>
  <c r="Q314" i="10" s="1"/>
  <c r="P171" i="10"/>
  <c r="P315" i="10"/>
  <c r="Q315" i="10" s="1"/>
  <c r="P182" i="10"/>
  <c r="Q182" i="10" s="1"/>
  <c r="P98" i="10"/>
  <c r="Q98" i="10" s="1"/>
  <c r="P141" i="10"/>
  <c r="P133" i="10"/>
  <c r="Q133" i="10" s="1"/>
  <c r="P198" i="10"/>
  <c r="P311" i="10"/>
  <c r="Q311" i="10" s="1"/>
  <c r="P282" i="10"/>
  <c r="Q282" i="10" s="1"/>
  <c r="P302" i="10"/>
  <c r="Q302" i="10" s="1"/>
  <c r="P332" i="10"/>
  <c r="Q332" i="10" s="1"/>
  <c r="P136" i="10"/>
  <c r="P257" i="10"/>
  <c r="Q257" i="10" s="1"/>
  <c r="P123" i="10"/>
  <c r="Q123" i="10" s="1"/>
  <c r="P153" i="10"/>
  <c r="Q153" i="10" s="1"/>
  <c r="P277" i="10"/>
  <c r="P241" i="10"/>
  <c r="Q241" i="10" s="1"/>
  <c r="P297" i="10"/>
  <c r="Q297" i="10" s="1"/>
  <c r="P321" i="10"/>
  <c r="Q321" i="10" s="1"/>
  <c r="P154" i="10"/>
  <c r="P168" i="10"/>
  <c r="Q168" i="10" s="1"/>
  <c r="P330" i="10"/>
  <c r="Q330" i="10" s="1"/>
  <c r="P147" i="10"/>
  <c r="P201" i="10"/>
  <c r="P167" i="10"/>
  <c r="Q167" i="10" s="1"/>
  <c r="P309" i="10"/>
  <c r="Q309" i="10" s="1"/>
  <c r="P246" i="10"/>
  <c r="Q246" i="10" s="1"/>
  <c r="P208" i="10"/>
  <c r="P222" i="10"/>
  <c r="P238" i="10"/>
  <c r="Q238" i="10" s="1"/>
  <c r="P178" i="10"/>
  <c r="P310" i="10"/>
  <c r="P299" i="10"/>
  <c r="Q299" i="10" s="1"/>
  <c r="P320" i="10"/>
  <c r="P206" i="10"/>
  <c r="Q206" i="10" s="1"/>
  <c r="P191" i="10"/>
  <c r="P164" i="10"/>
  <c r="Q164" i="10" s="1"/>
  <c r="P172" i="10"/>
  <c r="P122" i="10"/>
  <c r="P177" i="10"/>
  <c r="P290" i="10"/>
  <c r="Q290" i="10" s="1"/>
  <c r="P331" i="10"/>
  <c r="P221" i="10"/>
  <c r="P289" i="10"/>
  <c r="P173" i="10"/>
  <c r="Q173" i="10" s="1"/>
  <c r="P275" i="10"/>
  <c r="P101" i="10"/>
  <c r="Q101" i="10" s="1"/>
  <c r="P105" i="10"/>
  <c r="P128" i="10"/>
  <c r="Q128" i="10" s="1"/>
  <c r="P317" i="10"/>
  <c r="Q317" i="10" s="1"/>
  <c r="P183" i="10"/>
  <c r="Q183" i="10" s="1"/>
  <c r="P93" i="10"/>
  <c r="P239" i="10"/>
  <c r="P165" i="10"/>
  <c r="Q165" i="10" s="1"/>
  <c r="P237" i="10"/>
  <c r="P181" i="10"/>
  <c r="P104" i="10"/>
  <c r="Q104" i="10" s="1"/>
  <c r="P185" i="10"/>
  <c r="Q185" i="10" s="1"/>
  <c r="P295" i="10"/>
  <c r="P242" i="10"/>
  <c r="Q242" i="10" s="1"/>
  <c r="P255" i="10"/>
  <c r="Q255" i="10" s="1"/>
  <c r="P327" i="10"/>
  <c r="Q327" i="10" s="1"/>
  <c r="P161" i="10"/>
  <c r="Q161" i="10" s="1"/>
  <c r="P212" i="10"/>
  <c r="P307" i="10"/>
  <c r="P126" i="10"/>
  <c r="Q126" i="10" s="1"/>
  <c r="P149" i="10"/>
  <c r="P329" i="10"/>
  <c r="Q329" i="10" s="1"/>
  <c r="P176" i="10"/>
  <c r="Q176" i="10" s="1"/>
  <c r="P230" i="10"/>
  <c r="Q230" i="10" s="1"/>
  <c r="P280" i="10"/>
  <c r="Q280" i="10" s="1"/>
  <c r="P169" i="10"/>
  <c r="P113" i="10"/>
  <c r="P240" i="10"/>
  <c r="Q240" i="10" s="1"/>
  <c r="P157" i="10"/>
  <c r="P214" i="10"/>
  <c r="Q214" i="10" s="1"/>
  <c r="P253" i="10"/>
  <c r="Q253" i="10" s="1"/>
  <c r="P256" i="10"/>
  <c r="Q256" i="10" s="1"/>
  <c r="P303" i="10"/>
  <c r="P106" i="10"/>
  <c r="P203" i="10"/>
  <c r="P112" i="10"/>
  <c r="P109" i="10"/>
  <c r="P199" i="10"/>
  <c r="P226" i="10"/>
  <c r="Q226" i="10" s="1"/>
  <c r="P117" i="10"/>
  <c r="Q117" i="10" s="1"/>
  <c r="P95" i="10"/>
  <c r="P273" i="10"/>
  <c r="P120" i="10"/>
  <c r="P305" i="10"/>
  <c r="Q305" i="10" s="1"/>
  <c r="P271" i="10"/>
  <c r="P249" i="10"/>
  <c r="P144" i="10"/>
  <c r="Q144" i="10" s="1"/>
  <c r="P298" i="10"/>
  <c r="P91" i="10"/>
  <c r="Q91" i="10" s="1"/>
  <c r="P250" i="10"/>
  <c r="Q250" i="10" s="1"/>
  <c r="P187" i="10"/>
  <c r="Q187" i="10" s="1"/>
  <c r="P218" i="10"/>
  <c r="P334" i="10"/>
  <c r="Q334" i="10" s="1"/>
  <c r="P254" i="10"/>
  <c r="Q254" i="10" s="1"/>
  <c r="P179" i="10"/>
  <c r="Q179" i="10" s="1"/>
  <c r="P124" i="10"/>
  <c r="P243" i="10"/>
  <c r="Q243" i="10" s="1"/>
  <c r="P236" i="10"/>
  <c r="Q236" i="10" s="1"/>
  <c r="P262" i="10"/>
  <c r="Q262" i="10" s="1"/>
  <c r="P145" i="10"/>
  <c r="Q145" i="10" s="1"/>
  <c r="P293" i="10"/>
  <c r="Q293" i="10" s="1"/>
  <c r="P97" i="10"/>
  <c r="Q97" i="10" s="1"/>
  <c r="P234" i="10"/>
  <c r="L130" i="10"/>
  <c r="L75" i="10" s="1"/>
  <c r="L260" i="10"/>
  <c r="L242" i="10"/>
  <c r="L150" i="10"/>
  <c r="P92" i="10"/>
  <c r="Q92" i="10" s="1"/>
  <c r="J66" i="10"/>
  <c r="L117" i="10"/>
  <c r="L265" i="10"/>
  <c r="L330" i="10"/>
  <c r="L138" i="10"/>
  <c r="L122" i="10"/>
  <c r="L78" i="10" s="1"/>
  <c r="P100" i="10"/>
  <c r="P325" i="10"/>
  <c r="L268" i="10"/>
  <c r="L243" i="10"/>
  <c r="P294" i="10"/>
  <c r="L326" i="10"/>
  <c r="L69" i="10" s="1"/>
  <c r="K69" i="10"/>
  <c r="P264" i="10"/>
  <c r="L157" i="10"/>
  <c r="L149" i="10"/>
  <c r="P244" i="10"/>
  <c r="L275" i="10"/>
  <c r="L297" i="10"/>
  <c r="P189" i="10"/>
  <c r="Q189" i="10" s="1"/>
  <c r="L185" i="10"/>
  <c r="P140" i="10"/>
  <c r="Q140" i="10" s="1"/>
  <c r="L144" i="10"/>
  <c r="L145" i="10"/>
  <c r="L195" i="10"/>
  <c r="L274" i="10"/>
  <c r="P301" i="10"/>
  <c r="L325" i="10"/>
  <c r="L70" i="10" s="1"/>
  <c r="L329" i="10"/>
  <c r="L298" i="10"/>
  <c r="L80" i="10" s="1"/>
  <c r="P283" i="10"/>
  <c r="Q283" i="10" s="1"/>
  <c r="L334" i="10"/>
  <c r="L294" i="10"/>
  <c r="L175" i="10"/>
  <c r="L228" i="10"/>
  <c r="L323" i="10"/>
  <c r="P326" i="10"/>
  <c r="P130" i="10"/>
  <c r="L247" i="10"/>
  <c r="L193" i="10"/>
  <c r="L305" i="10"/>
  <c r="L318" i="10"/>
  <c r="L309" i="10"/>
  <c r="L94" i="10"/>
  <c r="Q82" i="10"/>
  <c r="L161" i="10"/>
  <c r="L216" i="10"/>
  <c r="Q339" i="10"/>
  <c r="L214" i="10"/>
  <c r="P209" i="10"/>
  <c r="P268" i="10"/>
  <c r="L218" i="10"/>
  <c r="L290" i="10"/>
  <c r="P260" i="10"/>
  <c r="L301" i="10"/>
  <c r="L313" i="10"/>
  <c r="L179" i="10"/>
  <c r="Q169" i="10" l="1"/>
  <c r="Q216" i="10"/>
  <c r="Q244" i="10"/>
  <c r="Q271" i="10"/>
  <c r="Q109" i="10"/>
  <c r="Q157" i="10"/>
  <c r="Q149" i="10"/>
  <c r="Q295" i="10"/>
  <c r="Q221" i="10"/>
  <c r="Q308" i="10"/>
  <c r="Q324" i="10"/>
  <c r="Q319" i="10"/>
  <c r="Q259" i="10"/>
  <c r="Q200" i="10"/>
  <c r="Q204" i="10"/>
  <c r="Q325" i="10"/>
  <c r="Q70" i="10" s="1"/>
  <c r="P70" i="10"/>
  <c r="Q218" i="10"/>
  <c r="Q112" i="10"/>
  <c r="Q331" i="10"/>
  <c r="Q320" i="10"/>
  <c r="Q274" i="10"/>
  <c r="Q217" i="10"/>
  <c r="Q180" i="10"/>
  <c r="Q192" i="10"/>
  <c r="Q100" i="10"/>
  <c r="Q120" i="10"/>
  <c r="Q203" i="10"/>
  <c r="Q74" i="10" s="1"/>
  <c r="P74" i="10"/>
  <c r="Q113" i="10"/>
  <c r="Q307" i="10"/>
  <c r="Q171" i="10"/>
  <c r="Q116" i="10"/>
  <c r="Q90" i="10"/>
  <c r="P88" i="10"/>
  <c r="Q313" i="10"/>
  <c r="Q247" i="10"/>
  <c r="Q260" i="10"/>
  <c r="Q130" i="10"/>
  <c r="Q75" i="10" s="1"/>
  <c r="P75" i="10"/>
  <c r="Q264" i="10"/>
  <c r="Q273" i="10"/>
  <c r="Q106" i="10"/>
  <c r="Q212" i="10"/>
  <c r="Q181" i="10"/>
  <c r="Q105" i="10"/>
  <c r="Q177" i="10"/>
  <c r="Q310" i="10"/>
  <c r="Q201" i="10"/>
  <c r="Q73" i="10" s="1"/>
  <c r="P73" i="10"/>
  <c r="Q277" i="10"/>
  <c r="Q121" i="10"/>
  <c r="O66" i="10"/>
  <c r="Q159" i="10"/>
  <c r="Q146" i="10"/>
  <c r="Q193" i="10"/>
  <c r="Q326" i="10"/>
  <c r="Q69" i="10" s="1"/>
  <c r="P69" i="10"/>
  <c r="Q95" i="10"/>
  <c r="Q303" i="10"/>
  <c r="Q237" i="10"/>
  <c r="Q122" i="10"/>
  <c r="Q78" i="10" s="1"/>
  <c r="P78" i="10"/>
  <c r="Q178" i="10"/>
  <c r="Q72" i="10" s="1"/>
  <c r="P72" i="10"/>
  <c r="Q147" i="10"/>
  <c r="Q198" i="10"/>
  <c r="Q137" i="10"/>
  <c r="Q143" i="10"/>
  <c r="Q205" i="10"/>
  <c r="Q228" i="10"/>
  <c r="Q194" i="10"/>
  <c r="Q77" i="10" s="1"/>
  <c r="P77" i="10"/>
  <c r="Q124" i="10"/>
  <c r="Q298" i="10"/>
  <c r="Q80" i="10" s="1"/>
  <c r="P80" i="10"/>
  <c r="Q275" i="10"/>
  <c r="Q172" i="10"/>
  <c r="Q71" i="10" s="1"/>
  <c r="P71" i="10"/>
  <c r="Q175" i="10"/>
  <c r="Q135" i="10"/>
  <c r="Q225" i="10"/>
  <c r="Q107" i="10"/>
  <c r="Q318" i="10"/>
  <c r="Q268" i="10"/>
  <c r="Q301" i="10"/>
  <c r="Q294" i="10"/>
  <c r="Q234" i="10"/>
  <c r="Q239" i="10"/>
  <c r="Q222" i="10"/>
  <c r="Q141" i="10"/>
  <c r="Q125" i="10"/>
  <c r="Q99" i="10"/>
  <c r="O43" i="10"/>
  <c r="K65" i="10" a="1"/>
  <c r="K65" i="10" s="1"/>
  <c r="K42" i="10" a="1"/>
  <c r="K42" i="10" s="1"/>
  <c r="K41" i="10" a="1"/>
  <c r="K41" i="10" s="1"/>
  <c r="K40" i="10" a="1"/>
  <c r="K40" i="10" s="1"/>
  <c r="K39" i="10" a="1"/>
  <c r="K39" i="10" s="1"/>
  <c r="K64" i="10" a="1"/>
  <c r="K64" i="10" s="1"/>
  <c r="K63" i="10" a="1"/>
  <c r="K63" i="10" s="1"/>
  <c r="K62" i="10" a="1"/>
  <c r="K62" i="10" s="1"/>
  <c r="K61" i="10" a="1"/>
  <c r="K61" i="10" s="1"/>
  <c r="K60" i="10" a="1"/>
  <c r="K60" i="10" s="1"/>
  <c r="K59" i="10" a="1"/>
  <c r="K59" i="10" s="1"/>
  <c r="K56" i="10" a="1"/>
  <c r="K56" i="10" s="1"/>
  <c r="K52" i="10" a="1"/>
  <c r="K52" i="10" s="1"/>
  <c r="K53" i="10" a="1"/>
  <c r="K53" i="10" s="1"/>
  <c r="K47" i="10" a="1"/>
  <c r="K47" i="10" s="1"/>
  <c r="K54" i="10" a="1"/>
  <c r="K54" i="10" s="1"/>
  <c r="K55" i="10" a="1"/>
  <c r="K55" i="10" s="1"/>
  <c r="K48" i="10" a="1"/>
  <c r="K48" i="10" s="1"/>
  <c r="K51" i="10" a="1"/>
  <c r="K51" i="10" s="1"/>
  <c r="K46" i="10" a="1"/>
  <c r="K46" i="10" s="1"/>
  <c r="Q209" i="10"/>
  <c r="Q249" i="10"/>
  <c r="Q199" i="10"/>
  <c r="Q93" i="10"/>
  <c r="Q289" i="10"/>
  <c r="Q191" i="10"/>
  <c r="Q208" i="10"/>
  <c r="Q154" i="10"/>
  <c r="Q136" i="10"/>
  <c r="Q76" i="10" s="1"/>
  <c r="P76" i="10"/>
  <c r="Q287" i="10"/>
  <c r="Q270" i="10"/>
  <c r="Q328" i="10"/>
  <c r="Q184" i="10"/>
  <c r="Q278" i="10"/>
  <c r="Q79" i="10" s="1"/>
  <c r="L41" i="10" l="1"/>
  <c r="L48" i="10"/>
  <c r="L51" i="10"/>
  <c r="L46" i="10"/>
  <c r="L56" i="10"/>
  <c r="L40" i="10"/>
  <c r="K35" i="10"/>
  <c r="P34" i="10"/>
  <c r="D34" i="10"/>
  <c r="H33" i="10"/>
  <c r="B32" i="10"/>
  <c r="E31" i="10"/>
  <c r="J30" i="10"/>
  <c r="O29" i="10"/>
  <c r="C29" i="10"/>
  <c r="G28" i="10"/>
  <c r="K27" i="10"/>
  <c r="G35" i="10"/>
  <c r="K34" i="10"/>
  <c r="P33" i="10"/>
  <c r="D33" i="10"/>
  <c r="H32" i="10"/>
  <c r="B31" i="10"/>
  <c r="E30" i="10"/>
  <c r="J29" i="10"/>
  <c r="O28" i="10"/>
  <c r="C28" i="10"/>
  <c r="G27" i="10"/>
  <c r="K26" i="10"/>
  <c r="P25" i="10"/>
  <c r="D25" i="10"/>
  <c r="H24" i="10"/>
  <c r="B23" i="10"/>
  <c r="E22" i="10"/>
  <c r="J21" i="10"/>
  <c r="O20" i="10"/>
  <c r="C20" i="10"/>
  <c r="G19" i="10"/>
  <c r="K18" i="10"/>
  <c r="P17" i="10"/>
  <c r="D17" i="10"/>
  <c r="H16" i="10"/>
  <c r="O35" i="10"/>
  <c r="C35" i="10"/>
  <c r="G34" i="10"/>
  <c r="K33" i="10"/>
  <c r="P32" i="10"/>
  <c r="D32" i="10"/>
  <c r="H31" i="10"/>
  <c r="B30" i="10"/>
  <c r="E29" i="10"/>
  <c r="J28" i="10"/>
  <c r="O27" i="10"/>
  <c r="C27" i="10"/>
  <c r="G26" i="10"/>
  <c r="K25" i="10"/>
  <c r="P24" i="10"/>
  <c r="D24" i="10"/>
  <c r="H23" i="10"/>
  <c r="B22" i="10"/>
  <c r="E21" i="10"/>
  <c r="J20" i="10"/>
  <c r="O19" i="10"/>
  <c r="C19" i="10"/>
  <c r="G18" i="10"/>
  <c r="K17" i="10"/>
  <c r="P16" i="10"/>
  <c r="D16" i="10"/>
  <c r="J35" i="10"/>
  <c r="H34" i="10"/>
  <c r="E33" i="10"/>
  <c r="C32" i="10"/>
  <c r="P30" i="10"/>
  <c r="K28" i="10"/>
  <c r="H27" i="10"/>
  <c r="H26" i="10"/>
  <c r="H25" i="10"/>
  <c r="J24" i="10"/>
  <c r="J23" i="10"/>
  <c r="J22" i="10"/>
  <c r="K21" i="10"/>
  <c r="K20" i="10"/>
  <c r="K19" i="10"/>
  <c r="H35" i="10"/>
  <c r="E34" i="10"/>
  <c r="C33" i="10"/>
  <c r="P31" i="10"/>
  <c r="O30" i="10"/>
  <c r="K29" i="10"/>
  <c r="H28" i="10"/>
  <c r="E27" i="10"/>
  <c r="E26" i="10"/>
  <c r="G25" i="10"/>
  <c r="G24" i="10"/>
  <c r="G23" i="10"/>
  <c r="H22" i="10"/>
  <c r="H21" i="10"/>
  <c r="H20" i="10"/>
  <c r="J19" i="10"/>
  <c r="J18" i="10"/>
  <c r="J17" i="10"/>
  <c r="K16" i="10"/>
  <c r="E35" i="10"/>
  <c r="C34" i="10"/>
  <c r="B33" i="10"/>
  <c r="O31" i="10"/>
  <c r="K30" i="10"/>
  <c r="H29" i="10"/>
  <c r="E28" i="10"/>
  <c r="D27" i="10"/>
  <c r="D26" i="10"/>
  <c r="E25" i="10"/>
  <c r="E24" i="10"/>
  <c r="E23" i="10"/>
  <c r="G22" i="10"/>
  <c r="G21" i="10"/>
  <c r="G20" i="10"/>
  <c r="H19" i="10"/>
  <c r="H18" i="10"/>
  <c r="H17" i="10"/>
  <c r="J16" i="10"/>
  <c r="D35" i="10"/>
  <c r="B34" i="10"/>
  <c r="O32" i="10"/>
  <c r="K31" i="10"/>
  <c r="H30" i="10"/>
  <c r="G29" i="10"/>
  <c r="D28" i="10"/>
  <c r="B27" i="10"/>
  <c r="C26" i="10"/>
  <c r="C25" i="10"/>
  <c r="C24" i="10"/>
  <c r="D23" i="10"/>
  <c r="D22" i="10"/>
  <c r="D21" i="10"/>
  <c r="E20" i="10"/>
  <c r="E19" i="10"/>
  <c r="E18" i="10"/>
  <c r="G17" i="10"/>
  <c r="G16" i="10"/>
  <c r="O34" i="10"/>
  <c r="J32" i="10"/>
  <c r="G31" i="10"/>
  <c r="D30" i="10"/>
  <c r="B29" i="10"/>
  <c r="P27" i="10"/>
  <c r="O26" i="10"/>
  <c r="O25" i="10"/>
  <c r="O24" i="10"/>
  <c r="P23" i="10"/>
  <c r="P22" i="10"/>
  <c r="P21" i="10"/>
  <c r="B21" i="10"/>
  <c r="B20" i="10"/>
  <c r="B19" i="10"/>
  <c r="C18" i="10"/>
  <c r="C17" i="10"/>
  <c r="C16" i="10"/>
  <c r="B35" i="10"/>
  <c r="O33" i="10"/>
  <c r="K32" i="10"/>
  <c r="J31" i="10"/>
  <c r="G30" i="10"/>
  <c r="D29" i="10"/>
  <c r="B28" i="10"/>
  <c r="P26" i="10"/>
  <c r="B26" i="10"/>
  <c r="B25" i="10"/>
  <c r="B24" i="10"/>
  <c r="C23" i="10"/>
  <c r="C22" i="10"/>
  <c r="C21" i="10"/>
  <c r="D20" i="10"/>
  <c r="D19" i="10"/>
  <c r="D18" i="10"/>
  <c r="E17" i="10"/>
  <c r="E16" i="10"/>
  <c r="P35" i="10"/>
  <c r="J33" i="10"/>
  <c r="G32" i="10"/>
  <c r="D31" i="10"/>
  <c r="C30" i="10"/>
  <c r="P28" i="10"/>
  <c r="O23" i="10"/>
  <c r="O22" i="10"/>
  <c r="O21" i="10"/>
  <c r="P20" i="10"/>
  <c r="P19" i="10"/>
  <c r="P18" i="10"/>
  <c r="B18" i="10"/>
  <c r="B17" i="10"/>
  <c r="B16" i="10"/>
  <c r="J34" i="10"/>
  <c r="G33" i="10"/>
  <c r="E32" i="10"/>
  <c r="C31" i="10"/>
  <c r="P29" i="10"/>
  <c r="J27" i="10"/>
  <c r="J26" i="10"/>
  <c r="J25" i="10"/>
  <c r="K24" i="10"/>
  <c r="K23" i="10"/>
  <c r="K22" i="10"/>
  <c r="O18" i="10"/>
  <c r="O17" i="10"/>
  <c r="O16" i="10"/>
  <c r="L59" i="10"/>
  <c r="K66" i="10"/>
  <c r="L60" i="10"/>
  <c r="L42" i="10"/>
  <c r="L55" i="10"/>
  <c r="L61" i="10"/>
  <c r="L65" i="10"/>
  <c r="L54" i="10"/>
  <c r="L62" i="10"/>
  <c r="L47" i="10"/>
  <c r="L63" i="10"/>
  <c r="L53" i="10"/>
  <c r="L64" i="10"/>
  <c r="L52" i="10"/>
  <c r="K43" i="10"/>
  <c r="L39" i="10"/>
  <c r="P42" i="10" a="1"/>
  <c r="P42" i="10" s="1"/>
  <c r="P41" i="10" a="1"/>
  <c r="P41" i="10" s="1"/>
  <c r="P40" i="10" a="1"/>
  <c r="P40" i="10" s="1"/>
  <c r="P39" i="10" a="1"/>
  <c r="P39" i="10" s="1"/>
  <c r="P64" i="10" a="1"/>
  <c r="P64" i="10" s="1"/>
  <c r="P63" i="10" a="1"/>
  <c r="P63" i="10" s="1"/>
  <c r="P62" i="10" a="1"/>
  <c r="P62" i="10" s="1"/>
  <c r="P61" i="10" a="1"/>
  <c r="P61" i="10" s="1"/>
  <c r="P60" i="10" a="1"/>
  <c r="P60" i="10" s="1"/>
  <c r="P59" i="10" a="1"/>
  <c r="P59" i="10" s="1"/>
  <c r="P56" i="10" a="1"/>
  <c r="P56" i="10" s="1"/>
  <c r="P55" i="10" a="1"/>
  <c r="P55" i="10" s="1"/>
  <c r="P54" i="10" a="1"/>
  <c r="P54" i="10" s="1"/>
  <c r="P53" i="10" a="1"/>
  <c r="P53" i="10" s="1"/>
  <c r="P52" i="10" a="1"/>
  <c r="P52" i="10" s="1"/>
  <c r="P51" i="10" a="1"/>
  <c r="P51" i="10" s="1"/>
  <c r="P48" i="10" a="1"/>
  <c r="P48" i="10" s="1"/>
  <c r="P47" i="10" a="1"/>
  <c r="P47" i="10" s="1"/>
  <c r="P46" i="10" a="1"/>
  <c r="P46" i="10" s="1"/>
  <c r="P65" i="10" a="1"/>
  <c r="P65" i="10" s="1"/>
  <c r="Q65" i="10" l="1"/>
  <c r="L23" i="10"/>
  <c r="Q41" i="10"/>
  <c r="Q56" i="10"/>
  <c r="Q40" i="10"/>
  <c r="Q42" i="10"/>
  <c r="Q47" i="10"/>
  <c r="Q53" i="10"/>
  <c r="Q55" i="10"/>
  <c r="Q54" i="10"/>
  <c r="Q64" i="10"/>
  <c r="L22" i="10"/>
  <c r="L30" i="10"/>
  <c r="L19" i="10"/>
  <c r="P36" i="10"/>
  <c r="L34" i="10"/>
  <c r="P43" i="10"/>
  <c r="Q39" i="10"/>
  <c r="L20" i="10"/>
  <c r="L28" i="10"/>
  <c r="L17" i="10"/>
  <c r="Q46" i="10"/>
  <c r="L24" i="10"/>
  <c r="L32" i="10"/>
  <c r="L29" i="10"/>
  <c r="L21" i="10"/>
  <c r="L27" i="10"/>
  <c r="Q59" i="10"/>
  <c r="P66" i="10"/>
  <c r="L25" i="10"/>
  <c r="Q48" i="10"/>
  <c r="Q60" i="10"/>
  <c r="L18" i="10"/>
  <c r="L35" i="10"/>
  <c r="Q51" i="10"/>
  <c r="Q61" i="10"/>
  <c r="C36" i="10"/>
  <c r="L16" i="10"/>
  <c r="K36" i="10"/>
  <c r="L33" i="10"/>
  <c r="Q52" i="10"/>
  <c r="Q62" i="10"/>
  <c r="L31" i="10"/>
  <c r="L26" i="10"/>
  <c r="Q63" i="10"/>
  <c r="D36" i="10"/>
  <c r="C7" i="13" l="1"/>
  <c r="C6" i="13"/>
  <c r="C5" i="13"/>
  <c r="C85" i="13" s="1"/>
  <c r="C23" i="13"/>
  <c r="I221" i="9"/>
  <c r="I220" i="9"/>
  <c r="I219" i="9"/>
  <c r="I218" i="9"/>
  <c r="I216" i="9"/>
  <c r="I215" i="9"/>
  <c r="I214" i="9"/>
  <c r="I213" i="9"/>
  <c r="I212" i="9"/>
  <c r="I211" i="9"/>
  <c r="I210" i="9"/>
  <c r="I209" i="9"/>
  <c r="I208" i="9"/>
  <c r="I207" i="9"/>
  <c r="I206" i="9"/>
  <c r="I205" i="9"/>
  <c r="I204" i="9"/>
  <c r="I203" i="9"/>
  <c r="I202" i="9"/>
  <c r="I201" i="9"/>
  <c r="I200" i="9"/>
  <c r="I199" i="9"/>
  <c r="I198" i="9"/>
  <c r="I197" i="9"/>
  <c r="I196" i="9"/>
  <c r="I195" i="9"/>
  <c r="I193" i="9"/>
  <c r="I192" i="9"/>
  <c r="I191" i="9"/>
  <c r="I190" i="9"/>
  <c r="I189" i="9"/>
  <c r="I184" i="9"/>
  <c r="I183" i="9"/>
  <c r="I182" i="9"/>
  <c r="I181" i="9"/>
  <c r="I180" i="9"/>
  <c r="I179" i="9"/>
  <c r="I178" i="9"/>
  <c r="I177" i="9"/>
  <c r="I176" i="9"/>
  <c r="I175" i="9"/>
  <c r="I174" i="9"/>
  <c r="I173" i="9"/>
  <c r="I172" i="9"/>
  <c r="I171" i="9"/>
  <c r="I170" i="9"/>
  <c r="I168" i="9"/>
  <c r="I167" i="9"/>
  <c r="I166" i="9"/>
  <c r="I165" i="9"/>
  <c r="I164" i="9"/>
  <c r="I162" i="9"/>
  <c r="I161" i="9"/>
  <c r="I160" i="9"/>
  <c r="I159" i="9"/>
  <c r="I158" i="9"/>
  <c r="I157" i="9"/>
  <c r="I156" i="9"/>
  <c r="I155" i="9"/>
  <c r="I154" i="9"/>
  <c r="I153" i="9"/>
  <c r="I152" i="9"/>
  <c r="I150" i="9"/>
  <c r="I149" i="9"/>
  <c r="I148" i="9"/>
  <c r="I147" i="9"/>
  <c r="I146" i="9"/>
  <c r="I145" i="9"/>
  <c r="I144" i="9"/>
  <c r="I143" i="9"/>
  <c r="I141" i="9"/>
  <c r="I140" i="9"/>
  <c r="I139" i="9"/>
  <c r="I138" i="9"/>
  <c r="I137" i="9"/>
  <c r="I136" i="9"/>
  <c r="I134" i="9"/>
  <c r="I132" i="9"/>
  <c r="I131" i="9"/>
  <c r="I130" i="9"/>
  <c r="I129" i="9"/>
  <c r="I128" i="9"/>
  <c r="I127" i="9"/>
  <c r="I126" i="9"/>
  <c r="I125" i="9"/>
  <c r="I124" i="9"/>
  <c r="I123" i="9"/>
  <c r="I121" i="9"/>
  <c r="I120" i="9"/>
  <c r="I119" i="9"/>
  <c r="I118" i="9"/>
  <c r="I117" i="9"/>
  <c r="I116" i="9"/>
  <c r="I115" i="9"/>
  <c r="I114" i="9"/>
  <c r="I113" i="9"/>
  <c r="I112" i="9"/>
  <c r="I111" i="9"/>
  <c r="I110" i="9"/>
  <c r="I109" i="9"/>
  <c r="I107" i="9"/>
  <c r="I106" i="9"/>
  <c r="I105" i="9"/>
  <c r="I104" i="9"/>
  <c r="I103" i="9"/>
  <c r="I102" i="9"/>
  <c r="I101" i="9"/>
  <c r="I100" i="9"/>
  <c r="I98" i="9"/>
  <c r="I97" i="9"/>
  <c r="I96" i="9"/>
  <c r="I95" i="9"/>
  <c r="I94" i="9"/>
  <c r="I93" i="9"/>
  <c r="I92" i="9"/>
  <c r="I91" i="9"/>
  <c r="I90" i="9"/>
  <c r="I89" i="9"/>
  <c r="I88" i="9"/>
  <c r="I87" i="9"/>
  <c r="I86" i="9"/>
  <c r="I85" i="9"/>
  <c r="I83" i="9"/>
  <c r="I82" i="9"/>
  <c r="I81" i="9"/>
  <c r="I79" i="9"/>
  <c r="I78" i="9"/>
  <c r="I77" i="9"/>
  <c r="I76" i="9"/>
  <c r="I75" i="9"/>
  <c r="I74" i="9"/>
  <c r="I73" i="9"/>
  <c r="I72" i="9"/>
  <c r="I71" i="9"/>
  <c r="I69" i="9"/>
  <c r="I68" i="9"/>
  <c r="I67" i="9"/>
  <c r="I66" i="9"/>
  <c r="I65" i="9"/>
  <c r="I64" i="9"/>
  <c r="I63" i="9"/>
  <c r="I62" i="9"/>
  <c r="I61" i="9"/>
  <c r="I60" i="9"/>
  <c r="I59" i="9"/>
  <c r="I58" i="9"/>
  <c r="I57" i="9"/>
  <c r="I56" i="9"/>
  <c r="I55" i="9"/>
  <c r="I53" i="9"/>
  <c r="I52" i="9"/>
  <c r="I51" i="9"/>
  <c r="I50" i="9"/>
  <c r="I49" i="9"/>
  <c r="I48" i="9"/>
  <c r="I47" i="9"/>
  <c r="I46" i="9"/>
  <c r="I45" i="9"/>
  <c r="I43" i="9"/>
  <c r="I42" i="9"/>
  <c r="I40" i="9"/>
  <c r="I39" i="9"/>
  <c r="I38" i="9"/>
  <c r="I37" i="9"/>
  <c r="I36" i="9"/>
  <c r="I35" i="9"/>
  <c r="I34" i="9"/>
  <c r="I33" i="9"/>
  <c r="I31" i="9"/>
  <c r="I30" i="9"/>
  <c r="I29" i="9"/>
  <c r="I28" i="9"/>
  <c r="I27" i="9"/>
  <c r="I26" i="9"/>
  <c r="I25" i="9"/>
  <c r="I24" i="9"/>
  <c r="I23" i="9"/>
  <c r="I22" i="9"/>
  <c r="I21" i="9"/>
  <c r="I20" i="9"/>
  <c r="I19" i="9"/>
  <c r="I18" i="9"/>
  <c r="I17" i="9"/>
  <c r="I16" i="9"/>
  <c r="I15" i="9"/>
  <c r="I14" i="9"/>
  <c r="I13" i="9"/>
  <c r="I12" i="9"/>
  <c r="I11" i="9"/>
  <c r="I10" i="9"/>
  <c r="I9" i="9"/>
  <c r="I7" i="9"/>
  <c r="I6" i="9"/>
  <c r="I5" i="9"/>
  <c r="C3" i="9"/>
  <c r="N50" i="4"/>
  <c r="E140" i="4"/>
  <c r="C81" i="13" l="1"/>
  <c r="C107" i="13"/>
  <c r="C94" i="13"/>
  <c r="C95" i="13" s="1"/>
  <c r="D24" i="13"/>
  <c r="D22" i="13"/>
  <c r="D217" i="9"/>
  <c r="C1" i="9"/>
  <c r="I3" i="9"/>
  <c r="I1" i="9" s="1"/>
  <c r="D21" i="13"/>
  <c r="D215" i="9"/>
  <c r="D92" i="9"/>
  <c r="D6" i="9"/>
  <c r="D43" i="9"/>
  <c r="D81" i="9"/>
  <c r="D170" i="9"/>
  <c r="D174" i="9"/>
  <c r="D178" i="9"/>
  <c r="D182" i="9"/>
  <c r="D187" i="9"/>
  <c r="D192" i="9"/>
  <c r="D7" i="9"/>
  <c r="D31" i="9"/>
  <c r="D44" i="9"/>
  <c r="D57" i="9"/>
  <c r="D61" i="9"/>
  <c r="D65" i="9"/>
  <c r="D69" i="9"/>
  <c r="D82" i="9"/>
  <c r="D103" i="9"/>
  <c r="D107" i="9"/>
  <c r="D124" i="9"/>
  <c r="D128" i="9"/>
  <c r="D132" i="9"/>
  <c r="D137" i="9"/>
  <c r="D141" i="9"/>
  <c r="D154" i="9"/>
  <c r="D158" i="9"/>
  <c r="D162" i="9"/>
  <c r="D171" i="9"/>
  <c r="D175" i="9"/>
  <c r="D179" i="9"/>
  <c r="D183" i="9"/>
  <c r="D189" i="9"/>
  <c r="D193" i="9"/>
  <c r="D218" i="9"/>
  <c r="D9" i="9"/>
  <c r="D13" i="9"/>
  <c r="D17" i="9"/>
  <c r="D21" i="9"/>
  <c r="D25" i="9"/>
  <c r="D33" i="9"/>
  <c r="D41" i="9"/>
  <c r="D50" i="9"/>
  <c r="D79" i="9"/>
  <c r="D102" i="9"/>
  <c r="D106" i="9"/>
  <c r="C2" i="9"/>
  <c r="C9" i="13" s="1"/>
  <c r="C11" i="13" s="1"/>
  <c r="D12" i="9"/>
  <c r="D16" i="9"/>
  <c r="D20" i="9"/>
  <c r="D24" i="9"/>
  <c r="D36" i="9"/>
  <c r="D40" i="9"/>
  <c r="D45" i="9"/>
  <c r="D49" i="9"/>
  <c r="D53" i="9"/>
  <c r="D74" i="9"/>
  <c r="D78" i="9"/>
  <c r="D87" i="9"/>
  <c r="D91" i="9"/>
  <c r="D95" i="9"/>
  <c r="D99" i="9"/>
  <c r="D112" i="9"/>
  <c r="D116" i="9"/>
  <c r="D120" i="9"/>
  <c r="D146" i="9"/>
  <c r="D150" i="9"/>
  <c r="D167" i="9"/>
  <c r="D198" i="9"/>
  <c r="D202" i="9"/>
  <c r="D206" i="9"/>
  <c r="D210" i="9"/>
  <c r="D214" i="9"/>
  <c r="D66" i="9"/>
  <c r="D70" i="9"/>
  <c r="D83" i="9"/>
  <c r="D100" i="9"/>
  <c r="D104" i="9"/>
  <c r="D108" i="9"/>
  <c r="D125" i="9"/>
  <c r="D129" i="9"/>
  <c r="D133" i="9"/>
  <c r="D138" i="9"/>
  <c r="D142" i="9"/>
  <c r="D155" i="9"/>
  <c r="D159" i="9"/>
  <c r="D163" i="9"/>
  <c r="D172" i="9"/>
  <c r="D176" i="9"/>
  <c r="D180" i="9"/>
  <c r="D184" i="9"/>
  <c r="D190" i="9"/>
  <c r="D194" i="9"/>
  <c r="D219" i="9"/>
  <c r="D75" i="9"/>
  <c r="D109" i="9"/>
  <c r="D134" i="9"/>
  <c r="D207" i="9"/>
  <c r="D5" i="9"/>
  <c r="D29" i="9"/>
  <c r="D42" i="9"/>
  <c r="D84" i="9"/>
  <c r="D126" i="9"/>
  <c r="D130" i="9"/>
  <c r="D139" i="9"/>
  <c r="D152" i="9"/>
  <c r="D156" i="9"/>
  <c r="D160" i="9"/>
  <c r="D173" i="9"/>
  <c r="D177" i="9"/>
  <c r="D181" i="9"/>
  <c r="D185" i="9"/>
  <c r="D191" i="9"/>
  <c r="D220" i="9"/>
  <c r="D28" i="9"/>
  <c r="D32" i="9"/>
  <c r="D113" i="9"/>
  <c r="D117" i="9"/>
  <c r="D121" i="9"/>
  <c r="D143" i="9"/>
  <c r="D147" i="9"/>
  <c r="D151" i="9"/>
  <c r="D164" i="9"/>
  <c r="D168" i="9"/>
  <c r="D195" i="9"/>
  <c r="D199" i="9"/>
  <c r="D203" i="9"/>
  <c r="D211" i="9"/>
  <c r="D55" i="9"/>
  <c r="D59" i="9"/>
  <c r="D63" i="9"/>
  <c r="D67" i="9"/>
  <c r="D101" i="9"/>
  <c r="D105" i="9"/>
  <c r="D10" i="9"/>
  <c r="D14" i="9"/>
  <c r="D18" i="9"/>
  <c r="D22" i="9"/>
  <c r="D26" i="9"/>
  <c r="D34" i="9"/>
  <c r="D38" i="9"/>
  <c r="D47" i="9"/>
  <c r="D51" i="9"/>
  <c r="D72" i="9"/>
  <c r="D76" i="9"/>
  <c r="D80" i="9"/>
  <c r="D85" i="9"/>
  <c r="D89" i="9"/>
  <c r="D93" i="9"/>
  <c r="D97" i="9"/>
  <c r="D110" i="9"/>
  <c r="D114" i="9"/>
  <c r="D118" i="9"/>
  <c r="D122" i="9"/>
  <c r="D135" i="9"/>
  <c r="D144" i="9"/>
  <c r="D148" i="9"/>
  <c r="D165" i="9"/>
  <c r="D169" i="9"/>
  <c r="D186" i="9"/>
  <c r="D196" i="9"/>
  <c r="D200" i="9"/>
  <c r="D204" i="9"/>
  <c r="D208" i="9"/>
  <c r="D212" i="9"/>
  <c r="D216" i="9"/>
  <c r="D62" i="9"/>
  <c r="D88" i="9"/>
  <c r="D30" i="9"/>
  <c r="D221" i="9"/>
  <c r="D8" i="9"/>
  <c r="D58" i="9"/>
  <c r="D37" i="9"/>
  <c r="D46" i="9"/>
  <c r="D54" i="9"/>
  <c r="D71" i="9"/>
  <c r="D96" i="9"/>
  <c r="D56" i="9"/>
  <c r="D60" i="9"/>
  <c r="D64" i="9"/>
  <c r="D68" i="9"/>
  <c r="D123" i="9"/>
  <c r="D127" i="9"/>
  <c r="D131" i="9"/>
  <c r="D136" i="9"/>
  <c r="D140" i="9"/>
  <c r="D153" i="9"/>
  <c r="D157" i="9"/>
  <c r="D161" i="9"/>
  <c r="D11" i="9"/>
  <c r="D15" i="9"/>
  <c r="D19" i="9"/>
  <c r="D23" i="9"/>
  <c r="D27" i="9"/>
  <c r="D35" i="9"/>
  <c r="D39" i="9"/>
  <c r="D48" i="9"/>
  <c r="D52" i="9"/>
  <c r="D73" i="9"/>
  <c r="D77" i="9"/>
  <c r="D86" i="9"/>
  <c r="D90" i="9"/>
  <c r="D94" i="9"/>
  <c r="D98" i="9"/>
  <c r="D111" i="9"/>
  <c r="D115" i="9"/>
  <c r="D119" i="9"/>
  <c r="D145" i="9"/>
  <c r="D149" i="9"/>
  <c r="D166" i="9"/>
  <c r="D188" i="9"/>
  <c r="D197" i="9"/>
  <c r="D201" i="9"/>
  <c r="D205" i="9"/>
  <c r="D209" i="9"/>
  <c r="D213" i="9"/>
  <c r="G126" i="4"/>
  <c r="G127" i="4"/>
  <c r="C109" i="13" l="1"/>
  <c r="D109" i="13" s="1"/>
  <c r="C108" i="13"/>
  <c r="D108" i="13" s="1"/>
  <c r="D110" i="13"/>
  <c r="F42" i="13"/>
  <c r="D23" i="13"/>
  <c r="C98" i="13" s="1"/>
  <c r="C99" i="13" s="1"/>
  <c r="C100" i="13" s="1"/>
  <c r="D42" i="13"/>
  <c r="D43" i="13" s="1"/>
  <c r="D44" i="13" s="1"/>
  <c r="F30" i="57" s="1"/>
  <c r="E30" i="57" s="1"/>
  <c r="G42" i="13"/>
  <c r="G43" i="13" s="1"/>
  <c r="E42" i="13"/>
  <c r="C42" i="13"/>
  <c r="C10" i="13"/>
  <c r="E11" i="13" s="1"/>
  <c r="D3" i="9"/>
  <c r="C111" i="13" l="1"/>
  <c r="D111" i="13" s="1"/>
  <c r="D46" i="13"/>
  <c r="D55" i="13" s="1"/>
  <c r="D56" i="13" s="1"/>
  <c r="D57" i="13" s="1"/>
  <c r="F33" i="57" s="1"/>
  <c r="E33" i="57" s="1"/>
  <c r="C43" i="13"/>
  <c r="C46" i="13"/>
  <c r="C45" i="13"/>
  <c r="J38" i="9"/>
  <c r="J86" i="9"/>
  <c r="J158" i="9"/>
  <c r="J198" i="9"/>
  <c r="J214" i="9"/>
  <c r="J207" i="9"/>
  <c r="U209" i="9"/>
  <c r="J136" i="9"/>
  <c r="U48" i="9"/>
  <c r="U64" i="9"/>
  <c r="U88" i="9"/>
  <c r="U96" i="9"/>
  <c r="U104" i="9"/>
  <c r="U136" i="9"/>
  <c r="U184" i="9"/>
  <c r="U200" i="9"/>
  <c r="U216" i="9"/>
  <c r="U129" i="9"/>
  <c r="J47" i="9"/>
  <c r="J143" i="9"/>
  <c r="U138" i="9"/>
  <c r="J129" i="9"/>
  <c r="U10" i="9"/>
  <c r="J89" i="9"/>
  <c r="U11" i="9"/>
  <c r="U19" i="9"/>
  <c r="U43" i="9"/>
  <c r="U51" i="9"/>
  <c r="U59" i="9"/>
  <c r="U75" i="9"/>
  <c r="U83" i="9"/>
  <c r="U107" i="9"/>
  <c r="U131" i="9"/>
  <c r="U139" i="9"/>
  <c r="U147" i="9"/>
  <c r="U171" i="9"/>
  <c r="U179" i="9"/>
  <c r="U195" i="9"/>
  <c r="U57" i="9"/>
  <c r="J184" i="9"/>
  <c r="J90" i="9"/>
  <c r="J106" i="9"/>
  <c r="J138" i="9"/>
  <c r="J154" i="9"/>
  <c r="J48" i="9"/>
  <c r="J168" i="9"/>
  <c r="U106" i="9"/>
  <c r="U154" i="9"/>
  <c r="U202" i="9"/>
  <c r="U193" i="9"/>
  <c r="U20" i="9"/>
  <c r="U28" i="9"/>
  <c r="U36" i="9"/>
  <c r="U60" i="9"/>
  <c r="U68" i="9"/>
  <c r="U76" i="9"/>
  <c r="U124" i="9"/>
  <c r="U140" i="9"/>
  <c r="U148" i="9"/>
  <c r="U156" i="9"/>
  <c r="U164" i="9"/>
  <c r="U180" i="9"/>
  <c r="U196" i="9"/>
  <c r="U212" i="9"/>
  <c r="U220" i="9"/>
  <c r="U18" i="9"/>
  <c r="J27" i="9"/>
  <c r="J35" i="9"/>
  <c r="J43" i="9"/>
  <c r="J51" i="9"/>
  <c r="J75" i="9"/>
  <c r="J83" i="9"/>
  <c r="J107" i="9"/>
  <c r="J115" i="9"/>
  <c r="J123" i="9"/>
  <c r="J139" i="9"/>
  <c r="J147" i="9"/>
  <c r="J155" i="9"/>
  <c r="J171" i="9"/>
  <c r="J179" i="9"/>
  <c r="U17" i="9"/>
  <c r="J104" i="9"/>
  <c r="J25" i="9"/>
  <c r="U21" i="9"/>
  <c r="U37" i="9"/>
  <c r="U45" i="9"/>
  <c r="U53" i="9"/>
  <c r="U61" i="9"/>
  <c r="U69" i="9"/>
  <c r="U85" i="9"/>
  <c r="U117" i="9"/>
  <c r="U125" i="9"/>
  <c r="U141" i="9"/>
  <c r="U149" i="9"/>
  <c r="U157" i="9"/>
  <c r="U173" i="9"/>
  <c r="U181" i="9"/>
  <c r="U189" i="9"/>
  <c r="U197" i="9"/>
  <c r="U221" i="9"/>
  <c r="U25" i="9"/>
  <c r="U113" i="9"/>
  <c r="J88" i="9"/>
  <c r="J200" i="9"/>
  <c r="U90" i="9"/>
  <c r="U170" i="9"/>
  <c r="J20" i="9"/>
  <c r="J60" i="9"/>
  <c r="J68" i="9"/>
  <c r="J124" i="9"/>
  <c r="J148" i="9"/>
  <c r="U97" i="9"/>
  <c r="U30" i="9"/>
  <c r="U38" i="9"/>
  <c r="U46" i="9"/>
  <c r="U62" i="9"/>
  <c r="U86" i="9"/>
  <c r="U94" i="9"/>
  <c r="U102" i="9"/>
  <c r="U118" i="9"/>
  <c r="U126" i="9"/>
  <c r="U158" i="9"/>
  <c r="U174" i="9"/>
  <c r="U182" i="9"/>
  <c r="U190" i="9"/>
  <c r="U198" i="9"/>
  <c r="U214" i="9"/>
  <c r="J85" i="9"/>
  <c r="J117" i="9"/>
  <c r="J141" i="9"/>
  <c r="J157" i="9"/>
  <c r="J189" i="9"/>
  <c r="J205" i="9"/>
  <c r="J79" i="9"/>
  <c r="U49" i="9"/>
  <c r="J216" i="9"/>
  <c r="U50" i="9"/>
  <c r="J57" i="9"/>
  <c r="J201" i="9"/>
  <c r="J21" i="9"/>
  <c r="J37" i="9"/>
  <c r="J61" i="9"/>
  <c r="J69" i="9"/>
  <c r="J5" i="9"/>
  <c r="J167" i="9"/>
  <c r="U201" i="9"/>
  <c r="J112" i="9"/>
  <c r="U42" i="9"/>
  <c r="U5" i="9"/>
  <c r="J71" i="9"/>
  <c r="U7" i="9"/>
  <c r="U31" i="9"/>
  <c r="U39" i="9"/>
  <c r="U47" i="9"/>
  <c r="U63" i="9"/>
  <c r="U71" i="9"/>
  <c r="U79" i="9"/>
  <c r="U87" i="9"/>
  <c r="U95" i="9"/>
  <c r="U111" i="9"/>
  <c r="U127" i="9"/>
  <c r="U143" i="9"/>
  <c r="U159" i="9"/>
  <c r="U167" i="9"/>
  <c r="U175" i="9"/>
  <c r="U199" i="9"/>
  <c r="U207" i="9"/>
  <c r="U215" i="9"/>
  <c r="U65" i="9"/>
  <c r="U66" i="9"/>
  <c r="U218" i="9"/>
  <c r="E46" i="13"/>
  <c r="E43" i="13"/>
  <c r="E44" i="13" s="1"/>
  <c r="F31" i="57" s="1"/>
  <c r="E31" i="57" s="1"/>
  <c r="F45" i="13"/>
  <c r="F43" i="13"/>
  <c r="F44" i="13" s="1"/>
  <c r="F32" i="57" s="1"/>
  <c r="E32" i="57" s="1"/>
  <c r="F46" i="13"/>
  <c r="F55" i="13" s="1"/>
  <c r="F56" i="13" s="1"/>
  <c r="F57" i="13" s="1"/>
  <c r="F35" i="57" s="1"/>
  <c r="E35" i="57" s="1"/>
  <c r="G45" i="13"/>
  <c r="G46" i="13"/>
  <c r="G55" i="13" s="1"/>
  <c r="G56" i="13" s="1"/>
  <c r="G57" i="13" s="1"/>
  <c r="E45" i="13"/>
  <c r="D47" i="13"/>
  <c r="D45" i="13"/>
  <c r="D53" i="13" s="1"/>
  <c r="D55" i="5"/>
  <c r="D52" i="5"/>
  <c r="D54" i="5"/>
  <c r="D53" i="5"/>
  <c r="D51" i="5"/>
  <c r="D50" i="5"/>
  <c r="D56" i="5"/>
  <c r="D49" i="5"/>
  <c r="D28" i="5"/>
  <c r="D29" i="5"/>
  <c r="D30" i="5"/>
  <c r="D27" i="5"/>
  <c r="D31" i="5" s="1"/>
  <c r="E27" i="5" s="1"/>
  <c r="D20" i="5"/>
  <c r="D16" i="5"/>
  <c r="D17" i="5"/>
  <c r="D15" i="5"/>
  <c r="D5" i="5"/>
  <c r="D6" i="5"/>
  <c r="C13" i="5"/>
  <c r="D7" i="5" s="1"/>
  <c r="BM16" i="2"/>
  <c r="BM9" i="2"/>
  <c r="BM17" i="2"/>
  <c r="BM8" i="2"/>
  <c r="BM15" i="2"/>
  <c r="BM12" i="2"/>
  <c r="BM11" i="2"/>
  <c r="BM14" i="2"/>
  <c r="BM10" i="2"/>
  <c r="BM5" i="2"/>
  <c r="BM4" i="2"/>
  <c r="BM6" i="2"/>
  <c r="BM13" i="2"/>
  <c r="BM7" i="2"/>
  <c r="I115" i="4"/>
  <c r="I122" i="4"/>
  <c r="I123" i="4"/>
  <c r="I120" i="4"/>
  <c r="I116" i="4"/>
  <c r="I114" i="4"/>
  <c r="I113" i="4"/>
  <c r="I112" i="4"/>
  <c r="I111" i="4"/>
  <c r="I110" i="4"/>
  <c r="G39" i="4"/>
  <c r="G36" i="4"/>
  <c r="G34" i="4"/>
  <c r="G33" i="4"/>
  <c r="G32" i="4"/>
  <c r="G27" i="4"/>
  <c r="G28" i="4"/>
  <c r="G29" i="4"/>
  <c r="G30" i="4"/>
  <c r="G26" i="4"/>
  <c r="C55" i="4"/>
  <c r="E61" i="4" s="1"/>
  <c r="L55" i="4"/>
  <c r="E46" i="4" a="1"/>
  <c r="E46" i="4" s="1"/>
  <c r="F46" i="4" a="1"/>
  <c r="F46" i="4" s="1"/>
  <c r="D46" i="4" a="1"/>
  <c r="D46" i="4" s="1"/>
  <c r="F132" i="4" a="1"/>
  <c r="F132" i="4" s="1"/>
  <c r="F130" i="4" a="1"/>
  <c r="F130" i="4" s="1"/>
  <c r="F128" i="4"/>
  <c r="H132" i="4" a="1"/>
  <c r="H132" i="4" s="1"/>
  <c r="G130" i="4" a="1"/>
  <c r="G130" i="4" s="1"/>
  <c r="G132" i="4" a="1"/>
  <c r="G132" i="4" s="1"/>
  <c r="H130" i="4" a="1"/>
  <c r="H130" i="4" s="1"/>
  <c r="C57" i="4"/>
  <c r="C26" i="13" s="1"/>
  <c r="C58" i="4" a="1"/>
  <c r="C58" i="4" s="1"/>
  <c r="E45" i="4"/>
  <c r="F45" i="4"/>
  <c r="D45" i="4"/>
  <c r="F129" i="4"/>
  <c r="G129" i="4"/>
  <c r="H129" i="4"/>
  <c r="H128" i="4"/>
  <c r="G128" i="4"/>
  <c r="H127" i="4"/>
  <c r="F127" i="4"/>
  <c r="H126" i="4"/>
  <c r="F126" i="4"/>
  <c r="D44" i="4"/>
  <c r="F44" i="4"/>
  <c r="E44" i="4"/>
  <c r="D103" i="4"/>
  <c r="E103" i="4"/>
  <c r="F103" i="4"/>
  <c r="G103" i="4"/>
  <c r="H103" i="4"/>
  <c r="I103" i="4"/>
  <c r="J103" i="4"/>
  <c r="C103" i="4"/>
  <c r="D102" i="4"/>
  <c r="E102" i="4"/>
  <c r="F102" i="4"/>
  <c r="G102" i="4"/>
  <c r="H102" i="4"/>
  <c r="I102" i="4"/>
  <c r="J102" i="4"/>
  <c r="C102" i="4"/>
  <c r="D101" i="4"/>
  <c r="E101" i="4"/>
  <c r="F101" i="4"/>
  <c r="G101" i="4"/>
  <c r="H101" i="4"/>
  <c r="I101" i="4"/>
  <c r="J101" i="4"/>
  <c r="C101" i="4"/>
  <c r="F42" i="4"/>
  <c r="E42" i="4"/>
  <c r="D42" i="4"/>
  <c r="F43" i="4"/>
  <c r="E43" i="4"/>
  <c r="D43" i="4"/>
  <c r="F48" i="4"/>
  <c r="D47" i="4"/>
  <c r="F41" i="4"/>
  <c r="E41" i="4"/>
  <c r="D41" i="4"/>
  <c r="S4" i="4"/>
  <c r="L5" i="4"/>
  <c r="M5" i="4"/>
  <c r="N5" i="4"/>
  <c r="O5" i="4"/>
  <c r="P5" i="4"/>
  <c r="Q5" i="4"/>
  <c r="R5" i="4"/>
  <c r="T5" i="4"/>
  <c r="K5" i="4"/>
  <c r="L4" i="4"/>
  <c r="M4" i="4"/>
  <c r="N4" i="4"/>
  <c r="O4" i="4"/>
  <c r="P4" i="4"/>
  <c r="Q4" i="4"/>
  <c r="R4" i="4"/>
  <c r="T4" i="4"/>
  <c r="K4" i="4"/>
  <c r="T3" i="4"/>
  <c r="L3" i="4"/>
  <c r="M3" i="4"/>
  <c r="N3" i="4"/>
  <c r="O3" i="4"/>
  <c r="P3" i="4"/>
  <c r="Q3" i="4"/>
  <c r="R3" i="4"/>
  <c r="S3" i="4"/>
  <c r="K3" i="4"/>
  <c r="C56" i="4"/>
  <c r="J174" i="9" l="1"/>
  <c r="E50" i="13"/>
  <c r="E51" i="13" s="1"/>
  <c r="E22" i="13"/>
  <c r="E24" i="13"/>
  <c r="E23" i="13"/>
  <c r="F24" i="13"/>
  <c r="G24" i="13"/>
  <c r="G23" i="13"/>
  <c r="G22" i="13"/>
  <c r="F22" i="13"/>
  <c r="F23" i="13"/>
  <c r="U33" i="9"/>
  <c r="J126" i="9"/>
  <c r="U116" i="9"/>
  <c r="U12" i="9"/>
  <c r="J199" i="9"/>
  <c r="U219" i="9"/>
  <c r="U123" i="9"/>
  <c r="U35" i="9"/>
  <c r="U130" i="9"/>
  <c r="U168" i="9"/>
  <c r="U24" i="9"/>
  <c r="J190" i="9"/>
  <c r="U108" i="9"/>
  <c r="J160" i="9"/>
  <c r="J202" i="9"/>
  <c r="U203" i="9"/>
  <c r="U115" i="9"/>
  <c r="U27" i="9"/>
  <c r="U89" i="9"/>
  <c r="U160" i="9"/>
  <c r="U153" i="9"/>
  <c r="J182" i="9"/>
  <c r="E47" i="13"/>
  <c r="E55" i="13"/>
  <c r="E56" i="13" s="1"/>
  <c r="E57" i="13" s="1"/>
  <c r="F34" i="57" s="1"/>
  <c r="E34" i="57" s="1"/>
  <c r="C47" i="13"/>
  <c r="C55" i="13"/>
  <c r="C56" i="13" s="1"/>
  <c r="C57" i="13" s="1"/>
  <c r="C50" i="13"/>
  <c r="C51" i="13" s="1"/>
  <c r="G47" i="13"/>
  <c r="M79" i="9"/>
  <c r="M199" i="9"/>
  <c r="M104" i="9"/>
  <c r="M200" i="9"/>
  <c r="M57" i="9"/>
  <c r="M129" i="9"/>
  <c r="M106" i="9"/>
  <c r="M154" i="9"/>
  <c r="M202" i="9"/>
  <c r="M89" i="9"/>
  <c r="M20" i="9"/>
  <c r="M83" i="9"/>
  <c r="M158" i="9"/>
  <c r="M88" i="9"/>
  <c r="M90" i="9"/>
  <c r="M138" i="9"/>
  <c r="M112" i="9"/>
  <c r="M43" i="9"/>
  <c r="M115" i="9"/>
  <c r="M139" i="9"/>
  <c r="M68" i="9"/>
  <c r="M37" i="9"/>
  <c r="M157" i="9"/>
  <c r="M61" i="9"/>
  <c r="M21" i="9"/>
  <c r="M69" i="9"/>
  <c r="M117" i="9"/>
  <c r="M141" i="9"/>
  <c r="M189" i="9"/>
  <c r="M47" i="9"/>
  <c r="M143" i="9"/>
  <c r="M182" i="9"/>
  <c r="M207" i="9"/>
  <c r="M184" i="9"/>
  <c r="M190" i="9"/>
  <c r="M214" i="9"/>
  <c r="M71" i="9"/>
  <c r="M167" i="9"/>
  <c r="M86" i="9"/>
  <c r="M48" i="9"/>
  <c r="M168" i="9"/>
  <c r="M216" i="9"/>
  <c r="M205" i="9"/>
  <c r="M25" i="9"/>
  <c r="M179" i="9"/>
  <c r="M27" i="9"/>
  <c r="M51" i="9"/>
  <c r="M75" i="9"/>
  <c r="M123" i="9"/>
  <c r="M147" i="9"/>
  <c r="M171" i="9"/>
  <c r="M201" i="9"/>
  <c r="M85" i="9"/>
  <c r="M124" i="9"/>
  <c r="M148" i="9"/>
  <c r="M155" i="9"/>
  <c r="M38" i="9"/>
  <c r="M136" i="9"/>
  <c r="M35" i="9"/>
  <c r="M60" i="9"/>
  <c r="M160" i="9"/>
  <c r="M126" i="9"/>
  <c r="M174" i="9"/>
  <c r="M198" i="9"/>
  <c r="M5" i="9"/>
  <c r="M107" i="9"/>
  <c r="L5" i="9"/>
  <c r="W215" i="9"/>
  <c r="L86" i="9"/>
  <c r="L174" i="9"/>
  <c r="L214" i="9"/>
  <c r="W216" i="9"/>
  <c r="L143" i="9"/>
  <c r="L104" i="9"/>
  <c r="W7" i="9"/>
  <c r="W31" i="9"/>
  <c r="W39" i="9"/>
  <c r="W47" i="9"/>
  <c r="W63" i="9"/>
  <c r="W71" i="9"/>
  <c r="W79" i="9"/>
  <c r="W87" i="9"/>
  <c r="W95" i="9"/>
  <c r="W111" i="9"/>
  <c r="W127" i="9"/>
  <c r="W143" i="9"/>
  <c r="W159" i="9"/>
  <c r="W167" i="9"/>
  <c r="W175" i="9"/>
  <c r="W199" i="9"/>
  <c r="W207" i="9"/>
  <c r="W24" i="9"/>
  <c r="W48" i="9"/>
  <c r="W64" i="9"/>
  <c r="W88" i="9"/>
  <c r="W96" i="9"/>
  <c r="W104" i="9"/>
  <c r="W136" i="9"/>
  <c r="W160" i="9"/>
  <c r="W168" i="9"/>
  <c r="W184" i="9"/>
  <c r="W10" i="9"/>
  <c r="W18" i="9"/>
  <c r="W42" i="9"/>
  <c r="W50" i="9"/>
  <c r="W66" i="9"/>
  <c r="W90" i="9"/>
  <c r="W106" i="9"/>
  <c r="W130" i="9"/>
  <c r="W138" i="9"/>
  <c r="W154" i="9"/>
  <c r="W170" i="9"/>
  <c r="W202" i="9"/>
  <c r="W218" i="9"/>
  <c r="W35" i="9"/>
  <c r="W43" i="9"/>
  <c r="W59" i="9"/>
  <c r="W75" i="9"/>
  <c r="W107" i="9"/>
  <c r="W123" i="9"/>
  <c r="W139" i="9"/>
  <c r="W147" i="9"/>
  <c r="W171" i="9"/>
  <c r="W195" i="9"/>
  <c r="W203" i="9"/>
  <c r="W57" i="9"/>
  <c r="W153" i="9"/>
  <c r="L112" i="9"/>
  <c r="L25" i="9"/>
  <c r="L57" i="9"/>
  <c r="L89" i="9"/>
  <c r="L129" i="9"/>
  <c r="L201" i="9"/>
  <c r="W19" i="9"/>
  <c r="W115" i="9"/>
  <c r="W179" i="9"/>
  <c r="L71" i="9"/>
  <c r="W33" i="9"/>
  <c r="L216" i="9"/>
  <c r="W27" i="9"/>
  <c r="W51" i="9"/>
  <c r="W83" i="9"/>
  <c r="W131" i="9"/>
  <c r="W219" i="9"/>
  <c r="W193" i="9"/>
  <c r="L88" i="9"/>
  <c r="L160" i="9"/>
  <c r="W11" i="9"/>
  <c r="W17" i="9"/>
  <c r="L136" i="9"/>
  <c r="L90" i="9"/>
  <c r="L106" i="9"/>
  <c r="L138" i="9"/>
  <c r="L154" i="9"/>
  <c r="L202" i="9"/>
  <c r="W28" i="9"/>
  <c r="W60" i="9"/>
  <c r="W76" i="9"/>
  <c r="W116" i="9"/>
  <c r="W148" i="9"/>
  <c r="W164" i="9"/>
  <c r="W180" i="9"/>
  <c r="W220" i="9"/>
  <c r="L167" i="9"/>
  <c r="W65" i="9"/>
  <c r="L168" i="9"/>
  <c r="W20" i="9"/>
  <c r="W68" i="9"/>
  <c r="W108" i="9"/>
  <c r="W124" i="9"/>
  <c r="W140" i="9"/>
  <c r="W156" i="9"/>
  <c r="W196" i="9"/>
  <c r="W212" i="9"/>
  <c r="W129" i="9"/>
  <c r="W12" i="9"/>
  <c r="W36" i="9"/>
  <c r="L27" i="9"/>
  <c r="L35" i="9"/>
  <c r="L43" i="9"/>
  <c r="L51" i="9"/>
  <c r="L75" i="9"/>
  <c r="L83" i="9"/>
  <c r="L107" i="9"/>
  <c r="L115" i="9"/>
  <c r="L123" i="9"/>
  <c r="L139" i="9"/>
  <c r="L147" i="9"/>
  <c r="L155" i="9"/>
  <c r="L171" i="9"/>
  <c r="L179" i="9"/>
  <c r="W37" i="9"/>
  <c r="W45" i="9"/>
  <c r="W53" i="9"/>
  <c r="W61" i="9"/>
  <c r="W69" i="9"/>
  <c r="W85" i="9"/>
  <c r="W117" i="9"/>
  <c r="W125" i="9"/>
  <c r="W141" i="9"/>
  <c r="W149" i="9"/>
  <c r="W157" i="9"/>
  <c r="W173" i="9"/>
  <c r="W181" i="9"/>
  <c r="W189" i="9"/>
  <c r="W197" i="9"/>
  <c r="W221" i="9"/>
  <c r="W25" i="9"/>
  <c r="W209" i="9"/>
  <c r="L200" i="9"/>
  <c r="W21" i="9"/>
  <c r="W97" i="9"/>
  <c r="W5" i="9"/>
  <c r="L20" i="9"/>
  <c r="L60" i="9"/>
  <c r="L68" i="9"/>
  <c r="L124" i="9"/>
  <c r="L148" i="9"/>
  <c r="L182" i="9"/>
  <c r="W200" i="9"/>
  <c r="L199" i="9"/>
  <c r="L48" i="9"/>
  <c r="L158" i="9"/>
  <c r="L190" i="9"/>
  <c r="L47" i="9"/>
  <c r="W89" i="9"/>
  <c r="W113" i="9"/>
  <c r="W30" i="9"/>
  <c r="W38" i="9"/>
  <c r="W46" i="9"/>
  <c r="W62" i="9"/>
  <c r="W86" i="9"/>
  <c r="W94" i="9"/>
  <c r="W102" i="9"/>
  <c r="W118" i="9"/>
  <c r="W126" i="9"/>
  <c r="W158" i="9"/>
  <c r="W174" i="9"/>
  <c r="W182" i="9"/>
  <c r="W190" i="9"/>
  <c r="W198" i="9"/>
  <c r="W214" i="9"/>
  <c r="L157" i="9"/>
  <c r="L189" i="9"/>
  <c r="L205" i="9"/>
  <c r="L38" i="9"/>
  <c r="L126" i="9"/>
  <c r="L198" i="9"/>
  <c r="W201" i="9"/>
  <c r="L184" i="9"/>
  <c r="L21" i="9"/>
  <c r="L37" i="9"/>
  <c r="L61" i="9"/>
  <c r="L69" i="9"/>
  <c r="L85" i="9"/>
  <c r="L117" i="9"/>
  <c r="L141" i="9"/>
  <c r="L79" i="9"/>
  <c r="L207" i="9"/>
  <c r="W49" i="9"/>
  <c r="V7" i="9"/>
  <c r="V31" i="9"/>
  <c r="V39" i="9"/>
  <c r="V47" i="9"/>
  <c r="V63" i="9"/>
  <c r="V71" i="9"/>
  <c r="V79" i="9"/>
  <c r="V87" i="9"/>
  <c r="V95" i="9"/>
  <c r="V111" i="9"/>
  <c r="V127" i="9"/>
  <c r="V143" i="9"/>
  <c r="V159" i="9"/>
  <c r="V167" i="9"/>
  <c r="V175" i="9"/>
  <c r="V199" i="9"/>
  <c r="V207" i="9"/>
  <c r="V215" i="9"/>
  <c r="K38" i="9"/>
  <c r="K86" i="9"/>
  <c r="K158" i="9"/>
  <c r="K174" i="9"/>
  <c r="K190" i="9"/>
  <c r="K5" i="9"/>
  <c r="K71" i="9"/>
  <c r="K112" i="9"/>
  <c r="K126" i="9"/>
  <c r="V24" i="9"/>
  <c r="V48" i="9"/>
  <c r="V64" i="9"/>
  <c r="V88" i="9"/>
  <c r="V96" i="9"/>
  <c r="V104" i="9"/>
  <c r="V136" i="9"/>
  <c r="V160" i="9"/>
  <c r="V168" i="9"/>
  <c r="V184" i="9"/>
  <c r="V200" i="9"/>
  <c r="V216" i="9"/>
  <c r="V113" i="9"/>
  <c r="V10" i="9"/>
  <c r="V18" i="9"/>
  <c r="V42" i="9"/>
  <c r="V50" i="9"/>
  <c r="V154" i="9"/>
  <c r="K25" i="9"/>
  <c r="K57" i="9"/>
  <c r="K89" i="9"/>
  <c r="K129" i="9"/>
  <c r="K201" i="9"/>
  <c r="K90" i="9"/>
  <c r="K154" i="9"/>
  <c r="K171" i="9"/>
  <c r="K79" i="9"/>
  <c r="V106" i="9"/>
  <c r="K106" i="9"/>
  <c r="K139" i="9"/>
  <c r="V57" i="9"/>
  <c r="K48" i="9"/>
  <c r="K168" i="9"/>
  <c r="V11" i="9"/>
  <c r="V19" i="9"/>
  <c r="V27" i="9"/>
  <c r="V35" i="9"/>
  <c r="V43" i="9"/>
  <c r="V51" i="9"/>
  <c r="V59" i="9"/>
  <c r="V75" i="9"/>
  <c r="V83" i="9"/>
  <c r="V107" i="9"/>
  <c r="V115" i="9"/>
  <c r="V123" i="9"/>
  <c r="V131" i="9"/>
  <c r="V139" i="9"/>
  <c r="V147" i="9"/>
  <c r="V171" i="9"/>
  <c r="V179" i="9"/>
  <c r="V195" i="9"/>
  <c r="V203" i="9"/>
  <c r="V219" i="9"/>
  <c r="K138" i="9"/>
  <c r="K202" i="9"/>
  <c r="V66" i="9"/>
  <c r="V97" i="9"/>
  <c r="K88" i="9"/>
  <c r="V218" i="9"/>
  <c r="K27" i="9"/>
  <c r="K43" i="9"/>
  <c r="K75" i="9"/>
  <c r="K115" i="9"/>
  <c r="K155" i="9"/>
  <c r="K207" i="9"/>
  <c r="V49" i="9"/>
  <c r="V193" i="9"/>
  <c r="K216" i="9"/>
  <c r="V130" i="9"/>
  <c r="V12" i="9"/>
  <c r="V20" i="9"/>
  <c r="V28" i="9"/>
  <c r="V36" i="9"/>
  <c r="V60" i="9"/>
  <c r="V68" i="9"/>
  <c r="V76" i="9"/>
  <c r="V108" i="9"/>
  <c r="V116" i="9"/>
  <c r="V124" i="9"/>
  <c r="V140" i="9"/>
  <c r="V148" i="9"/>
  <c r="V156" i="9"/>
  <c r="V164" i="9"/>
  <c r="V180" i="9"/>
  <c r="V196" i="9"/>
  <c r="V212" i="9"/>
  <c r="V220" i="9"/>
  <c r="K35" i="9"/>
  <c r="K51" i="9"/>
  <c r="K83" i="9"/>
  <c r="K107" i="9"/>
  <c r="K123" i="9"/>
  <c r="K147" i="9"/>
  <c r="K179" i="9"/>
  <c r="V25" i="9"/>
  <c r="K200" i="9"/>
  <c r="V170" i="9"/>
  <c r="K20" i="9"/>
  <c r="K60" i="9"/>
  <c r="K68" i="9"/>
  <c r="K124" i="9"/>
  <c r="K148" i="9"/>
  <c r="V33" i="9"/>
  <c r="K104" i="9"/>
  <c r="V21" i="9"/>
  <c r="V37" i="9"/>
  <c r="V45" i="9"/>
  <c r="V53" i="9"/>
  <c r="V61" i="9"/>
  <c r="V69" i="9"/>
  <c r="V85" i="9"/>
  <c r="V117" i="9"/>
  <c r="V125" i="9"/>
  <c r="V141" i="9"/>
  <c r="V149" i="9"/>
  <c r="V157" i="9"/>
  <c r="V173" i="9"/>
  <c r="V181" i="9"/>
  <c r="V189" i="9"/>
  <c r="V197" i="9"/>
  <c r="V221" i="9"/>
  <c r="V89" i="9"/>
  <c r="K198" i="9"/>
  <c r="K167" i="9"/>
  <c r="V65" i="9"/>
  <c r="K136" i="9"/>
  <c r="V90" i="9"/>
  <c r="V30" i="9"/>
  <c r="V38" i="9"/>
  <c r="V46" i="9"/>
  <c r="V62" i="9"/>
  <c r="V86" i="9"/>
  <c r="V94" i="9"/>
  <c r="V102" i="9"/>
  <c r="V118" i="9"/>
  <c r="V126" i="9"/>
  <c r="V158" i="9"/>
  <c r="V174" i="9"/>
  <c r="V182" i="9"/>
  <c r="V190" i="9"/>
  <c r="V198" i="9"/>
  <c r="V214" i="9"/>
  <c r="V5" i="9"/>
  <c r="K47" i="9"/>
  <c r="K199" i="9"/>
  <c r="V17" i="9"/>
  <c r="V153" i="9"/>
  <c r="K160" i="9"/>
  <c r="V138" i="9"/>
  <c r="V202" i="9"/>
  <c r="K21" i="9"/>
  <c r="K37" i="9"/>
  <c r="K61" i="9"/>
  <c r="K69" i="9"/>
  <c r="K85" i="9"/>
  <c r="K117" i="9"/>
  <c r="K141" i="9"/>
  <c r="K157" i="9"/>
  <c r="K189" i="9"/>
  <c r="K205" i="9"/>
  <c r="K182" i="9"/>
  <c r="K214" i="9"/>
  <c r="K143" i="9"/>
  <c r="V129" i="9"/>
  <c r="V201" i="9"/>
  <c r="V209" i="9"/>
  <c r="K184" i="9"/>
  <c r="C30" i="13"/>
  <c r="D50" i="13"/>
  <c r="D51" i="13" s="1"/>
  <c r="F50" i="13"/>
  <c r="F51" i="13" s="1"/>
  <c r="G50" i="13"/>
  <c r="G51" i="13" s="1"/>
  <c r="F47" i="13"/>
  <c r="E59" i="4"/>
  <c r="E60" i="4"/>
  <c r="E30" i="5"/>
  <c r="E29" i="5"/>
  <c r="E28" i="5"/>
  <c r="D12" i="5"/>
  <c r="D11" i="5"/>
  <c r="D10" i="5"/>
  <c r="D8" i="5"/>
  <c r="D4" i="5"/>
  <c r="D9" i="5"/>
  <c r="K101" i="4"/>
  <c r="K103" i="4"/>
  <c r="K102" i="4"/>
  <c r="U4" i="4"/>
  <c r="U3" i="4"/>
  <c r="U5" i="4"/>
  <c r="U3" i="9" l="1"/>
  <c r="X46" i="9" s="1"/>
  <c r="AA46" i="9" s="1"/>
  <c r="J3" i="9"/>
  <c r="N5" i="9" s="1"/>
  <c r="R5" i="9" s="1"/>
  <c r="C31" i="13"/>
  <c r="W30" i="53" s="1"/>
  <c r="C74" i="13"/>
  <c r="W27" i="53"/>
  <c r="W30" i="49"/>
  <c r="S19" i="36"/>
  <c r="W23" i="35"/>
  <c r="S20" i="56"/>
  <c r="W22" i="35"/>
  <c r="W22" i="47"/>
  <c r="S19" i="48"/>
  <c r="W23" i="47"/>
  <c r="W26" i="55"/>
  <c r="W27" i="55"/>
  <c r="S19" i="46"/>
  <c r="W26" i="49"/>
  <c r="W27" i="49"/>
  <c r="W23" i="45"/>
  <c r="S20" i="54"/>
  <c r="W26" i="53"/>
  <c r="S20" i="50"/>
  <c r="W22" i="45"/>
  <c r="K3" i="9"/>
  <c r="O58" i="9" s="1"/>
  <c r="S58" i="9" s="1"/>
  <c r="X184" i="9"/>
  <c r="AA184" i="9" s="1"/>
  <c r="X202" i="9"/>
  <c r="AA202" i="9" s="1"/>
  <c r="X181" i="9"/>
  <c r="AA181" i="9" s="1"/>
  <c r="X152" i="9"/>
  <c r="AA152" i="9" s="1"/>
  <c r="X157" i="9"/>
  <c r="AA157" i="9" s="1"/>
  <c r="X149" i="9"/>
  <c r="AA149" i="9" s="1"/>
  <c r="X200" i="9"/>
  <c r="AA200" i="9" s="1"/>
  <c r="X128" i="9"/>
  <c r="AA128" i="9" s="1"/>
  <c r="X219" i="9"/>
  <c r="AA219" i="9" s="1"/>
  <c r="X146" i="9"/>
  <c r="AA146" i="9" s="1"/>
  <c r="X182" i="9"/>
  <c r="AA182" i="9" s="1"/>
  <c r="X216" i="9"/>
  <c r="AA216" i="9" s="1"/>
  <c r="X61" i="9"/>
  <c r="AA61" i="9" s="1"/>
  <c r="X211" i="9"/>
  <c r="AA211" i="9" s="1"/>
  <c r="X138" i="9"/>
  <c r="AA138" i="9" s="1"/>
  <c r="X195" i="9"/>
  <c r="AA195" i="9" s="1"/>
  <c r="X15" i="9"/>
  <c r="AA15" i="9" s="1"/>
  <c r="X208" i="9"/>
  <c r="AA208" i="9" s="1"/>
  <c r="X170" i="9"/>
  <c r="AA170" i="9" s="1"/>
  <c r="X127" i="9"/>
  <c r="AA127" i="9" s="1"/>
  <c r="X7" i="9"/>
  <c r="AA7" i="9" s="1"/>
  <c r="X147" i="9"/>
  <c r="AA147" i="9" s="1"/>
  <c r="X189" i="9"/>
  <c r="AA189" i="9" s="1"/>
  <c r="X176" i="9"/>
  <c r="AA176" i="9" s="1"/>
  <c r="X197" i="9"/>
  <c r="AA197" i="9" s="1"/>
  <c r="X108" i="9"/>
  <c r="AA108" i="9" s="1"/>
  <c r="N151" i="9"/>
  <c r="R151" i="9" s="1"/>
  <c r="X111" i="9"/>
  <c r="AA111" i="9" s="1"/>
  <c r="X45" i="9"/>
  <c r="AA45" i="9" s="1"/>
  <c r="X165" i="9"/>
  <c r="AA165" i="9" s="1"/>
  <c r="X131" i="9"/>
  <c r="AA131" i="9" s="1"/>
  <c r="X66" i="9"/>
  <c r="AA66" i="9" s="1"/>
  <c r="X140" i="9"/>
  <c r="AA140" i="9" s="1"/>
  <c r="X97" i="9"/>
  <c r="AA97" i="9" s="1"/>
  <c r="X167" i="9"/>
  <c r="AA167" i="9" s="1"/>
  <c r="X48" i="9"/>
  <c r="AA48" i="9" s="1"/>
  <c r="X191" i="9"/>
  <c r="AA191" i="9" s="1"/>
  <c r="X76" i="9"/>
  <c r="AA76" i="9" s="1"/>
  <c r="X201" i="9"/>
  <c r="AA201" i="9" s="1"/>
  <c r="X164" i="9"/>
  <c r="AA164" i="9" s="1"/>
  <c r="X95" i="9"/>
  <c r="AA95" i="9" s="1"/>
  <c r="X71" i="9"/>
  <c r="AA71" i="9" s="1"/>
  <c r="X68" i="9"/>
  <c r="AA68" i="9" s="1"/>
  <c r="X193" i="9"/>
  <c r="AA193" i="9" s="1"/>
  <c r="X212" i="9"/>
  <c r="AA212" i="9" s="1"/>
  <c r="X90" i="9"/>
  <c r="AA90" i="9" s="1"/>
  <c r="X60" i="9"/>
  <c r="AA60" i="9" s="1"/>
  <c r="X139" i="9"/>
  <c r="AA139" i="9" s="1"/>
  <c r="X69" i="9"/>
  <c r="AA69" i="9" s="1"/>
  <c r="X166" i="9"/>
  <c r="AA166" i="9" s="1"/>
  <c r="X74" i="9"/>
  <c r="AA74" i="9" s="1"/>
  <c r="X112" i="9"/>
  <c r="AA112" i="9" s="1"/>
  <c r="X203" i="9"/>
  <c r="AA203" i="9" s="1"/>
  <c r="X53" i="9"/>
  <c r="AA53" i="9" s="1"/>
  <c r="X137" i="9"/>
  <c r="AA137" i="9" s="1"/>
  <c r="X54" i="9"/>
  <c r="AA54" i="9" s="1"/>
  <c r="X145" i="9"/>
  <c r="AA145" i="9" s="1"/>
  <c r="X81" i="9"/>
  <c r="AA81" i="9" s="1"/>
  <c r="X38" i="9"/>
  <c r="AA38" i="9" s="1"/>
  <c r="X55" i="9"/>
  <c r="AA55" i="9" s="1"/>
  <c r="X36" i="9"/>
  <c r="AA36" i="9" s="1"/>
  <c r="X30" i="9"/>
  <c r="AA30" i="9" s="1"/>
  <c r="X151" i="9"/>
  <c r="AA151" i="9" s="1"/>
  <c r="X26" i="9"/>
  <c r="AA26" i="9" s="1"/>
  <c r="X47" i="9"/>
  <c r="AA47" i="9" s="1"/>
  <c r="X49" i="9"/>
  <c r="AA49" i="9" s="1"/>
  <c r="X94" i="9"/>
  <c r="AA94" i="9" s="1"/>
  <c r="X148" i="9"/>
  <c r="AA148" i="9" s="1"/>
  <c r="X169" i="9"/>
  <c r="AA169" i="9" s="1"/>
  <c r="X105" i="9"/>
  <c r="AA105" i="9" s="1"/>
  <c r="X41" i="9"/>
  <c r="AA41" i="9" s="1"/>
  <c r="X86" i="9"/>
  <c r="AA86" i="9" s="1"/>
  <c r="N202" i="9"/>
  <c r="R202" i="9" s="1"/>
  <c r="N23" i="9"/>
  <c r="R23" i="9" s="1"/>
  <c r="N197" i="9"/>
  <c r="R197" i="9" s="1"/>
  <c r="N220" i="9"/>
  <c r="R220" i="9" s="1"/>
  <c r="N138" i="9"/>
  <c r="R138" i="9" s="1"/>
  <c r="N156" i="9"/>
  <c r="R156" i="9" s="1"/>
  <c r="N10" i="9"/>
  <c r="R10" i="9" s="1"/>
  <c r="N92" i="9"/>
  <c r="R92" i="9" s="1"/>
  <c r="N161" i="9"/>
  <c r="R161" i="9" s="1"/>
  <c r="N179" i="9"/>
  <c r="R179" i="9" s="1"/>
  <c r="N184" i="9"/>
  <c r="R184" i="9" s="1"/>
  <c r="N115" i="9"/>
  <c r="R115" i="9" s="1"/>
  <c r="N56" i="9"/>
  <c r="R56" i="9" s="1"/>
  <c r="N164" i="9"/>
  <c r="R164" i="9" s="1"/>
  <c r="N36" i="9"/>
  <c r="R36" i="9" s="1"/>
  <c r="N123" i="9"/>
  <c r="R123" i="9" s="1"/>
  <c r="N82" i="9"/>
  <c r="R82" i="9" s="1"/>
  <c r="N169" i="9"/>
  <c r="R169" i="9" s="1"/>
  <c r="N41" i="9"/>
  <c r="R41" i="9" s="1"/>
  <c r="N128" i="9"/>
  <c r="R128" i="9" s="1"/>
  <c r="N6" i="9"/>
  <c r="R6" i="9" s="1"/>
  <c r="N95" i="9"/>
  <c r="R95" i="9" s="1"/>
  <c r="N182" i="9"/>
  <c r="R182" i="9" s="1"/>
  <c r="N141" i="9"/>
  <c r="R141" i="9" s="1"/>
  <c r="N13" i="9"/>
  <c r="R13" i="9" s="1"/>
  <c r="N133" i="9"/>
  <c r="R133" i="9" s="1"/>
  <c r="N33" i="9"/>
  <c r="R33" i="9" s="1"/>
  <c r="N87" i="9"/>
  <c r="R87" i="9" s="1"/>
  <c r="N20" i="9"/>
  <c r="R20" i="9" s="1"/>
  <c r="N66" i="9"/>
  <c r="R66" i="9" s="1"/>
  <c r="N166" i="9"/>
  <c r="R166" i="9" s="1"/>
  <c r="N38" i="9"/>
  <c r="R38" i="9" s="1"/>
  <c r="N125" i="9"/>
  <c r="R125" i="9" s="1"/>
  <c r="N120" i="9"/>
  <c r="R120" i="9" s="1"/>
  <c r="N46" i="9"/>
  <c r="R46" i="9" s="1"/>
  <c r="N107" i="9"/>
  <c r="R107" i="9" s="1"/>
  <c r="N153" i="9"/>
  <c r="R153" i="9" s="1"/>
  <c r="N124" i="9"/>
  <c r="R124" i="9" s="1"/>
  <c r="N211" i="9"/>
  <c r="R211" i="9" s="1"/>
  <c r="N83" i="9"/>
  <c r="R83" i="9" s="1"/>
  <c r="N170" i="9"/>
  <c r="R170" i="9" s="1"/>
  <c r="N42" i="9"/>
  <c r="R42" i="9" s="1"/>
  <c r="N129" i="9"/>
  <c r="R129" i="9" s="1"/>
  <c r="N216" i="9"/>
  <c r="R216" i="9" s="1"/>
  <c r="N183" i="9"/>
  <c r="R183" i="9" s="1"/>
  <c r="N55" i="9"/>
  <c r="R55" i="9" s="1"/>
  <c r="N142" i="9"/>
  <c r="R142" i="9" s="1"/>
  <c r="N14" i="9"/>
  <c r="R14" i="9" s="1"/>
  <c r="N101" i="9"/>
  <c r="R101" i="9" s="1"/>
  <c r="N74" i="9"/>
  <c r="R74" i="9" s="1"/>
  <c r="N215" i="9"/>
  <c r="R215" i="9" s="1"/>
  <c r="N148" i="9"/>
  <c r="R148" i="9" s="1"/>
  <c r="N194" i="9"/>
  <c r="R194" i="9" s="1"/>
  <c r="N25" i="9"/>
  <c r="R25" i="9" s="1"/>
  <c r="N207" i="9"/>
  <c r="R207" i="9" s="1"/>
  <c r="N100" i="9"/>
  <c r="R100" i="9" s="1"/>
  <c r="N187" i="9"/>
  <c r="R187" i="9" s="1"/>
  <c r="N59" i="9"/>
  <c r="R59" i="9" s="1"/>
  <c r="N18" i="9"/>
  <c r="R18" i="9" s="1"/>
  <c r="N105" i="9"/>
  <c r="R105" i="9" s="1"/>
  <c r="N192" i="9"/>
  <c r="R192" i="9" s="1"/>
  <c r="N64" i="9"/>
  <c r="R64" i="9" s="1"/>
  <c r="N159" i="9"/>
  <c r="R159" i="9" s="1"/>
  <c r="N31" i="9"/>
  <c r="R31" i="9" s="1"/>
  <c r="N118" i="9"/>
  <c r="R118" i="9" s="1"/>
  <c r="N77" i="9"/>
  <c r="R77" i="9" s="1"/>
  <c r="N212" i="9"/>
  <c r="R212" i="9" s="1"/>
  <c r="N84" i="9"/>
  <c r="R84" i="9" s="1"/>
  <c r="N171" i="9"/>
  <c r="R171" i="9" s="1"/>
  <c r="N43" i="9"/>
  <c r="R43" i="9" s="1"/>
  <c r="N130" i="9"/>
  <c r="R130" i="9" s="1"/>
  <c r="N217" i="9"/>
  <c r="R217" i="9" s="1"/>
  <c r="N176" i="9"/>
  <c r="R176" i="9" s="1"/>
  <c r="N48" i="9"/>
  <c r="R48" i="9" s="1"/>
  <c r="N143" i="9"/>
  <c r="R143" i="9" s="1"/>
  <c r="N15" i="9"/>
  <c r="R15" i="9" s="1"/>
  <c r="N102" i="9"/>
  <c r="R102" i="9" s="1"/>
  <c r="N189" i="9"/>
  <c r="R189" i="9" s="1"/>
  <c r="N61" i="9"/>
  <c r="R61" i="9" s="1"/>
  <c r="N60" i="9"/>
  <c r="R60" i="9" s="1"/>
  <c r="N147" i="9"/>
  <c r="R147" i="9" s="1"/>
  <c r="N19" i="9"/>
  <c r="R19" i="9" s="1"/>
  <c r="N106" i="9"/>
  <c r="R106" i="9" s="1"/>
  <c r="N193" i="9"/>
  <c r="R193" i="9" s="1"/>
  <c r="N65" i="9"/>
  <c r="R65" i="9" s="1"/>
  <c r="N152" i="9"/>
  <c r="R152" i="9" s="1"/>
  <c r="N119" i="9"/>
  <c r="R119" i="9" s="1"/>
  <c r="N206" i="9"/>
  <c r="R206" i="9" s="1"/>
  <c r="N78" i="9"/>
  <c r="R78" i="9" s="1"/>
  <c r="N165" i="9"/>
  <c r="R165" i="9" s="1"/>
  <c r="N37" i="9"/>
  <c r="R37" i="9" s="1"/>
  <c r="N204" i="9"/>
  <c r="R204" i="9" s="1"/>
  <c r="N12" i="9"/>
  <c r="R12" i="9" s="1"/>
  <c r="N186" i="9"/>
  <c r="R186" i="9" s="1"/>
  <c r="N122" i="9"/>
  <c r="R122" i="9" s="1"/>
  <c r="N58" i="9"/>
  <c r="R58" i="9" s="1"/>
  <c r="N209" i="9"/>
  <c r="R209" i="9" s="1"/>
  <c r="N145" i="9"/>
  <c r="R145" i="9" s="1"/>
  <c r="N81" i="9"/>
  <c r="R81" i="9" s="1"/>
  <c r="N17" i="9"/>
  <c r="R17" i="9" s="1"/>
  <c r="N104" i="9"/>
  <c r="R104" i="9" s="1"/>
  <c r="N40" i="9"/>
  <c r="R40" i="9" s="1"/>
  <c r="N199" i="9"/>
  <c r="R199" i="9" s="1"/>
  <c r="N135" i="9"/>
  <c r="R135" i="9" s="1"/>
  <c r="N71" i="9"/>
  <c r="R71" i="9" s="1"/>
  <c r="N7" i="9"/>
  <c r="R7" i="9" s="1"/>
  <c r="N158" i="9"/>
  <c r="R158" i="9" s="1"/>
  <c r="N30" i="9"/>
  <c r="R30" i="9" s="1"/>
  <c r="N181" i="9"/>
  <c r="R181" i="9" s="1"/>
  <c r="N117" i="9"/>
  <c r="R117" i="9" s="1"/>
  <c r="N53" i="9"/>
  <c r="R53" i="9" s="1"/>
  <c r="N140" i="9"/>
  <c r="R140" i="9" s="1"/>
  <c r="N76" i="9"/>
  <c r="R76" i="9" s="1"/>
  <c r="N163" i="9"/>
  <c r="R163" i="9" s="1"/>
  <c r="N196" i="9"/>
  <c r="R196" i="9" s="1"/>
  <c r="N132" i="9"/>
  <c r="R132" i="9" s="1"/>
  <c r="N68" i="9"/>
  <c r="R68" i="9" s="1"/>
  <c r="N219" i="9"/>
  <c r="R219" i="9" s="1"/>
  <c r="N155" i="9"/>
  <c r="R155" i="9" s="1"/>
  <c r="N91" i="9"/>
  <c r="R91" i="9" s="1"/>
  <c r="N27" i="9"/>
  <c r="R27" i="9" s="1"/>
  <c r="N114" i="9"/>
  <c r="R114" i="9" s="1"/>
  <c r="N50" i="9"/>
  <c r="R50" i="9" s="1"/>
  <c r="N201" i="9"/>
  <c r="R201" i="9" s="1"/>
  <c r="N137" i="9"/>
  <c r="R137" i="9" s="1"/>
  <c r="N73" i="9"/>
  <c r="R73" i="9" s="1"/>
  <c r="N9" i="9"/>
  <c r="R9" i="9" s="1"/>
  <c r="N160" i="9"/>
  <c r="R160" i="9" s="1"/>
  <c r="N32" i="9"/>
  <c r="R32" i="9" s="1"/>
  <c r="N191" i="9"/>
  <c r="R191" i="9" s="1"/>
  <c r="N127" i="9"/>
  <c r="R127" i="9" s="1"/>
  <c r="N63" i="9"/>
  <c r="R63" i="9" s="1"/>
  <c r="N214" i="9"/>
  <c r="R214" i="9" s="1"/>
  <c r="N150" i="9"/>
  <c r="R150" i="9" s="1"/>
  <c r="N86" i="9"/>
  <c r="R86" i="9" s="1"/>
  <c r="N22" i="9"/>
  <c r="R22" i="9" s="1"/>
  <c r="N173" i="9"/>
  <c r="R173" i="9" s="1"/>
  <c r="N109" i="9"/>
  <c r="R109" i="9" s="1"/>
  <c r="N45" i="9"/>
  <c r="R45" i="9" s="1"/>
  <c r="V3" i="9"/>
  <c r="Y35" i="9" s="1"/>
  <c r="AB35" i="9" s="1"/>
  <c r="N180" i="9"/>
  <c r="R180" i="9" s="1"/>
  <c r="N52" i="9"/>
  <c r="R52" i="9" s="1"/>
  <c r="N139" i="9"/>
  <c r="R139" i="9" s="1"/>
  <c r="N11" i="9"/>
  <c r="R11" i="9" s="1"/>
  <c r="N162" i="9"/>
  <c r="R162" i="9" s="1"/>
  <c r="N98" i="9"/>
  <c r="R98" i="9" s="1"/>
  <c r="N34" i="9"/>
  <c r="R34" i="9" s="1"/>
  <c r="N185" i="9"/>
  <c r="R185" i="9" s="1"/>
  <c r="N121" i="9"/>
  <c r="R121" i="9" s="1"/>
  <c r="N57" i="9"/>
  <c r="R57" i="9" s="1"/>
  <c r="N208" i="9"/>
  <c r="R208" i="9" s="1"/>
  <c r="N144" i="9"/>
  <c r="R144" i="9" s="1"/>
  <c r="N80" i="9"/>
  <c r="R80" i="9" s="1"/>
  <c r="N16" i="9"/>
  <c r="R16" i="9" s="1"/>
  <c r="N175" i="9"/>
  <c r="R175" i="9" s="1"/>
  <c r="N111" i="9"/>
  <c r="R111" i="9" s="1"/>
  <c r="N47" i="9"/>
  <c r="R47" i="9" s="1"/>
  <c r="N198" i="9"/>
  <c r="R198" i="9" s="1"/>
  <c r="N134" i="9"/>
  <c r="R134" i="9" s="1"/>
  <c r="N70" i="9"/>
  <c r="R70" i="9" s="1"/>
  <c r="N221" i="9"/>
  <c r="R221" i="9" s="1"/>
  <c r="N157" i="9"/>
  <c r="R157" i="9" s="1"/>
  <c r="N93" i="9"/>
  <c r="R93" i="9" s="1"/>
  <c r="N29" i="9"/>
  <c r="R29" i="9" s="1"/>
  <c r="N116" i="9"/>
  <c r="R116" i="9" s="1"/>
  <c r="N203" i="9"/>
  <c r="R203" i="9" s="1"/>
  <c r="N75" i="9"/>
  <c r="R75" i="9" s="1"/>
  <c r="N172" i="9"/>
  <c r="R172" i="9" s="1"/>
  <c r="N108" i="9"/>
  <c r="R108" i="9" s="1"/>
  <c r="N44" i="9"/>
  <c r="R44" i="9" s="1"/>
  <c r="N195" i="9"/>
  <c r="R195" i="9" s="1"/>
  <c r="N131" i="9"/>
  <c r="R131" i="9" s="1"/>
  <c r="N67" i="9"/>
  <c r="R67" i="9" s="1"/>
  <c r="N218" i="9"/>
  <c r="R218" i="9" s="1"/>
  <c r="N154" i="9"/>
  <c r="R154" i="9" s="1"/>
  <c r="N90" i="9"/>
  <c r="R90" i="9" s="1"/>
  <c r="N26" i="9"/>
  <c r="R26" i="9" s="1"/>
  <c r="N177" i="9"/>
  <c r="R177" i="9" s="1"/>
  <c r="N113" i="9"/>
  <c r="R113" i="9" s="1"/>
  <c r="N49" i="9"/>
  <c r="R49" i="9" s="1"/>
  <c r="N200" i="9"/>
  <c r="R200" i="9" s="1"/>
  <c r="N136" i="9"/>
  <c r="R136" i="9" s="1"/>
  <c r="N72" i="9"/>
  <c r="R72" i="9" s="1"/>
  <c r="N8" i="9"/>
  <c r="R8" i="9" s="1"/>
  <c r="N167" i="9"/>
  <c r="R167" i="9" s="1"/>
  <c r="N103" i="9"/>
  <c r="R103" i="9" s="1"/>
  <c r="N39" i="9"/>
  <c r="R39" i="9" s="1"/>
  <c r="N190" i="9"/>
  <c r="R190" i="9" s="1"/>
  <c r="N126" i="9"/>
  <c r="R126" i="9" s="1"/>
  <c r="N62" i="9"/>
  <c r="R62" i="9" s="1"/>
  <c r="N213" i="9"/>
  <c r="R213" i="9" s="1"/>
  <c r="N149" i="9"/>
  <c r="R149" i="9" s="1"/>
  <c r="N85" i="9"/>
  <c r="R85" i="9" s="1"/>
  <c r="N21" i="9"/>
  <c r="R21" i="9" s="1"/>
  <c r="E30" i="13"/>
  <c r="D30" i="13"/>
  <c r="W3" i="9"/>
  <c r="Z16" i="9" s="1"/>
  <c r="AC16" i="9" s="1"/>
  <c r="L3" i="9"/>
  <c r="P5" i="9" s="1"/>
  <c r="T5" i="9" s="1"/>
  <c r="M3" i="9"/>
  <c r="Q5" i="9" s="1"/>
  <c r="X104" i="9" l="1"/>
  <c r="AA104" i="9" s="1"/>
  <c r="X89" i="9"/>
  <c r="AA89" i="9" s="1"/>
  <c r="X88" i="9"/>
  <c r="AA88" i="9" s="1"/>
  <c r="X67" i="9"/>
  <c r="AA67" i="9" s="1"/>
  <c r="X21" i="9"/>
  <c r="AA21" i="9" s="1"/>
  <c r="N96" i="9"/>
  <c r="R96" i="9" s="1"/>
  <c r="N178" i="9"/>
  <c r="R178" i="9" s="1"/>
  <c r="N35" i="9"/>
  <c r="R35" i="9" s="1"/>
  <c r="N94" i="9"/>
  <c r="R94" i="9" s="1"/>
  <c r="N168" i="9"/>
  <c r="R168" i="9" s="1"/>
  <c r="N99" i="9"/>
  <c r="R99" i="9" s="1"/>
  <c r="N24" i="9"/>
  <c r="R24" i="9" s="1"/>
  <c r="N188" i="9"/>
  <c r="R188" i="9" s="1"/>
  <c r="N89" i="9"/>
  <c r="R89" i="9" s="1"/>
  <c r="N205" i="9"/>
  <c r="R205" i="9" s="1"/>
  <c r="N146" i="9"/>
  <c r="R146" i="9" s="1"/>
  <c r="N174" i="9"/>
  <c r="R174" i="9" s="1"/>
  <c r="N88" i="9"/>
  <c r="R88" i="9" s="1"/>
  <c r="N79" i="9"/>
  <c r="R79" i="9" s="1"/>
  <c r="N112" i="9"/>
  <c r="R112" i="9" s="1"/>
  <c r="N54" i="9"/>
  <c r="R54" i="9" s="1"/>
  <c r="N210" i="9"/>
  <c r="R210" i="9" s="1"/>
  <c r="N69" i="9"/>
  <c r="R69" i="9" s="1"/>
  <c r="N110" i="9"/>
  <c r="R110" i="9" s="1"/>
  <c r="X22" i="9"/>
  <c r="AA22" i="9" s="1"/>
  <c r="X100" i="9"/>
  <c r="AA100" i="9" s="1"/>
  <c r="X136" i="9"/>
  <c r="AA136" i="9" s="1"/>
  <c r="X63" i="9"/>
  <c r="AA63" i="9" s="1"/>
  <c r="X73" i="9"/>
  <c r="AA73" i="9" s="1"/>
  <c r="X207" i="9"/>
  <c r="AA207" i="9" s="1"/>
  <c r="X160" i="9"/>
  <c r="AA160" i="9" s="1"/>
  <c r="X96" i="9"/>
  <c r="AA96" i="9" s="1"/>
  <c r="X5" i="9"/>
  <c r="AA5" i="9" s="1"/>
  <c r="X64" i="9"/>
  <c r="AA64" i="9" s="1"/>
  <c r="N51" i="9"/>
  <c r="R51" i="9" s="1"/>
  <c r="W27" i="35"/>
  <c r="W27" i="47"/>
  <c r="C96" i="13"/>
  <c r="C112" i="13"/>
  <c r="X35" i="9"/>
  <c r="AA35" i="9" s="1"/>
  <c r="X106" i="9"/>
  <c r="AA106" i="9" s="1"/>
  <c r="X75" i="9"/>
  <c r="AA75" i="9" s="1"/>
  <c r="X6" i="9"/>
  <c r="AA6" i="9" s="1"/>
  <c r="X56" i="9"/>
  <c r="AA56" i="9" s="1"/>
  <c r="X43" i="9"/>
  <c r="AA43" i="9" s="1"/>
  <c r="X72" i="9"/>
  <c r="AA72" i="9" s="1"/>
  <c r="X187" i="9"/>
  <c r="AA187" i="9" s="1"/>
  <c r="X125" i="9"/>
  <c r="AA125" i="9" s="1"/>
  <c r="X27" i="9"/>
  <c r="AA27" i="9" s="1"/>
  <c r="N97" i="9"/>
  <c r="R97" i="9" s="1"/>
  <c r="X101" i="9"/>
  <c r="AA101" i="9" s="1"/>
  <c r="X158" i="9"/>
  <c r="AA158" i="9" s="1"/>
  <c r="X214" i="9"/>
  <c r="AA214" i="9" s="1"/>
  <c r="X130" i="9"/>
  <c r="AA130" i="9" s="1"/>
  <c r="X141" i="9"/>
  <c r="AA141" i="9" s="1"/>
  <c r="X34" i="9"/>
  <c r="AA34" i="9" s="1"/>
  <c r="X190" i="9"/>
  <c r="AA190" i="9" s="1"/>
  <c r="X123" i="9"/>
  <c r="AA123" i="9" s="1"/>
  <c r="X126" i="9"/>
  <c r="AA126" i="9" s="1"/>
  <c r="X171" i="9"/>
  <c r="AA171" i="9" s="1"/>
  <c r="X82" i="9"/>
  <c r="AA82" i="9" s="1"/>
  <c r="X70" i="9"/>
  <c r="AA70" i="9" s="1"/>
  <c r="X84" i="9"/>
  <c r="AA84" i="9" s="1"/>
  <c r="X177" i="9"/>
  <c r="AA177" i="9" s="1"/>
  <c r="X57" i="9"/>
  <c r="AA57" i="9" s="1"/>
  <c r="X65" i="9"/>
  <c r="AA65" i="9" s="1"/>
  <c r="X23" i="9"/>
  <c r="AA23" i="9" s="1"/>
  <c r="X153" i="9"/>
  <c r="AA153" i="9" s="1"/>
  <c r="X115" i="9"/>
  <c r="AA115" i="9" s="1"/>
  <c r="X142" i="9"/>
  <c r="AA142" i="9" s="1"/>
  <c r="X99" i="9"/>
  <c r="AA99" i="9" s="1"/>
  <c r="X107" i="9"/>
  <c r="AA107" i="9" s="1"/>
  <c r="X37" i="9"/>
  <c r="AA37" i="9" s="1"/>
  <c r="X132" i="9"/>
  <c r="AA132" i="9" s="1"/>
  <c r="X209" i="9"/>
  <c r="AA209" i="9" s="1"/>
  <c r="X155" i="9"/>
  <c r="AA155" i="9" s="1"/>
  <c r="X178" i="9"/>
  <c r="AA178" i="9" s="1"/>
  <c r="X116" i="9"/>
  <c r="AA116" i="9" s="1"/>
  <c r="X109" i="9"/>
  <c r="AA109" i="9" s="1"/>
  <c r="X133" i="9"/>
  <c r="AA133" i="9" s="1"/>
  <c r="X19" i="9"/>
  <c r="AA19" i="9" s="1"/>
  <c r="X144" i="9"/>
  <c r="AA144" i="9" s="1"/>
  <c r="X40" i="9"/>
  <c r="AA40" i="9" s="1"/>
  <c r="X50" i="9"/>
  <c r="AA50" i="9" s="1"/>
  <c r="X205" i="9"/>
  <c r="AA205" i="9" s="1"/>
  <c r="X196" i="9"/>
  <c r="AA196" i="9" s="1"/>
  <c r="X51" i="9"/>
  <c r="AA51" i="9" s="1"/>
  <c r="X114" i="9"/>
  <c r="AA114" i="9" s="1"/>
  <c r="X204" i="9"/>
  <c r="AA204" i="9" s="1"/>
  <c r="X20" i="9"/>
  <c r="AA20" i="9" s="1"/>
  <c r="X102" i="9"/>
  <c r="AA102" i="9" s="1"/>
  <c r="X44" i="9"/>
  <c r="AA44" i="9" s="1"/>
  <c r="X206" i="9"/>
  <c r="AA206" i="9" s="1"/>
  <c r="X85" i="9"/>
  <c r="AA85" i="9" s="1"/>
  <c r="X79" i="9"/>
  <c r="AA79" i="9" s="1"/>
  <c r="X198" i="9"/>
  <c r="AA198" i="9" s="1"/>
  <c r="X129" i="9"/>
  <c r="AA129" i="9" s="1"/>
  <c r="X175" i="9"/>
  <c r="AA175" i="9" s="1"/>
  <c r="X173" i="9"/>
  <c r="AA173" i="9" s="1"/>
  <c r="X8" i="9"/>
  <c r="AA8" i="9" s="1"/>
  <c r="X13" i="9"/>
  <c r="AA13" i="9" s="1"/>
  <c r="X134" i="9"/>
  <c r="AA134" i="9" s="1"/>
  <c r="X221" i="9"/>
  <c r="AA221" i="9" s="1"/>
  <c r="X118" i="9"/>
  <c r="AA118" i="9" s="1"/>
  <c r="X180" i="9"/>
  <c r="AA180" i="9" s="1"/>
  <c r="X25" i="9"/>
  <c r="AA25" i="9" s="1"/>
  <c r="X39" i="9"/>
  <c r="AA39" i="9" s="1"/>
  <c r="X28" i="9"/>
  <c r="AA28" i="9" s="1"/>
  <c r="X121" i="9"/>
  <c r="AA121" i="9" s="1"/>
  <c r="X62" i="9"/>
  <c r="AA62" i="9" s="1"/>
  <c r="X58" i="9"/>
  <c r="AA58" i="9" s="1"/>
  <c r="X52" i="9"/>
  <c r="AA52" i="9" s="1"/>
  <c r="X9" i="9"/>
  <c r="AA9" i="9" s="1"/>
  <c r="X16" i="9"/>
  <c r="AA16" i="9" s="1"/>
  <c r="X188" i="9"/>
  <c r="AA188" i="9" s="1"/>
  <c r="X218" i="9"/>
  <c r="AA218" i="9" s="1"/>
  <c r="X80" i="9"/>
  <c r="AA80" i="9" s="1"/>
  <c r="X199" i="9"/>
  <c r="AA199" i="9" s="1"/>
  <c r="X217" i="9"/>
  <c r="AA217" i="9" s="1"/>
  <c r="X18" i="9"/>
  <c r="AA18" i="9" s="1"/>
  <c r="X120" i="9"/>
  <c r="AA120" i="9" s="1"/>
  <c r="X192" i="9"/>
  <c r="AA192" i="9" s="1"/>
  <c r="X213" i="9"/>
  <c r="AA213" i="9" s="1"/>
  <c r="X179" i="9"/>
  <c r="AA179" i="9" s="1"/>
  <c r="X42" i="9"/>
  <c r="AA42" i="9" s="1"/>
  <c r="X77" i="9"/>
  <c r="AA77" i="9" s="1"/>
  <c r="X150" i="9"/>
  <c r="AA150" i="9" s="1"/>
  <c r="X98" i="9"/>
  <c r="AA98" i="9" s="1"/>
  <c r="X172" i="9"/>
  <c r="AA172" i="9" s="1"/>
  <c r="X117" i="9"/>
  <c r="AA117" i="9" s="1"/>
  <c r="X59" i="9"/>
  <c r="AA59" i="9" s="1"/>
  <c r="X156" i="9"/>
  <c r="AA156" i="9" s="1"/>
  <c r="X83" i="9"/>
  <c r="AA83" i="9" s="1"/>
  <c r="X113" i="9"/>
  <c r="AA113" i="9" s="1"/>
  <c r="X110" i="9"/>
  <c r="AA110" i="9" s="1"/>
  <c r="X78" i="9"/>
  <c r="AA78" i="9" s="1"/>
  <c r="X215" i="9"/>
  <c r="AA215" i="9" s="1"/>
  <c r="X87" i="9"/>
  <c r="AA87" i="9" s="1"/>
  <c r="X91" i="9"/>
  <c r="AA91" i="9" s="1"/>
  <c r="X210" i="9"/>
  <c r="AA210" i="9" s="1"/>
  <c r="X24" i="9"/>
  <c r="AA24" i="9" s="1"/>
  <c r="X186" i="9"/>
  <c r="AA186" i="9" s="1"/>
  <c r="X14" i="9"/>
  <c r="AA14" i="9" s="1"/>
  <c r="X10" i="9"/>
  <c r="AA10" i="9" s="1"/>
  <c r="X92" i="9"/>
  <c r="AA92" i="9" s="1"/>
  <c r="X185" i="9"/>
  <c r="AA185" i="9" s="1"/>
  <c r="X17" i="9"/>
  <c r="AA17" i="9" s="1"/>
  <c r="X163" i="9"/>
  <c r="AA163" i="9" s="1"/>
  <c r="X31" i="9"/>
  <c r="AA31" i="9" s="1"/>
  <c r="X161" i="9"/>
  <c r="AA161" i="9" s="1"/>
  <c r="X33" i="9"/>
  <c r="AA33" i="9" s="1"/>
  <c r="X32" i="9"/>
  <c r="AA32" i="9" s="1"/>
  <c r="X124" i="9"/>
  <c r="AA124" i="9" s="1"/>
  <c r="X11" i="9"/>
  <c r="AA11" i="9" s="1"/>
  <c r="X162" i="9"/>
  <c r="AA162" i="9" s="1"/>
  <c r="X12" i="9"/>
  <c r="AA12" i="9" s="1"/>
  <c r="X122" i="9"/>
  <c r="AA122" i="9" s="1"/>
  <c r="X159" i="9"/>
  <c r="AA159" i="9" s="1"/>
  <c r="X135" i="9"/>
  <c r="AA135" i="9" s="1"/>
  <c r="X119" i="9"/>
  <c r="AA119" i="9" s="1"/>
  <c r="X143" i="9"/>
  <c r="AA143" i="9" s="1"/>
  <c r="X194" i="9"/>
  <c r="AA194" i="9" s="1"/>
  <c r="X154" i="9"/>
  <c r="AA154" i="9" s="1"/>
  <c r="X174" i="9"/>
  <c r="AA174" i="9" s="1"/>
  <c r="X103" i="9"/>
  <c r="AA103" i="9" s="1"/>
  <c r="X168" i="9"/>
  <c r="AA168" i="9" s="1"/>
  <c r="X29" i="9"/>
  <c r="AA29" i="9" s="1"/>
  <c r="X183" i="9"/>
  <c r="AA183" i="9" s="1"/>
  <c r="X93" i="9"/>
  <c r="AA93" i="9" s="1"/>
  <c r="X220" i="9"/>
  <c r="AA220" i="9" s="1"/>
  <c r="N28" i="9"/>
  <c r="R28" i="9" s="1"/>
  <c r="W27" i="45"/>
  <c r="W30" i="55"/>
  <c r="O138" i="9"/>
  <c r="S138" i="9" s="1"/>
  <c r="O134" i="9"/>
  <c r="S134" i="9" s="1"/>
  <c r="O142" i="9"/>
  <c r="S142" i="9" s="1"/>
  <c r="O203" i="9"/>
  <c r="S203" i="9" s="1"/>
  <c r="O199" i="9"/>
  <c r="S199" i="9" s="1"/>
  <c r="O195" i="9"/>
  <c r="S195" i="9" s="1"/>
  <c r="O49" i="9"/>
  <c r="S49" i="9" s="1"/>
  <c r="O45" i="9"/>
  <c r="S45" i="9" s="1"/>
  <c r="O196" i="9"/>
  <c r="S196" i="9" s="1"/>
  <c r="O42" i="9"/>
  <c r="S42" i="9" s="1"/>
  <c r="O103" i="9"/>
  <c r="S103" i="9" s="1"/>
  <c r="O34" i="9"/>
  <c r="S34" i="9" s="1"/>
  <c r="O191" i="9"/>
  <c r="S191" i="9" s="1"/>
  <c r="O187" i="9"/>
  <c r="S187" i="9" s="1"/>
  <c r="O122" i="9"/>
  <c r="S122" i="9" s="1"/>
  <c r="O54" i="9"/>
  <c r="S54" i="9" s="1"/>
  <c r="O115" i="9"/>
  <c r="S115" i="9" s="1"/>
  <c r="O168" i="9"/>
  <c r="S168" i="9" s="1"/>
  <c r="O165" i="9"/>
  <c r="S165" i="9" s="1"/>
  <c r="O38" i="9"/>
  <c r="S38" i="9" s="1"/>
  <c r="O100" i="9"/>
  <c r="S100" i="9" s="1"/>
  <c r="O157" i="9"/>
  <c r="S157" i="9" s="1"/>
  <c r="O95" i="9"/>
  <c r="S95" i="9" s="1"/>
  <c r="O26" i="9"/>
  <c r="S26" i="9" s="1"/>
  <c r="O130" i="9"/>
  <c r="S130" i="9" s="1"/>
  <c r="O188" i="9"/>
  <c r="S188" i="9" s="1"/>
  <c r="O111" i="9"/>
  <c r="S111" i="9" s="1"/>
  <c r="O164" i="9"/>
  <c r="S164" i="9" s="1"/>
  <c r="O161" i="9"/>
  <c r="S161" i="9" s="1"/>
  <c r="O99" i="9"/>
  <c r="S99" i="9" s="1"/>
  <c r="O96" i="9"/>
  <c r="S96" i="9" s="1"/>
  <c r="O30" i="9"/>
  <c r="S30" i="9" s="1"/>
  <c r="O153" i="9"/>
  <c r="S153" i="9" s="1"/>
  <c r="O92" i="9"/>
  <c r="S92" i="9" s="1"/>
  <c r="O91" i="9"/>
  <c r="S91" i="9" s="1"/>
  <c r="O149" i="9"/>
  <c r="S149" i="9" s="1"/>
  <c r="O88" i="9"/>
  <c r="S88" i="9" s="1"/>
  <c r="O27" i="9"/>
  <c r="S27" i="9" s="1"/>
  <c r="O192" i="9"/>
  <c r="S192" i="9" s="1"/>
  <c r="O126" i="9"/>
  <c r="S126" i="9" s="1"/>
  <c r="O123" i="9"/>
  <c r="S123" i="9" s="1"/>
  <c r="O119" i="9"/>
  <c r="S119" i="9" s="1"/>
  <c r="O176" i="9"/>
  <c r="S176" i="9" s="1"/>
  <c r="O50" i="9"/>
  <c r="S50" i="9" s="1"/>
  <c r="O145" i="9"/>
  <c r="S145" i="9" s="1"/>
  <c r="O23" i="9"/>
  <c r="S23" i="9" s="1"/>
  <c r="O7" i="9"/>
  <c r="S7" i="9" s="1"/>
  <c r="O65" i="9"/>
  <c r="S65" i="9" s="1"/>
  <c r="O219" i="9"/>
  <c r="S219" i="9" s="1"/>
  <c r="O5" i="9"/>
  <c r="S5" i="9" s="1"/>
  <c r="O184" i="9"/>
  <c r="S184" i="9" s="1"/>
  <c r="O180" i="9"/>
  <c r="S180" i="9" s="1"/>
  <c r="O173" i="9"/>
  <c r="S173" i="9" s="1"/>
  <c r="O46" i="9"/>
  <c r="S46" i="9" s="1"/>
  <c r="O169" i="9"/>
  <c r="S169" i="9" s="1"/>
  <c r="O107" i="9"/>
  <c r="S107" i="9" s="1"/>
  <c r="O84" i="9"/>
  <c r="S84" i="9" s="1"/>
  <c r="O141" i="9"/>
  <c r="S141" i="9" s="1"/>
  <c r="O19" i="9"/>
  <c r="S19" i="9" s="1"/>
  <c r="O76" i="9"/>
  <c r="S76" i="9" s="1"/>
  <c r="O73" i="9"/>
  <c r="S73" i="9" s="1"/>
  <c r="O11" i="9"/>
  <c r="S11" i="9" s="1"/>
  <c r="O69" i="9"/>
  <c r="S69" i="9" s="1"/>
  <c r="O57" i="9"/>
  <c r="S57" i="9" s="1"/>
  <c r="O211" i="9"/>
  <c r="S211" i="9" s="1"/>
  <c r="O150" i="9"/>
  <c r="S150" i="9" s="1"/>
  <c r="O172" i="9"/>
  <c r="S172" i="9" s="1"/>
  <c r="O80" i="9"/>
  <c r="S80" i="9" s="1"/>
  <c r="O77" i="9"/>
  <c r="S77" i="9" s="1"/>
  <c r="O15" i="9"/>
  <c r="S15" i="9" s="1"/>
  <c r="O72" i="9"/>
  <c r="S72" i="9" s="1"/>
  <c r="O68" i="9"/>
  <c r="S68" i="9" s="1"/>
  <c r="O61" i="9"/>
  <c r="S61" i="9" s="1"/>
  <c r="O215" i="9"/>
  <c r="S215" i="9" s="1"/>
  <c r="O218" i="9"/>
  <c r="S218" i="9" s="1"/>
  <c r="O53" i="9"/>
  <c r="S53" i="9" s="1"/>
  <c r="O207" i="9"/>
  <c r="S207" i="9" s="1"/>
  <c r="O146" i="9"/>
  <c r="S146" i="9" s="1"/>
  <c r="O160" i="9"/>
  <c r="S160" i="9" s="1"/>
  <c r="O37" i="9"/>
  <c r="S37" i="9" s="1"/>
  <c r="O14" i="9"/>
  <c r="S14" i="9" s="1"/>
  <c r="O175" i="9"/>
  <c r="S175" i="9" s="1"/>
  <c r="O106" i="9"/>
  <c r="S106" i="9" s="1"/>
  <c r="O10" i="9"/>
  <c r="S10" i="9" s="1"/>
  <c r="O210" i="9"/>
  <c r="S210" i="9" s="1"/>
  <c r="O179" i="9"/>
  <c r="S179" i="9" s="1"/>
  <c r="O33" i="9"/>
  <c r="S33" i="9" s="1"/>
  <c r="O75" i="9"/>
  <c r="S75" i="9" s="1"/>
  <c r="O64" i="9"/>
  <c r="S64" i="9" s="1"/>
  <c r="O152" i="9"/>
  <c r="S152" i="9" s="1"/>
  <c r="O202" i="9"/>
  <c r="S202" i="9" s="1"/>
  <c r="O171" i="9"/>
  <c r="S171" i="9" s="1"/>
  <c r="O214" i="9"/>
  <c r="S214" i="9" s="1"/>
  <c r="O41" i="9"/>
  <c r="S41" i="9" s="1"/>
  <c r="O183" i="9"/>
  <c r="S183" i="9" s="1"/>
  <c r="O18" i="9"/>
  <c r="S18" i="9" s="1"/>
  <c r="O133" i="9"/>
  <c r="S133" i="9" s="1"/>
  <c r="O83" i="9"/>
  <c r="S83" i="9" s="1"/>
  <c r="O129" i="9"/>
  <c r="S129" i="9" s="1"/>
  <c r="O56" i="9"/>
  <c r="S56" i="9" s="1"/>
  <c r="O79" i="9"/>
  <c r="S79" i="9" s="1"/>
  <c r="O221" i="9"/>
  <c r="S221" i="9" s="1"/>
  <c r="O125" i="9"/>
  <c r="S125" i="9" s="1"/>
  <c r="O29" i="9"/>
  <c r="S29" i="9" s="1"/>
  <c r="O148" i="9"/>
  <c r="S148" i="9" s="1"/>
  <c r="O52" i="9"/>
  <c r="S52" i="9" s="1"/>
  <c r="O198" i="9"/>
  <c r="S198" i="9" s="1"/>
  <c r="O102" i="9"/>
  <c r="S102" i="9" s="1"/>
  <c r="O6" i="9"/>
  <c r="S6" i="9" s="1"/>
  <c r="O217" i="9"/>
  <c r="S217" i="9" s="1"/>
  <c r="O121" i="9"/>
  <c r="S121" i="9" s="1"/>
  <c r="O25" i="9"/>
  <c r="S25" i="9" s="1"/>
  <c r="O144" i="9"/>
  <c r="S144" i="9" s="1"/>
  <c r="O48" i="9"/>
  <c r="S48" i="9" s="1"/>
  <c r="O167" i="9"/>
  <c r="S167" i="9" s="1"/>
  <c r="O71" i="9"/>
  <c r="S71" i="9" s="1"/>
  <c r="O194" i="9"/>
  <c r="S194" i="9" s="1"/>
  <c r="O98" i="9"/>
  <c r="S98" i="9" s="1"/>
  <c r="O213" i="9"/>
  <c r="S213" i="9" s="1"/>
  <c r="O117" i="9"/>
  <c r="S117" i="9" s="1"/>
  <c r="O21" i="9"/>
  <c r="S21" i="9" s="1"/>
  <c r="O140" i="9"/>
  <c r="S140" i="9" s="1"/>
  <c r="O44" i="9"/>
  <c r="S44" i="9" s="1"/>
  <c r="O163" i="9"/>
  <c r="S163" i="9" s="1"/>
  <c r="O67" i="9"/>
  <c r="S67" i="9" s="1"/>
  <c r="O190" i="9"/>
  <c r="S190" i="9" s="1"/>
  <c r="O94" i="9"/>
  <c r="S94" i="9" s="1"/>
  <c r="O209" i="9"/>
  <c r="S209" i="9" s="1"/>
  <c r="O17" i="9"/>
  <c r="S17" i="9" s="1"/>
  <c r="O40" i="9"/>
  <c r="S40" i="9" s="1"/>
  <c r="O90" i="9"/>
  <c r="S90" i="9" s="1"/>
  <c r="O86" i="9"/>
  <c r="S86" i="9" s="1"/>
  <c r="O22" i="9"/>
  <c r="S22" i="9" s="1"/>
  <c r="O87" i="9"/>
  <c r="S87" i="9" s="1"/>
  <c r="O156" i="9"/>
  <c r="S156" i="9" s="1"/>
  <c r="O206" i="9"/>
  <c r="S206" i="9" s="1"/>
  <c r="O113" i="9"/>
  <c r="S113" i="9" s="1"/>
  <c r="O136" i="9"/>
  <c r="S136" i="9" s="1"/>
  <c r="O63" i="9"/>
  <c r="S63" i="9" s="1"/>
  <c r="O13" i="9"/>
  <c r="S13" i="9" s="1"/>
  <c r="O132" i="9"/>
  <c r="S132" i="9" s="1"/>
  <c r="O155" i="9"/>
  <c r="S155" i="9" s="1"/>
  <c r="O182" i="9"/>
  <c r="S182" i="9" s="1"/>
  <c r="O105" i="9"/>
  <c r="S105" i="9" s="1"/>
  <c r="O128" i="9"/>
  <c r="S128" i="9" s="1"/>
  <c r="O151" i="9"/>
  <c r="S151" i="9" s="1"/>
  <c r="O82" i="9"/>
  <c r="S82" i="9" s="1"/>
  <c r="O118" i="9"/>
  <c r="S118" i="9" s="1"/>
  <c r="O114" i="9"/>
  <c r="S114" i="9" s="1"/>
  <c r="O109" i="9"/>
  <c r="S109" i="9" s="1"/>
  <c r="O36" i="9"/>
  <c r="S36" i="9" s="1"/>
  <c r="O59" i="9"/>
  <c r="S59" i="9" s="1"/>
  <c r="O201" i="9"/>
  <c r="S201" i="9" s="1"/>
  <c r="O9" i="9"/>
  <c r="S9" i="9" s="1"/>
  <c r="O32" i="9"/>
  <c r="S32" i="9" s="1"/>
  <c r="O55" i="9"/>
  <c r="S55" i="9" s="1"/>
  <c r="O178" i="9"/>
  <c r="S178" i="9" s="1"/>
  <c r="O197" i="9"/>
  <c r="S197" i="9" s="1"/>
  <c r="O101" i="9"/>
  <c r="S101" i="9" s="1"/>
  <c r="O220" i="9"/>
  <c r="S220" i="9" s="1"/>
  <c r="O124" i="9"/>
  <c r="S124" i="9" s="1"/>
  <c r="O28" i="9"/>
  <c r="S28" i="9" s="1"/>
  <c r="O147" i="9"/>
  <c r="S147" i="9" s="1"/>
  <c r="O51" i="9"/>
  <c r="S51" i="9" s="1"/>
  <c r="O174" i="9"/>
  <c r="S174" i="9" s="1"/>
  <c r="O78" i="9"/>
  <c r="S78" i="9" s="1"/>
  <c r="O193" i="9"/>
  <c r="S193" i="9" s="1"/>
  <c r="O97" i="9"/>
  <c r="S97" i="9" s="1"/>
  <c r="O216" i="9"/>
  <c r="S216" i="9" s="1"/>
  <c r="O120" i="9"/>
  <c r="S120" i="9" s="1"/>
  <c r="O24" i="9"/>
  <c r="S24" i="9" s="1"/>
  <c r="O143" i="9"/>
  <c r="S143" i="9" s="1"/>
  <c r="O47" i="9"/>
  <c r="S47" i="9" s="1"/>
  <c r="O170" i="9"/>
  <c r="S170" i="9" s="1"/>
  <c r="O74" i="9"/>
  <c r="S74" i="9" s="1"/>
  <c r="O137" i="9"/>
  <c r="S137" i="9" s="1"/>
  <c r="O60" i="9"/>
  <c r="S60" i="9" s="1"/>
  <c r="O159" i="9"/>
  <c r="S159" i="9" s="1"/>
  <c r="O110" i="9"/>
  <c r="S110" i="9" s="1"/>
  <c r="O186" i="9"/>
  <c r="S186" i="9" s="1"/>
  <c r="O205" i="9"/>
  <c r="S205" i="9" s="1"/>
  <c r="O189" i="9"/>
  <c r="S189" i="9" s="1"/>
  <c r="O93" i="9"/>
  <c r="S93" i="9" s="1"/>
  <c r="O212" i="9"/>
  <c r="S212" i="9" s="1"/>
  <c r="O116" i="9"/>
  <c r="S116" i="9" s="1"/>
  <c r="O20" i="9"/>
  <c r="S20" i="9" s="1"/>
  <c r="O139" i="9"/>
  <c r="S139" i="9" s="1"/>
  <c r="O43" i="9"/>
  <c r="S43" i="9" s="1"/>
  <c r="O166" i="9"/>
  <c r="S166" i="9" s="1"/>
  <c r="O70" i="9"/>
  <c r="S70" i="9" s="1"/>
  <c r="O185" i="9"/>
  <c r="S185" i="9" s="1"/>
  <c r="O89" i="9"/>
  <c r="S89" i="9" s="1"/>
  <c r="O208" i="9"/>
  <c r="S208" i="9" s="1"/>
  <c r="O112" i="9"/>
  <c r="S112" i="9" s="1"/>
  <c r="O16" i="9"/>
  <c r="S16" i="9" s="1"/>
  <c r="O135" i="9"/>
  <c r="S135" i="9" s="1"/>
  <c r="O39" i="9"/>
  <c r="S39" i="9" s="1"/>
  <c r="O162" i="9"/>
  <c r="S162" i="9" s="1"/>
  <c r="O66" i="9"/>
  <c r="S66" i="9" s="1"/>
  <c r="O181" i="9"/>
  <c r="S181" i="9" s="1"/>
  <c r="O85" i="9"/>
  <c r="S85" i="9" s="1"/>
  <c r="O204" i="9"/>
  <c r="S204" i="9" s="1"/>
  <c r="O108" i="9"/>
  <c r="S108" i="9" s="1"/>
  <c r="O12" i="9"/>
  <c r="S12" i="9" s="1"/>
  <c r="O131" i="9"/>
  <c r="S131" i="9" s="1"/>
  <c r="O35" i="9"/>
  <c r="S35" i="9" s="1"/>
  <c r="O158" i="9"/>
  <c r="S158" i="9" s="1"/>
  <c r="O62" i="9"/>
  <c r="S62" i="9" s="1"/>
  <c r="O177" i="9"/>
  <c r="S177" i="9" s="1"/>
  <c r="O81" i="9"/>
  <c r="S81" i="9" s="1"/>
  <c r="O200" i="9"/>
  <c r="S200" i="9" s="1"/>
  <c r="O104" i="9"/>
  <c r="S104" i="9" s="1"/>
  <c r="O8" i="9"/>
  <c r="S8" i="9" s="1"/>
  <c r="O127" i="9"/>
  <c r="S127" i="9" s="1"/>
  <c r="O31" i="9"/>
  <c r="S31" i="9" s="1"/>
  <c r="O154" i="9"/>
  <c r="S154" i="9" s="1"/>
  <c r="P40" i="9"/>
  <c r="T40" i="9" s="1"/>
  <c r="P168" i="9"/>
  <c r="T168" i="9" s="1"/>
  <c r="P104" i="9"/>
  <c r="T104" i="9" s="1"/>
  <c r="P193" i="9"/>
  <c r="T193" i="9" s="1"/>
  <c r="P83" i="9"/>
  <c r="T83" i="9" s="1"/>
  <c r="P218" i="9"/>
  <c r="T218" i="9" s="1"/>
  <c r="P145" i="9"/>
  <c r="T145" i="9" s="1"/>
  <c r="P130" i="9"/>
  <c r="T130" i="9" s="1"/>
  <c r="P171" i="9"/>
  <c r="T171" i="9" s="1"/>
  <c r="P81" i="9"/>
  <c r="T81" i="9" s="1"/>
  <c r="P17" i="9"/>
  <c r="T17" i="9" s="1"/>
  <c r="P42" i="9"/>
  <c r="T42" i="9" s="1"/>
  <c r="Y128" i="9"/>
  <c r="AB128" i="9" s="1"/>
  <c r="Y164" i="9"/>
  <c r="AB164" i="9" s="1"/>
  <c r="Y26" i="9"/>
  <c r="AB26" i="9" s="1"/>
  <c r="Y142" i="9"/>
  <c r="AB142" i="9" s="1"/>
  <c r="Y77" i="9"/>
  <c r="AB77" i="9" s="1"/>
  <c r="Y85" i="9"/>
  <c r="AB85" i="9" s="1"/>
  <c r="Y123" i="9"/>
  <c r="AB123" i="9" s="1"/>
  <c r="Y6" i="9"/>
  <c r="AB6" i="9" s="1"/>
  <c r="Y147" i="9"/>
  <c r="AB147" i="9" s="1"/>
  <c r="Y192" i="9"/>
  <c r="AB192" i="9" s="1"/>
  <c r="Y40" i="9"/>
  <c r="AB40" i="9" s="1"/>
  <c r="Y18" i="9"/>
  <c r="AB18" i="9" s="1"/>
  <c r="Y113" i="9"/>
  <c r="AB113" i="9" s="1"/>
  <c r="Y159" i="9"/>
  <c r="AB159" i="9" s="1"/>
  <c r="Y29" i="9"/>
  <c r="AB29" i="9" s="1"/>
  <c r="Y201" i="9"/>
  <c r="AB201" i="9" s="1"/>
  <c r="Y109" i="9"/>
  <c r="AB109" i="9" s="1"/>
  <c r="Y176" i="9"/>
  <c r="AB176" i="9" s="1"/>
  <c r="Y104" i="9"/>
  <c r="AB104" i="9" s="1"/>
  <c r="Y197" i="9"/>
  <c r="AB197" i="9" s="1"/>
  <c r="Y130" i="9"/>
  <c r="AB130" i="9" s="1"/>
  <c r="Y37" i="9"/>
  <c r="AB37" i="9" s="1"/>
  <c r="Y160" i="9"/>
  <c r="AB160" i="9" s="1"/>
  <c r="Y90" i="9"/>
  <c r="AB90" i="9" s="1"/>
  <c r="Y181" i="9"/>
  <c r="AB181" i="9" s="1"/>
  <c r="Y114" i="9"/>
  <c r="AB114" i="9" s="1"/>
  <c r="Y8" i="9"/>
  <c r="AB8" i="9" s="1"/>
  <c r="Y44" i="9"/>
  <c r="AB44" i="9" s="1"/>
  <c r="Y81" i="9"/>
  <c r="AB81" i="9" s="1"/>
  <c r="Y17" i="9"/>
  <c r="AB17" i="9" s="1"/>
  <c r="Y174" i="9"/>
  <c r="AB174" i="9" s="1"/>
  <c r="Y110" i="9"/>
  <c r="AB110" i="9" s="1"/>
  <c r="Y46" i="9"/>
  <c r="AB46" i="9" s="1"/>
  <c r="Y91" i="9"/>
  <c r="AB91" i="9" s="1"/>
  <c r="Y27" i="9"/>
  <c r="AB27" i="9" s="1"/>
  <c r="Y144" i="9"/>
  <c r="AB144" i="9" s="1"/>
  <c r="Y146" i="9"/>
  <c r="AB146" i="9" s="1"/>
  <c r="Y148" i="9"/>
  <c r="AB148" i="9" s="1"/>
  <c r="Y206" i="9"/>
  <c r="AB206" i="9" s="1"/>
  <c r="Y202" i="9"/>
  <c r="AB202" i="9" s="1"/>
  <c r="Y56" i="9"/>
  <c r="AB56" i="9" s="1"/>
  <c r="Y39" i="9"/>
  <c r="AB39" i="9" s="1"/>
  <c r="Y212" i="9"/>
  <c r="AB212" i="9" s="1"/>
  <c r="Y10" i="9"/>
  <c r="AB10" i="9" s="1"/>
  <c r="Y105" i="9"/>
  <c r="AB105" i="9" s="1"/>
  <c r="Y70" i="9"/>
  <c r="AB70" i="9" s="1"/>
  <c r="Y135" i="9"/>
  <c r="AB135" i="9" s="1"/>
  <c r="Y180" i="9"/>
  <c r="AB180" i="9" s="1"/>
  <c r="Y72" i="9"/>
  <c r="AB72" i="9" s="1"/>
  <c r="Y211" i="9"/>
  <c r="AB211" i="9" s="1"/>
  <c r="Y34" i="9"/>
  <c r="AB34" i="9" s="1"/>
  <c r="Y156" i="9"/>
  <c r="AB156" i="9" s="1"/>
  <c r="Y13" i="9"/>
  <c r="AB13" i="9" s="1"/>
  <c r="Y155" i="9"/>
  <c r="AB155" i="9" s="1"/>
  <c r="Y96" i="9"/>
  <c r="AB96" i="9" s="1"/>
  <c r="Y173" i="9"/>
  <c r="AB173" i="9" s="1"/>
  <c r="Y80" i="9"/>
  <c r="AB80" i="9" s="1"/>
  <c r="Y194" i="9"/>
  <c r="AB194" i="9" s="1"/>
  <c r="Y127" i="9"/>
  <c r="AB127" i="9" s="1"/>
  <c r="Y21" i="9"/>
  <c r="AB21" i="9" s="1"/>
  <c r="Y157" i="9"/>
  <c r="AB157" i="9" s="1"/>
  <c r="Y74" i="9"/>
  <c r="AB74" i="9" s="1"/>
  <c r="Y178" i="9"/>
  <c r="AB178" i="9" s="1"/>
  <c r="Y111" i="9"/>
  <c r="AB111" i="9" s="1"/>
  <c r="Y7" i="9"/>
  <c r="AB7" i="9" s="1"/>
  <c r="Y36" i="9"/>
  <c r="AB36" i="9" s="1"/>
  <c r="Y73" i="9"/>
  <c r="AB73" i="9" s="1"/>
  <c r="Y9" i="9"/>
  <c r="AB9" i="9" s="1"/>
  <c r="Y166" i="9"/>
  <c r="AB166" i="9" s="1"/>
  <c r="Y102" i="9"/>
  <c r="AB102" i="9" s="1"/>
  <c r="Y38" i="9"/>
  <c r="AB38" i="9" s="1"/>
  <c r="Y83" i="9"/>
  <c r="AB83" i="9" s="1"/>
  <c r="Y19" i="9"/>
  <c r="AB19" i="9" s="1"/>
  <c r="Y98" i="9"/>
  <c r="AB98" i="9" s="1"/>
  <c r="Y55" i="9"/>
  <c r="AB55" i="9" s="1"/>
  <c r="Y215" i="9"/>
  <c r="AB215" i="9" s="1"/>
  <c r="Y12" i="9"/>
  <c r="AB12" i="9" s="1"/>
  <c r="Y14" i="9"/>
  <c r="AB14" i="9" s="1"/>
  <c r="Y132" i="9"/>
  <c r="AB132" i="9" s="1"/>
  <c r="Y161" i="9"/>
  <c r="AB161" i="9" s="1"/>
  <c r="Y198" i="9"/>
  <c r="AB198" i="9" s="1"/>
  <c r="Y195" i="9"/>
  <c r="AB195" i="9" s="1"/>
  <c r="Y205" i="9"/>
  <c r="AB205" i="9" s="1"/>
  <c r="Y131" i="9"/>
  <c r="AB131" i="9" s="1"/>
  <c r="Y189" i="9"/>
  <c r="AB189" i="9" s="1"/>
  <c r="Y199" i="9"/>
  <c r="AB199" i="9" s="1"/>
  <c r="Y220" i="9"/>
  <c r="AB220" i="9" s="1"/>
  <c r="Y153" i="9"/>
  <c r="AB153" i="9" s="1"/>
  <c r="Y219" i="9"/>
  <c r="AB219" i="9" s="1"/>
  <c r="Y152" i="9"/>
  <c r="AB152" i="9" s="1"/>
  <c r="Y87" i="9"/>
  <c r="AB87" i="9" s="1"/>
  <c r="Y170" i="9"/>
  <c r="AB170" i="9" s="1"/>
  <c r="Y64" i="9"/>
  <c r="AB64" i="9" s="1"/>
  <c r="Y191" i="9"/>
  <c r="AB191" i="9" s="1"/>
  <c r="Y124" i="9"/>
  <c r="AB124" i="9" s="1"/>
  <c r="Y221" i="9"/>
  <c r="AB221" i="9" s="1"/>
  <c r="Y154" i="9"/>
  <c r="AB154" i="9" s="1"/>
  <c r="Y58" i="9"/>
  <c r="AB58" i="9" s="1"/>
  <c r="Y175" i="9"/>
  <c r="AB175" i="9" s="1"/>
  <c r="Y103" i="9"/>
  <c r="AB103" i="9" s="1"/>
  <c r="Y92" i="9"/>
  <c r="AB92" i="9" s="1"/>
  <c r="Y28" i="9"/>
  <c r="AB28" i="9" s="1"/>
  <c r="Y65" i="9"/>
  <c r="AB65" i="9" s="1"/>
  <c r="Y5" i="9"/>
  <c r="AB5" i="9" s="1"/>
  <c r="Y158" i="9"/>
  <c r="AB158" i="9" s="1"/>
  <c r="Y94" i="9"/>
  <c r="AB94" i="9" s="1"/>
  <c r="Y30" i="9"/>
  <c r="AB30" i="9" s="1"/>
  <c r="Y75" i="9"/>
  <c r="AB75" i="9" s="1"/>
  <c r="Y11" i="9"/>
  <c r="AB11" i="9" s="1"/>
  <c r="Y122" i="9"/>
  <c r="AB122" i="9" s="1"/>
  <c r="Y93" i="9"/>
  <c r="AB93" i="9" s="1"/>
  <c r="Y185" i="9"/>
  <c r="AB185" i="9" s="1"/>
  <c r="Y76" i="9"/>
  <c r="AB76" i="9" s="1"/>
  <c r="Y59" i="9"/>
  <c r="AB59" i="9" s="1"/>
  <c r="Y168" i="9"/>
  <c r="AB168" i="9" s="1"/>
  <c r="Y139" i="9"/>
  <c r="AB139" i="9" s="1"/>
  <c r="Y47" i="9"/>
  <c r="AB47" i="9" s="1"/>
  <c r="Y51" i="9"/>
  <c r="AB51" i="9" s="1"/>
  <c r="Y183" i="9"/>
  <c r="AB183" i="9" s="1"/>
  <c r="Y193" i="9"/>
  <c r="AB193" i="9" s="1"/>
  <c r="Y119" i="9"/>
  <c r="AB119" i="9" s="1"/>
  <c r="Y177" i="9"/>
  <c r="AB177" i="9" s="1"/>
  <c r="Y138" i="9"/>
  <c r="AB138" i="9" s="1"/>
  <c r="Y217" i="9"/>
  <c r="AB217" i="9" s="1"/>
  <c r="Y106" i="9"/>
  <c r="AB106" i="9" s="1"/>
  <c r="Y216" i="9"/>
  <c r="AB216" i="9" s="1"/>
  <c r="Y149" i="9"/>
  <c r="AB149" i="9" s="1"/>
  <c r="Y71" i="9"/>
  <c r="AB71" i="9" s="1"/>
  <c r="Y167" i="9"/>
  <c r="AB167" i="9" s="1"/>
  <c r="Y48" i="9"/>
  <c r="AB48" i="9" s="1"/>
  <c r="Y188" i="9"/>
  <c r="AB188" i="9" s="1"/>
  <c r="Y121" i="9"/>
  <c r="AB121" i="9" s="1"/>
  <c r="Y218" i="9"/>
  <c r="AB218" i="9" s="1"/>
  <c r="Y151" i="9"/>
  <c r="AB151" i="9" s="1"/>
  <c r="Y42" i="9"/>
  <c r="AB42" i="9" s="1"/>
  <c r="Y172" i="9"/>
  <c r="AB172" i="9" s="1"/>
  <c r="Y79" i="9"/>
  <c r="AB79" i="9" s="1"/>
  <c r="Y84" i="9"/>
  <c r="AB84" i="9" s="1"/>
  <c r="Y20" i="9"/>
  <c r="AB20" i="9" s="1"/>
  <c r="Y57" i="9"/>
  <c r="AB57" i="9" s="1"/>
  <c r="Y214" i="9"/>
  <c r="AB214" i="9" s="1"/>
  <c r="Y150" i="9"/>
  <c r="AB150" i="9" s="1"/>
  <c r="Y86" i="9"/>
  <c r="AB86" i="9" s="1"/>
  <c r="Y22" i="9"/>
  <c r="AB22" i="9" s="1"/>
  <c r="Y67" i="9"/>
  <c r="AB67" i="9" s="1"/>
  <c r="Y171" i="9"/>
  <c r="AB171" i="9" s="1"/>
  <c r="Y32" i="9"/>
  <c r="AB32" i="9" s="1"/>
  <c r="Y169" i="9"/>
  <c r="AB169" i="9" s="1"/>
  <c r="Y78" i="9"/>
  <c r="AB78" i="9" s="1"/>
  <c r="Y116" i="9"/>
  <c r="AB116" i="9" s="1"/>
  <c r="Y210" i="9"/>
  <c r="AB210" i="9" s="1"/>
  <c r="Y16" i="9"/>
  <c r="AB16" i="9" s="1"/>
  <c r="Y145" i="9"/>
  <c r="AB145" i="9" s="1"/>
  <c r="Y68" i="9"/>
  <c r="AB68" i="9" s="1"/>
  <c r="Y134" i="9"/>
  <c r="AB134" i="9" s="1"/>
  <c r="Y208" i="9"/>
  <c r="AB208" i="9" s="1"/>
  <c r="Y141" i="9"/>
  <c r="AB141" i="9" s="1"/>
  <c r="Y101" i="9"/>
  <c r="AB101" i="9" s="1"/>
  <c r="Y186" i="9"/>
  <c r="AB186" i="9" s="1"/>
  <c r="Y165" i="9"/>
  <c r="AB165" i="9" s="1"/>
  <c r="Y61" i="9"/>
  <c r="AB61" i="9" s="1"/>
  <c r="Y207" i="9"/>
  <c r="AB207" i="9" s="1"/>
  <c r="Y140" i="9"/>
  <c r="AB140" i="9" s="1"/>
  <c r="Y23" i="9"/>
  <c r="AB23" i="9" s="1"/>
  <c r="Y115" i="9"/>
  <c r="AB115" i="9" s="1"/>
  <c r="Y203" i="9"/>
  <c r="AB203" i="9" s="1"/>
  <c r="Y136" i="9"/>
  <c r="AB136" i="9" s="1"/>
  <c r="Y69" i="9"/>
  <c r="AB69" i="9" s="1"/>
  <c r="Y209" i="9"/>
  <c r="AB209" i="9" s="1"/>
  <c r="Y108" i="9"/>
  <c r="AB108" i="9" s="1"/>
  <c r="Y187" i="9"/>
  <c r="AB187" i="9" s="1"/>
  <c r="Y120" i="9"/>
  <c r="AB120" i="9" s="1"/>
  <c r="Y31" i="9"/>
  <c r="AB31" i="9" s="1"/>
  <c r="Y60" i="9"/>
  <c r="AB60" i="9" s="1"/>
  <c r="Y97" i="9"/>
  <c r="AB97" i="9" s="1"/>
  <c r="Y33" i="9"/>
  <c r="AB33" i="9" s="1"/>
  <c r="Y190" i="9"/>
  <c r="AB190" i="9" s="1"/>
  <c r="Y126" i="9"/>
  <c r="AB126" i="9" s="1"/>
  <c r="Y62" i="9"/>
  <c r="AB62" i="9" s="1"/>
  <c r="Y107" i="9"/>
  <c r="AB107" i="9" s="1"/>
  <c r="Y43" i="9"/>
  <c r="AB43" i="9" s="1"/>
  <c r="Y66" i="9"/>
  <c r="AB66" i="9" s="1"/>
  <c r="Y213" i="9"/>
  <c r="AB213" i="9" s="1"/>
  <c r="Y100" i="9"/>
  <c r="AB100" i="9" s="1"/>
  <c r="Y63" i="9"/>
  <c r="AB63" i="9" s="1"/>
  <c r="Y49" i="9"/>
  <c r="AB49" i="9" s="1"/>
  <c r="Y50" i="9"/>
  <c r="AB50" i="9" s="1"/>
  <c r="Y143" i="9"/>
  <c r="AB143" i="9" s="1"/>
  <c r="Y41" i="9"/>
  <c r="AB41" i="9" s="1"/>
  <c r="Y88" i="9"/>
  <c r="AB88" i="9" s="1"/>
  <c r="Y196" i="9"/>
  <c r="AB196" i="9" s="1"/>
  <c r="Y24" i="9"/>
  <c r="AB24" i="9" s="1"/>
  <c r="Y129" i="9"/>
  <c r="AB129" i="9" s="1"/>
  <c r="Y82" i="9"/>
  <c r="AB82" i="9" s="1"/>
  <c r="Y125" i="9"/>
  <c r="AB125" i="9" s="1"/>
  <c r="Y162" i="9"/>
  <c r="AB162" i="9" s="1"/>
  <c r="Y45" i="9"/>
  <c r="AB45" i="9" s="1"/>
  <c r="Y204" i="9"/>
  <c r="AB204" i="9" s="1"/>
  <c r="Y137" i="9"/>
  <c r="AB137" i="9" s="1"/>
  <c r="Y179" i="9"/>
  <c r="AB179" i="9" s="1"/>
  <c r="Y112" i="9"/>
  <c r="AB112" i="9" s="1"/>
  <c r="Y200" i="9"/>
  <c r="AB200" i="9" s="1"/>
  <c r="Y133" i="9"/>
  <c r="AB133" i="9" s="1"/>
  <c r="Y53" i="9"/>
  <c r="AB53" i="9" s="1"/>
  <c r="Y163" i="9"/>
  <c r="AB163" i="9" s="1"/>
  <c r="Y95" i="9"/>
  <c r="AB95" i="9" s="1"/>
  <c r="Y184" i="9"/>
  <c r="AB184" i="9" s="1"/>
  <c r="Y117" i="9"/>
  <c r="AB117" i="9" s="1"/>
  <c r="Y15" i="9"/>
  <c r="AB15" i="9" s="1"/>
  <c r="Y52" i="9"/>
  <c r="AB52" i="9" s="1"/>
  <c r="Y89" i="9"/>
  <c r="AB89" i="9" s="1"/>
  <c r="Y25" i="9"/>
  <c r="AB25" i="9" s="1"/>
  <c r="Y182" i="9"/>
  <c r="AB182" i="9" s="1"/>
  <c r="Y118" i="9"/>
  <c r="AB118" i="9" s="1"/>
  <c r="Y54" i="9"/>
  <c r="AB54" i="9" s="1"/>
  <c r="Y99" i="9"/>
  <c r="AB99" i="9" s="1"/>
  <c r="P213" i="9"/>
  <c r="T213" i="9" s="1"/>
  <c r="P101" i="9"/>
  <c r="T101" i="9" s="1"/>
  <c r="P37" i="9"/>
  <c r="T37" i="9" s="1"/>
  <c r="P188" i="9"/>
  <c r="T188" i="9" s="1"/>
  <c r="P124" i="9"/>
  <c r="T124" i="9" s="1"/>
  <c r="P60" i="9"/>
  <c r="T60" i="9" s="1"/>
  <c r="P203" i="9"/>
  <c r="T203" i="9" s="1"/>
  <c r="P115" i="9"/>
  <c r="T115" i="9" s="1"/>
  <c r="P35" i="9"/>
  <c r="T35" i="9" s="1"/>
  <c r="P162" i="9"/>
  <c r="T162" i="9" s="1"/>
  <c r="P74" i="9"/>
  <c r="T74" i="9" s="1"/>
  <c r="P161" i="9"/>
  <c r="T161" i="9" s="1"/>
  <c r="P209" i="9"/>
  <c r="T209" i="9" s="1"/>
  <c r="P157" i="9"/>
  <c r="T157" i="9" s="1"/>
  <c r="P93" i="9"/>
  <c r="T93" i="9" s="1"/>
  <c r="P29" i="9"/>
  <c r="T29" i="9" s="1"/>
  <c r="P180" i="9"/>
  <c r="T180" i="9" s="1"/>
  <c r="P116" i="9"/>
  <c r="T116" i="9" s="1"/>
  <c r="P52" i="9"/>
  <c r="T52" i="9" s="1"/>
  <c r="P195" i="9"/>
  <c r="T195" i="9" s="1"/>
  <c r="P107" i="9"/>
  <c r="T107" i="9" s="1"/>
  <c r="P19" i="9"/>
  <c r="T19" i="9" s="1"/>
  <c r="P154" i="9"/>
  <c r="T154" i="9" s="1"/>
  <c r="P66" i="9"/>
  <c r="T66" i="9" s="1"/>
  <c r="P197" i="9"/>
  <c r="T197" i="9" s="1"/>
  <c r="P149" i="9"/>
  <c r="T149" i="9" s="1"/>
  <c r="P85" i="9"/>
  <c r="T85" i="9" s="1"/>
  <c r="P21" i="9"/>
  <c r="T21" i="9" s="1"/>
  <c r="P172" i="9"/>
  <c r="T172" i="9" s="1"/>
  <c r="P108" i="9"/>
  <c r="T108" i="9" s="1"/>
  <c r="P44" i="9"/>
  <c r="T44" i="9" s="1"/>
  <c r="P179" i="9"/>
  <c r="T179" i="9" s="1"/>
  <c r="P99" i="9"/>
  <c r="T99" i="9" s="1"/>
  <c r="P11" i="9"/>
  <c r="T11" i="9" s="1"/>
  <c r="P138" i="9"/>
  <c r="T138" i="9" s="1"/>
  <c r="P58" i="9"/>
  <c r="T58" i="9" s="1"/>
  <c r="P189" i="9"/>
  <c r="T189" i="9" s="1"/>
  <c r="P34" i="9"/>
  <c r="T34" i="9" s="1"/>
  <c r="P106" i="9"/>
  <c r="T106" i="9" s="1"/>
  <c r="P69" i="9"/>
  <c r="T69" i="9" s="1"/>
  <c r="P156" i="9"/>
  <c r="T156" i="9" s="1"/>
  <c r="P28" i="9"/>
  <c r="T28" i="9" s="1"/>
  <c r="P202" i="9"/>
  <c r="T202" i="9" s="1"/>
  <c r="P181" i="9"/>
  <c r="T181" i="9" s="1"/>
  <c r="P61" i="9"/>
  <c r="T61" i="9" s="1"/>
  <c r="P84" i="9"/>
  <c r="T84" i="9" s="1"/>
  <c r="P117" i="9"/>
  <c r="T117" i="9" s="1"/>
  <c r="P98" i="9"/>
  <c r="T98" i="9" s="1"/>
  <c r="P133" i="9"/>
  <c r="T133" i="9" s="1"/>
  <c r="P220" i="9"/>
  <c r="T220" i="9" s="1"/>
  <c r="P92" i="9"/>
  <c r="T92" i="9" s="1"/>
  <c r="P163" i="9"/>
  <c r="T163" i="9" s="1"/>
  <c r="P75" i="9"/>
  <c r="T75" i="9" s="1"/>
  <c r="P122" i="9"/>
  <c r="T122" i="9" s="1"/>
  <c r="P125" i="9"/>
  <c r="T125" i="9" s="1"/>
  <c r="P212" i="9"/>
  <c r="T212" i="9" s="1"/>
  <c r="P148" i="9"/>
  <c r="T148" i="9" s="1"/>
  <c r="P20" i="9"/>
  <c r="T20" i="9" s="1"/>
  <c r="P147" i="9"/>
  <c r="T147" i="9" s="1"/>
  <c r="P67" i="9"/>
  <c r="T67" i="9" s="1"/>
  <c r="P194" i="9"/>
  <c r="T194" i="9" s="1"/>
  <c r="P177" i="9"/>
  <c r="T177" i="9" s="1"/>
  <c r="P53" i="9"/>
  <c r="T53" i="9" s="1"/>
  <c r="P204" i="9"/>
  <c r="T204" i="9" s="1"/>
  <c r="P140" i="9"/>
  <c r="T140" i="9" s="1"/>
  <c r="P76" i="9"/>
  <c r="T76" i="9" s="1"/>
  <c r="P12" i="9"/>
  <c r="T12" i="9" s="1"/>
  <c r="P139" i="9"/>
  <c r="T139" i="9" s="1"/>
  <c r="P51" i="9"/>
  <c r="T51" i="9" s="1"/>
  <c r="P186" i="9"/>
  <c r="T186" i="9" s="1"/>
  <c r="P221" i="9"/>
  <c r="T221" i="9" s="1"/>
  <c r="P165" i="9"/>
  <c r="T165" i="9" s="1"/>
  <c r="P113" i="9"/>
  <c r="T113" i="9" s="1"/>
  <c r="P49" i="9"/>
  <c r="T49" i="9" s="1"/>
  <c r="P200" i="9"/>
  <c r="T200" i="9" s="1"/>
  <c r="P136" i="9"/>
  <c r="T136" i="9" s="1"/>
  <c r="P72" i="9"/>
  <c r="T72" i="9" s="1"/>
  <c r="P211" i="9"/>
  <c r="T211" i="9" s="1"/>
  <c r="P131" i="9"/>
  <c r="T131" i="9" s="1"/>
  <c r="P43" i="9"/>
  <c r="T43" i="9" s="1"/>
  <c r="P170" i="9"/>
  <c r="T170" i="9" s="1"/>
  <c r="P90" i="9"/>
  <c r="T90" i="9" s="1"/>
  <c r="P10" i="9"/>
  <c r="T10" i="9" s="1"/>
  <c r="P129" i="9"/>
  <c r="T129" i="9" s="1"/>
  <c r="P97" i="9"/>
  <c r="T97" i="9" s="1"/>
  <c r="P65" i="9"/>
  <c r="T65" i="9" s="1"/>
  <c r="P33" i="9"/>
  <c r="T33" i="9" s="1"/>
  <c r="P216" i="9"/>
  <c r="T216" i="9" s="1"/>
  <c r="P184" i="9"/>
  <c r="T184" i="9" s="1"/>
  <c r="P152" i="9"/>
  <c r="T152" i="9" s="1"/>
  <c r="P120" i="9"/>
  <c r="T120" i="9" s="1"/>
  <c r="P88" i="9"/>
  <c r="T88" i="9" s="1"/>
  <c r="P56" i="9"/>
  <c r="T56" i="9" s="1"/>
  <c r="P24" i="9"/>
  <c r="T24" i="9" s="1"/>
  <c r="P207" i="9"/>
  <c r="T207" i="9" s="1"/>
  <c r="P175" i="9"/>
  <c r="T175" i="9" s="1"/>
  <c r="P143" i="9"/>
  <c r="T143" i="9" s="1"/>
  <c r="P111" i="9"/>
  <c r="T111" i="9" s="1"/>
  <c r="P79" i="9"/>
  <c r="T79" i="9" s="1"/>
  <c r="P47" i="9"/>
  <c r="T47" i="9" s="1"/>
  <c r="P15" i="9"/>
  <c r="T15" i="9" s="1"/>
  <c r="P198" i="9"/>
  <c r="T198" i="9" s="1"/>
  <c r="P166" i="9"/>
  <c r="T166" i="9" s="1"/>
  <c r="P134" i="9"/>
  <c r="T134" i="9" s="1"/>
  <c r="P102" i="9"/>
  <c r="T102" i="9" s="1"/>
  <c r="P70" i="9"/>
  <c r="T70" i="9" s="1"/>
  <c r="P38" i="9"/>
  <c r="T38" i="9" s="1"/>
  <c r="P6" i="9"/>
  <c r="T6" i="9" s="1"/>
  <c r="P217" i="9"/>
  <c r="T217" i="9" s="1"/>
  <c r="P185" i="9"/>
  <c r="T185" i="9" s="1"/>
  <c r="P153" i="9"/>
  <c r="T153" i="9" s="1"/>
  <c r="P121" i="9"/>
  <c r="T121" i="9" s="1"/>
  <c r="P89" i="9"/>
  <c r="T89" i="9" s="1"/>
  <c r="P57" i="9"/>
  <c r="T57" i="9" s="1"/>
  <c r="P25" i="9"/>
  <c r="T25" i="9" s="1"/>
  <c r="P208" i="9"/>
  <c r="T208" i="9" s="1"/>
  <c r="P176" i="9"/>
  <c r="T176" i="9" s="1"/>
  <c r="P144" i="9"/>
  <c r="T144" i="9" s="1"/>
  <c r="P112" i="9"/>
  <c r="T112" i="9" s="1"/>
  <c r="P80" i="9"/>
  <c r="T80" i="9" s="1"/>
  <c r="P48" i="9"/>
  <c r="T48" i="9" s="1"/>
  <c r="P16" i="9"/>
  <c r="T16" i="9" s="1"/>
  <c r="P199" i="9"/>
  <c r="T199" i="9" s="1"/>
  <c r="P167" i="9"/>
  <c r="T167" i="9" s="1"/>
  <c r="P135" i="9"/>
  <c r="T135" i="9" s="1"/>
  <c r="P103" i="9"/>
  <c r="T103" i="9" s="1"/>
  <c r="P71" i="9"/>
  <c r="T71" i="9" s="1"/>
  <c r="P39" i="9"/>
  <c r="T39" i="9" s="1"/>
  <c r="P7" i="9"/>
  <c r="T7" i="9" s="1"/>
  <c r="P190" i="9"/>
  <c r="T190" i="9" s="1"/>
  <c r="P158" i="9"/>
  <c r="T158" i="9" s="1"/>
  <c r="P126" i="9"/>
  <c r="T126" i="9" s="1"/>
  <c r="P94" i="9"/>
  <c r="T94" i="9" s="1"/>
  <c r="P62" i="9"/>
  <c r="T62" i="9" s="1"/>
  <c r="P30" i="9"/>
  <c r="T30" i="9" s="1"/>
  <c r="P26" i="9"/>
  <c r="T26" i="9" s="1"/>
  <c r="P22" i="9"/>
  <c r="T22" i="9" s="1"/>
  <c r="P18" i="9"/>
  <c r="T18" i="9" s="1"/>
  <c r="P8" i="9"/>
  <c r="T8" i="9" s="1"/>
  <c r="P191" i="9"/>
  <c r="T191" i="9" s="1"/>
  <c r="P159" i="9"/>
  <c r="T159" i="9" s="1"/>
  <c r="P127" i="9"/>
  <c r="T127" i="9" s="1"/>
  <c r="P95" i="9"/>
  <c r="T95" i="9" s="1"/>
  <c r="P63" i="9"/>
  <c r="T63" i="9" s="1"/>
  <c r="P31" i="9"/>
  <c r="T31" i="9" s="1"/>
  <c r="P214" i="9"/>
  <c r="T214" i="9" s="1"/>
  <c r="P182" i="9"/>
  <c r="T182" i="9" s="1"/>
  <c r="P150" i="9"/>
  <c r="T150" i="9" s="1"/>
  <c r="P118" i="9"/>
  <c r="T118" i="9" s="1"/>
  <c r="P86" i="9"/>
  <c r="T86" i="9" s="1"/>
  <c r="P54" i="9"/>
  <c r="T54" i="9" s="1"/>
  <c r="P205" i="9"/>
  <c r="T205" i="9" s="1"/>
  <c r="P173" i="9"/>
  <c r="T173" i="9" s="1"/>
  <c r="P141" i="9"/>
  <c r="T141" i="9" s="1"/>
  <c r="P109" i="9"/>
  <c r="T109" i="9" s="1"/>
  <c r="P77" i="9"/>
  <c r="T77" i="9" s="1"/>
  <c r="P45" i="9"/>
  <c r="T45" i="9" s="1"/>
  <c r="P13" i="9"/>
  <c r="T13" i="9" s="1"/>
  <c r="P196" i="9"/>
  <c r="T196" i="9" s="1"/>
  <c r="P164" i="9"/>
  <c r="T164" i="9" s="1"/>
  <c r="P132" i="9"/>
  <c r="T132" i="9" s="1"/>
  <c r="P100" i="9"/>
  <c r="T100" i="9" s="1"/>
  <c r="P68" i="9"/>
  <c r="T68" i="9" s="1"/>
  <c r="P36" i="9"/>
  <c r="T36" i="9" s="1"/>
  <c r="P219" i="9"/>
  <c r="T219" i="9" s="1"/>
  <c r="P187" i="9"/>
  <c r="T187" i="9" s="1"/>
  <c r="P155" i="9"/>
  <c r="T155" i="9" s="1"/>
  <c r="P123" i="9"/>
  <c r="T123" i="9" s="1"/>
  <c r="P91" i="9"/>
  <c r="T91" i="9" s="1"/>
  <c r="P59" i="9"/>
  <c r="T59" i="9" s="1"/>
  <c r="P27" i="9"/>
  <c r="T27" i="9" s="1"/>
  <c r="P210" i="9"/>
  <c r="T210" i="9" s="1"/>
  <c r="P178" i="9"/>
  <c r="T178" i="9" s="1"/>
  <c r="P146" i="9"/>
  <c r="T146" i="9" s="1"/>
  <c r="P114" i="9"/>
  <c r="T114" i="9" s="1"/>
  <c r="P82" i="9"/>
  <c r="T82" i="9" s="1"/>
  <c r="P50" i="9"/>
  <c r="T50" i="9" s="1"/>
  <c r="P201" i="9"/>
  <c r="T201" i="9" s="1"/>
  <c r="P169" i="9"/>
  <c r="T169" i="9" s="1"/>
  <c r="P137" i="9"/>
  <c r="T137" i="9" s="1"/>
  <c r="P105" i="9"/>
  <c r="T105" i="9" s="1"/>
  <c r="P73" i="9"/>
  <c r="T73" i="9" s="1"/>
  <c r="P41" i="9"/>
  <c r="T41" i="9" s="1"/>
  <c r="P9" i="9"/>
  <c r="T9" i="9" s="1"/>
  <c r="P192" i="9"/>
  <c r="T192" i="9" s="1"/>
  <c r="P160" i="9"/>
  <c r="T160" i="9" s="1"/>
  <c r="P128" i="9"/>
  <c r="T128" i="9" s="1"/>
  <c r="P96" i="9"/>
  <c r="T96" i="9" s="1"/>
  <c r="P64" i="9"/>
  <c r="T64" i="9" s="1"/>
  <c r="P32" i="9"/>
  <c r="T32" i="9" s="1"/>
  <c r="P215" i="9"/>
  <c r="T215" i="9" s="1"/>
  <c r="P183" i="9"/>
  <c r="T183" i="9" s="1"/>
  <c r="P151" i="9"/>
  <c r="T151" i="9" s="1"/>
  <c r="P119" i="9"/>
  <c r="T119" i="9" s="1"/>
  <c r="P87" i="9"/>
  <c r="T87" i="9" s="1"/>
  <c r="P55" i="9"/>
  <c r="T55" i="9" s="1"/>
  <c r="P23" i="9"/>
  <c r="T23" i="9" s="1"/>
  <c r="P206" i="9"/>
  <c r="T206" i="9" s="1"/>
  <c r="P174" i="9"/>
  <c r="T174" i="9" s="1"/>
  <c r="P142" i="9"/>
  <c r="T142" i="9" s="1"/>
  <c r="P110" i="9"/>
  <c r="T110" i="9" s="1"/>
  <c r="P78" i="9"/>
  <c r="T78" i="9" s="1"/>
  <c r="P46" i="9"/>
  <c r="T46" i="9" s="1"/>
  <c r="P14" i="9"/>
  <c r="T14" i="9" s="1"/>
  <c r="Z152" i="9"/>
  <c r="AC152" i="9" s="1"/>
  <c r="Z165" i="9"/>
  <c r="AC165" i="9" s="1"/>
  <c r="Z110" i="9"/>
  <c r="AC110" i="9" s="1"/>
  <c r="Z8" i="9"/>
  <c r="AC8" i="9" s="1"/>
  <c r="Z34" i="9"/>
  <c r="AC34" i="9" s="1"/>
  <c r="Z184" i="9"/>
  <c r="AC184" i="9" s="1"/>
  <c r="Z89" i="9"/>
  <c r="AC89" i="9" s="1"/>
  <c r="Z48" i="9"/>
  <c r="AC48" i="9" s="1"/>
  <c r="Z85" i="9"/>
  <c r="AC85" i="9" s="1"/>
  <c r="Z169" i="9"/>
  <c r="AC169" i="9" s="1"/>
  <c r="Z7" i="9"/>
  <c r="AC7" i="9" s="1"/>
  <c r="Z140" i="9"/>
  <c r="AC140" i="9" s="1"/>
  <c r="Z84" i="9"/>
  <c r="AC84" i="9" s="1"/>
  <c r="Z130" i="9"/>
  <c r="AC130" i="9" s="1"/>
  <c r="Z203" i="9"/>
  <c r="AC203" i="9" s="1"/>
  <c r="Z100" i="9"/>
  <c r="AC100" i="9" s="1"/>
  <c r="Z163" i="9"/>
  <c r="AC163" i="9" s="1"/>
  <c r="Z93" i="9"/>
  <c r="AC93" i="9" s="1"/>
  <c r="Z53" i="9"/>
  <c r="AC53" i="9" s="1"/>
  <c r="Z73" i="9"/>
  <c r="AC73" i="9" s="1"/>
  <c r="Z18" i="9"/>
  <c r="AC18" i="9" s="1"/>
  <c r="Z166" i="9"/>
  <c r="AC166" i="9" s="1"/>
  <c r="Z155" i="9"/>
  <c r="AC155" i="9" s="1"/>
  <c r="Z173" i="9"/>
  <c r="AC173" i="9" s="1"/>
  <c r="Z117" i="9"/>
  <c r="AC117" i="9" s="1"/>
  <c r="Z139" i="9"/>
  <c r="AC139" i="9" s="1"/>
  <c r="Z109" i="9"/>
  <c r="AC109" i="9" s="1"/>
  <c r="Z137" i="9"/>
  <c r="AC137" i="9" s="1"/>
  <c r="Z92" i="9"/>
  <c r="AC92" i="9" s="1"/>
  <c r="Z206" i="9"/>
  <c r="AC206" i="9" s="1"/>
  <c r="Z15" i="9"/>
  <c r="AC15" i="9" s="1"/>
  <c r="Z9" i="9"/>
  <c r="AC9" i="9" s="1"/>
  <c r="Z75" i="9"/>
  <c r="AC75" i="9" s="1"/>
  <c r="Z217" i="9"/>
  <c r="AC217" i="9" s="1"/>
  <c r="Z186" i="9"/>
  <c r="AC186" i="9" s="1"/>
  <c r="Z12" i="9"/>
  <c r="AC12" i="9" s="1"/>
  <c r="Z148" i="9"/>
  <c r="AC148" i="9" s="1"/>
  <c r="Z196" i="9"/>
  <c r="AC196" i="9" s="1"/>
  <c r="Z70" i="9"/>
  <c r="AC70" i="9" s="1"/>
  <c r="Z35" i="9"/>
  <c r="AC35" i="9" s="1"/>
  <c r="Z168" i="9"/>
  <c r="AC168" i="9" s="1"/>
  <c r="Z183" i="9"/>
  <c r="AC183" i="9" s="1"/>
  <c r="Z5" i="9"/>
  <c r="AC5" i="9" s="1"/>
  <c r="Z145" i="9"/>
  <c r="AC145" i="9" s="1"/>
  <c r="Z193" i="9"/>
  <c r="AC193" i="9" s="1"/>
  <c r="Z62" i="9"/>
  <c r="AC62" i="9" s="1"/>
  <c r="Z27" i="9"/>
  <c r="AC27" i="9" s="1"/>
  <c r="Z106" i="9"/>
  <c r="AC106" i="9" s="1"/>
  <c r="Z177" i="9"/>
  <c r="AC177" i="9" s="1"/>
  <c r="Z197" i="9"/>
  <c r="AC197" i="9" s="1"/>
  <c r="Z108" i="9"/>
  <c r="AC108" i="9" s="1"/>
  <c r="Z144" i="9"/>
  <c r="AC144" i="9" s="1"/>
  <c r="Z46" i="9"/>
  <c r="AC46" i="9" s="1"/>
  <c r="Z11" i="9"/>
  <c r="AC11" i="9" s="1"/>
  <c r="Z45" i="9"/>
  <c r="AC45" i="9" s="1"/>
  <c r="Z162" i="9"/>
  <c r="AC162" i="9" s="1"/>
  <c r="Z174" i="9"/>
  <c r="AC174" i="9" s="1"/>
  <c r="Z170" i="9"/>
  <c r="AC170" i="9" s="1"/>
  <c r="Z194" i="9"/>
  <c r="AC194" i="9" s="1"/>
  <c r="Z37" i="9"/>
  <c r="AC37" i="9" s="1"/>
  <c r="Z95" i="9"/>
  <c r="AC95" i="9" s="1"/>
  <c r="Z114" i="9"/>
  <c r="AC114" i="9" s="1"/>
  <c r="Z141" i="9"/>
  <c r="AC141" i="9" s="1"/>
  <c r="Z65" i="9"/>
  <c r="AC65" i="9" s="1"/>
  <c r="Z38" i="9"/>
  <c r="AC38" i="9" s="1"/>
  <c r="Z131" i="9"/>
  <c r="AC131" i="9" s="1"/>
  <c r="Z104" i="9"/>
  <c r="AC104" i="9" s="1"/>
  <c r="Z207" i="9"/>
  <c r="AC207" i="9" s="1"/>
  <c r="Z87" i="9"/>
  <c r="AC87" i="9" s="1"/>
  <c r="Z210" i="9"/>
  <c r="AC210" i="9" s="1"/>
  <c r="Z119" i="9"/>
  <c r="AC119" i="9" s="1"/>
  <c r="Z158" i="9"/>
  <c r="AC158" i="9" s="1"/>
  <c r="Z182" i="9"/>
  <c r="AC182" i="9" s="1"/>
  <c r="Z215" i="9"/>
  <c r="AC215" i="9" s="1"/>
  <c r="Z42" i="9"/>
  <c r="AC42" i="9" s="1"/>
  <c r="Z63" i="9"/>
  <c r="AC63" i="9" s="1"/>
  <c r="Z129" i="9"/>
  <c r="AC129" i="9" s="1"/>
  <c r="Z33" i="9"/>
  <c r="AC33" i="9" s="1"/>
  <c r="Z6" i="9"/>
  <c r="AC6" i="9" s="1"/>
  <c r="Z99" i="9"/>
  <c r="AC99" i="9" s="1"/>
  <c r="Z72" i="9"/>
  <c r="AC72" i="9" s="1"/>
  <c r="Z146" i="9"/>
  <c r="AC146" i="9" s="1"/>
  <c r="Z23" i="9"/>
  <c r="AC23" i="9" s="1"/>
  <c r="Z198" i="9"/>
  <c r="AC198" i="9" s="1"/>
  <c r="Z116" i="9"/>
  <c r="AC116" i="9" s="1"/>
  <c r="Z112" i="9"/>
  <c r="AC112" i="9" s="1"/>
  <c r="Z136" i="9"/>
  <c r="AC136" i="9" s="1"/>
  <c r="Z212" i="9"/>
  <c r="AC212" i="9" s="1"/>
  <c r="Z26" i="9"/>
  <c r="AC26" i="9" s="1"/>
  <c r="Z47" i="9"/>
  <c r="AC47" i="9" s="1"/>
  <c r="Z126" i="9"/>
  <c r="AC126" i="9" s="1"/>
  <c r="Z25" i="9"/>
  <c r="AC25" i="9" s="1"/>
  <c r="Z219" i="9"/>
  <c r="AC219" i="9" s="1"/>
  <c r="Z91" i="9"/>
  <c r="AC91" i="9" s="1"/>
  <c r="Z64" i="9"/>
  <c r="AC64" i="9" s="1"/>
  <c r="Z71" i="9"/>
  <c r="AC71" i="9" s="1"/>
  <c r="Z153" i="9"/>
  <c r="AC153" i="9" s="1"/>
  <c r="Z97" i="9"/>
  <c r="AC97" i="9" s="1"/>
  <c r="Z101" i="9"/>
  <c r="AC101" i="9" s="1"/>
  <c r="Z76" i="9"/>
  <c r="AC76" i="9" s="1"/>
  <c r="Z127" i="9"/>
  <c r="AC127" i="9" s="1"/>
  <c r="Z160" i="9"/>
  <c r="AC160" i="9" s="1"/>
  <c r="Z181" i="9"/>
  <c r="AC181" i="9" s="1"/>
  <c r="Z208" i="9"/>
  <c r="AC208" i="9" s="1"/>
  <c r="Z68" i="9"/>
  <c r="AC68" i="9" s="1"/>
  <c r="Z102" i="9"/>
  <c r="AC102" i="9" s="1"/>
  <c r="Z195" i="9"/>
  <c r="AC195" i="9" s="1"/>
  <c r="Z67" i="9"/>
  <c r="AC67" i="9" s="1"/>
  <c r="Z40" i="9"/>
  <c r="AC40" i="9" s="1"/>
  <c r="Z134" i="9"/>
  <c r="AC134" i="9" s="1"/>
  <c r="Z156" i="9"/>
  <c r="AC156" i="9" s="1"/>
  <c r="Z214" i="9"/>
  <c r="AC214" i="9" s="1"/>
  <c r="Z39" i="9"/>
  <c r="AC39" i="9" s="1"/>
  <c r="Z149" i="9"/>
  <c r="AC149" i="9" s="1"/>
  <c r="Z180" i="9"/>
  <c r="AC180" i="9" s="1"/>
  <c r="Z113" i="9"/>
  <c r="AC113" i="9" s="1"/>
  <c r="Z176" i="9"/>
  <c r="AC176" i="9" s="1"/>
  <c r="Z105" i="9"/>
  <c r="AC105" i="9" s="1"/>
  <c r="Z200" i="9"/>
  <c r="AC200" i="9" s="1"/>
  <c r="Z133" i="9"/>
  <c r="AC133" i="9" s="1"/>
  <c r="Z69" i="9"/>
  <c r="AC69" i="9" s="1"/>
  <c r="Z209" i="9"/>
  <c r="AC209" i="9" s="1"/>
  <c r="Z142" i="9"/>
  <c r="AC142" i="9" s="1"/>
  <c r="Z10" i="9"/>
  <c r="AC10" i="9" s="1"/>
  <c r="Z120" i="9"/>
  <c r="AC120" i="9" s="1"/>
  <c r="Z31" i="9"/>
  <c r="AC31" i="9" s="1"/>
  <c r="Z190" i="9"/>
  <c r="AC190" i="9" s="1"/>
  <c r="Z98" i="9"/>
  <c r="AC98" i="9" s="1"/>
  <c r="Z81" i="9"/>
  <c r="AC81" i="9" s="1"/>
  <c r="Z17" i="9"/>
  <c r="AC17" i="9" s="1"/>
  <c r="Z54" i="9"/>
  <c r="AC54" i="9" s="1"/>
  <c r="Z211" i="9"/>
  <c r="AC211" i="9" s="1"/>
  <c r="Z147" i="9"/>
  <c r="AC147" i="9" s="1"/>
  <c r="Z83" i="9"/>
  <c r="AC83" i="9" s="1"/>
  <c r="Z19" i="9"/>
  <c r="AC19" i="9" s="1"/>
  <c r="Z56" i="9"/>
  <c r="AC56" i="9" s="1"/>
  <c r="Z220" i="9"/>
  <c r="AC220" i="9" s="1"/>
  <c r="Z216" i="9"/>
  <c r="AC216" i="9" s="1"/>
  <c r="Z61" i="9"/>
  <c r="AC61" i="9" s="1"/>
  <c r="Z150" i="9"/>
  <c r="AC150" i="9" s="1"/>
  <c r="Z55" i="9"/>
  <c r="AC55" i="9" s="1"/>
  <c r="Z128" i="9"/>
  <c r="AC128" i="9" s="1"/>
  <c r="Z82" i="9"/>
  <c r="AC82" i="9" s="1"/>
  <c r="Z167" i="9"/>
  <c r="AC167" i="9" s="1"/>
  <c r="Z60" i="9"/>
  <c r="AC60" i="9" s="1"/>
  <c r="Z191" i="9"/>
  <c r="AC191" i="9" s="1"/>
  <c r="Z124" i="9"/>
  <c r="AC124" i="9" s="1"/>
  <c r="Z21" i="9"/>
  <c r="AC21" i="9" s="1"/>
  <c r="Z157" i="9"/>
  <c r="AC157" i="9" s="1"/>
  <c r="Z90" i="9"/>
  <c r="AC90" i="9" s="1"/>
  <c r="Z178" i="9"/>
  <c r="AC178" i="9" s="1"/>
  <c r="Z111" i="9"/>
  <c r="AC111" i="9" s="1"/>
  <c r="Z205" i="9"/>
  <c r="AC205" i="9" s="1"/>
  <c r="Z138" i="9"/>
  <c r="AC138" i="9" s="1"/>
  <c r="Z52" i="9"/>
  <c r="AC52" i="9" s="1"/>
  <c r="Z57" i="9"/>
  <c r="AC57" i="9" s="1"/>
  <c r="Z94" i="9"/>
  <c r="AC94" i="9" s="1"/>
  <c r="Z30" i="9"/>
  <c r="AC30" i="9" s="1"/>
  <c r="Z187" i="9"/>
  <c r="AC187" i="9" s="1"/>
  <c r="Z123" i="9"/>
  <c r="AC123" i="9" s="1"/>
  <c r="Z59" i="9"/>
  <c r="AC59" i="9" s="1"/>
  <c r="Z96" i="9"/>
  <c r="AC96" i="9" s="1"/>
  <c r="Z32" i="9"/>
  <c r="AC32" i="9" s="1"/>
  <c r="Z159" i="9"/>
  <c r="AC159" i="9" s="1"/>
  <c r="Z204" i="9"/>
  <c r="AC204" i="9" s="1"/>
  <c r="Z213" i="9"/>
  <c r="AC213" i="9" s="1"/>
  <c r="Z77" i="9"/>
  <c r="AC77" i="9" s="1"/>
  <c r="Z192" i="9"/>
  <c r="AC192" i="9" s="1"/>
  <c r="Z125" i="9"/>
  <c r="AC125" i="9" s="1"/>
  <c r="Z66" i="9"/>
  <c r="AC66" i="9" s="1"/>
  <c r="Z164" i="9"/>
  <c r="AC164" i="9" s="1"/>
  <c r="Z44" i="9"/>
  <c r="AC44" i="9" s="1"/>
  <c r="Z188" i="9"/>
  <c r="AC188" i="9" s="1"/>
  <c r="Z121" i="9"/>
  <c r="AC121" i="9" s="1"/>
  <c r="Z221" i="9"/>
  <c r="AC221" i="9" s="1"/>
  <c r="Z154" i="9"/>
  <c r="AC154" i="9" s="1"/>
  <c r="Z74" i="9"/>
  <c r="AC74" i="9" s="1"/>
  <c r="Z175" i="9"/>
  <c r="AC175" i="9" s="1"/>
  <c r="Z103" i="9"/>
  <c r="AC103" i="9" s="1"/>
  <c r="Z202" i="9"/>
  <c r="AC202" i="9" s="1"/>
  <c r="Z135" i="9"/>
  <c r="AC135" i="9" s="1"/>
  <c r="Z36" i="9"/>
  <c r="AC36" i="9" s="1"/>
  <c r="Z49" i="9"/>
  <c r="AC49" i="9" s="1"/>
  <c r="Z86" i="9"/>
  <c r="AC86" i="9" s="1"/>
  <c r="Z22" i="9"/>
  <c r="AC22" i="9" s="1"/>
  <c r="Z179" i="9"/>
  <c r="AC179" i="9" s="1"/>
  <c r="Z115" i="9"/>
  <c r="AC115" i="9" s="1"/>
  <c r="Z51" i="9"/>
  <c r="AC51" i="9" s="1"/>
  <c r="Z88" i="9"/>
  <c r="AC88" i="9" s="1"/>
  <c r="Z24" i="9"/>
  <c r="AC24" i="9" s="1"/>
  <c r="Z29" i="9"/>
  <c r="AC29" i="9" s="1"/>
  <c r="Z143" i="9"/>
  <c r="AC143" i="9" s="1"/>
  <c r="Z201" i="9"/>
  <c r="AC201" i="9" s="1"/>
  <c r="Z13" i="9"/>
  <c r="AC13" i="9" s="1"/>
  <c r="Z189" i="9"/>
  <c r="AC189" i="9" s="1"/>
  <c r="Z122" i="9"/>
  <c r="AC122" i="9" s="1"/>
  <c r="Z50" i="9"/>
  <c r="AC50" i="9" s="1"/>
  <c r="Z161" i="9"/>
  <c r="AC161" i="9" s="1"/>
  <c r="Z28" i="9"/>
  <c r="AC28" i="9" s="1"/>
  <c r="Z185" i="9"/>
  <c r="AC185" i="9" s="1"/>
  <c r="Z118" i="9"/>
  <c r="AC118" i="9" s="1"/>
  <c r="Z218" i="9"/>
  <c r="AC218" i="9" s="1"/>
  <c r="Z151" i="9"/>
  <c r="AC151" i="9" s="1"/>
  <c r="Z58" i="9"/>
  <c r="AC58" i="9" s="1"/>
  <c r="Z172" i="9"/>
  <c r="AC172" i="9" s="1"/>
  <c r="Z79" i="9"/>
  <c r="AC79" i="9" s="1"/>
  <c r="Z199" i="9"/>
  <c r="AC199" i="9" s="1"/>
  <c r="Z132" i="9"/>
  <c r="AC132" i="9" s="1"/>
  <c r="Z20" i="9"/>
  <c r="AC20" i="9" s="1"/>
  <c r="Z41" i="9"/>
  <c r="AC41" i="9" s="1"/>
  <c r="Z78" i="9"/>
  <c r="AC78" i="9" s="1"/>
  <c r="Z14" i="9"/>
  <c r="AC14" i="9" s="1"/>
  <c r="Z171" i="9"/>
  <c r="AC171" i="9" s="1"/>
  <c r="Z107" i="9"/>
  <c r="AC107" i="9" s="1"/>
  <c r="Z43" i="9"/>
  <c r="AC43" i="9" s="1"/>
  <c r="Z80" i="9"/>
  <c r="AC80" i="9" s="1"/>
  <c r="Q13" i="9"/>
  <c r="Q21" i="9"/>
  <c r="Q29" i="9"/>
  <c r="Q37" i="9"/>
  <c r="Q45" i="9"/>
  <c r="Q53" i="9"/>
  <c r="Q61" i="9"/>
  <c r="Q69" i="9"/>
  <c r="Q77" i="9"/>
  <c r="Q85" i="9"/>
  <c r="Q93" i="9"/>
  <c r="Q101" i="9"/>
  <c r="Q109" i="9"/>
  <c r="Q117" i="9"/>
  <c r="Q125" i="9"/>
  <c r="Q133" i="9"/>
  <c r="Q141" i="9"/>
  <c r="Q149" i="9"/>
  <c r="Q157" i="9"/>
  <c r="Q165" i="9"/>
  <c r="Q173" i="9"/>
  <c r="Q181" i="9"/>
  <c r="Q189" i="9"/>
  <c r="Q197" i="9"/>
  <c r="Q205" i="9"/>
  <c r="Q213" i="9"/>
  <c r="Q221" i="9"/>
  <c r="Q52" i="9"/>
  <c r="Q60" i="9"/>
  <c r="Q92" i="9"/>
  <c r="Q116" i="9"/>
  <c r="Q148" i="9"/>
  <c r="Q196" i="9"/>
  <c r="Q6" i="9"/>
  <c r="Q14" i="9"/>
  <c r="Q22" i="9"/>
  <c r="Q30" i="9"/>
  <c r="Q38" i="9"/>
  <c r="Q46" i="9"/>
  <c r="Q54" i="9"/>
  <c r="Q62" i="9"/>
  <c r="Q70" i="9"/>
  <c r="Q78" i="9"/>
  <c r="Q86" i="9"/>
  <c r="Q94" i="9"/>
  <c r="Q102" i="9"/>
  <c r="Q110" i="9"/>
  <c r="Q118" i="9"/>
  <c r="Q126" i="9"/>
  <c r="Q134" i="9"/>
  <c r="Q142" i="9"/>
  <c r="Q150" i="9"/>
  <c r="Q158" i="9"/>
  <c r="Q166" i="9"/>
  <c r="Q174" i="9"/>
  <c r="Q182" i="9"/>
  <c r="Q190" i="9"/>
  <c r="Q198" i="9"/>
  <c r="Q206" i="9"/>
  <c r="Q214" i="9"/>
  <c r="Q44" i="9"/>
  <c r="Q84" i="9"/>
  <c r="Q124" i="9"/>
  <c r="Q172" i="9"/>
  <c r="Q220" i="9"/>
  <c r="Q7" i="9"/>
  <c r="Q15" i="9"/>
  <c r="Q23" i="9"/>
  <c r="Q31" i="9"/>
  <c r="Q39" i="9"/>
  <c r="Q47" i="9"/>
  <c r="Q55" i="9"/>
  <c r="Q63" i="9"/>
  <c r="Q71" i="9"/>
  <c r="Q79" i="9"/>
  <c r="Q87" i="9"/>
  <c r="Q95" i="9"/>
  <c r="Q103" i="9"/>
  <c r="Q111" i="9"/>
  <c r="Q119" i="9"/>
  <c r="Q127" i="9"/>
  <c r="Q135" i="9"/>
  <c r="Q143" i="9"/>
  <c r="Q151" i="9"/>
  <c r="Q159" i="9"/>
  <c r="Q167" i="9"/>
  <c r="Q175" i="9"/>
  <c r="Q183" i="9"/>
  <c r="Q191" i="9"/>
  <c r="Q199" i="9"/>
  <c r="Q207" i="9"/>
  <c r="Q215" i="9"/>
  <c r="Q36" i="9"/>
  <c r="Q76" i="9"/>
  <c r="Q132" i="9"/>
  <c r="Q180" i="9"/>
  <c r="Q8" i="9"/>
  <c r="Q16" i="9"/>
  <c r="Q24" i="9"/>
  <c r="Q32" i="9"/>
  <c r="Q40" i="9"/>
  <c r="Q48" i="9"/>
  <c r="Q56" i="9"/>
  <c r="Q64" i="9"/>
  <c r="Q72" i="9"/>
  <c r="Q80" i="9"/>
  <c r="Q88" i="9"/>
  <c r="Q96" i="9"/>
  <c r="Q104" i="9"/>
  <c r="Q112" i="9"/>
  <c r="Q120" i="9"/>
  <c r="Q128" i="9"/>
  <c r="Q136" i="9"/>
  <c r="Q144" i="9"/>
  <c r="Q152" i="9"/>
  <c r="Q160" i="9"/>
  <c r="Q168" i="9"/>
  <c r="Q176" i="9"/>
  <c r="Q184" i="9"/>
  <c r="Q192" i="9"/>
  <c r="Q200" i="9"/>
  <c r="Q208" i="9"/>
  <c r="Q216" i="9"/>
  <c r="Q28" i="9"/>
  <c r="Q9" i="9"/>
  <c r="Q17" i="9"/>
  <c r="Q25" i="9"/>
  <c r="Q33" i="9"/>
  <c r="Q41" i="9"/>
  <c r="Q49" i="9"/>
  <c r="Q57" i="9"/>
  <c r="Q65" i="9"/>
  <c r="Q73" i="9"/>
  <c r="Q81" i="9"/>
  <c r="Q89" i="9"/>
  <c r="Q97" i="9"/>
  <c r="Q105" i="9"/>
  <c r="Q113" i="9"/>
  <c r="Q121" i="9"/>
  <c r="Q129" i="9"/>
  <c r="Q137" i="9"/>
  <c r="Q145" i="9"/>
  <c r="Q153" i="9"/>
  <c r="Q161" i="9"/>
  <c r="Q169" i="9"/>
  <c r="Q177" i="9"/>
  <c r="Q185" i="9"/>
  <c r="Q193" i="9"/>
  <c r="Q201" i="9"/>
  <c r="Q209" i="9"/>
  <c r="Q217" i="9"/>
  <c r="Q20" i="9"/>
  <c r="Q100" i="9"/>
  <c r="Q164" i="9"/>
  <c r="Q212" i="9"/>
  <c r="Q10" i="9"/>
  <c r="Q18" i="9"/>
  <c r="Q26" i="9"/>
  <c r="Q34" i="9"/>
  <c r="Q42" i="9"/>
  <c r="Q50" i="9"/>
  <c r="Q58" i="9"/>
  <c r="Q66" i="9"/>
  <c r="Q74" i="9"/>
  <c r="Q82" i="9"/>
  <c r="Q90" i="9"/>
  <c r="Q98" i="9"/>
  <c r="Q106" i="9"/>
  <c r="Q114" i="9"/>
  <c r="Q122" i="9"/>
  <c r="Q130" i="9"/>
  <c r="Q138" i="9"/>
  <c r="Q146" i="9"/>
  <c r="Q154" i="9"/>
  <c r="Q162" i="9"/>
  <c r="Q170" i="9"/>
  <c r="Q178" i="9"/>
  <c r="Q186" i="9"/>
  <c r="Q194" i="9"/>
  <c r="Q202" i="9"/>
  <c r="Q210" i="9"/>
  <c r="Q218" i="9"/>
  <c r="Q12" i="9"/>
  <c r="Q68" i="9"/>
  <c r="Q108" i="9"/>
  <c r="Q156" i="9"/>
  <c r="Q188" i="9"/>
  <c r="Q11" i="9"/>
  <c r="Q19" i="9"/>
  <c r="Q27" i="9"/>
  <c r="Q35" i="9"/>
  <c r="Q43" i="9"/>
  <c r="Q51" i="9"/>
  <c r="Q59" i="9"/>
  <c r="Q67" i="9"/>
  <c r="Q75" i="9"/>
  <c r="Q83" i="9"/>
  <c r="Q91" i="9"/>
  <c r="Q99" i="9"/>
  <c r="Q107" i="9"/>
  <c r="Q115" i="9"/>
  <c r="Q123" i="9"/>
  <c r="Q131" i="9"/>
  <c r="Q139" i="9"/>
  <c r="Q147" i="9"/>
  <c r="Q155" i="9"/>
  <c r="Q163" i="9"/>
  <c r="Q171" i="9"/>
  <c r="Q179" i="9"/>
  <c r="Q187" i="9"/>
  <c r="Q195" i="9"/>
  <c r="Q203" i="9"/>
  <c r="Q211" i="9"/>
  <c r="Q219" i="9"/>
  <c r="Q140" i="9"/>
  <c r="Q204" i="9"/>
  <c r="D112" i="13" l="1"/>
  <c r="C113" i="13"/>
  <c r="R3" i="9"/>
  <c r="N3" i="9"/>
  <c r="X3" i="9"/>
  <c r="S3" i="9"/>
  <c r="O3" i="9"/>
  <c r="Y3" i="9"/>
  <c r="T3" i="9"/>
  <c r="P3" i="9"/>
  <c r="AC3" i="9"/>
  <c r="Z3" i="9"/>
  <c r="Q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tc={23AD7505-9BA0-4A39-8219-377BD3FB2702}</author>
    <author>tc={38C44FFC-1C42-4286-A770-984F1B4441A8}</author>
    <author>tc={11C2A493-F816-4E64-ADC3-692A8ECE250D}</author>
    <author>tc={1FCF740C-E9C7-4BEF-8AF3-93195932DF54}</author>
    <author>tc={4F4A5D0C-A6C2-4D05-B12A-08F67D1769B3}</author>
    <author>tc={34343CC5-C1AF-413D-93D6-D02F33D42668}</author>
    <author>tc={DEC6836C-8272-461C-B9D0-5CA5D1654657}</author>
    <author>tc={F1167561-530A-43CE-9813-8B226A14A81D}</author>
    <author>tc={6BD3219C-5FAA-44D1-BC71-E11E8DEF4C17}</author>
    <author>tc={DD41D1AF-1A03-4672-AD1F-887160A9043B}</author>
    <author>tc={5917006C-5380-421E-8734-4FFE37BC521A}</author>
    <author>tc={14CBE8FC-8F5B-4087-B169-202F355F687F}</author>
    <author>tc={22B60932-9308-42EB-AA12-C71ACBB37180}</author>
    <author>tc={D8674499-F26D-443B-AFDA-563E605CA1EA}</author>
    <author>tc={70034777-3A58-40FB-A9FE-5000B72D0C13}</author>
    <author>tc={84B2850F-BB55-479B-98B3-150F91D2E94D}</author>
    <author>tc={B0D2D8EC-734F-4D72-BF97-D1D48FE66798}</author>
    <author>tc={6E5ADD9B-10BB-4443-AEC9-A66D44E8DC76}</author>
    <author>tc={F58C320F-8CA2-4DEF-9470-4F55B7665525}</author>
    <author>tc={A3826B7C-D5EE-4792-A793-D18DAD80BDA3}</author>
  </authors>
  <commentList>
    <comment ref="F12" authorId="0" shapeId="0" xr:uid="{23AD7505-9BA0-4A39-8219-377BD3FB2702}">
      <text>
        <t xml:space="preserve">[Threaded comment]
Your version of Excel allows you to read this threaded comment; however, any edits to it will get removed if the file is opened in a newer version of Excel. Learn more: https://go.microsoft.com/fwlink/?linkid=870924
Comment:
    Was left blank - treated as ‘prefer not to quantify’
</t>
      </text>
    </comment>
    <comment ref="F26" authorId="1" shapeId="0" xr:uid="{38C44FFC-1C42-4286-A770-984F1B4441A8}">
      <text>
        <t>[Threaded comment]
Your version of Excel allows you to read this threaded comment; however, any edits to it will get removed if the file is opened in a newer version of Excel. Learn more: https://go.microsoft.com/fwlink/?linkid=870924
Comment:
    Updated from 175 to 200</t>
      </text>
    </comment>
    <comment ref="F27" authorId="2" shapeId="0" xr:uid="{11C2A493-F816-4E64-ADC3-692A8ECE250D}">
      <text>
        <t>[Threaded comment]
Your version of Excel allows you to read this threaded comment; however, any edits to it will get removed if the file is opened in a newer version of Excel. Learn more: https://go.microsoft.com/fwlink/?linkid=870924
Comment:
    Updated from 175 to 200</t>
      </text>
    </comment>
    <comment ref="E28" authorId="3" shapeId="0" xr:uid="{1FCF740C-E9C7-4BEF-8AF3-93195932DF54}">
      <text>
        <t>[Threaded comment]
Your version of Excel allows you to read this threaded comment; however, any edits to it will get removed if the file is opened in a newer version of Excel. Learn more: https://go.microsoft.com/fwlink/?linkid=870924
Comment:
    Updated to $57b correlated to qualitative answer in Q 1b</t>
      </text>
    </comment>
    <comment ref="D30" authorId="4" shapeId="0" xr:uid="{4F4A5D0C-A6C2-4D05-B12A-08F67D1769B3}">
      <text>
        <t>[Threaded comment]
Your version of Excel allows you to read this threaded comment; however, any edits to it will get removed if the file is opened in a newer version of Excel. Learn more: https://go.microsoft.com/fwlink/?linkid=870924
Comment:
    Used rule of shared band to allocate lower end of band</t>
      </text>
    </comment>
    <comment ref="E30" authorId="5" shapeId="0" xr:uid="{34343CC5-C1AF-413D-93D6-D02F33D42668}">
      <text>
        <t>[Threaded comment]
Your version of Excel allows you to read this threaded comment; however, any edits to it will get removed if the file is opened in a newer version of Excel. Learn more: https://go.microsoft.com/fwlink/?linkid=870924
Comment:
    Updated from 175 to 200</t>
      </text>
    </comment>
    <comment ref="F33" authorId="6" shapeId="0" xr:uid="{DEC6836C-8272-461C-B9D0-5CA5D1654657}">
      <text>
        <t>[Threaded comment]
Your version of Excel allows you to read this threaded comment; however, any edits to it will get removed if the file is opened in a newer version of Excel. Learn more: https://go.microsoft.com/fwlink/?linkid=870924
Comment:
    Previously coded as 600 in Qualtrics, recoded as 500 for a more coherent output in PERT analysis</t>
      </text>
    </comment>
    <comment ref="E34" authorId="7" shapeId="0" xr:uid="{F1167561-530A-43CE-9813-8B226A14A81D}">
      <text>
        <t>[Threaded comment]
Your version of Excel allows you to read this threaded comment; however, any edits to it will get removed if the file is opened in a newer version of Excel. Learn more: https://go.microsoft.com/fwlink/?linkid=870924
Comment:
    Updated from 175 to 200</t>
      </text>
    </comment>
    <comment ref="F34" authorId="8" shapeId="0" xr:uid="{6BD3219C-5FAA-44D1-BC71-E11E8DEF4C17}">
      <text>
        <t>[Threaded comment]
Your version of Excel allows you to read this threaded comment; however, any edits to it will get removed if the file is opened in a newer version of Excel. Learn more: https://go.microsoft.com/fwlink/?linkid=870924
Comment:
    Previously coded as 600 in Qualtrics, recoded as 500 for a more coherent output in PERT analysis</t>
      </text>
    </comment>
    <comment ref="E36" authorId="9" shapeId="0" xr:uid="{DD41D1AF-1A03-4672-AD1F-887160A9043B}">
      <text>
        <t>[Threaded comment]
Your version of Excel allows you to read this threaded comment; however, any edits to it will get removed if the file is opened in a newer version of Excel. Learn more: https://go.microsoft.com/fwlink/?linkid=870924
Comment:
    Updated to be $80b based on qualitative answer to Q1b</t>
      </text>
    </comment>
    <comment ref="D38" authorId="10" shapeId="0" xr:uid="{5917006C-5380-421E-8734-4FFE37BC521A}">
      <text>
        <t>[Threaded comment]
Your version of Excel allows you to read this threaded comment; however, any edits to it will get removed if the file is opened in a newer version of Excel. Learn more: https://go.microsoft.com/fwlink/?linkid=870924
Comment:
    Removed embedded value as the respondent chose ‘prefer not to quantify’</t>
      </text>
    </comment>
    <comment ref="E38" authorId="11" shapeId="0" xr:uid="{14CBE8FC-8F5B-4087-B169-202F355F687F}">
      <text>
        <t>[Threaded comment]
Your version of Excel allows you to read this threaded comment; however, any edits to it will get removed if the file is opened in a newer version of Excel. Learn more: https://go.microsoft.com/fwlink/?linkid=870924
Comment:
    Removed embedded value as the respondent chose ‘prefer not to quantify’</t>
      </text>
    </comment>
    <comment ref="F38" authorId="12" shapeId="0" xr:uid="{22B60932-9308-42EB-AA12-C71ACBB37180}">
      <text>
        <t>[Threaded comment]
Your version of Excel allows you to read this threaded comment; however, any edits to it will get removed if the file is opened in a newer version of Excel. Learn more: https://go.microsoft.com/fwlink/?linkid=870924
Comment:
    Removed embedded value as the respondent chose ‘prefer not to quantify’</t>
      </text>
    </comment>
    <comment ref="D39" authorId="13" shapeId="0" xr:uid="{D8674499-F26D-443B-AFDA-563E605CA1EA}">
      <text>
        <t>[Threaded comment]
Your version of Excel allows you to read this threaded comment; however, any edits to it will get removed if the file is opened in a newer version of Excel. Learn more: https://go.microsoft.com/fwlink/?linkid=870924
Comment:
    Used rule of shared band to allocate lower end of band</t>
      </text>
    </comment>
    <comment ref="E39" authorId="14" shapeId="0" xr:uid="{70034777-3A58-40FB-A9FE-5000B72D0C13}">
      <text>
        <t>[Threaded comment]
Your version of Excel allows you to read this threaded comment; however, any edits to it will get removed if the file is opened in a newer version of Excel. Learn more: https://go.microsoft.com/fwlink/?linkid=870924
Comment:
    Updated from 175 to 200</t>
      </text>
    </comment>
    <comment ref="F111" authorId="15" shapeId="0" xr:uid="{84B2850F-BB55-479B-98B3-150F91D2E94D}">
      <text>
        <t>[Threaded comment]
Your version of Excel allows you to read this threaded comment; however, any edits to it will get removed if the file is opened in a newer version of Excel. Learn more: https://go.microsoft.com/fwlink/?linkid=870924
Comment:
    Used rule of shared band to allocate lower end of band</t>
      </text>
    </comment>
    <comment ref="F115" authorId="16" shapeId="0" xr:uid="{B0D2D8EC-734F-4D72-BF97-D1D48FE66798}">
      <text>
        <t>[Threaded comment]
Your version of Excel allows you to read this threaded comment; however, any edits to it will get removed if the file is opened in a newer version of Excel. Learn more: https://go.microsoft.com/fwlink/?linkid=870924
Comment:
    Numeric scaling factor did not transfer from selected answer - corresponding scaling factor has been added</t>
      </text>
    </comment>
    <comment ref="G115" authorId="17" shapeId="0" xr:uid="{6E5ADD9B-10BB-4443-AEC9-A66D44E8DC76}">
      <text>
        <t>[Threaded comment]
Your version of Excel allows you to read this threaded comment; however, any edits to it will get removed if the file is opened in a newer version of Excel. Learn more: https://go.microsoft.com/fwlink/?linkid=870924
Comment:
    Numeric scaling factor did not transfer from selected answer - corresponding scaling factor has been added</t>
      </text>
    </comment>
    <comment ref="H115" authorId="18" shapeId="0" xr:uid="{F58C320F-8CA2-4DEF-9470-4F55B7665525}">
      <text>
        <t>[Threaded comment]
Your version of Excel allows you to read this threaded comment; however, any edits to it will get removed if the file is opened in a newer version of Excel. Learn more: https://go.microsoft.com/fwlink/?linkid=870924
Comment:
    Numeric scaling factor did not transfer from selected answer - corresponding scaling factor has been added</t>
      </text>
    </comment>
    <comment ref="H123" authorId="19" shapeId="0" xr:uid="{A3826B7C-D5EE-4792-A793-D18DAD80BDA3}">
      <text>
        <t>[Threaded comment]
Your version of Excel allows you to read this threaded comment; however, any edits to it will get removed if the file is opened in a newer version of Excel. Learn more: https://go.microsoft.com/fwlink/?linkid=870924
Comment:
    Used rule of shared band to allocate upper end of band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tc={91C5F464-6D72-4DE5-BDB0-D88ECC9929F3}</author>
    <author>tc={4A953160-4B36-4DE1-8237-76F61B949D96}</author>
    <author>tc={0D10AA32-0B96-4241-A435-0113CAB79A9A}</author>
    <author>tc={599920BB-3EF1-4F34-956C-81D2E16CB98F}</author>
    <author>tc={6AA74A56-084A-42B7-9572-80AC98204481}</author>
    <author>tc={AC163ACD-968B-48C9-B072-1D6667629B06}</author>
    <author>tc={84584EC5-0487-408C-9868-A31F07FEB396}</author>
    <author>tc={B89E7BF6-6F56-4DAF-8E3E-FA92005E26B6}</author>
    <author>tc={9958BA10-5EC2-4C72-B963-D3897BDEF5F0}</author>
    <author>tc={47209021-4C9B-4F73-BF55-61405631E33C}</author>
    <author>tc={260F52D4-E8A9-4A68-B3AF-973A92E890D6}</author>
    <author>tc={7BC92DA5-9A0C-4F5B-BDDF-1D29AF067622}</author>
    <author>tc={CF709E1E-381E-4840-858E-D4EFD88BCA84}</author>
    <author>tc={258FA1B4-C94A-445F-A398-0EDF9822AC7F}</author>
    <author>tc={1419D9E5-93A7-4431-9C93-9C2F3D6EF7DD}</author>
    <author>tc={E5E3AF5B-80BD-4143-AE81-FC06DAFB7471}</author>
  </authors>
  <commentList>
    <comment ref="N4" authorId="0" shapeId="0" xr:uid="{91C5F464-6D72-4DE5-BDB0-D88ECC9929F3}">
      <text>
        <t>[Threaded comment]
Your version of Excel allows you to read this threaded comment; however, any edits to it will get removed if the file is opened in a newer version of Excel. Learn more: https://go.microsoft.com/fwlink/?linkid=870924
Comment:
    Updated from 175 to 200</t>
      </text>
    </comment>
    <comment ref="N5" authorId="1" shapeId="0" xr:uid="{4A953160-4B36-4DE1-8237-76F61B949D96}">
      <text>
        <t>[Threaded comment]
Your version of Excel allows you to read this threaded comment; however, any edits to it will get removed if the file is opened in a newer version of Excel. Learn more: https://go.microsoft.com/fwlink/?linkid=870924
Comment:
    Updated from 175 to 200</t>
      </text>
    </comment>
    <comment ref="AN5" authorId="2" shapeId="0" xr:uid="{0D10AA32-0B96-4241-A435-0113CAB79A9A}">
      <text>
        <t>[Threaded comment]
Your version of Excel allows you to read this threaded comment; however, any edits to it will get removed if the file is opened in a newer version of Excel. Learn more: https://go.microsoft.com/fwlink/?linkid=870924
Comment:
    Used rule of shared band to allocate lower end of band</t>
      </text>
    </comment>
    <comment ref="M6" authorId="3" shapeId="0" xr:uid="{599920BB-3EF1-4F34-956C-81D2E16CB98F}">
      <text>
        <t>[Threaded comment]
Your version of Excel allows you to read this threaded comment; however, any edits to it will get removed if the file is opened in a newer version of Excel. Learn more: https://go.microsoft.com/fwlink/?linkid=870924
Comment:
    Updated to $57b correlated to qualitative answer in Q 1b</t>
      </text>
    </comment>
    <comment ref="L8" authorId="4" shapeId="0" xr:uid="{6AA74A56-084A-42B7-9572-80AC98204481}">
      <text>
        <t>[Threaded comment]
Your version of Excel allows you to read this threaded comment; however, any edits to it will get removed if the file is opened in a newer version of Excel. Learn more: https://go.microsoft.com/fwlink/?linkid=870924
Comment:
    Used rule of shared band to allocate lower end of band</t>
      </text>
    </comment>
    <comment ref="M8" authorId="5" shapeId="0" xr:uid="{AC163ACD-968B-48C9-B072-1D6667629B06}">
      <text>
        <t>[Threaded comment]
Your version of Excel allows you to read this threaded comment; however, any edits to it will get removed if the file is opened in a newer version of Excel. Learn more: https://go.microsoft.com/fwlink/?linkid=870924
Comment:
    Updated from 175 to 200</t>
      </text>
    </comment>
    <comment ref="AN9" authorId="6" shapeId="0" xr:uid="{84584EC5-0487-408C-9868-A31F07FEB396}">
      <text>
        <t>[Threaded comment]
Your version of Excel allows you to read this threaded comment; however, any edits to it will get removed if the file is opened in a newer version of Excel. Learn more: https://go.microsoft.com/fwlink/?linkid=870924
Comment:
    Numeric scaling factor did not transfer from selected answer - corresponding scaling factor has been added</t>
      </text>
    </comment>
    <comment ref="AO9" authorId="7" shapeId="0" xr:uid="{B89E7BF6-6F56-4DAF-8E3E-FA92005E26B6}">
      <text>
        <t>[Threaded comment]
Your version of Excel allows you to read this threaded comment; however, any edits to it will get removed if the file is opened in a newer version of Excel. Learn more: https://go.microsoft.com/fwlink/?linkid=870924
Comment:
    Numeric scaling factor did not transfer from selected answer - corresponding scaling factor has been added</t>
      </text>
    </comment>
    <comment ref="AP9" authorId="8" shapeId="0" xr:uid="{9958BA10-5EC2-4C72-B963-D3897BDEF5F0}">
      <text>
        <t>[Threaded comment]
Your version of Excel allows you to read this threaded comment; however, any edits to it will get removed if the file is opened in a newer version of Excel. Learn more: https://go.microsoft.com/fwlink/?linkid=870924
Comment:
    Numeric scaling factor did not transfer from selected answer - corresponding scaling factor has been added</t>
      </text>
    </comment>
    <comment ref="M14" authorId="9" shapeId="0" xr:uid="{47209021-4C9B-4F73-BF55-61405631E33C}">
      <text>
        <t>[Threaded comment]
Your version of Excel allows you to read this threaded comment; however, any edits to it will get removed if the file is opened in a newer version of Excel. Learn more: https://go.microsoft.com/fwlink/?linkid=870924
Comment:
    Updated to be $80b based on qualitative answer to Q1b</t>
      </text>
    </comment>
    <comment ref="L16" authorId="10" shapeId="0" xr:uid="{260F52D4-E8A9-4A68-B3AF-973A92E890D6}">
      <text>
        <t>[Threaded comment]
Your version of Excel allows you to read this threaded comment; however, any edits to it will get removed if the file is opened in a newer version of Excel. Learn more: https://go.microsoft.com/fwlink/?linkid=870924
Comment:
    Removed embedded value as the respondent chose ‘prefer not to quantify’</t>
      </text>
    </comment>
    <comment ref="M16" authorId="11" shapeId="0" xr:uid="{7BC92DA5-9A0C-4F5B-BDDF-1D29AF067622}">
      <text>
        <t>[Threaded comment]
Your version of Excel allows you to read this threaded comment; however, any edits to it will get removed if the file is opened in a newer version of Excel. Learn more: https://go.microsoft.com/fwlink/?linkid=870924
Comment:
    Removed embedded value as the respondent chose ‘prefer not to quantify’</t>
      </text>
    </comment>
    <comment ref="N16" authorId="12" shapeId="0" xr:uid="{CF709E1E-381E-4840-858E-D4EFD88BCA84}">
      <text>
        <t>[Threaded comment]
Your version of Excel allows you to read this threaded comment; however, any edits to it will get removed if the file is opened in a newer version of Excel. Learn more: https://go.microsoft.com/fwlink/?linkid=870924
Comment:
    Removed embedded value as the respondent chose ‘prefer not to quantify’</t>
      </text>
    </comment>
    <comment ref="L17" authorId="13" shapeId="0" xr:uid="{258FA1B4-C94A-445F-A398-0EDF9822AC7F}">
      <text>
        <t>[Threaded comment]
Your version of Excel allows you to read this threaded comment; however, any edits to it will get removed if the file is opened in a newer version of Excel. Learn more: https://go.microsoft.com/fwlink/?linkid=870924
Comment:
    Used rule of shared band to allocate lower end of band</t>
      </text>
    </comment>
    <comment ref="M17" authorId="14" shapeId="0" xr:uid="{1419D9E5-93A7-4431-9C93-9C2F3D6EF7DD}">
      <text>
        <t>[Threaded comment]
Your version of Excel allows you to read this threaded comment; however, any edits to it will get removed if the file is opened in a newer version of Excel. Learn more: https://go.microsoft.com/fwlink/?linkid=870924
Comment:
    Updated from 175 to 200</t>
      </text>
    </comment>
    <comment ref="AP17" authorId="15" shapeId="0" xr:uid="{E5E3AF5B-80BD-4143-AE81-FC06DAFB7471}">
      <text>
        <t>[Threaded comment]
Your version of Excel allows you to read this threaded comment; however, any edits to it will get removed if the file is opened in a newer version of Excel. Learn more: https://go.microsoft.com/fwlink/?linkid=870924
Comment:
    Used rule of shared band to allocate upper end of band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Beynon (jbeynon@CGDEV.ORG)</author>
  </authors>
  <commentList>
    <comment ref="B88" authorId="0" shapeId="0" xr:uid="{E953F9A6-D527-4FF5-831A-A1A1F7307DF0}">
      <text>
        <r>
          <rPr>
            <b/>
            <sz val="9"/>
            <color indexed="81"/>
            <rFont val="Tahoma"/>
            <family val="2"/>
          </rPr>
          <t>Jonathan Beynon (jbeynon@CGDEV.ORG):</t>
        </r>
        <r>
          <rPr>
            <sz val="9"/>
            <color indexed="81"/>
            <rFont val="Tahoma"/>
            <family val="2"/>
          </rPr>
          <t xml:space="preserve">
excludes international transport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<sst xmlns="http://schemas.openxmlformats.org/spreadsheetml/2006/main" count="5938" uniqueCount="1423">
  <si>
    <t>StartDate</t>
  </si>
  <si>
    <t>EndDate</t>
  </si>
  <si>
    <t>Progress</t>
  </si>
  <si>
    <t>Finished</t>
  </si>
  <si>
    <t>ResponseId</t>
  </si>
  <si>
    <t>LocationLatitude</t>
  </si>
  <si>
    <t>LocationLongitude</t>
  </si>
  <si>
    <t>UserLanguage</t>
  </si>
  <si>
    <t>Q20</t>
  </si>
  <si>
    <t>Q22</t>
  </si>
  <si>
    <t>Q37</t>
  </si>
  <si>
    <t>Q32</t>
  </si>
  <si>
    <t>Create New Field or Choose From Dropdown...</t>
  </si>
  <si>
    <t>__js_damages_lower</t>
  </si>
  <si>
    <t>__js_damages_median</t>
  </si>
  <si>
    <t>__js_damages_upper</t>
  </si>
  <si>
    <t>__js_uk_share_label</t>
  </si>
  <si>
    <t>__js_pak_award_lower</t>
  </si>
  <si>
    <t>__js_pak_award_median</t>
  </si>
  <si>
    <t>__js_pak_award_upper</t>
  </si>
  <si>
    <t>__js_uk_share</t>
  </si>
  <si>
    <t>pakistan_gdp_bn</t>
  </si>
  <si>
    <t>uk_gdp_bn</t>
  </si>
  <si>
    <t>__js_pct_uk_gdp_lower</t>
  </si>
  <si>
    <t>__js_pct_uk_gdp_median</t>
  </si>
  <si>
    <t>__js_pct_uk_gdp_upper</t>
  </si>
  <si>
    <t>__js_pct_pak_gdp_lower</t>
  </si>
  <si>
    <t>__js_pct_pak_gdp_median</t>
  </si>
  <si>
    <t>__js_pct_pak_gdp_upper</t>
  </si>
  <si>
    <t>__js_damages_median_display</t>
  </si>
  <si>
    <t>__js_pct_damages_gdp_lower</t>
  </si>
  <si>
    <t>__js_pct_damages_gdp_median</t>
  </si>
  <si>
    <t>__js_pct_damages_gdp_upper</t>
  </si>
  <si>
    <t>cvc_gdp_bn</t>
  </si>
  <si>
    <t>cvfwopak_gdp_bn</t>
  </si>
  <si>
    <t>__js_cvf_damages_proxy</t>
  </si>
  <si>
    <t>__js_pct_damages_gdp_median_display</t>
  </si>
  <si>
    <t>__js_cvf_flow_*</t>
  </si>
  <si>
    <t>__js_cvf_pct_gdp_*</t>
  </si>
  <si>
    <t>__js_uk_share_pct</t>
  </si>
  <si>
    <t>__js_uk_cvf_*</t>
  </si>
  <si>
    <t>__js_pct_uk_cvf_*</t>
  </si>
  <si>
    <t>Survey_version</t>
  </si>
  <si>
    <t>__js_quant_path</t>
  </si>
  <si>
    <t>__js_prefer_not_count</t>
  </si>
  <si>
    <t>__js_damages_default_used</t>
  </si>
  <si>
    <t>__js_uk_share_default_used</t>
  </si>
  <si>
    <t>__js_cvf_flow_lower</t>
  </si>
  <si>
    <t>__js_cvf_flow_median</t>
  </si>
  <si>
    <t>__js_cvf_flow_upper</t>
  </si>
  <si>
    <t>__js_flow_vs_award_lower</t>
  </si>
  <si>
    <t>__js_flow_vs_award_median</t>
  </si>
  <si>
    <t>__js_flow_vs_award_upper</t>
  </si>
  <si>
    <t>__js_scaling_default_used</t>
  </si>
  <si>
    <t>__js_cvf_pct_gdp_lower</t>
  </si>
  <si>
    <t>__js_cvf_pct_gdp_median</t>
  </si>
  <si>
    <t>__js_cvf_pct_gdp_upper</t>
  </si>
  <si>
    <t>__js_uk_cvf_lower</t>
  </si>
  <si>
    <t>__js_uk_cvf_median</t>
  </si>
  <si>
    <t>__js_uk_cvf_upper</t>
  </si>
  <si>
    <t>__js_pct_uk_cvf_lower</t>
  </si>
  <si>
    <t>__js_pct_uk_cvf_median</t>
  </si>
  <si>
    <t>__js_pct_uk_cvf_upper</t>
  </si>
  <si>
    <t>RecordedDate</t>
  </si>
  <si>
    <t>Q26</t>
  </si>
  <si>
    <t>Q16_1</t>
  </si>
  <si>
    <t>Q11</t>
  </si>
  <si>
    <t>Q33</t>
  </si>
  <si>
    <t>Q13</t>
  </si>
  <si>
    <t>__js_scaling_lower</t>
  </si>
  <si>
    <t>__js_scaling_median</t>
  </si>
  <si>
    <t>__js_scaling_upper</t>
  </si>
  <si>
    <t>Duration (in seconds)</t>
  </si>
  <si>
    <t>Q10_1</t>
  </si>
  <si>
    <t>Q10_2</t>
  </si>
  <si>
    <t>Q10_3</t>
  </si>
  <si>
    <t>Q34</t>
  </si>
  <si>
    <t>Q30</t>
  </si>
  <si>
    <t>Q33_8_TEXT</t>
  </si>
  <si>
    <t>IPAddress</t>
  </si>
  <si>
    <t>Status</t>
  </si>
  <si>
    <t>Q24_1</t>
  </si>
  <si>
    <t>Q24_2</t>
  </si>
  <si>
    <t>Q24_3</t>
  </si>
  <si>
    <t>Start Date</t>
  </si>
  <si>
    <t>End Date</t>
  </si>
  <si>
    <t>Response ID</t>
  </si>
  <si>
    <t>Location Latitude</t>
  </si>
  <si>
    <t>Location Longitude</t>
  </si>
  <si>
    <t>User Language</t>
  </si>
  <si>
    <t>Do you confirm that you have fully read and understood the information above? (*Required question)</t>
  </si>
  <si>
    <t>Do you understand that (please click boxes to indicate your understanding of each):</t>
  </si>
  <si>
    <t>Years of  relevant professional experience</t>
  </si>
  <si>
    <t>Country are you most affiliated to professionally</t>
  </si>
  <si>
    <t>Recorded Date</t>
  </si>
  <si>
    <t>Other recommended experts for this study (name, institution)</t>
  </si>
  <si>
    <t>Q1c: Which of the following most closely reflects the logic you applied above when apportioning U... - Most likely share</t>
  </si>
  <si>
    <t>Question 2b: Please explain your scaling estimate from Question 2a, relative to s = 0 (only the UK Pakistan award) and s =1 (full harm related transfers for Climate Vulnerable Forum States). 
Which one to three channels matter most for that scaling? e.g.  further ICJ contentious cases, ICJ and other international courts advisory effects, domestic litigation, bilateral negotiations, political pressure on multilateral fund contributions, other</t>
  </si>
  <si>
    <t>Question 1d: What factors did you consider when estimating the UK share of internationally wrongful climate harm?
Factors could include:
	timing of obligation of state responsibility crystallising
	principles of international climate law when determining fair shares
	extent to which UK has met its international obligations
	other legally relevant factors</t>
  </si>
  <si>
    <t>Question 1d: What factors do you think the court will consider in the UK share of internationally wrongful climate harm? 
Factors could include:
	 timing of obligation of state responsibility crystallising
	 principles of international climate law when determining fair shares
	 extent to which UK has met its international obligations
	 other legally relevant factors</t>
  </si>
  <si>
    <t>Question 1b: Please describe your approach to determining your central estimate, including whether you used an individual heads or global sum approach?  If you chose 'prefer not to quantify' on question 1a, please describe which approach you believe is most likely to be applied in a climate loss and damage case</t>
  </si>
  <si>
    <t>Question 2a: Please provide bounds and a central estimate of the scaling factor.  Use probabilistic judgment. Central estimate and a bound(s) are allowed in the same band if you have high confidence in that outcome. If you would prefer not to quantify, leave all blank or select all three 'prefer not to quantify' boxes. - Plausible lower bound - s</t>
  </si>
  <si>
    <t>Question 2a: Please provide bounds and a central estimate of the scaling factor.  Use probabilistic judgment. Central estimate and a bound(s) are allowed in the same band if you have high confidence in that outcome. If you would prefer not to quantify, leave all blank or select all three 'prefer not to quantify' boxes. - Plausible upper bound - s</t>
  </si>
  <si>
    <t>Question 2a: Please provide bounds and a central estimate of the scaling factor.  Use probabilistic judgment. Central estimate and a bound(s) are allowed in the same band if you have high confidence in that outcome. If you would prefer not to quantify, leave all blank or select all three 'prefer not to quantify' boxes. - Central estimate  or median - s</t>
  </si>
  <si>
    <t>Question 2 b (qualitative): You selected 'Prefer not to quantify' for the scaling factor. Without putting a number on s -  how do you expect a first ICJ compensation award (Pakistan v UK) to affect compensation and loss-and-damage-related financial flows to Climate Vulnerable Forum states over the following 15 years? Do you expect the effect to be minimal, limited, moderate, substantial, or transformative?
Which one to three channels matter most? e.g. further ICJ contentious cases, ICJ and other international courts advisory effects, domestic litigation, bilateral negotiations, political pressure on multilateral fund contributions, other</t>
  </si>
  <si>
    <t>Question 1a: Temporal scope - From when is it likely the UK will be considered bound in its obligation of state responsibility? This could be the earlier of customary obligation in international law arising or a treaty obligation entered into force (para. 97). You can describe a single year or a range.</t>
  </si>
  <si>
    <t>Category that best  describes your primary professional background - Selected Choice</t>
  </si>
  <si>
    <t>Category that best  describes your primary professional background - Other (please specifiy) - Text</t>
  </si>
  <si>
    <t>IP Address</t>
  </si>
  <si>
    <t>Response Type</t>
  </si>
  <si>
    <t>Question 1a: Please provide a central estimate and plausible bounds of the total financially assessable damages to Pakistan from climate change attributable to the conduct of all states.
	Assess loss and damage from climate change from 2001-2025 (25 years).
	 Note that this is asking for damage from all States from climate change, rather than damage from climate change caused by UK. 
	Use probabilistic judgment. 
	If you prefer not to quantify, please click all three 'prefer not to quantify' boxes - Plausible lower bound - $ billion USD</t>
  </si>
  <si>
    <t>Question 1a: Please provide a central estimate and plausible bounds of the total financially assessable damages to Pakistan from climate change attributable to the conduct of all states.
	Assess loss and damage from climate change from 2001-2025 (25 years).
	 Note that this is asking for damage from all States from climate change, rather than damage from climate change caused by UK. 
	Use probabilistic judgment. 
	If you prefer not to quantify, please click all three 'prefer not to quantify' boxes - Plausible upper bound  - $ billion USD</t>
  </si>
  <si>
    <t>Question 1a: Please provide a central estimate and plausible bounds of the total financially assessable damages to Pakistan from climate change attributable to the conduct of all states.
	Assess loss and damage from climate change from 2001-2025 (25 years).
	 Note that this is asking for damage from all States from climate change, rather than damage from climate change caused by UK. 
	Use probabilistic judgment. 
	If you prefer not to quantify, please click all three 'prefer not to quantify' boxes - Central estimate or median  - $ billion USD</t>
  </si>
  <si>
    <t>{"ImportId":"startDate","timeZone":"America/Denver"}</t>
  </si>
  <si>
    <t>{"ImportId":"endDate","timeZone":"America/Denver"}</t>
  </si>
  <si>
    <t>{"ImportId":"progress"}</t>
  </si>
  <si>
    <t>{"ImportId":"finished"}</t>
  </si>
  <si>
    <t>{"ImportId":"_recordId"}</t>
  </si>
  <si>
    <t>{"ImportId":"locationLatitude"}</t>
  </si>
  <si>
    <t>{"ImportId":"locationLongitude"}</t>
  </si>
  <si>
    <t>{"ImportId":"userLanguage"}</t>
  </si>
  <si>
    <t>{"ImportId":"QID20"}</t>
  </si>
  <si>
    <t>{"ImportId":"QID22"}</t>
  </si>
  <si>
    <t>{"ImportId":"QID52"}</t>
  </si>
  <si>
    <t>{"ImportId":"QID54_TEXT"}</t>
  </si>
  <si>
    <t>{"ImportId":"Create New Field or Choose From Dropdown..."}</t>
  </si>
  <si>
    <t>{"ImportId":"__js_damages_lower"}</t>
  </si>
  <si>
    <t>{"ImportId":"__js_damages_median"}</t>
  </si>
  <si>
    <t>{"ImportId":"__js_damages_upper"}</t>
  </si>
  <si>
    <t>{"ImportId":"__js_uk_share_label"}</t>
  </si>
  <si>
    <t>{"ImportId":"__js_pak_award_lower"}</t>
  </si>
  <si>
    <t>{"ImportId":"__js_pak_award_median"}</t>
  </si>
  <si>
    <t>{"ImportId":"__js_pak_award_upper"}</t>
  </si>
  <si>
    <t>{"ImportId":"__js_uk_share"}</t>
  </si>
  <si>
    <t>{"ImportId":"pakistan_gdp_bn"}</t>
  </si>
  <si>
    <t>{"ImportId":"uk_gdp_bn"}</t>
  </si>
  <si>
    <t>{"ImportId":"__js_pct_uk_gdp_lower"}</t>
  </si>
  <si>
    <t>{"ImportId":"__js_pct_uk_gdp_median"}</t>
  </si>
  <si>
    <t>{"ImportId":"__js_pct_uk_gdp_upper"}</t>
  </si>
  <si>
    <t>{"ImportId":"__js_pct_pak_gdp_lower"}</t>
  </si>
  <si>
    <t>{"ImportId":"__js_pct_pak_gdp_median"}</t>
  </si>
  <si>
    <t>{"ImportId":"__js_pct_pak_gdp_upper"}</t>
  </si>
  <si>
    <t>{"ImportId":"__js_damages_median_display"}</t>
  </si>
  <si>
    <t>{"ImportId":"__js_pct_damages_gdp_lower"}</t>
  </si>
  <si>
    <t>{"ImportId":"__js_pct_damages_gdp_median"}</t>
  </si>
  <si>
    <t>{"ImportId":"__js_pct_damages_gdp_upper"}</t>
  </si>
  <si>
    <t>{"ImportId":"cvc_gdp_bn"}</t>
  </si>
  <si>
    <t>{"ImportId":"cvfwopak_gdp_bn"}</t>
  </si>
  <si>
    <t>{"ImportId":"__js_cvf_damages_proxy"}</t>
  </si>
  <si>
    <t>{"ImportId":"__js_pct_damages_gdp_median_display"}</t>
  </si>
  <si>
    <t>{"ImportId":"__js_cvf_flow_*"}</t>
  </si>
  <si>
    <t>{"ImportId":"__js_cvf_pct_gdp_*"}</t>
  </si>
  <si>
    <t>{"ImportId":"__js_uk_share_pct"}</t>
  </si>
  <si>
    <t>{"ImportId":"__js_uk_cvf_*"}</t>
  </si>
  <si>
    <t>{"ImportId":"__js_pct_uk_cvf_*"}</t>
  </si>
  <si>
    <t>{"ImportId":"Survey_version"}</t>
  </si>
  <si>
    <t>{"ImportId":"__js_quant_path"}</t>
  </si>
  <si>
    <t>{"ImportId":"__js_prefer_not_count"}</t>
  </si>
  <si>
    <t>{"ImportId":"__js_damages_default_used"}</t>
  </si>
  <si>
    <t>{"ImportId":"__js_uk_share_default_used"}</t>
  </si>
  <si>
    <t>{"ImportId":"__js_cvf_flow_lower"}</t>
  </si>
  <si>
    <t>{"ImportId":"__js_cvf_flow_median"}</t>
  </si>
  <si>
    <t>{"ImportId":"__js_cvf_flow_upper"}</t>
  </si>
  <si>
    <t>{"ImportId":"__js_flow_vs_award_lower"}</t>
  </si>
  <si>
    <t>{"ImportId":"__js_flow_vs_award_median"}</t>
  </si>
  <si>
    <t>{"ImportId":"__js_flow_vs_award_upper"}</t>
  </si>
  <si>
    <t>{"ImportId":"__js_scaling_default_used"}</t>
  </si>
  <si>
    <t>{"ImportId":"__js_cvf_pct_gdp_lower"}</t>
  </si>
  <si>
    <t>{"ImportId":"__js_cvf_pct_gdp_median"}</t>
  </si>
  <si>
    <t>{"ImportId":"__js_cvf_pct_gdp_upper"}</t>
  </si>
  <si>
    <t>{"ImportId":"__js_uk_cvf_lower"}</t>
  </si>
  <si>
    <t>{"ImportId":"__js_uk_cvf_median"}</t>
  </si>
  <si>
    <t>{"ImportId":"__js_uk_cvf_upper"}</t>
  </si>
  <si>
    <t>{"ImportId":"__js_pct_uk_cvf_lower"}</t>
  </si>
  <si>
    <t>{"ImportId":"__js_pct_uk_cvf_median"}</t>
  </si>
  <si>
    <t>{"ImportId":"__js_pct_uk_cvf_upper"}</t>
  </si>
  <si>
    <t>{"ImportId":"recordedDate","timeZone":"America/Denver"}</t>
  </si>
  <si>
    <t>{"ImportId":"QID26_TEXT"}</t>
  </si>
  <si>
    <t>{"ImportId":"QID16_8"}</t>
  </si>
  <si>
    <t>{"ImportId":"QID11_TEXT"}</t>
  </si>
  <si>
    <t>{"ImportId":"QID47_TEXT"}</t>
  </si>
  <si>
    <t>{"ImportId":"QID61_TEXT"}</t>
  </si>
  <si>
    <t>{"ImportId":"QID13_TEXT"}</t>
  </si>
  <si>
    <t>{"ImportId":"__js_scaling_lower"}</t>
  </si>
  <si>
    <t>{"ImportId":"__js_scaling_median"}</t>
  </si>
  <si>
    <t>{"ImportId":"__js_scaling_upper"}</t>
  </si>
  <si>
    <t>{"ImportId":"duration"}</t>
  </si>
  <si>
    <t>{"ImportId":"QID10_1"}</t>
  </si>
  <si>
    <t>{"ImportId":"QID10_2"}</t>
  </si>
  <si>
    <t>{"ImportId":"QID10_3"}</t>
  </si>
  <si>
    <t>{"ImportId":"QID62_TEXT"}</t>
  </si>
  <si>
    <t>{"ImportId":"QID45_TEXT"}</t>
  </si>
  <si>
    <t>{"ImportId":"QID48"}</t>
  </si>
  <si>
    <t>{"ImportId":"QID48_8_TEXT"}</t>
  </si>
  <si>
    <t>{"ImportId":"ipAddress"}</t>
  </si>
  <si>
    <t>{"ImportId":"status"}</t>
  </si>
  <si>
    <t>{"ImportId":"QID24_1"}</t>
  </si>
  <si>
    <t>{"ImportId":"QID24_2"}</t>
  </si>
  <si>
    <t>{"ImportId":"QID24_3"}</t>
  </si>
  <si>
    <t>R_8SHVQSdfLaL3dyh</t>
  </si>
  <si>
    <t>EN</t>
  </si>
  <si>
    <t>I confirm that I have fully read and understood the information above</t>
  </si>
  <si>
    <t>The purpose of this survey is to understand the implications of the ICJ advisory opinion on climate change, specifically the plausible quantum of reparations for climate loss and damage,This survey is confidential. Contact details used to send your invitation are processed only to administer the study (including tracking completion and sending reminder emails). You will not be asked to re-enter your contact details in the survey. Individual responses will not be identifiable in published outputs or analysis.,You are free to withdraw from the survey at any time by exiting the browser.</t>
  </si>
  <si>
    <t>20 +</t>
  </si>
  <si>
    <t>new zealand</t>
  </si>
  <si>
    <t>1.1099999999999999</t>
  </si>
  <si>
    <t>0.029318541996830424</t>
  </si>
  <si>
    <t>0.1386687797147385</t>
  </si>
  <si>
    <t>0.27205882352941174</t>
  </si>
  <si>
    <t>0.5514705882352942</t>
  </si>
  <si>
    <t>1.2867647058823528</t>
  </si>
  <si>
    <t>9.068627450980392</t>
  </si>
  <si>
    <t>18.38235294117647</t>
  </si>
  <si>
    <t>753.6764705882352</t>
  </si>
  <si>
    <t>169.57720588235293</t>
  </si>
  <si>
    <t>301.4705882352941</t>
  </si>
  <si>
    <t>489.8897058823529</t>
  </si>
  <si>
    <t>4.136029411764706</t>
  </si>
  <si>
    <t>7.352941176470587</t>
  </si>
  <si>
    <t>11.948529411764705</t>
  </si>
  <si>
    <t>5.087316176470588</t>
  </si>
  <si>
    <t>9.044117647058822</t>
  </si>
  <si>
    <t>14.696691176470587</t>
  </si>
  <si>
    <t>0.13437179546937633</t>
  </si>
  <si>
    <t>0.2388831919455579</t>
  </si>
  <si>
    <t>0.3881851869115316</t>
  </si>
  <si>
    <t xml:space="preserve">Eric Strobl, Eduardo Cavallo, </t>
  </si>
  <si>
    <t>2-4%</t>
  </si>
  <si>
    <t>There is no empirical evidence-base for it.</t>
  </si>
  <si>
    <t xml:space="preserve">1979 as a viable start date for assigning responsibility. </t>
  </si>
  <si>
    <t>Roughly, 50B from damages and 75B from mortality is the overall damages (but acknowledging that 50B is an undercount). the Central estimate is about 50% of that. The upper bound is about 75% of that, plus acknowledging several other unaccounted-for losses.</t>
  </si>
  <si>
    <t>Moderate (0.15-0.3)</t>
  </si>
  <si>
    <t>Major shift (0.5-0.8)</t>
  </si>
  <si>
    <t>Substantial (0.3-0.5)</t>
  </si>
  <si>
    <t>Economics</t>
  </si>
  <si>
    <t>93.40.80.150</t>
  </si>
  <si>
    <t>25-50</t>
  </si>
  <si>
    <t>150-250</t>
  </si>
  <si>
    <t>50-100</t>
  </si>
  <si>
    <t>R_8iaX1kvOPxGORoZ</t>
  </si>
  <si>
    <t>5--10</t>
  </si>
  <si>
    <t>1.2254901960784315</t>
  </si>
  <si>
    <t>22.610294117647058</t>
  </si>
  <si>
    <t>75.36764705882352</t>
  </si>
  <si>
    <t>1.8382352941176467</t>
  </si>
  <si>
    <t>0.6783088235294117</t>
  </si>
  <si>
    <t>2.2610294117647056</t>
  </si>
  <si>
    <t>0.017916239395916845</t>
  </si>
  <si>
    <t>0.059720797986389476</t>
  </si>
  <si>
    <t xml:space="preserve">I think the biggest factor in any given inter-state case, is the political will at the time. Any climate vulnerable State is likely to be very cautious in bringing a case, especially where a claim for compensation is involved. Similarly, any respondent State may engage in negotiations to end a case and commit to more funding to international climate finance / funds, rather than accept responsibility. Any such funding would be framed as just "funding", not as compensation. While I think the numbers I indicated for the Pakistan-UK scenario are closer to what the real numbers look like, I selected much more modest numbers for the scaling, because of the current political reality. </t>
  </si>
  <si>
    <t xml:space="preserve">time of crystallisation of obligations </t>
  </si>
  <si>
    <t xml:space="preserve">Global sum approach - I believe that to quantify individual areas of damage will prove very difficult, unless a case is directly tied to, for example, one extreme weather event attributable to climate change. </t>
  </si>
  <si>
    <t>Minimal spillover (0.01-0.05)</t>
  </si>
  <si>
    <t>Limited (0.05-0.15)</t>
  </si>
  <si>
    <t>International  law</t>
  </si>
  <si>
    <t>92.75.133.81</t>
  </si>
  <si>
    <t>R_2w4YjlmO3bv9iH2</t>
  </si>
  <si>
    <t>Switzerland</t>
  </si>
  <si>
    <t>0.9191176470588236</t>
  </si>
  <si>
    <t>30.637254901960787</t>
  </si>
  <si>
    <t>18.382352941176467</t>
  </si>
  <si>
    <t>0.5972079798638948</t>
  </si>
  <si>
    <t>Pranav Ganesan, University of Zurich</t>
  </si>
  <si>
    <t>Provided that one contentious case on climate damage is successful before the ICJ; it has a potential to inspire similar claims from climate vulnerable states, e.g. COSIS states. Political pressure on multilateral fund contributions is the most likely outcome.</t>
  </si>
  <si>
    <t>I've considered all the above mentioned factors. The political commitments of the UK defined in its NDCs should also be taken into account.</t>
  </si>
  <si>
    <t>Iâ€™ve taken into account only damages which calculation is supported by evidence. Specifically, $32,5 (16,5 +16) billion of direct damage caused by floods in 2022. Since 75% of floods is attributed to climate change, then the damage is $18 billion. Furthermore, $107,632 billion of damage for loss of life between 2001 and 2025. Although data is only available for 2000-2019, it could be applicable with some approximation for the whole period. Since 53% of damage and loss of life are estimated from extreme weather events, then the damage under this head is $57,044 billion. The overall approximate damage is $57 billion. The economic loss and damage is not compensated, as follows from the ICJâ€™s case law.</t>
  </si>
  <si>
    <t>Transformative (&gt;0.8)</t>
  </si>
  <si>
    <t>Academia</t>
  </si>
  <si>
    <t>130.225.1.61</t>
  </si>
  <si>
    <t>100-150</t>
  </si>
  <si>
    <t>R_4PJBR7TyWbN1Rzr</t>
  </si>
  <si>
    <t>10--20</t>
  </si>
  <si>
    <t>New Zealand</t>
  </si>
  <si>
    <t>0.014263074484944535</t>
  </si>
  <si>
    <t>0.13235294117647062</t>
  </si>
  <si>
    <t>4.411764705882353</t>
  </si>
  <si>
    <t>180.88235294117646</t>
  </si>
  <si>
    <t>5.4264705882352935</t>
  </si>
  <si>
    <t>18.08823529411765</t>
  </si>
  <si>
    <t>0.1323529411764706</t>
  </si>
  <si>
    <t>0.4411764705882353</t>
  </si>
  <si>
    <t>1.7647058823529411</t>
  </si>
  <si>
    <t>0.1627941176470588</t>
  </si>
  <si>
    <t>0.5426470588235295</t>
  </si>
  <si>
    <t>2.170588235294118</t>
  </si>
  <si>
    <t>0.014332991516733477</t>
  </si>
  <si>
    <t xml:space="preserve">The ranges make it slightly complex in the calculations, given the large number of variables going into different points in a range. I think if a specific case was successful, it would open up strong potential for a global climate loss and damage treaty to emerge with a mechanism for fair apportionment globally. This would be subject to political negotiation not just legal judgments. A strong finding in the first case would provide the impetus for higher-income countries to agree to a treaty. In this sort of scenario, a plausible outcome would be an annual commitment from higher income countries and payout to lower income countries, recognising that climate harm will be ongoing. This could be reviewable after about a decade, with the funding required to be spent on measures that support mitigation and adaptation. </t>
  </si>
  <si>
    <t xml:space="preserve">Historical liability, including for UK based companies that have been involved in fossil fuel extraction in other countries. I also considered the speed of action in the UK since 1992 (which is when I think obligations can be said to have crystalised). </t>
  </si>
  <si>
    <t xml:space="preserve">I used a global sum approach. While this sort of analysis could be the first step under a discrete claim such as the Pakistan v UK hypothetical, I think the ICJ would avoid making findings about total payable to a specific country. To achieve compensation along those lines, there would need to be some sort of global climate fund, paid into by higher income countries and paid out to lower and middle-income countries. </t>
  </si>
  <si>
    <t>Other (please specifiy)</t>
  </si>
  <si>
    <t>governmental</t>
  </si>
  <si>
    <t>203.109.249.12</t>
  </si>
  <si>
    <t>No award</t>
  </si>
  <si>
    <t>R_2y8jH5ZYFUARcCc</t>
  </si>
  <si>
    <t>0.23111463285789752</t>
  </si>
  <si>
    <t>0.4952456418383518</t>
  </si>
  <si>
    <t>2.144607843137255</t>
  </si>
  <si>
    <t>4.595588235294118</t>
  </si>
  <si>
    <t>91.91176470588235</t>
  </si>
  <si>
    <t>1758.578431372549</t>
  </si>
  <si>
    <t>175.85784313725492</t>
  </si>
  <si>
    <t>703.4313725490197</t>
  </si>
  <si>
    <t>4.2892156862745106</t>
  </si>
  <si>
    <t>17.156862745098042</t>
  </si>
  <si>
    <t>8.792892156862747</t>
  </si>
  <si>
    <t>35.17156862745099</t>
  </si>
  <si>
    <t>87.92892156862746</t>
  </si>
  <si>
    <t>0.23224754772484804</t>
  </si>
  <si>
    <t>0.9289901908993922</t>
  </si>
  <si>
    <t>Juan Auz</t>
  </si>
  <si>
    <t>4-6%</t>
  </si>
  <si>
    <t>further contentious cases, political pressures, implementation and compliance problems</t>
  </si>
  <si>
    <t>CBDR-RC, continuing nature of emissions (post-knowledge)</t>
  </si>
  <si>
    <t xml:space="preserve">Individual heads (loss (GDP impact) and damage (of all 139 extreme events, extrapolated from the 21 assessed, 53% of total as per contribution of climate change to harm - with reduction for the event that figures are available only for more serious events, plus, for the upper plausible bound, factoring in impacts on life -- a highly troubling calculation not just because of the risk of monetizing life but also because the economic value attributed to a life in a lower-income, lower-GDP country will be lower than for US-UK)). </t>
  </si>
  <si>
    <t>213.49.235.81</t>
  </si>
  <si>
    <t>250-500</t>
  </si>
  <si>
    <t>R_83PWwOy7NktCw0N</t>
  </si>
  <si>
    <t>United Kingdom</t>
  </si>
  <si>
    <t>Joeri Rogelj, Imperial College London
Julia SchÃ¶nfeld, Imperial College London
Frank Venmans, Grantham Research Institute LSE</t>
  </si>
  <si>
    <t xml:space="preserve">Further domestic litigation (both against states and corporations considering the judgments refer to each other, particularly those that refer to the ICJAO), potential legislation/regulation as a result of political pressure, the operationalisation of other funds e.g. the Fund Responding to Loss and Damage, and how/whether the UNFCCC negotiations influence judicial decisionmaking and vice versa </t>
  </si>
  <si>
    <t>Current principles of international law, historical emissions of the UK, UK's current commitments on climate finance, the colonial nature of the UK's industrialisation, among others. If one were merely to find the average, I argue it would be far lower than what is appropriate.</t>
  </si>
  <si>
    <t xml:space="preserve"> I hesitate to answer because I am thinking about the availability of evidence, the location of the claimants (and the character of those filing the case), and the causation factor (i.e. the fact that this claim is seeking for damages for 25 years -- seen vis-a-vis compounding factors such as vulnerability and exposure, plus the fact that this asks for damages from all states), it might be difficult to make a quantification. I could do a blue sky quantification and argue that 1.3 trillion USD is the benchmark amount demanded from the Baku plan, but that's also for all countries, not just from all countries. </t>
  </si>
  <si>
    <t>148.252.129.126</t>
  </si>
  <si>
    <t>Prefer not to quantify</t>
  </si>
  <si>
    <t>R_9PCpBKIR4YdlJDI</t>
  </si>
  <si>
    <t>0.2971473851030111</t>
  </si>
  <si>
    <t>2.7573529411764706</t>
  </si>
  <si>
    <t>Full replication (s=1) is implausible within 15 years because the largest emitters (US, China, India, Russia) don't accept compulsory ICJ jurisdiction, and awards require either consent or political settlement. But a precedent would shift bilateral negotiations, domestic litigation, and pressure on the Loss &amp; Damage Fund. Sanity check: s=0.1 implies CVF states receive ~10% of full damages over 15 years; order $100bn total (~$7bn/yr), i.e., an ambitious-but-conceivable scale-up of current L&amp;D finance (pledges today are under $1bn). s=0.4 implies ~$25bn/yr, which requires cascading litigation plus major fund capitalisation; plausible only as an upper bound.</t>
  </si>
  <si>
    <t>Timing of crystallisation of the due diligence obligation (1990/1992 vs earlier); choice of fair-share metric (responsibility vs capability vs equal-per-capita); territorial vs consumption accounting; the degree of UK's due diligence failure (insufficient NDC ambition, highly insufficient climate finance per CAT); equitable considerations including capacity to pay; and causation/evidence limits on attributing Pakistan-specific harm to UK conduct.</t>
  </si>
  <si>
    <t>I anchored on two independent methods: a bottom-up summation of attributed direct damages plus mortality valued at VSL (~$85bn), and a top-down macro estimate using the V20 0.92% of GDP/yr figure (~$55bn). Given evidentiary gaps (only 21 of 139 EM-DAT events have cost data) and the exclusion of slow-onset and non-market damages, I expect the court to follow the Certain Activities / Armed Activities line and apply an overall-assessment or global-sum approach on an exceptional basis rather than summing individual heads; causation and evidence problems make head-by-head quantification impractical for climate harm.</t>
  </si>
  <si>
    <t>122.59.211.102</t>
  </si>
  <si>
    <t>R_2XRHlZjOrANhimJ</t>
  </si>
  <si>
    <t>The purpose of this survey is to understand the implications of the ICJ advisory opinion on climate change, specifically the plausible quantum of reparations for climate loss and damage,This survey is confidential. Contact details used to send your invitation are processed only to administer the study (including tracking completion and sending reminder emails). You will not be asked to re-enter your contact details in the survey. Individual responses will not be identifiable in published outputs or analysis.</t>
  </si>
  <si>
    <t xml:space="preserve">South Sudan </t>
  </si>
  <si>
    <t>0.016508188061278396</t>
  </si>
  <si>
    <t>0.15318627450980393</t>
  </si>
  <si>
    <t>0.7352941176470588</t>
  </si>
  <si>
    <t>147.05882352941177</t>
  </si>
  <si>
    <t>1256.127450980392</t>
  </si>
  <si>
    <t>502.45098039215685</t>
  </si>
  <si>
    <t>37.68382352941176</t>
  </si>
  <si>
    <t>12.254901960784313</t>
  </si>
  <si>
    <t>0.9191176470588234</t>
  </si>
  <si>
    <t>2.5122549019607843</t>
  </si>
  <si>
    <t>0.18841911764705882</t>
  </si>
  <si>
    <t>Professor Friederike Otto â€“ Grantham Institute, Imperial College London (Climate attribution science and climate impacts)
Professor Joana Setzer â€“ Grantham Research Institute, London School of Economics and Political Science (Climate litigation and climate governance)
Professor Lavanya Rajamani â€“ Faculty of Law, University of Oxford (International climate law and the Paris Agreement)
Professor Benoit Mayer â€“ Faculty of Law, The Chinese University of Hong Kong (Climate change law and loss and damage)
Dr. Harro van Asselt â€“ University of Eastern Finland (International climate governance and climate policy)
Professor Michael Gerrard â€“ Sabin Center for Climate Change Law, Columbia Law School (Climate litigation and environmental law)</t>
  </si>
  <si>
    <t>0-1%</t>
  </si>
  <si>
    <t>International Court of Justice (ICJ) contentious cases and advisory opinion effects â€“ Decisions and advisory opinions from the ICJ can strengthen the interpretation of states' obligations under international law, influence future climate litigation, and provide authoritative guidance for governments and international institutions.
Domestic climate litigation â€“ National courts can translate international legal principles into enforceable domestic obligations, encouraging governments to strengthen climate policies, provide remedies for affected communities, and increase accountability for climate-related harm.
Political pressure through multilateral negotiations and international climate finance â€“ Continued advocacy within the UNFCCC process, including negotiations on the Fund for Responding to Loss and Damage, can encourage high-emitting countries to increase financial contributions and support for vulnerable countries such as South Sudan. Diplomatic engagement and coordinated political pressure can also promote greater compliance with international climate commitments.</t>
  </si>
  <si>
    <t xml:space="preserve">
In estimating the United Kingdom's share of internationally wrongful climate harm, we considered several factors grounded in international law and climate justice principles.
First, we considered the timing of the UK's international obligations, recognizing that obligations to prevent significant transboundary environmental harm and to address climate change have evolved through customary international law, the UN Framework Convention on Climate Change (UNFCCC), the Paris Agreement, and related international commitments. The estimate therefore reflects the period during which the UK's legal responsibilities to mitigate greenhouse gas emissions and support vulnerable countries became clearly established.
Second, we considered the principle of common but differentiated responsibilities and respective capabilities (CBDR-RC), which recognizes that developed countries with higher historical emissions and greater financial and technological capacity bear a greater responsibility for addressing climate change and its impacts.
Third, we assessed the extent to which the UK has met its international climate obligations, including progress in reducing domestic greenhouse gas emissions, contributions to international climate finance, and support for adaptation and loss and damage in vulnerable countries. While acknowledging the UK's leadership in certain areas, we also considered evidence that gaps remain between existing commitments, implementation, and the level of support required by climate-vulnerable countries.
Finally, we considered other legally relevant factors, including the UK's historical contribution to cumulative greenhouse gas emissions, its economic capacity, the foreseeability of climate-related harm, and the disproportionate impacts experienced by countries such as South Sudan that have contributed very little to global emissions yet face severe climate-related losses and damages.
These factors were assessed collectively to arrive at a reasonable estimate of the UK's share of internationally wrongful climate harm, recognizing that the estimate is subject to legal interpretation and the evolving development of international climate law.</t>
  </si>
  <si>
    <t xml:space="preserve">
ARDI-SS applied an individual heads of loss and damage approach to determine the central estimate. This approach identifies and estimates losses under separate categories, including economic losses (such as damage to livelihoods, agriculture, livestock, infrastructure, and household assets) and non-economic losses (such as impacts on health and wellbeing, displacement, cultural heritage, biodiversity, social cohesion, and traditional knowledge). The individual estimates are then combined to produce a central estimate of total climate-related loss and damage.
This approach was selected because it provides a transparent, evidence-based, and community-informed assessment that reflects the diverse impacts experienced by affected populations. The estimates are informed by field assessments, stakeholder consultations, available socioeconomic data, and reasonable assumptions where data gaps exist. Where uncertainty remains, conservative assumptions are used to avoid overstating losses while ensuring that significant non-economic impacts are adequately recognized.
ARDI-SS considers the individual heads approach to be the most appropriate methodology for climate loss and damage cases, as it captures the full range of impacts on vulnerable communities and supports equitable decision-making for compensation, recovery, and resilience-building.</t>
  </si>
  <si>
    <t>No spillover (0)</t>
  </si>
  <si>
    <t>Civil society/NGO</t>
  </si>
  <si>
    <t>143.105.187.64</t>
  </si>
  <si>
    <t>&gt;500</t>
  </si>
  <si>
    <t>R_2EiMaJtVjLfFSFU</t>
  </si>
  <si>
    <t>UK</t>
  </si>
  <si>
    <t>Prefer not to quantify (illustrative default: 4%)</t>
  </si>
  <si>
    <t>0.13206550449022716</t>
  </si>
  <si>
    <t>0.6339144215530903</t>
  </si>
  <si>
    <t>1.715686274509804</t>
  </si>
  <si>
    <t xml:space="preserve">I think this is really difficult to assess. without the specifics of the context under which the case is brought and extent to which the UK hasn't met its obligations, there are a lot of degrees of that. For example, if the climate event caused huge numbers of deaths and economic losses to the country and the attribution of blame to UK was quite clear (e.g. a new government abandons all NZ commitments, emissions increase and this encourages other countries to increase emissions) you would expect the payment to be higher, and that it would link in some way to emissions reductions that were not met. I think the strongest point, and one that is valuable is on the UK's obligation to met its international obligations - and if it doesn't do this it has a responsibility to pay. </t>
  </si>
  <si>
    <t>Used a global sum approach (and very much a quick estimate), applying the V20 average climate-related GDP loss rate to Pakistan's GDP. Per the V20's own Climate Vulnerable Economies Loss Report (June 2022), V20 economies lost approximately $525 billion in aggregate due to climate change over the last two decades, with climate change cutting GDP growth by roughly 1 percentage point per year on average. As I understand it Pakistan is ranked among the most climate vulnerable V20 nations, so applying the V20 average loss rate is arguably conservative for Pakistan specifically â€“ the 10% most atâ€“risk V20 countries lost over half their total growth since 2000 to climate change.</t>
  </si>
  <si>
    <t>I don't know enough about legal precedents to answer this. But I imagine its very significant for other climate vulnerable countries if one case is successful.</t>
  </si>
  <si>
    <t>Advisory</t>
  </si>
  <si>
    <t>193.117.253.236</t>
  </si>
  <si>
    <t>R_85kwTPGy2DZRIJP</t>
  </si>
  <si>
    <t>africa</t>
  </si>
  <si>
    <t>0.27132352941176474</t>
  </si>
  <si>
    <t>na</t>
  </si>
  <si>
    <t>1-2%</t>
  </si>
  <si>
    <t>political pressure on multilateral fund contributions, other</t>
  </si>
  <si>
    <t xml:space="preserve">No way to constraint any country </t>
  </si>
  <si>
    <t>No way to oblige the UK to pay</t>
  </si>
  <si>
    <t>206.42.67.235</t>
  </si>
  <si>
    <t>R_2gSZ5Ggqblbmflv</t>
  </si>
  <si>
    <t>0.4595588235294118</t>
  </si>
  <si>
    <t>0.1130514705882353</t>
  </si>
  <si>
    <t>I didn't get the rational for scaling. I think the UK would be very reluctant because indeed all other countries can ask the same (judicial precedent). I read the text twice, and i didn't understand the question (i have a PhD in economics).</t>
  </si>
  <si>
    <t xml:space="preserve">If each country has the same emissions per capita, there is no argument for compensation. So it is the relative difference that matters. the UK now has the average emissions per capita in the world. In the past this was higher, In the future Pakistan will have larger emissions than the UK. It does not make much sense to ask for compensation now in the case Pakistan has to pay the UK later on. </t>
  </si>
  <si>
    <t>It is easier to think of damages as a percentage of GDP. I think 2% of GDP is a good central estimate, so for 400*0.02*20=80Billion</t>
  </si>
  <si>
    <t>5.80.92.153</t>
  </si>
  <si>
    <t>R_2VvIwwXPbYKYQOE</t>
  </si>
  <si>
    <t>Nigeria</t>
  </si>
  <si>
    <t>0.16508188061278395</t>
  </si>
  <si>
    <t>1.531862745098039</t>
  </si>
  <si>
    <t>1143.075980392157</t>
  </si>
  <si>
    <t>27.879901960784316</t>
  </si>
  <si>
    <t>57.153799019607845</t>
  </si>
  <si>
    <t>1.509609060211512</t>
  </si>
  <si>
    <t>I selected s = 1 because I consider a successful first ICJ contentious case to have the potential to establish an influential legal and political precedent that extends beyond the individual UKâ€“Pakistan dispute. While each subsequent case would depend on its own facts, a favourable judgment could encourage other Climate Vulnerable Forum (CVF) States to pursue similar claims or negotiated settlements. I expect the scaling to occur primarily through: (1) further ICJ contentious cases brought by other vulnerable states relying on the precedent established in the first case; (2) the persuasive effect of ICJ decisions and advisory opinions on other international and domestic courts, strengthening climate accountability and state responsibility; and (3) increased political pressure leading to bilateral negotiations and greater contributions to multilateral climate finance and Loss and Damage funding mechanisms. Together, these legal and political channels could result in climate-related transfers that extend beyond a single bilateral award to a broader set of climate-vulnerable states.</t>
  </si>
  <si>
    <t>I adopted a primarily global sum (top-down) approach. Rather than estimating damages for each individual climate event separately, I considered the cumulative financial impacts of major climate-related disasters in Pakistan between 2001 and 2025, including flooding, heatwaves, droughts, and other extreme weather events. I then assessed these in light of available climate attribution evidence, including studies suggesting that a substantial proportion of observed losses can be attributed to anthropogenic climate change. My central estimate reflects the overall scale of financially assessable losses over the 25-year period, including direct economic damages and monetised mortality using a Value of Statistical Life (VSL), while recognising uncertainty around attribution, valuation methods, and indirect impacts. The lower and upper bounds were selected to capture this uncertainty and represent a plausible range rather than a precise calculation.</t>
  </si>
  <si>
    <t>102.91.4.98</t>
  </si>
  <si>
    <t>R_875oCURZp0NmUiR</t>
  </si>
  <si>
    <t>77.16.64.192</t>
  </si>
  <si>
    <t>R_6aM0qUs2JkWbxWj</t>
  </si>
  <si>
    <t>France</t>
  </si>
  <si>
    <t>0.49019607843137253</t>
  </si>
  <si>
    <t>15.073529411764705</t>
  </si>
  <si>
    <t>50.24509803921569</t>
  </si>
  <si>
    <t>113.05147058823529</t>
  </si>
  <si>
    <t>0.3676470588235294</t>
  </si>
  <si>
    <t>0.6029411764705882</t>
  </si>
  <si>
    <t>2.009803921568628</t>
  </si>
  <si>
    <t>4.522058823529412</t>
  </si>
  <si>
    <t>0.11944159597277898</t>
  </si>
  <si>
    <t>I estimate a limited central spillover (s â‰ˆ 0.10), with a plausible range of approximately 0.03-0.25. Relative to s = 0, the judgment would establish that climate harm can result in inter-State compensation and provide an influential precedent on causation, attribution and valuation. However, relative to s = 1, full replication across Climate Vulnerable Forum States is unlikely within 15 years because ICJ jurisdiction depends on State consent, cases are costly and lengthy, evidence will vary by country, and respondent States are likely to resist expansive liability. The precedent would therefore mobilise some additional compensation and loss-and-damage finance, but probably only a limited proportion of total assessed harm.
The three most important scaling channels would be: (1) bilateral negotiations and settlements, because vulnerable States could use the judgment as leverage without reproducing a full ICJ proceeding; (2) political pressure for increased contributions to multilateral loss-and-damage mechanisms, through which the precedent could translate legal exposure into more predictable collective funding; and (3) the advisory and norm-setting effects of the ICJ and other international or regional courts, which could influence domestic litigation, diplomatic negotiations and the interpretation of Statesâ€™ due-diligence obligations. Further ICJ contentious cases would remain important but would probably be less significant quantitatively because of jurisdictional and procedural barriers. I therefore expect scaling to occur primarily through negotiated and political responses to the precedent, rather than through numerous judicial awards.</t>
  </si>
  <si>
    <t>N/A</t>
  </si>
  <si>
    <t>I selected prefer not to quantify because the available evidence does not support a sufficiently robust probabilistic estimate of Pakistanâ€™s total financially assessable climate damages for 2001â€“2025. The available estimates use different definitions, attribution methods and valuation approaches, and may overlap. For example, direct asset damage, lost GDP, reconstruction expenditure and mortality-related losses cannot simply be added. I believe the ICJ would most likely adopt a hybrid approach: assess individual heads of damage where reliable evidence exists including property, lost output, health, ecosystem services, and reasonable response and adaptation costs, then remove overlaps and apply scientific attribution and the legal requirement of a sufficiently direct and certain causal nexus. Given incomplete data and uncertainty, the Court could subsequently make an evidence-based overall assessment or, exceptionally, award a global sum within the range supported by the evidence and informed by equitable considerations. Equity should help address residual uncertainty, but should not replace evidence of injury, causation and financial loss.
As a methodology, I would construct a Pakistan-specific counterfactual assessment comparing observed outcomes with the economic position that would probably have prevailed without anthropogenic climate change. For major floods, heatwaves and droughts, event-attribution evidence would be combined with hazard, exposure and vulnerability data to estimate the incremental damage caused by climate change, rather than applying changes in event probability or rainfall intensity directly to observed losses. Slow-onset and cumulative impacts would be assessed through sectoral and macroeconomic models covering agriculture, labour productivity, health, infrastructure, energy, public finances and capital accumulation. Each component would be expressed as a range, converted to a common price year, and reconciled through a damages matrix to remove double counting between asset destruction, reconstruction costs, lost output and health or mortality effects. The resulting ranges would then be aggregated, subjected to sensitivity analysis for attribution, valuation and discount-rate assumptions, and used to define an evidence-supported interval from which the Court could determine an overall award.</t>
  </si>
  <si>
    <t>194.119.24.137</t>
  </si>
  <si>
    <t>R_8PvFPrXkcDdj9v8</t>
  </si>
  <si>
    <t>Netherlands, Austria</t>
  </si>
  <si>
    <t>52.757352941176464</t>
  </si>
  <si>
    <t>1.582720588235294</t>
  </si>
  <si>
    <t>0.041804558590472635</t>
  </si>
  <si>
    <t>Mohit Khubchandani - Leiden University
Emanuele Campiglio - Bologna University
Hubert Massoni - Bologna University
Anastasios Xepapadeas - Bologna University</t>
  </si>
  <si>
    <t>further ICJ contentious cases and political pressures on the ICJ</t>
  </si>
  <si>
    <t>principles of international climate law when determining fair shares</t>
  </si>
  <si>
    <t>$16.5 billion direct damage + $16 billion hit to GDP + 15,376 deaths + 1739 people killed in 2025 + 53% of $7.084 million + $51 billion + 0.92% of GDP per year  (20% over two decades), adding the financial losses to the value of lost lives (17,115 deaths) based on the VSL the result should be around 150.000 billion as lower bound</t>
  </si>
  <si>
    <t>193.170.91.48</t>
  </si>
  <si>
    <t>R_2CkaPggwq2bmIqV</t>
  </si>
  <si>
    <t>82.132.244.174</t>
  </si>
  <si>
    <t>R_8SzHrscazGq6Ccx</t>
  </si>
  <si>
    <t>102.115.24.214</t>
  </si>
  <si>
    <t>R_8HHFLPq5Od5XBxD</t>
  </si>
  <si>
    <t>102.222.234.216</t>
  </si>
  <si>
    <t>R_8PMpqaj78Z19no9</t>
  </si>
  <si>
    <t>R_82FFom5oOxokLuW</t>
  </si>
  <si>
    <t>92.237.100.125</t>
  </si>
  <si>
    <t>R_8CCjiLi2UTCwdQK</t>
  </si>
  <si>
    <t>41.207.40.33</t>
  </si>
  <si>
    <t>R_8MlYDmabLyu9lk0</t>
  </si>
  <si>
    <t xml:space="preserve">First of all the question about whether the UK is or not responsible </t>
  </si>
  <si>
    <t>41.243.30.246</t>
  </si>
  <si>
    <t>R_8U4Aw8BGeJgqcKJ</t>
  </si>
  <si>
    <t>194.35.235.15</t>
  </si>
  <si>
    <t>R_9flUcB9DdYo3WKF</t>
  </si>
  <si>
    <t>203.211.77.227</t>
  </si>
  <si>
    <t>R_9NCzob0GFtw3ka4</t>
  </si>
  <si>
    <t>0.45343137254901966</t>
  </si>
  <si>
    <t>0.22058823529411764</t>
  </si>
  <si>
    <t>125.61274509803921</t>
  </si>
  <si>
    <t>3.063725490196078</t>
  </si>
  <si>
    <t>6.280637254901961</t>
  </si>
  <si>
    <t>0.16589110551774858</t>
  </si>
  <si>
    <t>abcdefghi</t>
  </si>
  <si>
    <t>abcdefghijklmn</t>
  </si>
  <si>
    <t>1.22.229.186</t>
  </si>
  <si>
    <t>R_9UrNcK2q3Gf240x</t>
  </si>
  <si>
    <t>165.225.230.120</t>
  </si>
  <si>
    <t>R_993OQqRmfZOVaIh</t>
  </si>
  <si>
    <t>45.118.166.206</t>
  </si>
  <si>
    <t>R_8Ei3WdqewtVMVPe</t>
  </si>
  <si>
    <t>154.123.115.170</t>
  </si>
  <si>
    <t>R_8OOBjMLwAbFkYW5</t>
  </si>
  <si>
    <t>41.90.136.44</t>
  </si>
  <si>
    <t>R_8UX9Flq19XRsDhF</t>
  </si>
  <si>
    <t>41.191.198.113</t>
  </si>
  <si>
    <t>1-10</t>
  </si>
  <si>
    <t>10-25</t>
  </si>
  <si>
    <t>Updated values that had erroneously been converted to date format (1-10, 10-25)</t>
  </si>
  <si>
    <t>Section 1</t>
  </si>
  <si>
    <t>Section 2</t>
  </si>
  <si>
    <t>Section 3</t>
  </si>
  <si>
    <t>ID</t>
  </si>
  <si>
    <t>A</t>
  </si>
  <si>
    <t>B</t>
  </si>
  <si>
    <t>C</t>
  </si>
  <si>
    <t>D</t>
  </si>
  <si>
    <t>E</t>
  </si>
  <si>
    <t>F</t>
  </si>
  <si>
    <t>G</t>
  </si>
  <si>
    <t>H</t>
  </si>
  <si>
    <t>J</t>
  </si>
  <si>
    <t>K</t>
  </si>
  <si>
    <t>L</t>
  </si>
  <si>
    <t>M</t>
  </si>
  <si>
    <t>N</t>
  </si>
  <si>
    <t>Count</t>
  </si>
  <si>
    <t>0-1</t>
  </si>
  <si>
    <t>1-2</t>
  </si>
  <si>
    <t>2-4</t>
  </si>
  <si>
    <t>4-6</t>
  </si>
  <si>
    <t>6-8</t>
  </si>
  <si>
    <t>8-10</t>
  </si>
  <si>
    <t>&gt;10</t>
  </si>
  <si>
    <t>Question 1c</t>
  </si>
  <si>
    <t>Average</t>
  </si>
  <si>
    <t>Question 1a</t>
  </si>
  <si>
    <t>Lower</t>
  </si>
  <si>
    <t>Upper</t>
  </si>
  <si>
    <t>Central estimate</t>
  </si>
  <si>
    <t>Lower bound</t>
  </si>
  <si>
    <t>Upper bound</t>
  </si>
  <si>
    <t>Total</t>
  </si>
  <si>
    <t>Min</t>
  </si>
  <si>
    <t>Max</t>
  </si>
  <si>
    <t>Median</t>
  </si>
  <si>
    <t>Question 2a</t>
  </si>
  <si>
    <t>Central</t>
  </si>
  <si>
    <t>Adjusted median</t>
  </si>
  <si>
    <t>Mode</t>
  </si>
  <si>
    <t>Mean</t>
  </si>
  <si>
    <t>Adjusted mean</t>
  </si>
  <si>
    <t>Adjusted mode</t>
  </si>
  <si>
    <t>and 0.03</t>
  </si>
  <si>
    <t>I selected prefer not to quantify because the available evidence does not support a sufficiently robust probabilistic estimate of Pakistans total financially assessable climate damages for 2001-2025. The available estimates use different definitions, attribution methods and valuation approaches, and may overlap. For example, direct asset damage, lost GDP, reconstruction expenditure and mortality-related losses cannot simply be added. I believe the ICJ would most likely adopt a hybrid approach: assess individual heads of damage where reliable evidence exists including property, lost output, health, ecosystem services, and reasonable response and adaptation costs, then remove overlaps and apply scientific attribution and the legal requirement of a sufficiently direct and certain causal nexus. Given incomplete data and uncertainty, the Court could subsequently make an evidence-based overall assessment or, exceptionally, award a global sum within the range supported by the evidence and informed by equitable considerations. Equity should help address residual uncertainty, but should not replace evidence of injury, causation and financial loss.
As a methodology, I would construct a Pakistan-specific counterfactual assessment comparing observed outcomes with the economic position that would probably have prevailed without anthropogenic climate change. For major floods, heatwaves and droughts, event-attribution evidence would be combined with hazard, exposure and vulnerability data to estimate the incremental damage caused by climate change, rather than applying changes in event probability or rainfall intensity directly to observed losses. Slow-onset and cumulative impacts would be assessed through sectoral and macroeconomic models covering agriculture, labour productivity, health, infrastructure, energy, public finances and capital accumulation. Each component would be expressed as a range, converted to a common price year, and reconciled through a damages matrix to remove double counting between asset destruction, reconstruction costs, lost output and health or mortality effects. The resulting ranges would then be aggregated, subjected to sensitivity analysis for attribution, valuation and discount-rate assumptions, and used to define an evidence-supported interval from which the Court could determine an overall award.</t>
  </si>
  <si>
    <t>I estimate a limited central spillover (s = 0.10), with a plausible range of approximately 0.03-0.25. Relative to s = 0, the judgment would establish that climate harm can result in inter-State compensation and provide an influential precedent on causation, attribution and valuation. However, relative to s = 1, full replication across Climate Vulnerable Forum States is unlikely within 15 years because ICJ jurisdiction depends on State consent, cases are costly and lengthy, evidence will vary by country, and respondent States are likely to resist expansive liability. The precedent would therefore mobilise some additional compensation and loss-and-damage finance, but probably only a limited proportion of total assessed harm.
The three most important scaling channels would be: (1) bilateral negotiations and settlements, because vulnerable States could use the judgment as leverage without reproducing a full ICJ proceeding; (2) political pressure for increased contributions to multilateral loss-and-damage mechanisms, through which the precedent could translate legal exposure into more predictable collective funding; and (3) the advisory and norm-setting effects of the ICJ and other international or regional courts, which could influence domestic litigation, diplomatic negotiations and the interpretation of Statesâ€™ due-diligence obligations. Further ICJ contentious cases would remain important but would probably be less significant quantitatively because of jurisdictional and procedural barriers. I therefore expect scaling to occur primarily through negotiated and political responses to the precedent, rather than through numerous judicial awards.</t>
  </si>
  <si>
    <t>Taking a point within a band</t>
  </si>
  <si>
    <t>As a default, the mid-point of the band was selected as the numerical representation of the selection.</t>
  </si>
  <si>
    <t>I've taken into account only damages which calculation is supported by evidence. Specifically, $32,5 (16,5 +16) billion of direct damage caused by floods in 2022. Since 75% of floods is attributed to climate change, then the damage is $18 billion. Furthermore, $107,632 billion of damage for loss of life between 2001 and 2025. Although data is only available for 2000-2019, it could be applicable with some approximation for the whole period. Since 53% of damage and loss of life are estimated from extreme weather events, then the damage under this head is $57,044 billion. The overall approximate damage is $57 billion. The economic loss and damage is not compensated, as follows from the ICJ's case law.</t>
  </si>
  <si>
    <t>Used a global sum approach (and very much a quick estimate), applying the V20 average climate-related GDP loss rate to Pakistan's GDP. Per the V20's own Climate Vulnerable Economies Loss Report (June 2022), V20 economies lost approximately $525 billion in aggregate due to climate change over the last two decades, with climate change cutting GDP growth by roughly 1 percentage point per year on average. As I understand it Pakistan is ranked among the most climate vulnerable V20 nations, so applying the V20 average loss rate is arguably conservative for Pakistan specifically “ the 10% most at “risk V20 countries lost over half their total growth since 2000 to climate change.</t>
  </si>
  <si>
    <t>International Court of Justice (ICJ) contentious cases and advisory opinion effects -“ Decisions and advisory opinions from the ICJ can strengthen the interpretation of states' obligations under international law, influence future climate litigation, and provide authoritative guidance for governments and international institutions.
Domestic climate litigation -“ National courts can translate international legal principles into enforceable domestic obligations, encouraging governments to strengthen climate policies, provide remedies for affected communities, and increase accountability for climate-related harm.
Political pressure through multilateral negotiations and international climate finance -“ Continued advocacy within the UNFCCC process, including negotiations on the Fund for Responding to Loss and Damage, can encourage high-emitting countries to increase financial contributions and support for vulnerable countries such as South Sudan. Diplomatic engagement and coordinated political pressure can also promote greater compliance with international climate commitments.</t>
  </si>
  <si>
    <t>I selected s = 1 because I consider a successful first ICJ contentious case to have the potential to establish an influential legal and political precedent that extends beyond the individual UK v. Pakistan dispute. While each subsequent case would depend on its own facts, a favourable judgment could encourage other Climate Vulnerable Forum (CVF) States to pursue similar claims or negotiated settlements. I expect the scaling to occur primarily through: (1) further ICJ contentious cases brought by other vulnerable states relying on the precedent established in the first case; (2) the persuasive effect of ICJ decisions and advisory opinions on other international and domestic courts, strengthening climate accountability and state responsibility; and (3) increased political pressure leading to bilateral negotiations and greater contributions to multilateral climate finance and Loss and Damage funding mechanisms. Together, these legal and political channels could result in climate-related transfers that extend beyond a single bilateral award to a broader set of climate-vulnerable states.</t>
  </si>
  <si>
    <t>Where inconsistencies in bounds and central estimate</t>
  </si>
  <si>
    <t>Where inconsistencies were identified, such a central estimate being outside one of the bounds, the entire set of values for that question were removed as the default.</t>
  </si>
  <si>
    <t>A sensitivity where they are included was also conducted</t>
  </si>
  <si>
    <t>General cleaning</t>
  </si>
  <si>
    <t>Some symbols mistranslated from Qualtrics to excel - these were either removed or replaced (where meaning was obvious)</t>
  </si>
  <si>
    <t>All uncompleted surveys were excluded</t>
  </si>
  <si>
    <t>Three obvious groups</t>
  </si>
  <si>
    <t>Below average</t>
  </si>
  <si>
    <t>Above average</t>
  </si>
  <si>
    <t>Portion</t>
  </si>
  <si>
    <t>I</t>
  </si>
  <si>
    <t>Error in triples</t>
  </si>
  <si>
    <t>labels</t>
  </si>
  <si>
    <t>Labels</t>
  </si>
  <si>
    <t>Question</t>
  </si>
  <si>
    <t>Pooled_Mean</t>
  </si>
  <si>
    <t>Pooled_Median</t>
  </si>
  <si>
    <t>Hard_Union_LPP</t>
  </si>
  <si>
    <t>Hard_Union_HPP</t>
  </si>
  <si>
    <t>Mixture_5th</t>
  </si>
  <si>
    <t>Mixture_95th</t>
  </si>
  <si>
    <t>N_Participants</t>
  </si>
  <si>
    <t>Lambda</t>
  </si>
  <si>
    <t>Nsim</t>
  </si>
  <si>
    <t>2a</t>
  </si>
  <si>
    <t xml:space="preserve">Africa </t>
  </si>
  <si>
    <t>Did not answer</t>
  </si>
  <si>
    <t>Netherlands/Austria</t>
  </si>
  <si>
    <t>Europe</t>
  </si>
  <si>
    <t>Oceania</t>
  </si>
  <si>
    <t>North  America</t>
  </si>
  <si>
    <t>Asia</t>
  </si>
  <si>
    <t>1--5</t>
  </si>
  <si>
    <t>1-5</t>
  </si>
  <si>
    <t>5-10</t>
  </si>
  <si>
    <t>10-20</t>
  </si>
  <si>
    <t>Finance</t>
  </si>
  <si>
    <t>Litigation</t>
  </si>
  <si>
    <t>In estimating the United Kingdom's share of internationally wrongful climate harm, we considered several factors grounded in international law and climate justice principles.
First, we considered the timing of the UK's international obligations, recognizing that obligations to prevent significant transboundary environmental harm and to address climate change have evolved through customary international law, the UN Framework Convention on Climate Change (UNFCCC), the Paris Agreement, and related international commitments. The estimate therefore reflects the period during which the UK's legal responsibilities to mitigate greenhouse gas emissions and support vulnerable countries became clearly established.
Second, we considered the principle of common but differentiated responsibilities and respective capabilities (CBDR-RC), which recognizes that developed countries with higher historical emissions and greater financial and technological capacity bear a greater responsibility for addressing climate change and its impacts.
Third, we assessed the extent to which the UK has met its international climate obligations, including progress in reducing domestic greenhouse gas emissions, contributions to international climate finance, and support for adaptation and loss and damage in vulnerable countries. While acknowledging the UK's leadership in certain areas, we also considered evidence that gaps remain between existing commitments, implementation, and the level of support required by climate-vulnerable countries.
Finally, we considered other legally relevant factors, including the UK's historical contribution to cumulative greenhouse gas emissions, its economic capacity, the foreseeability of climate-related harm, and the disproportionate impacts experienced by countries such as South Sudan that have contributed very little to global emissions yet face severe climate-related losses and damages.
These factors were assessed collectively to arrive at a reasonable estimate of the UK's share of internationally wrongful climate harm, recognizing that the estimate is subject to legal interpretation and the evolving development of international climate law.</t>
  </si>
  <si>
    <t>Diplomacy</t>
  </si>
  <si>
    <t>Pooled Mean</t>
  </si>
  <si>
    <t>Pooled Median</t>
  </si>
  <si>
    <t>Hard Union LPP</t>
  </si>
  <si>
    <t>Hard Union HPP</t>
  </si>
  <si>
    <t>Mixture 5th</t>
  </si>
  <si>
    <t>Mixture 95th</t>
  </si>
  <si>
    <t>1a</t>
  </si>
  <si>
    <t>Pooled median</t>
  </si>
  <si>
    <t>PAK GDP</t>
  </si>
  <si>
    <t>UK GDP</t>
  </si>
  <si>
    <t>Scaling</t>
  </si>
  <si>
    <t>Lower scenario</t>
  </si>
  <si>
    <t>Central scenario</t>
  </si>
  <si>
    <t>Upper scenario</t>
  </si>
  <si>
    <t>Pooled mean higher than pooled median</t>
  </si>
  <si>
    <t>Gross domestic product 2025</t>
  </si>
  <si>
    <t>(millions of</t>
  </si>
  <si>
    <t>Ranking</t>
  </si>
  <si>
    <t>Economy</t>
  </si>
  <si>
    <t>US dollars)</t>
  </si>
  <si>
    <t>USA</t>
  </si>
  <si>
    <t>United States</t>
  </si>
  <si>
    <t/>
  </si>
  <si>
    <t>CHN</t>
  </si>
  <si>
    <t>China</t>
  </si>
  <si>
    <t>DEU</t>
  </si>
  <si>
    <t>Germany</t>
  </si>
  <si>
    <t>JPN</t>
  </si>
  <si>
    <t>Japan</t>
  </si>
  <si>
    <t>GBR</t>
  </si>
  <si>
    <t>IND</t>
  </si>
  <si>
    <t>India</t>
  </si>
  <si>
    <t>FRA</t>
  </si>
  <si>
    <t>RUS</t>
  </si>
  <si>
    <t>Russian Federation</t>
  </si>
  <si>
    <t>a</t>
  </si>
  <si>
    <t>ITA</t>
  </si>
  <si>
    <t>Italy</t>
  </si>
  <si>
    <t>CAN</t>
  </si>
  <si>
    <t>Canada</t>
  </si>
  <si>
    <t>BRA</t>
  </si>
  <si>
    <t>Brazil</t>
  </si>
  <si>
    <t>ESP</t>
  </si>
  <si>
    <t>Spain</t>
  </si>
  <si>
    <t>KOR</t>
  </si>
  <si>
    <t>Korea, Rep.</t>
  </si>
  <si>
    <t>MEX</t>
  </si>
  <si>
    <t>Mexico</t>
  </si>
  <si>
    <t>AUS</t>
  </si>
  <si>
    <t>Australia</t>
  </si>
  <si>
    <t>TUR</t>
  </si>
  <si>
    <t>Türkiye</t>
  </si>
  <si>
    <t>IDN</t>
  </si>
  <si>
    <t>Indonesia</t>
  </si>
  <si>
    <t>NLD</t>
  </si>
  <si>
    <t>Netherlands</t>
  </si>
  <si>
    <t>SAU</t>
  </si>
  <si>
    <t>Saudi Arabia</t>
  </si>
  <si>
    <t>CHE</t>
  </si>
  <si>
    <t>POL</t>
  </si>
  <si>
    <t>Poland</t>
  </si>
  <si>
    <t>BEL</t>
  </si>
  <si>
    <t>Belgium</t>
  </si>
  <si>
    <t>IRL</t>
  </si>
  <si>
    <t>Ireland</t>
  </si>
  <si>
    <t>ARG</t>
  </si>
  <si>
    <t>Argentina</t>
  </si>
  <si>
    <t>SWE</t>
  </si>
  <si>
    <t>Sweden</t>
  </si>
  <si>
    <t>ISR</t>
  </si>
  <si>
    <t>Israel</t>
  </si>
  <si>
    <t>SGP</t>
  </si>
  <si>
    <t>Singapore</t>
  </si>
  <si>
    <t>AUT</t>
  </si>
  <si>
    <t>Austria</t>
  </si>
  <si>
    <t>THA</t>
  </si>
  <si>
    <t>Thailand</t>
  </si>
  <si>
    <t>ARE</t>
  </si>
  <si>
    <t>United Arab Emirates</t>
  </si>
  <si>
    <t>NOR</t>
  </si>
  <si>
    <t>Norway</t>
  </si>
  <si>
    <t>VNM</t>
  </si>
  <si>
    <t>Viet Nam</t>
  </si>
  <si>
    <t>PHL</t>
  </si>
  <si>
    <t>Philippines</t>
  </si>
  <si>
    <t>MYS</t>
  </si>
  <si>
    <t>Malaysia</t>
  </si>
  <si>
    <t>DNK</t>
  </si>
  <si>
    <t>Denmark</t>
  </si>
  <si>
    <t>COL</t>
  </si>
  <si>
    <t>Colombia</t>
  </si>
  <si>
    <t>BGD</t>
  </si>
  <si>
    <t>Bangladesh</t>
  </si>
  <si>
    <t>ROU</t>
  </si>
  <si>
    <t>Romania</t>
  </si>
  <si>
    <t>HKG</t>
  </si>
  <si>
    <t>Hong Kong SAR, China</t>
  </si>
  <si>
    <t>ZAF</t>
  </si>
  <si>
    <t>South Africa</t>
  </si>
  <si>
    <t>PAK</t>
  </si>
  <si>
    <t>Pakistan</t>
  </si>
  <si>
    <t>CZE</t>
  </si>
  <si>
    <t>Czechia</t>
  </si>
  <si>
    <t>EGY</t>
  </si>
  <si>
    <t>Egypt, Arab Rep.</t>
  </si>
  <si>
    <t>IRN</t>
  </si>
  <si>
    <t>Iran, Islamic Rep.</t>
  </si>
  <si>
    <t>CHL</t>
  </si>
  <si>
    <t>Chile</t>
  </si>
  <si>
    <t>PRT</t>
  </si>
  <si>
    <t>Portugal</t>
  </si>
  <si>
    <t>PER</t>
  </si>
  <si>
    <t>Peru</t>
  </si>
  <si>
    <t>FIN</t>
  </si>
  <si>
    <t>Finland</t>
  </si>
  <si>
    <t>KAZ</t>
  </si>
  <si>
    <t>Kazakhstan</t>
  </si>
  <si>
    <t>NGA</t>
  </si>
  <si>
    <t>DZA</t>
  </si>
  <si>
    <t>Algeria</t>
  </si>
  <si>
    <t>GRC</t>
  </si>
  <si>
    <t>Greece</t>
  </si>
  <si>
    <t>NZL</t>
  </si>
  <si>
    <t>IRQ</t>
  </si>
  <si>
    <t>Iraq</t>
  </si>
  <si>
    <t>HUN</t>
  </si>
  <si>
    <t>Hungary</t>
  </si>
  <si>
    <t>QAT</t>
  </si>
  <si>
    <t>Qatar</t>
  </si>
  <si>
    <t>UKR</t>
  </si>
  <si>
    <t>Ukraine</t>
  </si>
  <si>
    <t>MAR</t>
  </si>
  <si>
    <t>Morocco</t>
  </si>
  <si>
    <t>b</t>
  </si>
  <si>
    <t>KWT</t>
  </si>
  <si>
    <t>Kuwait</t>
  </si>
  <si>
    <t>SVK</t>
  </si>
  <si>
    <t>Slovak Republic</t>
  </si>
  <si>
    <t>UZB</t>
  </si>
  <si>
    <t>Uzbekistan</t>
  </si>
  <si>
    <t>KEN</t>
  </si>
  <si>
    <t>Kenya</t>
  </si>
  <si>
    <t>BGR</t>
  </si>
  <si>
    <t>Bulgaria</t>
  </si>
  <si>
    <t>ECU</t>
  </si>
  <si>
    <t>Ecuador</t>
  </si>
  <si>
    <t>PRI</t>
  </si>
  <si>
    <t>Puerto Rico (US)</t>
  </si>
  <si>
    <t>DOM</t>
  </si>
  <si>
    <t>Dominican Republic</t>
  </si>
  <si>
    <t>ETH</t>
  </si>
  <si>
    <t>Ethiopia</t>
  </si>
  <si>
    <t>GTM</t>
  </si>
  <si>
    <t>Guatemala</t>
  </si>
  <si>
    <t>AGO</t>
  </si>
  <si>
    <t>Angola</t>
  </si>
  <si>
    <t>GHA</t>
  </si>
  <si>
    <t>Ghana</t>
  </si>
  <si>
    <t>OMN</t>
  </si>
  <si>
    <t>Oman</t>
  </si>
  <si>
    <t>LKA</t>
  </si>
  <si>
    <t>Sri Lanka</t>
  </si>
  <si>
    <t>HRV</t>
  </si>
  <si>
    <t>Croatia</t>
  </si>
  <si>
    <t>CRI</t>
  </si>
  <si>
    <t>Costa Rica</t>
  </si>
  <si>
    <t>LUX</t>
  </si>
  <si>
    <t>Luxembourg</t>
  </si>
  <si>
    <t>SRB</t>
  </si>
  <si>
    <t>Serbia</t>
  </si>
  <si>
    <t>CIV</t>
  </si>
  <si>
    <t>Côte d'Ivoire</t>
  </si>
  <si>
    <t>VEN</t>
  </si>
  <si>
    <t>Venezuela, RB</t>
  </si>
  <si>
    <t>LTU</t>
  </si>
  <si>
    <t>Lithuania</t>
  </si>
  <si>
    <t>BLR</t>
  </si>
  <si>
    <t>Belarus</t>
  </si>
  <si>
    <t>COD</t>
  </si>
  <si>
    <t>Congo, Dem. Rep.</t>
  </si>
  <si>
    <t>PAN</t>
  </si>
  <si>
    <t>Panama</t>
  </si>
  <si>
    <t>TZA</t>
  </si>
  <si>
    <t>Tanzania</t>
  </si>
  <si>
    <t>c</t>
  </si>
  <si>
    <t>URY</t>
  </si>
  <si>
    <t>Uruguay</t>
  </si>
  <si>
    <t>MMR</t>
  </si>
  <si>
    <t>Myanmar</t>
  </si>
  <si>
    <t>SVN</t>
  </si>
  <si>
    <t>Slovenia</t>
  </si>
  <si>
    <t>AZE</t>
  </si>
  <si>
    <t>Azerbaijan</t>
  </si>
  <si>
    <t>BOL</t>
  </si>
  <si>
    <t>Bolivia</t>
  </si>
  <si>
    <t>UGA</t>
  </si>
  <si>
    <t>Uganda</t>
  </si>
  <si>
    <t>JOR</t>
  </si>
  <si>
    <t>Jordan</t>
  </si>
  <si>
    <t>SDN</t>
  </si>
  <si>
    <t>Sudan</t>
  </si>
  <si>
    <t>CMR</t>
  </si>
  <si>
    <t>Cameroon</t>
  </si>
  <si>
    <t>TUN</t>
  </si>
  <si>
    <t>Tunisia</t>
  </si>
  <si>
    <t>MAC</t>
  </si>
  <si>
    <t>Macao SAR, China</t>
  </si>
  <si>
    <t>KHM</t>
  </si>
  <si>
    <t>Cambodia</t>
  </si>
  <si>
    <t>ZWE</t>
  </si>
  <si>
    <t>Zimbabwe</t>
  </si>
  <si>
    <t>TKM</t>
  </si>
  <si>
    <t>Turkmenistan</t>
  </si>
  <si>
    <t>PRY</t>
  </si>
  <si>
    <t>Paraguay</t>
  </si>
  <si>
    <t>BHR</t>
  </si>
  <si>
    <t>Bahrain</t>
  </si>
  <si>
    <t>LVA</t>
  </si>
  <si>
    <t>Latvia</t>
  </si>
  <si>
    <t>LBY</t>
  </si>
  <si>
    <t>Libya</t>
  </si>
  <si>
    <t>EST</t>
  </si>
  <si>
    <t>Estonia</t>
  </si>
  <si>
    <t>NPL</t>
  </si>
  <si>
    <t>Nepal</t>
  </si>
  <si>
    <t>CYP</t>
  </si>
  <si>
    <t>Cyprus</t>
  </si>
  <si>
    <t>d</t>
  </si>
  <si>
    <t>HND</t>
  </si>
  <si>
    <t>Honduras</t>
  </si>
  <si>
    <t>ISL</t>
  </si>
  <si>
    <t>Iceland</t>
  </si>
  <si>
    <t>GEO</t>
  </si>
  <si>
    <t>Georgia</t>
  </si>
  <si>
    <t>e</t>
  </si>
  <si>
    <t>SEN</t>
  </si>
  <si>
    <t>Senegal</t>
  </si>
  <si>
    <t>SLV</t>
  </si>
  <si>
    <t>El Salvador</t>
  </si>
  <si>
    <t>BIH</t>
  </si>
  <si>
    <t>Bosnia and Herzegovina</t>
  </si>
  <si>
    <t>PNG</t>
  </si>
  <si>
    <t>Papua New Guinea</t>
  </si>
  <si>
    <t>HTI</t>
  </si>
  <si>
    <t>Haiti</t>
  </si>
  <si>
    <t>ALB</t>
  </si>
  <si>
    <t>Albania</t>
  </si>
  <si>
    <t>MLI</t>
  </si>
  <si>
    <t>Mali</t>
  </si>
  <si>
    <t>ARM</t>
  </si>
  <si>
    <t>Armenia</t>
  </si>
  <si>
    <t>ZMB</t>
  </si>
  <si>
    <t>Zambia</t>
  </si>
  <si>
    <t>GIN</t>
  </si>
  <si>
    <t>Guinea</t>
  </si>
  <si>
    <t>MLT</t>
  </si>
  <si>
    <t>Malta</t>
  </si>
  <si>
    <t>BFA</t>
  </si>
  <si>
    <t>Burkina Faso</t>
  </si>
  <si>
    <t>GUY</t>
  </si>
  <si>
    <t>Guyana</t>
  </si>
  <si>
    <t>LBN</t>
  </si>
  <si>
    <t>Lebanon</t>
  </si>
  <si>
    <t>TTO</t>
  </si>
  <si>
    <t>Trinidad and Tobago</t>
  </si>
  <si>
    <t>MNG</t>
  </si>
  <si>
    <t>Mongolia</t>
  </si>
  <si>
    <t>BEN</t>
  </si>
  <si>
    <t>Benin</t>
  </si>
  <si>
    <t>JAM</t>
  </si>
  <si>
    <t>Jamaica</t>
  </si>
  <si>
    <t>KGZ</t>
  </si>
  <si>
    <t>Kyrgyz Republic</t>
  </si>
  <si>
    <t>MOZ</t>
  </si>
  <si>
    <t>Mozambique</t>
  </si>
  <si>
    <t>NIC</t>
  </si>
  <si>
    <t>Nicaragua</t>
  </si>
  <si>
    <t>NER</t>
  </si>
  <si>
    <t>Niger</t>
  </si>
  <si>
    <t>TCD</t>
  </si>
  <si>
    <t>Chad</t>
  </si>
  <si>
    <t>GAB</t>
  </si>
  <si>
    <t>Gabon</t>
  </si>
  <si>
    <t>MDA</t>
  </si>
  <si>
    <t>Moldova</t>
  </si>
  <si>
    <t>f</t>
  </si>
  <si>
    <t>BWA</t>
  </si>
  <si>
    <t>Botswana</t>
  </si>
  <si>
    <t>MDG</t>
  </si>
  <si>
    <t>Madagascar</t>
  </si>
  <si>
    <t>MKD</t>
  </si>
  <si>
    <t>North Macedonia</t>
  </si>
  <si>
    <t>LAO</t>
  </si>
  <si>
    <t>Lao PDR</t>
  </si>
  <si>
    <t>AFG</t>
  </si>
  <si>
    <t>Afghanistan</t>
  </si>
  <si>
    <t>TJK</t>
  </si>
  <si>
    <t>Tajikistan</t>
  </si>
  <si>
    <t>PSE</t>
  </si>
  <si>
    <t>West Bank and Gaza</t>
  </si>
  <si>
    <t>RWA</t>
  </si>
  <si>
    <t>Rwanda</t>
  </si>
  <si>
    <t>COG</t>
  </si>
  <si>
    <t>Congo, Rep.</t>
  </si>
  <si>
    <t>MUS</t>
  </si>
  <si>
    <t>Mauritius</t>
  </si>
  <si>
    <t>BHS</t>
  </si>
  <si>
    <t>Bahamas, The</t>
  </si>
  <si>
    <t>NAM</t>
  </si>
  <si>
    <t>Namibia</t>
  </si>
  <si>
    <t>BRN</t>
  </si>
  <si>
    <t>Brunei Darussalam</t>
  </si>
  <si>
    <t>MWI</t>
  </si>
  <si>
    <t>Malawi</t>
  </si>
  <si>
    <t>SOM</t>
  </si>
  <si>
    <t>Somalia, Fed. Rep.</t>
  </si>
  <si>
    <t>GNQ</t>
  </si>
  <si>
    <t>Equatorial Guinea</t>
  </si>
  <si>
    <t>CHI</t>
  </si>
  <si>
    <t>Channel Islands</t>
  </si>
  <si>
    <t>XKX</t>
  </si>
  <si>
    <t>Kosovo</t>
  </si>
  <si>
    <t>TGO</t>
  </si>
  <si>
    <t>Togo</t>
  </si>
  <si>
    <t>MRT</t>
  </si>
  <si>
    <t>Mauritania</t>
  </si>
  <si>
    <t>MCO</t>
  </si>
  <si>
    <t>Monaco</t>
  </si>
  <si>
    <t>MNE</t>
  </si>
  <si>
    <t>Montenegro</t>
  </si>
  <si>
    <t>BMU</t>
  </si>
  <si>
    <t>Bermuda</t>
  </si>
  <si>
    <t>LIE</t>
  </si>
  <si>
    <t>Liechtenstein</t>
  </si>
  <si>
    <t>NCL</t>
  </si>
  <si>
    <t>New Caledonia</t>
  </si>
  <si>
    <t>BRB</t>
  </si>
  <si>
    <t>Barbados</t>
  </si>
  <si>
    <t>CYM</t>
  </si>
  <si>
    <t>Cayman Islands</t>
  </si>
  <si>
    <t>MDV</t>
  </si>
  <si>
    <t>Maldives</t>
  </si>
  <si>
    <t>IMN</t>
  </si>
  <si>
    <t>Isle of Man</t>
  </si>
  <si>
    <t>SLE</t>
  </si>
  <si>
    <t>Sierra Leone</t>
  </si>
  <si>
    <t>PYF</t>
  </si>
  <si>
    <t>French Polynesia</t>
  </si>
  <si>
    <t>FJI</t>
  </si>
  <si>
    <t>Fiji</t>
  </si>
  <si>
    <t>LBR</t>
  </si>
  <si>
    <t>Liberia</t>
  </si>
  <si>
    <t>SWZ</t>
  </si>
  <si>
    <t>Eswatini</t>
  </si>
  <si>
    <t>DJI</t>
  </si>
  <si>
    <t>Djibouti</t>
  </si>
  <si>
    <t>SUR</t>
  </si>
  <si>
    <t>Suriname</t>
  </si>
  <si>
    <t>AND</t>
  </si>
  <si>
    <t>Andorra</t>
  </si>
  <si>
    <t>ABW</t>
  </si>
  <si>
    <t>Aruba</t>
  </si>
  <si>
    <t>FRO</t>
  </si>
  <si>
    <t>Faroe Islands</t>
  </si>
  <si>
    <t>BTN</t>
  </si>
  <si>
    <t>Bhutan</t>
  </si>
  <si>
    <t>CUW</t>
  </si>
  <si>
    <t>Curaçao</t>
  </si>
  <si>
    <t>BDI</t>
  </si>
  <si>
    <t>Burundi</t>
  </si>
  <si>
    <t>GRL</t>
  </si>
  <si>
    <t>Greenland</t>
  </si>
  <si>
    <t>BLZ</t>
  </si>
  <si>
    <t>Belize</t>
  </si>
  <si>
    <t>CAF</t>
  </si>
  <si>
    <t>Central African Republic</t>
  </si>
  <si>
    <t>CPV</t>
  </si>
  <si>
    <t>Cabo Verde</t>
  </si>
  <si>
    <t>LCA</t>
  </si>
  <si>
    <t>St. Lucia</t>
  </si>
  <si>
    <t>GMB</t>
  </si>
  <si>
    <t>Gambia, The</t>
  </si>
  <si>
    <t>LSO</t>
  </si>
  <si>
    <t>Lesotho</t>
  </si>
  <si>
    <t>GNB</t>
  </si>
  <si>
    <t>Guinea-Bissau</t>
  </si>
  <si>
    <t>SYC</t>
  </si>
  <si>
    <t>Seychelles</t>
  </si>
  <si>
    <t>ATG</t>
  </si>
  <si>
    <t>Antigua and Barbuda</t>
  </si>
  <si>
    <t>SMR</t>
  </si>
  <si>
    <t>San Marino</t>
  </si>
  <si>
    <t>TLS</t>
  </si>
  <si>
    <t>Timor-Leste</t>
  </si>
  <si>
    <t>SXM</t>
  </si>
  <si>
    <t>Sint Maarten (Dutch part)</t>
  </si>
  <si>
    <t>COM</t>
  </si>
  <si>
    <t>Comoros</t>
  </si>
  <si>
    <t>SLB</t>
  </si>
  <si>
    <t>Solomon Islands</t>
  </si>
  <si>
    <t>TCA</t>
  </si>
  <si>
    <t>Turks and Caicos Islands</t>
  </si>
  <si>
    <t>GRD</t>
  </si>
  <si>
    <t>Grenada</t>
  </si>
  <si>
    <t>VUT</t>
  </si>
  <si>
    <t>Vanuatu</t>
  </si>
  <si>
    <t>WSM</t>
  </si>
  <si>
    <t>Samoa</t>
  </si>
  <si>
    <t>VCT</t>
  </si>
  <si>
    <t>St. Vincent and the Grenadines</t>
  </si>
  <si>
    <t>KNA</t>
  </si>
  <si>
    <t>St. Kitts and Nevis</t>
  </si>
  <si>
    <t>STP</t>
  </si>
  <si>
    <t>São Tomé and Principe</t>
  </si>
  <si>
    <t>DMA</t>
  </si>
  <si>
    <t>Dominica</t>
  </si>
  <si>
    <t>TON</t>
  </si>
  <si>
    <t>Tonga</t>
  </si>
  <si>
    <t>FSM</t>
  </si>
  <si>
    <t>Micronesia, Fed. Sts.</t>
  </si>
  <si>
    <t>KIR</t>
  </si>
  <si>
    <t>Kiribati</t>
  </si>
  <si>
    <t>PLW</t>
  </si>
  <si>
    <t>Palau</t>
  </si>
  <si>
    <t>MHL</t>
  </si>
  <si>
    <t>Marshall Islands</t>
  </si>
  <si>
    <t>NRU</t>
  </si>
  <si>
    <t>Naoero</t>
  </si>
  <si>
    <t>TUV</t>
  </si>
  <si>
    <t>Tuvalu</t>
  </si>
  <si>
    <t>ASM</t>
  </si>
  <si>
    <t>American Samoa</t>
  </si>
  <si>
    <t>VGB</t>
  </si>
  <si>
    <t>British Virgin Islands</t>
  </si>
  <si>
    <t>CUB</t>
  </si>
  <si>
    <t>Cuba</t>
  </si>
  <si>
    <t>ERI</t>
  </si>
  <si>
    <t>Eritrea</t>
  </si>
  <si>
    <t>GIB</t>
  </si>
  <si>
    <t>Gibraltar</t>
  </si>
  <si>
    <t>GUM</t>
  </si>
  <si>
    <t>Guam</t>
  </si>
  <si>
    <t>PRK</t>
  </si>
  <si>
    <t>Korea, Dem. People's Rep.</t>
  </si>
  <si>
    <t>MNP</t>
  </si>
  <si>
    <t>Northern Mariana Islands</t>
  </si>
  <si>
    <t>SSD</t>
  </si>
  <si>
    <t>South Sudan</t>
  </si>
  <si>
    <t>MAF</t>
  </si>
  <si>
    <t>St. Martin (French part)</t>
  </si>
  <si>
    <t>SYR</t>
  </si>
  <si>
    <t>Syrian Arab Republic</t>
  </si>
  <si>
    <t>VIR</t>
  </si>
  <si>
    <t>Virgin Islands (U.S.)</t>
  </si>
  <si>
    <t>YEM</t>
  </si>
  <si>
    <t>Yemen, Rep.</t>
  </si>
  <si>
    <t>WLD</t>
  </si>
  <si>
    <t>World</t>
  </si>
  <si>
    <t>EAS</t>
  </si>
  <si>
    <t>East Asia &amp; Pacific</t>
  </si>
  <si>
    <t>ECS</t>
  </si>
  <si>
    <t>Europe &amp; Central Asia</t>
  </si>
  <si>
    <t>LCN</t>
  </si>
  <si>
    <t>Latin America &amp; Caribbean</t>
  </si>
  <si>
    <t>MEA</t>
  </si>
  <si>
    <t>Middle East &amp; North Africa</t>
  </si>
  <si>
    <t>NAC</t>
  </si>
  <si>
    <t>North America</t>
  </si>
  <si>
    <t>SAS</t>
  </si>
  <si>
    <t>South Asia</t>
  </si>
  <si>
    <t>SSF</t>
  </si>
  <si>
    <t>Sub-Saharan Africa</t>
  </si>
  <si>
    <t>LIC</t>
  </si>
  <si>
    <t>Low income</t>
  </si>
  <si>
    <t>LMC</t>
  </si>
  <si>
    <t>Lower middle income</t>
  </si>
  <si>
    <t>UMC</t>
  </si>
  <si>
    <t>Upper middle income</t>
  </si>
  <si>
    <t>HIC</t>
  </si>
  <si>
    <t>High income</t>
  </si>
  <si>
    <t>- Not available.  
Note: Table list 217 economies, but rankings include only those with confirmed GDP estimates for at least one year during the last three years period. Figures in italics are for 2024 or 2023.
a. Based on data from official statistics of Ukraine and Russian Federation as well as the United Nations; by relying on these data, the World Bank does not intend to make any judgment on the legal or other status of the territories concerned or to prejudice the final determination of the parties' claims.  b. Includes Western Sahara.  c. Covers mainland Tanzania only.  d. Data are for the area controlled by the government of Cyprus.  e. Excludes Abkhazia and South Ossetia.  f. Excludes Transnistria.</t>
  </si>
  <si>
    <t>GDP data source: http://data.worldbank.org/data-catalog/world-development-indicators</t>
  </si>
  <si>
    <t>GDP projections:  http://data.worldbank.org/data-catalog/global-economic-prospects</t>
  </si>
  <si>
    <t>iso3</t>
  </si>
  <si>
    <t>World Bank economy</t>
  </si>
  <si>
    <t>GDP 2025 (US$ millions)</t>
  </si>
  <si>
    <t>2025 % of global GDP</t>
  </si>
  <si>
    <t>MINDSET country</t>
  </si>
  <si>
    <t>IPCC region</t>
  </si>
  <si>
    <t>G77 + China</t>
  </si>
  <si>
    <t>CVF member</t>
  </si>
  <si>
    <t>Fair shares %</t>
  </si>
  <si>
    <t>Yes</t>
  </si>
  <si>
    <t>EUR</t>
  </si>
  <si>
    <t>No</t>
  </si>
  <si>
    <t>AFR</t>
  </si>
  <si>
    <t>Not in MINDSET country list</t>
  </si>
  <si>
    <t>Rest of Europe</t>
  </si>
  <si>
    <t>Rest of Americas</t>
  </si>
  <si>
    <t>LAC</t>
  </si>
  <si>
    <t>EEA</t>
  </si>
  <si>
    <t>AJN</t>
  </si>
  <si>
    <t>Bahamas</t>
  </si>
  <si>
    <t>MEN</t>
  </si>
  <si>
    <t>Immaterial</t>
  </si>
  <si>
    <t>SEP</t>
  </si>
  <si>
    <t>Rest of Africa</t>
  </si>
  <si>
    <t>Outside G77 + China or CVF</t>
  </si>
  <si>
    <t>DR Congo</t>
  </si>
  <si>
    <t>Rep Congo</t>
  </si>
  <si>
    <t>CSSR/Czech Republic (1990/1991)</t>
  </si>
  <si>
    <t>Cote d'Ivoire</t>
  </si>
  <si>
    <t>Egypt</t>
  </si>
  <si>
    <t>Ethiopia/DR Ethiopia (1992/1993)</t>
  </si>
  <si>
    <t>Rest of Asia-Pacific</t>
  </si>
  <si>
    <t>Gambia</t>
  </si>
  <si>
    <t>Hong Kong</t>
  </si>
  <si>
    <t>Iran</t>
  </si>
  <si>
    <t>North Korea</t>
  </si>
  <si>
    <t>South Korea</t>
  </si>
  <si>
    <t>Kyrgyzstan</t>
  </si>
  <si>
    <t>Laos</t>
  </si>
  <si>
    <t>Macedonia</t>
  </si>
  <si>
    <t>USSR/Russian Federation (1990/1991)</t>
  </si>
  <si>
    <t>Yugoslavia/Serbia (1991/1992)</t>
  </si>
  <si>
    <t>Slovakia</t>
  </si>
  <si>
    <t>Somalia</t>
  </si>
  <si>
    <t>Sudan/North Sudan (2010/2011)</t>
  </si>
  <si>
    <t>Syria</t>
  </si>
  <si>
    <t>Turkey</t>
  </si>
  <si>
    <t>United States of America</t>
  </si>
  <si>
    <t>Venezuela</t>
  </si>
  <si>
    <t>Palestine</t>
  </si>
  <si>
    <t>Yemen Arab Republic/Yemen (1990/1991)</t>
  </si>
  <si>
    <t>Parameters</t>
  </si>
  <si>
    <t>Reference year</t>
  </si>
  <si>
    <t>Cut-off year</t>
  </si>
  <si>
    <t>Discount rate</t>
  </si>
  <si>
    <t xml:space="preserve">Group exclusions: </t>
  </si>
  <si>
    <t>Emissions measure</t>
  </si>
  <si>
    <t>GHGs (MtCO2e)</t>
  </si>
  <si>
    <t>Income measure</t>
  </si>
  <si>
    <t>GNI/hd (US$/hd)</t>
  </si>
  <si>
    <t>Weight on income measure</t>
  </si>
  <si>
    <t>A: SUMMARY RESULTS</t>
  </si>
  <si>
    <t>Cumulative Emissions</t>
  </si>
  <si>
    <t>Income</t>
  </si>
  <si>
    <t>Overall Fair Share</t>
  </si>
  <si>
    <t>Overall Fair Share ^</t>
  </si>
  <si>
    <t>% share</t>
  </si>
  <si>
    <t>Rank</t>
  </si>
  <si>
    <t>Score (pre- exclusions)</t>
  </si>
  <si>
    <t>Share</t>
  </si>
  <si>
    <t>Group exclusions</t>
  </si>
  <si>
    <t>Country exclusions</t>
  </si>
  <si>
    <t>Score</t>
  </si>
  <si>
    <t>Top 20</t>
  </si>
  <si>
    <t>Russia</t>
  </si>
  <si>
    <t>Top 20 total</t>
  </si>
  <si>
    <t>By income group</t>
  </si>
  <si>
    <t>Total categorised *</t>
  </si>
  <si>
    <t>By devt group</t>
  </si>
  <si>
    <t>By institutional group</t>
  </si>
  <si>
    <t>By region</t>
  </si>
  <si>
    <t>Key countries</t>
  </si>
  <si>
    <t>* emissions total may not = 100% because some countries (and CO2 emissions from international</t>
  </si>
  <si>
    <t xml:space="preserve">    ^ group exclusions:  </t>
  </si>
  <si>
    <t xml:space="preserve">   transport) are not included in WB income/regional categories, and/or minor aggregation errors</t>
  </si>
  <si>
    <t xml:space="preserve">    collectively accounting for:</t>
  </si>
  <si>
    <t>B: FULL SET OF COUNTRY RESULTS</t>
  </si>
  <si>
    <t>All countries</t>
  </si>
  <si>
    <t>-</t>
  </si>
  <si>
    <t>Country Total</t>
  </si>
  <si>
    <t>Africa</t>
  </si>
  <si>
    <t>^ highlight if &gt;=</t>
  </si>
  <si>
    <t xml:space="preserve">^ group exclusions:  </t>
  </si>
  <si>
    <t>Notes</t>
  </si>
  <si>
    <t>Percentage of world total emissions accounted for by:</t>
  </si>
  <si>
    <t xml:space="preserve"> - individual countries (ie excl international transport)</t>
  </si>
  <si>
    <t xml:space="preserve"> - countries with income data</t>
  </si>
  <si>
    <t xml:space="preserve"> - countries without income data</t>
  </si>
  <si>
    <t>Item</t>
  </si>
  <si>
    <t>Detail</t>
  </si>
  <si>
    <t>Workbook</t>
  </si>
  <si>
    <t>G77 / CVF / MINDSET country comparison with GDP and IPCC regions</t>
  </si>
  <si>
    <t>Sheet: Countries</t>
  </si>
  <si>
    <t>MINDSET / GLORIA country list (164 rows) from Country_groupings/IPCC_regions.xlsx</t>
  </si>
  <si>
    <t>Sheet: Countries (WB 2025 GDP)</t>
  </si>
  <si>
    <t>All World Bank economies from GDP.2025. World_Bank.xlsx (217 economies, excl. regional/income aggregates)</t>
  </si>
  <si>
    <t>2025 GDP source</t>
  </si>
  <si>
    <t>GDP.2025.World_Bank.xlsx — World Bank GDP estimates for 2025 (current US$, millions); http://data.worldbank.org/data-catalog/world-development-indicators</t>
  </si>
  <si>
    <t>2025 GDP share</t>
  </si>
  <si>
    <t>Economy GDP / sum of all World Bank economy GDP values in source file × 100</t>
  </si>
  <si>
    <t>2019 GDP source</t>
  </si>
  <si>
    <t>World Bank NY.GDP.MKTP.KD (GDP constant 2015 US$), 2019 via API; Rest-of-* aggregates sum member territories per MINDSET manual p.74</t>
  </si>
  <si>
    <t>2019 GDP share</t>
  </si>
  <si>
    <t>Country GDP / sum of all 164 MINDSET-country GDP values × 100</t>
  </si>
  <si>
    <t>MINDSET country mapping</t>
  </si>
  <si>
    <t>Direct ISO3 match to IPCC_regions.xlsx; territories in Rest of Americas/Africa/Europe/Asia-Pacific footnotes mapped to aggregate name; others labelled 'Not in MINDSET country list'</t>
  </si>
  <si>
    <t>IPCC regions</t>
  </si>
  <si>
    <t>10 MINDSET regions (AFR, MEN, LAC, NAM, EAS, SAS, SEP, EUR, AJN, EEA) from IPCC_regions.xlsx</t>
  </si>
  <si>
    <t>https://www.g77.org/doc/members_print.html (134 members incl. China)</t>
  </si>
  <si>
    <t>CVF</t>
  </si>
  <si>
    <t>https://cvfv20.org/membership/ (74 members, June 2026)</t>
  </si>
  <si>
    <t>Counts (Countries)</t>
  </si>
  <si>
    <t>Rows: 164 | G77+China Yes: 109 | CVF Yes: 46</t>
  </si>
  <si>
    <t>Counts (WB 2025 GDP)</t>
  </si>
  <si>
    <t>Rows: 217 | G77+China Yes: 128 | CVF Yes: 66 | Not in MINDSET list: 12</t>
  </si>
  <si>
    <t>Pakistan GDP 2025 (bn)</t>
  </si>
  <si>
    <t>UK GDP 2025 (bn)</t>
  </si>
  <si>
    <t>Section 1 results</t>
  </si>
  <si>
    <t>Section 2 results</t>
  </si>
  <si>
    <t>CVF GDP 2025 (bn)</t>
  </si>
  <si>
    <t>Inputs</t>
  </si>
  <si>
    <t>World Bank (2026)</t>
  </si>
  <si>
    <t>Expert elicitation analysis</t>
  </si>
  <si>
    <t>UK share of climate harm (median)</t>
  </si>
  <si>
    <t>Total damages as a % of Pak GDP</t>
  </si>
  <si>
    <t>1c</t>
  </si>
  <si>
    <t>Transfers per yr as % of CVF GDP 2025</t>
  </si>
  <si>
    <t xml:space="preserve"> Transfers to CVF  (bn) - Pooled median</t>
  </si>
  <si>
    <t>Transfers to CVF per year (bn) - Pooled median</t>
  </si>
  <si>
    <t>UK Portion of transfers to CVF (bn)</t>
  </si>
  <si>
    <t xml:space="preserve">UK Portion of transfers to CVF as % of GDP 2025 </t>
  </si>
  <si>
    <t>CVF Receipts (Lower)</t>
  </si>
  <si>
    <t>CVF Receipts (Central)</t>
  </si>
  <si>
    <t>CVF Receipts (Upper)</t>
  </si>
  <si>
    <t>Transfers to CVF as % of CVF GDP 2025</t>
  </si>
  <si>
    <t>Outgoings CVF (Lower)</t>
  </si>
  <si>
    <t>Outgoings CVF (Central)</t>
  </si>
  <si>
    <t>Outgoings CVF (Upper)</t>
  </si>
  <si>
    <t>Dashboard Summary</t>
  </si>
  <si>
    <t>LIC/LMIC/LDC/SIDS</t>
  </si>
  <si>
    <t>G77 + China Receipts (Lower)</t>
  </si>
  <si>
    <t>G77 + China Receipts (Central)</t>
  </si>
  <si>
    <t>G77 + China  Receipts (Upper)</t>
  </si>
  <si>
    <t>Outgoings G77 + China  (Lower)</t>
  </si>
  <si>
    <t>Outgoings G77 + China  CVF (Central)</t>
  </si>
  <si>
    <t>Outgoings G77 + China  (Upper)</t>
  </si>
  <si>
    <t>CVF Receipts (Max)</t>
  </si>
  <si>
    <t>Net transfers CVF (lower)</t>
  </si>
  <si>
    <t>Net transfers CVF (central)</t>
  </si>
  <si>
    <t>Net transfers CVF (upper)</t>
  </si>
  <si>
    <t>Outgoings CVF (Max)</t>
  </si>
  <si>
    <t>Net transfers G77 + China (lower)</t>
  </si>
  <si>
    <t>Net transfers G77 + China (central)</t>
  </si>
  <si>
    <t>Net transfers G77 + China (upper)</t>
  </si>
  <si>
    <t>Row Labels</t>
  </si>
  <si>
    <t>(blank)</t>
  </si>
  <si>
    <t>Grand Total</t>
  </si>
  <si>
    <t>Sum of Net transfers CVF (lower)</t>
  </si>
  <si>
    <t>Sum of Net transfers CVF (central)</t>
  </si>
  <si>
    <t>Sum of Net transfers CVF (upper)</t>
  </si>
  <si>
    <t>transfer as % of GDP (lower)</t>
  </si>
  <si>
    <t>transfer as % of GDP (central)</t>
  </si>
  <si>
    <t>transfer as % of GDP (upper)</t>
  </si>
  <si>
    <t>Main scenario set (CVF)</t>
  </si>
  <si>
    <t>Sum of Net transfers G77 + China (lower)</t>
  </si>
  <si>
    <t>Sum of Net transfers G77 + China (central)</t>
  </si>
  <si>
    <t>Sum of Net transfers G77 + China (upper)</t>
  </si>
  <si>
    <t>Sensitivity analysis (G77 + China)</t>
  </si>
  <si>
    <t>Australia, Japan, New Zealand</t>
  </si>
  <si>
    <t>Eastern Europe and West-Central Asia (incl Rus, CIS states)</t>
  </si>
  <si>
    <t>Latin America and Caribbean</t>
  </si>
  <si>
    <t>Middle East</t>
  </si>
  <si>
    <t>Northern America</t>
  </si>
  <si>
    <t>Southern Asia (incl Ind, Pak)</t>
  </si>
  <si>
    <t>South-East Asia and Pacific (incl Ind, Mys, Vnm, Phl)</t>
  </si>
  <si>
    <t>Eastern Asia (incl Chn, Kor)</t>
  </si>
  <si>
    <t>Final demand changes (consumption, govt, etc)</t>
  </si>
  <si>
    <t>Fields with * must be specified manually or filled in automatically by selecting values in other columns</t>
  </si>
  <si>
    <t>Country</t>
  </si>
  <si>
    <t>Country ISO*</t>
  </si>
  <si>
    <t>Product</t>
  </si>
  <si>
    <t>Product code*</t>
  </si>
  <si>
    <t>Final demand category</t>
  </si>
  <si>
    <t>FD code*</t>
  </si>
  <si>
    <t>Type*</t>
  </si>
  <si>
    <t>Comments</t>
  </si>
  <si>
    <t>ALL</t>
  </si>
  <si>
    <t>Household final consumption P.3h</t>
  </si>
  <si>
    <t>rel-b</t>
  </si>
  <si>
    <t>&lt;&lt; Decrease final demand (HH consumption) 3% for all products in Italy</t>
  </si>
  <si>
    <t>Pork</t>
  </si>
  <si>
    <t>&lt;&lt; Increase final demand (across all demand categories) for pork in Italy by 12% (if zero stays zero)</t>
  </si>
  <si>
    <t>1-23</t>
  </si>
  <si>
    <t>FD_1</t>
  </si>
  <si>
    <t>abs-b</t>
  </si>
  <si>
    <t>&lt;&lt; Increase demand in Germany for all agricultural sectors (1-23), only for consumer demand; try NOT to use negative values as it might create issues</t>
  </si>
  <si>
    <t>Building construction</t>
  </si>
  <si>
    <t>Gross fixed capital formation P.51</t>
  </si>
  <si>
    <t>&lt;&lt; Directly decrease investment (GFCF) demand for construction sector in Malawi with 1%; NOTE: if you want to do INVESTMENT BY the sector IT SHOULD NOT BE DONE HERE</t>
  </si>
  <si>
    <t>REG_exp</t>
  </si>
  <si>
    <t>REG_imp</t>
  </si>
  <si>
    <t>TRAD_COMM</t>
  </si>
  <si>
    <t>PROD_COMM (only FD)</t>
  </si>
  <si>
    <t>Current options: rel-b and abs-b</t>
  </si>
  <si>
    <t>Start in the next line &gt;&gt;</t>
  </si>
  <si>
    <t>Producing country</t>
  </si>
  <si>
    <t>Producing country ISO*</t>
  </si>
  <si>
    <t>Consuming country</t>
  </si>
  <si>
    <t>Consuming country ISO*</t>
  </si>
  <si>
    <t>Government final consumption P.3g</t>
  </si>
  <si>
    <t>FD_3</t>
  </si>
  <si>
    <t>GDP of region (2025)</t>
  </si>
  <si>
    <t>Govt spending of region (2019)</t>
  </si>
  <si>
    <t>Year</t>
  </si>
  <si>
    <t>Scenario</t>
  </si>
  <si>
    <t>empty | Africa (AFR)</t>
  </si>
  <si>
    <t>empty | Australia, Japan and New Zealand (AJN)</t>
  </si>
  <si>
    <t>empty | Eastern Asia (EAS)</t>
  </si>
  <si>
    <t>empty | Eastern Europe and West-Central Asia (EEA)</t>
  </si>
  <si>
    <t>empty | Europe (EUR)</t>
  </si>
  <si>
    <t>empty | Latin America and Caribbean (LAC)</t>
  </si>
  <si>
    <t>empty | Middle East (MEN)</t>
  </si>
  <si>
    <t>empty | North America (NAM)</t>
  </si>
  <si>
    <t>empty | Southern Asia (SAS)</t>
  </si>
  <si>
    <t>empty | South-East Asia and Pacific (SEP)</t>
  </si>
  <si>
    <t>Baseline extracted data</t>
  </si>
  <si>
    <t>Value (thousand USD)</t>
  </si>
  <si>
    <t>Value (bn USD)</t>
  </si>
  <si>
    <t>UID_20260812_101905</t>
  </si>
  <si>
    <t>[Quantitative analysis 11.8.26.xlsx]Sheet1'!$B$6:$G$25</t>
  </si>
  <si>
    <t>UID_20260812_102015</t>
  </si>
  <si>
    <t>[Quantitative analysis 11.8.26.xlsx]Sheet2'!$B$6:$G$25</t>
  </si>
  <si>
    <t>Outgoings (CVF)</t>
  </si>
  <si>
    <t>Sum of CVF Receipts (Central)</t>
  </si>
  <si>
    <t>Paying region</t>
  </si>
  <si>
    <t>Receiving region</t>
  </si>
  <si>
    <t>Payments as a % of 2019 Govt Spending</t>
  </si>
  <si>
    <t>Total payments over 15 years (bn)</t>
  </si>
  <si>
    <t>Total receipts as a % of 2019 Govt Spending</t>
  </si>
  <si>
    <t>Fair share %</t>
  </si>
  <si>
    <t>Total receipts over 15 years (bn)</t>
  </si>
  <si>
    <t>Column Labels</t>
  </si>
  <si>
    <t>government_consumption - Government consumption by country, product and origin, BoY</t>
  </si>
  <si>
    <t>~22% of endogenous govt spending linked to GDP</t>
  </si>
  <si>
    <t>Capital_tax_share</t>
  </si>
  <si>
    <t>Income_tax_share</t>
  </si>
  <si>
    <t>IntlAid</t>
  </si>
  <si>
    <t>Residual</t>
  </si>
  <si>
    <t>Royalties</t>
  </si>
  <si>
    <t>SS_contrib</t>
  </si>
  <si>
    <t>Sales_tax</t>
  </si>
  <si>
    <t>Total transfer (bn)</t>
  </si>
  <si>
    <t>%  2019 govt spending</t>
  </si>
  <si>
    <t>CVF Central</t>
  </si>
  <si>
    <t>G77+C Upper</t>
  </si>
  <si>
    <t>%/yr</t>
  </si>
  <si>
    <t>hh</t>
  </si>
  <si>
    <t>gov</t>
  </si>
  <si>
    <t>Check totals (in)</t>
  </si>
  <si>
    <t>Check totals (out)</t>
  </si>
  <si>
    <t>Flat</t>
  </si>
  <si>
    <t>Tapered</t>
  </si>
  <si>
    <t>Growing</t>
  </si>
  <si>
    <t>G77 + China GDP 2025 (bn)</t>
  </si>
  <si>
    <t>Global GDP 2025 (bn)</t>
  </si>
  <si>
    <t>CVF GDP as % of global 2025 (%)</t>
  </si>
  <si>
    <t>G77 + China GDP as % of global 2025 (%)</t>
  </si>
  <si>
    <t>Investment BY sector changes</t>
  </si>
  <si>
    <t>Sector investing</t>
  </si>
  <si>
    <t>Sector investing code*</t>
  </si>
  <si>
    <t>FCF</t>
  </si>
  <si>
    <t>abs</t>
  </si>
  <si>
    <t>&lt;&lt; Increase investment in agricultural sectors in Germany, 1000 kUSD in EVERY sector</t>
  </si>
  <si>
    <r>
      <t xml:space="preserve">relative investment is </t>
    </r>
    <r>
      <rPr>
        <u/>
        <sz val="11"/>
        <color theme="1"/>
        <rFont val="Aptos Narrow"/>
        <family val="3"/>
        <scheme val="minor"/>
      </rPr>
      <t>not</t>
    </r>
    <r>
      <rPr>
        <sz val="11"/>
        <color theme="1"/>
        <rFont val="Aptos Narrow"/>
        <family val="3"/>
        <scheme val="minor"/>
      </rPr>
      <t xml:space="preserve"> possible, because we don’t have an investment baseline right now</t>
    </r>
  </si>
  <si>
    <t>PROD_COMM</t>
  </si>
  <si>
    <r>
      <t>Current options: a</t>
    </r>
    <r>
      <rPr>
        <b/>
        <sz val="11"/>
        <color theme="1"/>
        <rFont val="Aptos Narrow"/>
        <family val="3"/>
        <scheme val="minor"/>
      </rPr>
      <t>bs-b</t>
    </r>
  </si>
  <si>
    <t>Participant</t>
  </si>
  <si>
    <t>Lowest_Plausible_Pr</t>
  </si>
  <si>
    <t>Best_Guess_Pr</t>
  </si>
  <si>
    <t>Highest_Plausible_Pr</t>
  </si>
  <si>
    <t>No_value_label</t>
  </si>
  <si>
    <t>Where the qualitative follow up provided a more specific value, this was taken instead of the mid-point of the band. (blue cells with comments)</t>
  </si>
  <si>
    <t>Applied a rule where there was a central estimate and a bound occupying the same band - the band takes the edge value of the band, central estimate remains in the middle (bllue cells with comments)</t>
  </si>
  <si>
    <t>Corrected error in Qualtrics embedded datacoding of midpoint of 150-250 (blue cells with comments). Producing 175 when it should be producing 200.</t>
  </si>
  <si>
    <t>Pre-cleaned summary</t>
  </si>
  <si>
    <t>CPI Inflation Calculator</t>
  </si>
  <si>
    <t>Deflator to 2019 USD</t>
  </si>
  <si>
    <t>Base</t>
  </si>
  <si>
    <t>Inflation</t>
  </si>
  <si>
    <t>GDP of region as % of global (2025)</t>
  </si>
  <si>
    <t>Shape of  payments in scenarios</t>
  </si>
  <si>
    <t>Mixture</t>
  </si>
  <si>
    <t>Distribution</t>
  </si>
  <si>
    <t>Moment-matched Beta</t>
  </si>
  <si>
    <t>From PERT_dist&gt;results</t>
  </si>
  <si>
    <t>PERT1a_2026-08-24</t>
  </si>
  <si>
    <t xml:space="preserve"> Transfers to CVF  (bn) - Pooled median (inflation adjusted)</t>
  </si>
  <si>
    <t>Total damages (bn)</t>
  </si>
  <si>
    <t>Pooled median damages from CC (bn)</t>
  </si>
  <si>
    <t>Pooled median damages from CC (bn) - inflation adjusted to 2019 USD</t>
  </si>
  <si>
    <t xml:space="preserve">Value </t>
  </si>
  <si>
    <t>Source</t>
  </si>
  <si>
    <t>Combines the results of the expert elicitation and the PERT analysis, adjusting for inflation, to prepare for entry into the scenario analysis.</t>
  </si>
  <si>
    <t>Award (bn)</t>
  </si>
  <si>
    <t>Section 1 result</t>
  </si>
  <si>
    <t>Pooled median - inflation adjuted to 2019 USD</t>
  </si>
  <si>
    <t>CVF_upper</t>
  </si>
  <si>
    <t>CVF_lower</t>
  </si>
  <si>
    <t>CVF_central</t>
  </si>
  <si>
    <t>G77+C_lower</t>
  </si>
  <si>
    <t>G77+C_central</t>
  </si>
  <si>
    <t>G77+C_upper</t>
  </si>
  <si>
    <t>Summary values</t>
  </si>
  <si>
    <t>Sum check</t>
  </si>
  <si>
    <t>Absolute values (2019 bn)</t>
  </si>
  <si>
    <t>Relative values to 2019 govt spending (2019 bn)</t>
  </si>
  <si>
    <t xml:space="preserve"> Transfers to G77+C  (bn) - Pooled median (inflation adjusted)</t>
  </si>
  <si>
    <t xml:space="preserve"> Transfers to G77+C  (bn) - Pooled median</t>
  </si>
  <si>
    <t>Things of equivilence</t>
  </si>
  <si>
    <t>UK Population (mn)</t>
  </si>
  <si>
    <t>ONS (2026)</t>
  </si>
  <si>
    <t>United Kingdom population mid-year estimate - Office for National Statistics</t>
  </si>
  <si>
    <t>$ per person</t>
  </si>
  <si>
    <t>UK Civil Service Budget Cuts Target £2 Billion Annual Savings by 2030 - London Daily</t>
  </si>
  <si>
    <t>Equivilent to the annual savings targeted by a government efficency programme by 2030</t>
  </si>
  <si>
    <t>Annual debt for Pakistan</t>
  </si>
  <si>
    <t>Estimated annual debt costs</t>
  </si>
  <si>
    <t>Minimum goal for loss and damage</t>
  </si>
  <si>
    <t xml:space="preserve"> Transfers to G77+C  (bn/yr) - Pooled median (inflation adjusted)</t>
  </si>
  <si>
    <t>G77 + China_lower</t>
  </si>
  <si>
    <t>G77 + China_central</t>
  </si>
  <si>
    <t>G77 + China_upper</t>
  </si>
  <si>
    <t>Newman and Noy</t>
  </si>
  <si>
    <t>Richards et al</t>
  </si>
  <si>
    <t>2019 to today</t>
  </si>
  <si>
    <t>2019 to 2023</t>
  </si>
  <si>
    <t>Inflation adjusted (2019 values)</t>
  </si>
  <si>
    <t>Nominal</t>
  </si>
  <si>
    <t>95th Percentile - (bn) - inflation adjusted to 2019 USD</t>
  </si>
  <si>
    <t>5th Percentile - (bn) - inflation adjusted to 2019 USD</t>
  </si>
  <si>
    <t>Award (inflation adjusted)</t>
  </si>
  <si>
    <t>Award as a % of Pakistan GDP</t>
  </si>
  <si>
    <t>Award as a % of UK GDP</t>
  </si>
  <si>
    <t>Pakistan GDP as a % of SAS</t>
  </si>
  <si>
    <t>SAS annual GDP (India, Pak, Sri Lanka, Nepal) - bn 2025</t>
  </si>
  <si>
    <t>EUR annual GDP - bn 2025</t>
  </si>
  <si>
    <t>UK GDP as a % of EUR</t>
  </si>
  <si>
    <t>annual_debt_review_2025.pdf</t>
  </si>
  <si>
    <t xml:space="preserve">Interest Expense: PKR 8.9 trillion </t>
  </si>
  <si>
    <t xml:space="preserve"> total public debt of Pakistan has 
reached PKR 80.6 trillion</t>
  </si>
  <si>
    <t>Debt to GDP ratio</t>
  </si>
  <si>
    <t xml:space="preserve">Nominal GDP (PKR trillon) </t>
  </si>
  <si>
    <t>Interest payment to GDP ratio</t>
  </si>
  <si>
    <t>Annual interest payments (bn )</t>
  </si>
  <si>
    <t>Award as a % of annual interest payments</t>
  </si>
  <si>
    <t>Total financially assessable damages from CC (% of GDP)</t>
  </si>
  <si>
    <t>Reduction in size of national debt if full award went into repayment</t>
  </si>
  <si>
    <t>Saving in interest payments per year (bn 2019)</t>
  </si>
  <si>
    <t>Pakistan  2025 GDP</t>
  </si>
  <si>
    <t>National debt</t>
  </si>
  <si>
    <t>Annual interest payments</t>
  </si>
  <si>
    <t>Total financially assessable damages</t>
  </si>
  <si>
    <t>Award of compensation</t>
  </si>
  <si>
    <t>2019 to 2022</t>
  </si>
  <si>
    <t>Pakistan needs after 2022 floods</t>
  </si>
  <si>
    <t>Award as a % of needs</t>
  </si>
  <si>
    <t>Average impact over last 20 years (Newman &amp; Noy, 2023)</t>
  </si>
  <si>
    <t>Minimum goal for loss and damage (Richards et al., 2023)</t>
  </si>
  <si>
    <t>Major extreme 
climate events 
2022 in 
developing 
countries  (Richards et al., 2023)</t>
  </si>
  <si>
    <t>Tax on fossil fuel industry (CDT or ongoing windfall tax)</t>
  </si>
  <si>
    <t>Aviation frequent flyer levy</t>
  </si>
  <si>
    <t>Global Weath Tax</t>
  </si>
  <si>
    <t>International shipping levy</t>
  </si>
  <si>
    <t>Gap in alternative sources to be met by developed countries</t>
  </si>
  <si>
    <t>Minimum goal for loss and damage finance</t>
  </si>
  <si>
    <t>Central scenario transfers</t>
  </si>
  <si>
    <t>Catagorisation of World Bank countries by CVF, G77 + China and Mindset region was done with help of Cursor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</si>
</sst>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0.00;[Red]\-&quot;£&quot;#,##0.00"/>
    <numFmt numFmtId="43" formatCode="_-* #,##0.00_-;\-* #,##0.00_-;_-* &quot;-&quot;??_-;_-@_-"/>
    <numFmt numFmtId="164" formatCode="0.0"/>
    <numFmt numFmtId="165" formatCode="0.0%"/>
    <numFmt numFmtId="166" formatCode="_(* #,##0.00_);_(* \(#,##0.00\);_(* &quot;-&quot;??_);_(@_)"/>
    <numFmt numFmtId="167" formatCode="_(* #,##0_);_(* \(#,##0\);_(* &quot;-&quot;??_);_(@_)"/>
    <numFmt numFmtId="168" formatCode="###,###,###,###,##0"/>
    <numFmt numFmtId="169" formatCode="_-* #,##0_-;\-* #,##0_-;_-* &quot;-&quot;??_-;_-@_-"/>
    <numFmt numFmtId="170" formatCode="#,##0.0"/>
    <numFmt numFmtId="171" formatCode="0;\-0;;@"/>
    <numFmt numFmtId="172" formatCode="0.000%"/>
    <numFmt numFmtId="173" formatCode="0.000"/>
    <numFmt numFmtId="174" formatCode="\+#,##0.000;#\-##0.000"/>
    <numFmt numFmtId="175" formatCode="[$USD]\ #,##0.00"/>
    <numFmt numFmtId="176" formatCode="[$USD]\ #,##0"/>
    <numFmt numFmtId="177" formatCode="0.0000%"/>
    <numFmt numFmtId="178" formatCode="_-* #,##0.00000_-;\-* #,##0.00000_-;_-* &quot;-&quot;??_-;_-@_-"/>
    <numFmt numFmtId="179" formatCode="[$$-409]#,##0.00"/>
  </numFmts>
  <fonts count="5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color rgb="FF00B0F0"/>
      <name val="Aptos Narrow"/>
      <family val="2"/>
      <scheme val="minor"/>
    </font>
    <font>
      <sz val="11"/>
      <color theme="1"/>
      <name val="Aptos"/>
      <family val="2"/>
    </font>
    <font>
      <sz val="11"/>
      <color rgb="FF000000"/>
      <name val="Aptos Narrow"/>
      <family val="2"/>
    </font>
    <font>
      <sz val="10"/>
      <name val="Arial"/>
      <family val="2"/>
    </font>
    <font>
      <b/>
      <sz val="12"/>
      <name val="Arial"/>
      <family val="2"/>
    </font>
    <font>
      <b/>
      <i/>
      <sz val="12"/>
      <name val="Arial"/>
      <family val="2"/>
    </font>
    <font>
      <sz val="10"/>
      <color indexed="12"/>
      <name val="Arial"/>
      <family val="2"/>
    </font>
    <font>
      <sz val="8"/>
      <name val="Arial"/>
      <family val="2"/>
    </font>
    <font>
      <i/>
      <sz val="8"/>
      <name val="Arial"/>
      <family val="2"/>
    </font>
    <font>
      <sz val="6"/>
      <name val="Arial"/>
      <family val="2"/>
    </font>
    <font>
      <b/>
      <sz val="8"/>
      <name val="Arial"/>
      <family val="2"/>
    </font>
    <font>
      <sz val="7"/>
      <name val="Arial"/>
      <family val="2"/>
    </font>
    <font>
      <u/>
      <sz val="10"/>
      <color theme="10"/>
      <name val="Arial"/>
      <family val="2"/>
    </font>
    <font>
      <u/>
      <sz val="8"/>
      <color theme="10"/>
      <name val="Arial"/>
      <family val="2"/>
    </font>
    <font>
      <sz val="6.75"/>
      <name val="Arial"/>
      <family val="2"/>
    </font>
    <font>
      <b/>
      <sz val="11"/>
      <name val="Calibri"/>
      <family val="2"/>
    </font>
    <font>
      <sz val="11"/>
      <color rgb="FF000000"/>
      <name val="Calibri"/>
      <family val="2"/>
    </font>
    <font>
      <b/>
      <sz val="14"/>
      <color theme="0"/>
      <name val="Aptos Narrow"/>
      <family val="2"/>
      <scheme val="minor"/>
    </font>
    <font>
      <b/>
      <sz val="11"/>
      <color rgb="FF3F3F76"/>
      <name val="Aptos Narrow"/>
      <family val="2"/>
      <scheme val="minor"/>
    </font>
    <font>
      <b/>
      <sz val="11"/>
      <color rgb="FFFF0000"/>
      <name val="Aptos Narrow"/>
      <family val="2"/>
      <scheme val="minor"/>
    </font>
    <font>
      <b/>
      <sz val="11"/>
      <color rgb="FF002060"/>
      <name val="Aptos Narrow"/>
      <family val="2"/>
      <scheme val="minor"/>
    </font>
    <font>
      <sz val="8"/>
      <color theme="1"/>
      <name val="Aptos Narrow"/>
      <family val="2"/>
      <scheme val="minor"/>
    </font>
    <font>
      <b/>
      <sz val="11"/>
      <name val="Aptos Narrow"/>
      <family val="2"/>
      <scheme val="minor"/>
    </font>
    <font>
      <b/>
      <sz val="8"/>
      <color rgb="FFFF0000"/>
      <name val="Aptos Narrow"/>
      <family val="2"/>
      <scheme val="minor"/>
    </font>
    <font>
      <b/>
      <sz val="9"/>
      <color theme="1"/>
      <name val="Aptos Narrow"/>
      <family val="2"/>
      <scheme val="minor"/>
    </font>
    <font>
      <sz val="9"/>
      <color theme="1"/>
      <name val="Aptos Narrow"/>
      <family val="2"/>
      <scheme val="minor"/>
    </font>
    <font>
      <b/>
      <sz val="9"/>
      <color indexed="81"/>
      <name val="Tahoma"/>
      <family val="2"/>
    </font>
    <font>
      <sz val="9"/>
      <color indexed="81"/>
      <name val="Tahoma"/>
      <family val="2"/>
    </font>
    <font>
      <b/>
      <sz val="11"/>
      <name val="Calibri"/>
      <family val="2"/>
    </font>
    <font>
      <b/>
      <i/>
      <sz val="11"/>
      <color theme="1"/>
      <name val="Aptos Narrow"/>
      <family val="2"/>
      <scheme val="minor"/>
    </font>
    <font>
      <b/>
      <sz val="11"/>
      <color theme="1"/>
      <name val="Aptos Narrow"/>
      <family val="3"/>
      <scheme val="minor"/>
    </font>
    <font>
      <b/>
      <i/>
      <sz val="11"/>
      <color theme="1"/>
      <name val="Aptos Narrow"/>
      <family val="3"/>
      <scheme val="minor"/>
    </font>
    <font>
      <b/>
      <u/>
      <sz val="11"/>
      <color theme="1"/>
      <name val="Aptos Narrow"/>
      <family val="2"/>
      <scheme val="minor"/>
    </font>
    <font>
      <u/>
      <sz val="11"/>
      <color theme="10"/>
      <name val="Aptos Narrow"/>
      <family val="2"/>
      <scheme val="minor"/>
    </font>
    <font>
      <u/>
      <sz val="11"/>
      <color theme="1"/>
      <name val="Aptos Narrow"/>
      <family val="3"/>
      <scheme val="minor"/>
    </font>
    <font>
      <sz val="11"/>
      <color theme="1"/>
      <name val="Aptos Narrow"/>
      <family val="3"/>
      <scheme val="minor"/>
    </font>
    <font>
      <sz val="12"/>
      <color rgb="FF333333"/>
      <name val="Arial"/>
      <family val="2"/>
    </font>
    <font>
      <sz val="8"/>
      <color rgb="FF330000"/>
      <name val="Arial"/>
      <family val="2"/>
    </font>
  </fonts>
  <fills count="6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bgColor indexed="64"/>
      </patternFill>
    </fill>
    <fill>
      <patternFill patternType="solid">
        <fgColor theme="0"/>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indexed="9"/>
        <bgColor indexed="64"/>
      </patternFill>
    </fill>
    <fill>
      <patternFill patternType="solid">
        <fgColor theme="2" tint="-0.249977111117893"/>
        <bgColor indexed="64"/>
      </patternFill>
    </fill>
    <fill>
      <patternFill patternType="solid">
        <fgColor rgb="FF002060"/>
        <bgColor indexed="64"/>
      </patternFill>
    </fill>
    <fill>
      <patternFill patternType="solid">
        <fgColor rgb="FFBFDEE0"/>
        <bgColor indexed="64"/>
      </patternFill>
    </fill>
    <fill>
      <patternFill patternType="solid">
        <fgColor theme="5" tint="0.79998168889431442"/>
        <bgColor indexed="64"/>
      </patternFill>
    </fill>
    <fill>
      <patternFill patternType="solid">
        <fgColor theme="2"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8"/>
        <bgColor indexed="64"/>
      </patternFill>
    </fill>
    <fill>
      <patternFill patternType="solid">
        <fgColor rgb="FF0070C0"/>
        <bgColor indexed="64"/>
      </patternFill>
    </fill>
    <fill>
      <patternFill patternType="solid">
        <fgColor rgb="FFFFFFFF"/>
        <bgColor indexed="64"/>
      </patternFill>
    </fill>
    <fill>
      <patternFill patternType="solid">
        <fgColor theme="6"/>
        <bgColor indexed="64"/>
      </patternFill>
    </fill>
    <fill>
      <patternFill patternType="solid">
        <fgColor theme="4"/>
        <bgColor indexed="64"/>
      </patternFill>
    </fill>
    <fill>
      <patternFill patternType="solid">
        <fgColor theme="4" tint="0.79998168889431442"/>
        <bgColor indexed="64"/>
      </patternFill>
    </fill>
    <fill>
      <patternFill patternType="solid">
        <fgColor theme="6" tint="0.39997558519241921"/>
        <bgColor theme="8"/>
      </patternFill>
    </fill>
    <fill>
      <patternFill patternType="solid">
        <fgColor theme="6" tint="0.39997558519241921"/>
        <bgColor theme="4" tint="0.79998168889431442"/>
      </patternFill>
    </fill>
    <fill>
      <patternFill patternType="solid">
        <fgColor rgb="FF00B050"/>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hair">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s>
  <cellStyleXfs count="5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22" fillId="0" borderId="0"/>
    <xf numFmtId="166" fontId="22" fillId="0" borderId="0" applyFont="0" applyFill="0" applyBorder="0" applyAlignment="0" applyProtection="0"/>
    <xf numFmtId="0" fontId="22" fillId="0" borderId="0"/>
    <xf numFmtId="0" fontId="31" fillId="0" borderId="0" applyNumberFormat="0" applyFill="0" applyBorder="0" applyAlignment="0" applyProtection="0"/>
    <xf numFmtId="43" fontId="1" fillId="0" borderId="0"/>
    <xf numFmtId="9" fontId="1" fillId="0" borderId="0"/>
    <xf numFmtId="0" fontId="52" fillId="0" borderId="0" applyNumberFormat="0" applyFill="0" applyBorder="0" applyAlignment="0" applyProtection="0"/>
    <xf numFmtId="166" fontId="1" fillId="0" borderId="0" applyFont="0" applyFill="0" applyBorder="0" applyAlignment="0" applyProtection="0"/>
  </cellStyleXfs>
  <cellXfs count="296">
    <xf numFmtId="0" fontId="0" fillId="0" borderId="0" xfId="0"/>
    <xf numFmtId="0" fontId="0" fillId="0" borderId="0" xfId="0" applyAlignment="1">
      <alignment wrapText="1"/>
    </xf>
    <xf numFmtId="22" fontId="0" fillId="0" borderId="0" xfId="0" applyNumberFormat="1"/>
    <xf numFmtId="9" fontId="0" fillId="0" borderId="0" xfId="0" applyNumberFormat="1"/>
    <xf numFmtId="0" fontId="0" fillId="0" borderId="0" xfId="0" quotePrefix="1"/>
    <xf numFmtId="16" fontId="0" fillId="0" borderId="0" xfId="0" applyNumberFormat="1"/>
    <xf numFmtId="17" fontId="0" fillId="0" borderId="0" xfId="0" applyNumberFormat="1"/>
    <xf numFmtId="10" fontId="0" fillId="0" borderId="0" xfId="0" applyNumberFormat="1"/>
    <xf numFmtId="0" fontId="0" fillId="33" borderId="0" xfId="0" applyFill="1"/>
    <xf numFmtId="16" fontId="0" fillId="34" borderId="0" xfId="0" quotePrefix="1" applyNumberFormat="1" applyFill="1"/>
    <xf numFmtId="0" fontId="0" fillId="35" borderId="0" xfId="0" applyFill="1"/>
    <xf numFmtId="0" fontId="0" fillId="35" borderId="0" xfId="0" applyFill="1" applyAlignment="1">
      <alignment wrapText="1"/>
    </xf>
    <xf numFmtId="0" fontId="0" fillId="33" borderId="0" xfId="0" applyFill="1" applyAlignment="1">
      <alignment wrapText="1"/>
    </xf>
    <xf numFmtId="0" fontId="0" fillId="36" borderId="0" xfId="0" applyFill="1"/>
    <xf numFmtId="0" fontId="0" fillId="36" borderId="0" xfId="0" applyFill="1" applyAlignment="1">
      <alignment wrapText="1"/>
    </xf>
    <xf numFmtId="0" fontId="18" fillId="33" borderId="0" xfId="0" applyFont="1" applyFill="1"/>
    <xf numFmtId="0" fontId="0" fillId="37" borderId="0" xfId="0" applyFill="1"/>
    <xf numFmtId="0" fontId="0" fillId="37" borderId="0" xfId="0" applyFill="1" applyAlignment="1">
      <alignment wrapText="1"/>
    </xf>
    <xf numFmtId="0" fontId="0" fillId="38" borderId="0" xfId="0" applyFill="1"/>
    <xf numFmtId="0" fontId="19" fillId="39" borderId="0" xfId="0" applyFont="1" applyFill="1"/>
    <xf numFmtId="0" fontId="0" fillId="39" borderId="0" xfId="0" applyFill="1"/>
    <xf numFmtId="0" fontId="0" fillId="34" borderId="0" xfId="0" applyFill="1"/>
    <xf numFmtId="0" fontId="16" fillId="0" borderId="0" xfId="0" applyFont="1"/>
    <xf numFmtId="0" fontId="0" fillId="40" borderId="10" xfId="0" applyFill="1" applyBorder="1"/>
    <xf numFmtId="49" fontId="0" fillId="40" borderId="10" xfId="0" applyNumberFormat="1" applyFill="1" applyBorder="1"/>
    <xf numFmtId="0" fontId="0" fillId="40" borderId="11" xfId="0" applyFill="1" applyBorder="1"/>
    <xf numFmtId="16" fontId="0" fillId="33" borderId="0" xfId="0" quotePrefix="1" applyNumberFormat="1" applyFill="1"/>
    <xf numFmtId="49" fontId="0" fillId="0" borderId="0" xfId="42" quotePrefix="1" applyNumberFormat="1" applyFont="1"/>
    <xf numFmtId="1" fontId="0" fillId="33" borderId="10" xfId="0" applyNumberFormat="1" applyFill="1" applyBorder="1"/>
    <xf numFmtId="0" fontId="0" fillId="41" borderId="0" xfId="0" applyFill="1"/>
    <xf numFmtId="1" fontId="0" fillId="41" borderId="0" xfId="0" applyNumberFormat="1" applyFill="1"/>
    <xf numFmtId="0" fontId="0" fillId="40" borderId="0" xfId="0" applyFill="1"/>
    <xf numFmtId="9" fontId="0" fillId="40" borderId="0" xfId="0" applyNumberFormat="1" applyFill="1"/>
    <xf numFmtId="1" fontId="0" fillId="33" borderId="0" xfId="0" applyNumberFormat="1" applyFill="1"/>
    <xf numFmtId="9" fontId="0" fillId="40" borderId="0" xfId="43" applyFont="1" applyFill="1" applyBorder="1"/>
    <xf numFmtId="0" fontId="16" fillId="40" borderId="0" xfId="0" applyFont="1" applyFill="1"/>
    <xf numFmtId="2" fontId="0" fillId="41" borderId="0" xfId="0" applyNumberFormat="1" applyFill="1"/>
    <xf numFmtId="9" fontId="0" fillId="0" borderId="0" xfId="43" applyFont="1"/>
    <xf numFmtId="0" fontId="21" fillId="0" borderId="12" xfId="0" applyFont="1" applyBorder="1" applyAlignment="1">
      <alignment vertical="center"/>
    </xf>
    <xf numFmtId="0" fontId="21" fillId="0" borderId="13" xfId="0" applyFont="1" applyBorder="1" applyAlignment="1">
      <alignment vertical="center"/>
    </xf>
    <xf numFmtId="0" fontId="20" fillId="0" borderId="14" xfId="0" applyFont="1" applyBorder="1" applyAlignment="1">
      <alignment vertical="center"/>
    </xf>
    <xf numFmtId="0" fontId="20" fillId="0" borderId="15" xfId="0" applyFont="1" applyBorder="1" applyAlignment="1">
      <alignment vertical="center"/>
    </xf>
    <xf numFmtId="0" fontId="20" fillId="0" borderId="15" xfId="0" applyFont="1" applyBorder="1" applyAlignment="1">
      <alignment horizontal="right" vertical="center"/>
    </xf>
    <xf numFmtId="1" fontId="0" fillId="0" borderId="0" xfId="0" applyNumberFormat="1"/>
    <xf numFmtId="164" fontId="0" fillId="0" borderId="0" xfId="0" applyNumberFormat="1"/>
    <xf numFmtId="165" fontId="0" fillId="0" borderId="0" xfId="43" applyNumberFormat="1" applyFont="1"/>
    <xf numFmtId="10" fontId="0" fillId="0" borderId="0" xfId="43" applyNumberFormat="1" applyFont="1"/>
    <xf numFmtId="165" fontId="0" fillId="38" borderId="0" xfId="43" applyNumberFormat="1" applyFont="1" applyFill="1"/>
    <xf numFmtId="0" fontId="22" fillId="42" borderId="0" xfId="44" applyFill="1" applyAlignment="1">
      <alignment vertical="top"/>
    </xf>
    <xf numFmtId="0" fontId="23" fillId="42" borderId="0" xfId="44" applyFont="1" applyFill="1" applyAlignment="1">
      <alignment vertical="top"/>
    </xf>
    <xf numFmtId="0" fontId="24" fillId="42" borderId="0" xfId="44" applyFont="1" applyFill="1" applyAlignment="1">
      <alignment vertical="top"/>
    </xf>
    <xf numFmtId="3" fontId="22" fillId="42" borderId="0" xfId="44" applyNumberFormat="1" applyFill="1" applyAlignment="1">
      <alignment horizontal="right" vertical="top"/>
    </xf>
    <xf numFmtId="37" fontId="25" fillId="42" borderId="0" xfId="44" applyNumberFormat="1" applyFont="1" applyFill="1" applyAlignment="1" applyProtection="1">
      <alignment vertical="top"/>
      <protection locked="0"/>
    </xf>
    <xf numFmtId="0" fontId="26" fillId="42" borderId="0" xfId="44" applyFont="1" applyFill="1"/>
    <xf numFmtId="0" fontId="27" fillId="42" borderId="0" xfId="44" applyFont="1" applyFill="1"/>
    <xf numFmtId="3" fontId="26" fillId="42" borderId="0" xfId="44" applyNumberFormat="1" applyFont="1" applyFill="1" applyAlignment="1">
      <alignment horizontal="right"/>
    </xf>
    <xf numFmtId="164" fontId="27" fillId="42" borderId="0" xfId="44" applyNumberFormat="1" applyFont="1" applyFill="1"/>
    <xf numFmtId="0" fontId="26" fillId="42" borderId="0" xfId="44" applyFont="1" applyFill="1" applyAlignment="1">
      <alignment vertical="center"/>
    </xf>
    <xf numFmtId="0" fontId="27" fillId="42" borderId="0" xfId="44" applyFont="1" applyFill="1" applyAlignment="1">
      <alignment vertical="center"/>
    </xf>
    <xf numFmtId="3" fontId="27" fillId="42" borderId="0" xfId="44" applyNumberFormat="1" applyFont="1" applyFill="1" applyAlignment="1">
      <alignment horizontal="right" vertical="center"/>
    </xf>
    <xf numFmtId="0" fontId="22" fillId="42" borderId="0" xfId="44" applyFill="1" applyAlignment="1">
      <alignment vertical="center"/>
    </xf>
    <xf numFmtId="0" fontId="27" fillId="42" borderId="16" xfId="44" applyFont="1" applyFill="1" applyBorder="1" applyAlignment="1">
      <alignment vertical="center"/>
    </xf>
    <xf numFmtId="3" fontId="27" fillId="42" borderId="16" xfId="44" applyNumberFormat="1" applyFont="1" applyFill="1" applyBorder="1" applyAlignment="1">
      <alignment horizontal="right" vertical="center"/>
    </xf>
    <xf numFmtId="0" fontId="22" fillId="42" borderId="16" xfId="44" applyFill="1" applyBorder="1" applyAlignment="1">
      <alignment vertical="center"/>
    </xf>
    <xf numFmtId="167" fontId="26" fillId="42" borderId="0" xfId="45" applyNumberFormat="1" applyFont="1" applyFill="1" applyAlignment="1">
      <alignment vertical="center"/>
    </xf>
    <xf numFmtId="3" fontId="26" fillId="42" borderId="0" xfId="44" applyNumberFormat="1" applyFont="1" applyFill="1" applyAlignment="1">
      <alignment horizontal="left"/>
    </xf>
    <xf numFmtId="0" fontId="26" fillId="42" borderId="0" xfId="46" applyFont="1" applyFill="1" applyAlignment="1">
      <alignment vertical="center"/>
    </xf>
    <xf numFmtId="0" fontId="26" fillId="42" borderId="0" xfId="46" applyFont="1" applyFill="1" applyAlignment="1">
      <alignment horizontal="right" vertical="center"/>
    </xf>
    <xf numFmtId="0" fontId="26" fillId="42" borderId="0" xfId="46" applyFont="1" applyFill="1" applyAlignment="1">
      <alignment horizontal="left" vertical="center"/>
    </xf>
    <xf numFmtId="168" fontId="28" fillId="42" borderId="0" xfId="46" applyNumberFormat="1" applyFont="1" applyFill="1" applyAlignment="1">
      <alignment horizontal="left"/>
    </xf>
    <xf numFmtId="167" fontId="27" fillId="42" borderId="0" xfId="45" applyNumberFormat="1" applyFont="1" applyFill="1" applyAlignment="1">
      <alignment vertical="center"/>
    </xf>
    <xf numFmtId="0" fontId="26" fillId="42" borderId="0" xfId="44" applyFont="1" applyFill="1" applyAlignment="1">
      <alignment horizontal="left" vertical="center"/>
    </xf>
    <xf numFmtId="3" fontId="26" fillId="42" borderId="0" xfId="44" applyNumberFormat="1" applyFont="1" applyFill="1" applyAlignment="1">
      <alignment horizontal="right" vertical="center"/>
    </xf>
    <xf numFmtId="0" fontId="26" fillId="43" borderId="0" xfId="44" applyFont="1" applyFill="1" applyAlignment="1">
      <alignment vertical="center"/>
    </xf>
    <xf numFmtId="0" fontId="29" fillId="43" borderId="0" xfId="44" applyFont="1" applyFill="1" applyAlignment="1">
      <alignment horizontal="left" vertical="center"/>
    </xf>
    <xf numFmtId="167" fontId="29" fillId="43" borderId="0" xfId="45" applyNumberFormat="1" applyFont="1" applyFill="1" applyAlignment="1">
      <alignment vertical="center"/>
    </xf>
    <xf numFmtId="3" fontId="29" fillId="43" borderId="0" xfId="44" applyNumberFormat="1" applyFont="1" applyFill="1" applyAlignment="1">
      <alignment horizontal="left"/>
    </xf>
    <xf numFmtId="0" fontId="29" fillId="42" borderId="0" xfId="44" applyFont="1" applyFill="1" applyAlignment="1">
      <alignment vertical="center"/>
    </xf>
    <xf numFmtId="3" fontId="26" fillId="42" borderId="0" xfId="44" applyNumberFormat="1" applyFont="1" applyFill="1" applyAlignment="1">
      <alignment horizontal="left" vertical="center"/>
    </xf>
    <xf numFmtId="167" fontId="26" fillId="42" borderId="0" xfId="45" applyNumberFormat="1" applyFont="1" applyFill="1" applyBorder="1" applyAlignment="1">
      <alignment vertical="center"/>
    </xf>
    <xf numFmtId="3" fontId="26" fillId="42" borderId="17" xfId="44" applyNumberFormat="1" applyFont="1" applyFill="1" applyBorder="1" applyAlignment="1">
      <alignment horizontal="left" vertical="center"/>
    </xf>
    <xf numFmtId="0" fontId="26" fillId="42" borderId="17" xfId="44" applyFont="1" applyFill="1" applyBorder="1" applyAlignment="1">
      <alignment vertical="center"/>
    </xf>
    <xf numFmtId="167" fontId="26" fillId="42" borderId="17" xfId="45" applyNumberFormat="1" applyFont="1" applyFill="1" applyBorder="1" applyAlignment="1">
      <alignment vertical="center"/>
    </xf>
    <xf numFmtId="0" fontId="28" fillId="42" borderId="17" xfId="44" applyFont="1" applyFill="1" applyBorder="1" applyAlignment="1">
      <alignment horizontal="left" vertical="center"/>
    </xf>
    <xf numFmtId="0" fontId="32" fillId="42" borderId="0" xfId="47" applyFont="1" applyFill="1" applyAlignment="1">
      <alignment vertical="center"/>
    </xf>
    <xf numFmtId="0" fontId="33" fillId="42" borderId="0" xfId="44" applyFont="1" applyFill="1" applyAlignment="1">
      <alignment horizontal="left" vertical="center"/>
    </xf>
    <xf numFmtId="0" fontId="22" fillId="42" borderId="0" xfId="44" applyFill="1" applyAlignment="1">
      <alignment horizontal="left"/>
    </xf>
    <xf numFmtId="3" fontId="22" fillId="42" borderId="0" xfId="44" applyNumberFormat="1" applyFill="1" applyAlignment="1">
      <alignment horizontal="left"/>
    </xf>
    <xf numFmtId="167" fontId="26" fillId="42" borderId="0" xfId="45" applyNumberFormat="1" applyFont="1" applyFill="1"/>
    <xf numFmtId="0" fontId="22" fillId="42" borderId="0" xfId="44" applyFill="1"/>
    <xf numFmtId="169" fontId="0" fillId="0" borderId="0" xfId="42" applyNumberFormat="1" applyFont="1"/>
    <xf numFmtId="3" fontId="0" fillId="0" borderId="0" xfId="0" applyNumberFormat="1"/>
    <xf numFmtId="0" fontId="34" fillId="0" borderId="10" xfId="0" applyFont="1" applyBorder="1" applyAlignment="1">
      <alignment horizontal="center" vertical="top"/>
    </xf>
    <xf numFmtId="165" fontId="0" fillId="34" borderId="0" xfId="43" applyNumberFormat="1" applyFont="1" applyFill="1"/>
    <xf numFmtId="0" fontId="0" fillId="0" borderId="0" xfId="0" applyAlignment="1">
      <alignment horizontal="right"/>
    </xf>
    <xf numFmtId="0" fontId="36" fillId="0" borderId="0" xfId="0" applyFont="1"/>
    <xf numFmtId="0" fontId="36" fillId="44" borderId="0" xfId="0" applyFont="1" applyFill="1"/>
    <xf numFmtId="0" fontId="36" fillId="44" borderId="0" xfId="0" applyFont="1" applyFill="1" applyAlignment="1">
      <alignment horizontal="right"/>
    </xf>
    <xf numFmtId="0" fontId="0" fillId="0" borderId="18" xfId="0" applyBorder="1"/>
    <xf numFmtId="0" fontId="0" fillId="0" borderId="21" xfId="0" applyBorder="1"/>
    <xf numFmtId="0" fontId="0" fillId="0" borderId="23" xfId="0" applyBorder="1"/>
    <xf numFmtId="0" fontId="0" fillId="0" borderId="24" xfId="0" applyBorder="1" applyAlignment="1">
      <alignment horizontal="right"/>
    </xf>
    <xf numFmtId="0" fontId="9" fillId="5" borderId="4" xfId="9" applyAlignment="1" applyProtection="1">
      <alignment horizontal="left"/>
      <protection locked="0"/>
    </xf>
    <xf numFmtId="0" fontId="18" fillId="0" borderId="0" xfId="0" applyFont="1"/>
    <xf numFmtId="0" fontId="0" fillId="0" borderId="25" xfId="0" applyBorder="1"/>
    <xf numFmtId="0" fontId="38" fillId="0" borderId="0" xfId="0" applyFont="1" applyAlignment="1">
      <alignment horizontal="right"/>
    </xf>
    <xf numFmtId="0" fontId="39" fillId="0" borderId="0" xfId="0" applyFont="1"/>
    <xf numFmtId="0" fontId="16" fillId="45" borderId="19" xfId="0" applyFont="1" applyFill="1" applyBorder="1"/>
    <xf numFmtId="0" fontId="16" fillId="45" borderId="19" xfId="0" applyFont="1" applyFill="1" applyBorder="1" applyAlignment="1">
      <alignment horizontal="right"/>
    </xf>
    <xf numFmtId="0" fontId="16" fillId="45" borderId="19" xfId="0" applyFont="1" applyFill="1" applyBorder="1" applyAlignment="1">
      <alignment horizontal="left"/>
    </xf>
    <xf numFmtId="0" fontId="16" fillId="45" borderId="17" xfId="0" applyFont="1" applyFill="1" applyBorder="1"/>
    <xf numFmtId="0" fontId="16" fillId="45" borderId="17" xfId="0" applyFont="1" applyFill="1" applyBorder="1" applyAlignment="1">
      <alignment horizontal="right" wrapText="1"/>
    </xf>
    <xf numFmtId="3" fontId="0" fillId="0" borderId="0" xfId="0" applyNumberFormat="1" applyAlignment="1">
      <alignment horizontal="right"/>
    </xf>
    <xf numFmtId="1" fontId="0" fillId="0" borderId="0" xfId="0" applyNumberFormat="1" applyAlignment="1">
      <alignment horizontal="right"/>
    </xf>
    <xf numFmtId="1" fontId="0" fillId="0" borderId="24" xfId="0" applyNumberFormat="1" applyBorder="1"/>
    <xf numFmtId="3" fontId="0" fillId="0" borderId="24" xfId="0" applyNumberFormat="1" applyBorder="1"/>
    <xf numFmtId="165" fontId="0" fillId="0" borderId="24" xfId="43" applyNumberFormat="1" applyFont="1" applyBorder="1"/>
    <xf numFmtId="1" fontId="0" fillId="0" borderId="24" xfId="0" applyNumberFormat="1" applyBorder="1" applyAlignment="1">
      <alignment horizontal="right"/>
    </xf>
    <xf numFmtId="3" fontId="0" fillId="0" borderId="24" xfId="0" applyNumberFormat="1" applyBorder="1" applyAlignment="1">
      <alignment horizontal="right"/>
    </xf>
    <xf numFmtId="1" fontId="16" fillId="0" borderId="0" xfId="0" applyNumberFormat="1" applyFont="1"/>
    <xf numFmtId="1" fontId="0" fillId="0" borderId="17" xfId="0" applyNumberFormat="1" applyBorder="1"/>
    <xf numFmtId="3" fontId="0" fillId="0" borderId="17" xfId="0" applyNumberFormat="1" applyBorder="1"/>
    <xf numFmtId="165" fontId="0" fillId="0" borderId="17" xfId="43" applyNumberFormat="1" applyFont="1" applyBorder="1"/>
    <xf numFmtId="1" fontId="0" fillId="0" borderId="17" xfId="0" applyNumberFormat="1" applyBorder="1" applyAlignment="1">
      <alignment horizontal="right"/>
    </xf>
    <xf numFmtId="3" fontId="0" fillId="0" borderId="17" xfId="0" applyNumberFormat="1" applyBorder="1" applyAlignment="1">
      <alignment horizontal="right"/>
    </xf>
    <xf numFmtId="0" fontId="0" fillId="0" borderId="17" xfId="0" applyBorder="1"/>
    <xf numFmtId="0" fontId="40" fillId="0" borderId="0" xfId="0" applyFont="1"/>
    <xf numFmtId="0" fontId="40" fillId="0" borderId="0" xfId="0" applyFont="1" applyAlignment="1">
      <alignment horizontal="left"/>
    </xf>
    <xf numFmtId="165" fontId="40" fillId="0" borderId="0" xfId="43" applyNumberFormat="1" applyFont="1" applyFill="1" applyBorder="1" applyAlignment="1">
      <alignment horizontal="right"/>
    </xf>
    <xf numFmtId="165" fontId="40" fillId="0" borderId="0" xfId="43" applyNumberFormat="1" applyFont="1"/>
    <xf numFmtId="0" fontId="41" fillId="45" borderId="17" xfId="0" applyFont="1" applyFill="1" applyBorder="1" applyAlignment="1">
      <alignment horizontal="right" wrapText="1"/>
    </xf>
    <xf numFmtId="165" fontId="0" fillId="33" borderId="0" xfId="43" applyNumberFormat="1" applyFont="1" applyFill="1"/>
    <xf numFmtId="164" fontId="0" fillId="33" borderId="0" xfId="0" applyNumberFormat="1" applyFill="1"/>
    <xf numFmtId="164" fontId="0" fillId="33" borderId="0" xfId="0" applyNumberFormat="1" applyFill="1" applyAlignment="1">
      <alignment horizontal="right"/>
    </xf>
    <xf numFmtId="164" fontId="0" fillId="0" borderId="0" xfId="0" applyNumberFormat="1" applyAlignment="1">
      <alignment horizontal="right"/>
    </xf>
    <xf numFmtId="170" fontId="0" fillId="0" borderId="0" xfId="0" applyNumberFormat="1" applyAlignment="1">
      <alignment horizontal="right"/>
    </xf>
    <xf numFmtId="171" fontId="0" fillId="0" borderId="0" xfId="0" applyNumberFormat="1" applyAlignment="1">
      <alignment horizontal="right"/>
    </xf>
    <xf numFmtId="164" fontId="9" fillId="5" borderId="4" xfId="9" applyNumberFormat="1" applyAlignment="1" applyProtection="1">
      <alignment horizontal="right"/>
      <protection locked="0"/>
    </xf>
    <xf numFmtId="164" fontId="0" fillId="0" borderId="17" xfId="0" applyNumberFormat="1" applyBorder="1"/>
    <xf numFmtId="171" fontId="0" fillId="0" borderId="17" xfId="0" applyNumberFormat="1" applyBorder="1" applyAlignment="1">
      <alignment horizontal="right"/>
    </xf>
    <xf numFmtId="170" fontId="0" fillId="0" borderId="17" xfId="0" applyNumberFormat="1" applyBorder="1" applyAlignment="1">
      <alignment horizontal="right"/>
    </xf>
    <xf numFmtId="0" fontId="40" fillId="34" borderId="0" xfId="0" applyFont="1" applyFill="1" applyAlignment="1">
      <alignment horizontal="left"/>
    </xf>
    <xf numFmtId="165" fontId="42" fillId="34" borderId="0" xfId="43" applyNumberFormat="1" applyFont="1" applyFill="1"/>
    <xf numFmtId="0" fontId="43" fillId="0" borderId="0" xfId="0" applyFont="1"/>
    <xf numFmtId="0" fontId="44" fillId="0" borderId="0" xfId="0" applyFont="1"/>
    <xf numFmtId="165" fontId="44" fillId="0" borderId="0" xfId="0" applyNumberFormat="1" applyFont="1"/>
    <xf numFmtId="165" fontId="44" fillId="0" borderId="0" xfId="43" applyNumberFormat="1" applyFont="1"/>
    <xf numFmtId="165" fontId="0" fillId="0" borderId="0" xfId="0" applyNumberFormat="1"/>
    <xf numFmtId="169" fontId="0" fillId="0" borderId="0" xfId="0" applyNumberFormat="1"/>
    <xf numFmtId="43" fontId="0" fillId="0" borderId="0" xfId="0" applyNumberFormat="1"/>
    <xf numFmtId="2" fontId="0" fillId="0" borderId="0" xfId="0" applyNumberFormat="1"/>
    <xf numFmtId="43" fontId="0" fillId="0" borderId="0" xfId="42" applyFont="1"/>
    <xf numFmtId="2" fontId="0" fillId="38" borderId="0" xfId="0" applyNumberFormat="1" applyFill="1"/>
    <xf numFmtId="2" fontId="0" fillId="37" borderId="0" xfId="0" applyNumberFormat="1" applyFill="1"/>
    <xf numFmtId="43" fontId="0" fillId="33" borderId="0" xfId="42" applyFont="1" applyFill="1"/>
    <xf numFmtId="0" fontId="34" fillId="0" borderId="10" xfId="0" applyFont="1" applyBorder="1" applyAlignment="1">
      <alignment horizontal="center" vertical="top" wrapText="1"/>
    </xf>
    <xf numFmtId="0" fontId="34" fillId="0" borderId="11" xfId="0" applyFont="1" applyBorder="1" applyAlignment="1">
      <alignment horizontal="center" vertical="top" wrapText="1"/>
    </xf>
    <xf numFmtId="0" fontId="47" fillId="46" borderId="11" xfId="0" applyFont="1" applyFill="1" applyBorder="1" applyAlignment="1">
      <alignment horizontal="center" vertical="top" wrapText="1"/>
    </xf>
    <xf numFmtId="0" fontId="47" fillId="46" borderId="0" xfId="0" applyFont="1" applyFill="1" applyAlignment="1">
      <alignment horizontal="center" vertical="top" wrapText="1"/>
    </xf>
    <xf numFmtId="0" fontId="47" fillId="35" borderId="11" xfId="0" applyFont="1" applyFill="1" applyBorder="1" applyAlignment="1">
      <alignment horizontal="center" vertical="top" wrapText="1"/>
    </xf>
    <xf numFmtId="0" fontId="47" fillId="35" borderId="0" xfId="0" applyFont="1" applyFill="1" applyAlignment="1">
      <alignment horizontal="center" vertical="top" wrapText="1"/>
    </xf>
    <xf numFmtId="0" fontId="0" fillId="0" borderId="0" xfId="0" applyAlignment="1">
      <alignment horizontal="left"/>
    </xf>
    <xf numFmtId="8" fontId="0" fillId="0" borderId="0" xfId="0" applyNumberFormat="1"/>
    <xf numFmtId="0" fontId="16" fillId="0" borderId="0" xfId="0" pivotButton="1" applyFont="1" applyAlignment="1">
      <alignment horizontal="center" wrapText="1"/>
    </xf>
    <xf numFmtId="0" fontId="16" fillId="0" borderId="0" xfId="0" applyFont="1" applyAlignment="1">
      <alignment horizontal="center" wrapText="1"/>
    </xf>
    <xf numFmtId="165" fontId="14" fillId="0" borderId="0" xfId="43" applyNumberFormat="1" applyFont="1"/>
    <xf numFmtId="0" fontId="0" fillId="47" borderId="0" xfId="0" applyFill="1"/>
    <xf numFmtId="0" fontId="16" fillId="47" borderId="0" xfId="0" applyFont="1" applyFill="1"/>
    <xf numFmtId="0" fontId="48" fillId="47" borderId="0" xfId="0" applyFont="1" applyFill="1"/>
    <xf numFmtId="0" fontId="48" fillId="47" borderId="27" xfId="0" applyFont="1" applyFill="1" applyBorder="1"/>
    <xf numFmtId="0" fontId="0" fillId="47" borderId="27" xfId="0" applyFill="1" applyBorder="1"/>
    <xf numFmtId="0" fontId="49" fillId="47" borderId="0" xfId="0" applyFont="1" applyFill="1"/>
    <xf numFmtId="174" fontId="0" fillId="0" borderId="0" xfId="48" applyNumberFormat="1" applyFont="1"/>
    <xf numFmtId="16" fontId="0" fillId="0" borderId="0" xfId="0" quotePrefix="1" applyNumberFormat="1"/>
    <xf numFmtId="0" fontId="50" fillId="0" borderId="0" xfId="0" applyFont="1"/>
    <xf numFmtId="0" fontId="16" fillId="38" borderId="27" xfId="0" applyFont="1" applyFill="1" applyBorder="1"/>
    <xf numFmtId="0" fontId="0" fillId="38" borderId="27" xfId="0" applyFill="1" applyBorder="1"/>
    <xf numFmtId="174" fontId="0" fillId="38" borderId="27" xfId="48" applyNumberFormat="1" applyFont="1" applyFill="1" applyBorder="1"/>
    <xf numFmtId="9" fontId="0" fillId="0" borderId="0" xfId="49" applyFont="1"/>
    <xf numFmtId="0" fontId="14" fillId="0" borderId="0" xfId="0" applyFont="1" applyAlignment="1">
      <alignment horizontal="left"/>
    </xf>
    <xf numFmtId="0" fontId="14" fillId="0" borderId="0" xfId="0" applyFont="1"/>
    <xf numFmtId="174" fontId="14" fillId="0" borderId="0" xfId="48" applyNumberFormat="1" applyFont="1"/>
    <xf numFmtId="175" fontId="0" fillId="0" borderId="0" xfId="0" applyNumberFormat="1"/>
    <xf numFmtId="0" fontId="16" fillId="0" borderId="0" xfId="0" applyFont="1" applyAlignment="1">
      <alignment horizontal="left"/>
    </xf>
    <xf numFmtId="3" fontId="0" fillId="0" borderId="0" xfId="0" applyNumberFormat="1" applyAlignment="1">
      <alignment wrapText="1"/>
    </xf>
    <xf numFmtId="0" fontId="16" fillId="0" borderId="10" xfId="0" applyFont="1" applyBorder="1" applyAlignment="1">
      <alignment horizontal="center" vertical="center"/>
    </xf>
    <xf numFmtId="2" fontId="0" fillId="0" borderId="10" xfId="0" applyNumberFormat="1" applyBorder="1" applyAlignment="1">
      <alignment horizontal="center" vertical="center"/>
    </xf>
    <xf numFmtId="2" fontId="0" fillId="39" borderId="10" xfId="0" applyNumberFormat="1" applyFill="1" applyBorder="1" applyAlignment="1">
      <alignment horizontal="center" vertical="center"/>
    </xf>
    <xf numFmtId="0" fontId="0" fillId="0" borderId="10" xfId="0" applyBorder="1" applyAlignment="1">
      <alignment horizontal="center" vertical="center"/>
    </xf>
    <xf numFmtId="2" fontId="16" fillId="0" borderId="10" xfId="0" applyNumberFormat="1" applyFont="1" applyBorder="1" applyAlignment="1">
      <alignment horizontal="center" vertical="center"/>
    </xf>
    <xf numFmtId="173" fontId="0" fillId="37" borderId="0" xfId="0" applyNumberFormat="1" applyFill="1"/>
    <xf numFmtId="10" fontId="0" fillId="0" borderId="10" xfId="0" applyNumberFormat="1" applyBorder="1" applyAlignment="1">
      <alignment horizontal="center" vertical="center"/>
    </xf>
    <xf numFmtId="10" fontId="0" fillId="0" borderId="10" xfId="43" applyNumberFormat="1" applyFont="1" applyBorder="1" applyAlignment="1">
      <alignment horizontal="center" vertical="center"/>
    </xf>
    <xf numFmtId="9" fontId="0" fillId="0" borderId="10" xfId="43" applyFont="1" applyBorder="1" applyAlignment="1">
      <alignment horizontal="center" vertical="center"/>
    </xf>
    <xf numFmtId="2" fontId="51" fillId="0" borderId="10" xfId="0" applyNumberFormat="1" applyFont="1" applyBorder="1" applyAlignment="1">
      <alignment horizontal="center" vertical="center"/>
    </xf>
    <xf numFmtId="165" fontId="0" fillId="0" borderId="0" xfId="43" quotePrefix="1" applyNumberFormat="1" applyFont="1"/>
    <xf numFmtId="172" fontId="0" fillId="0" borderId="0" xfId="43" applyNumberFormat="1" applyFont="1"/>
    <xf numFmtId="177" fontId="0" fillId="0" borderId="0" xfId="43" applyNumberFormat="1" applyFont="1"/>
    <xf numFmtId="172" fontId="14" fillId="0" borderId="0" xfId="43" applyNumberFormat="1" applyFont="1"/>
    <xf numFmtId="10" fontId="0" fillId="40" borderId="10" xfId="0" applyNumberFormat="1" applyFill="1" applyBorder="1"/>
    <xf numFmtId="10" fontId="0" fillId="40" borderId="0" xfId="0" applyNumberFormat="1" applyFill="1"/>
    <xf numFmtId="9" fontId="0" fillId="47" borderId="0" xfId="43" applyFont="1" applyFill="1"/>
    <xf numFmtId="176" fontId="0" fillId="37" borderId="0" xfId="0" applyNumberFormat="1" applyFill="1"/>
    <xf numFmtId="172" fontId="14" fillId="0" borderId="0" xfId="43" applyNumberFormat="1" applyFont="1" applyFill="1"/>
    <xf numFmtId="10" fontId="14" fillId="0" borderId="0" xfId="43" applyNumberFormat="1" applyFont="1" applyFill="1"/>
    <xf numFmtId="174" fontId="0" fillId="0" borderId="0" xfId="51" applyNumberFormat="1" applyFont="1"/>
    <xf numFmtId="0" fontId="50" fillId="0" borderId="0" xfId="0" quotePrefix="1" applyFont="1"/>
    <xf numFmtId="174" fontId="0" fillId="38" borderId="27" xfId="51" applyNumberFormat="1" applyFont="1" applyFill="1" applyBorder="1"/>
    <xf numFmtId="167" fontId="1" fillId="0" borderId="0" xfId="51" applyNumberFormat="1" applyFont="1"/>
    <xf numFmtId="167" fontId="0" fillId="0" borderId="0" xfId="51" applyNumberFormat="1" applyFont="1"/>
    <xf numFmtId="0" fontId="0" fillId="46" borderId="0" xfId="0" applyFill="1"/>
    <xf numFmtId="0" fontId="0" fillId="0" borderId="10" xfId="0" applyBorder="1"/>
    <xf numFmtId="0" fontId="0" fillId="48" borderId="10" xfId="0" applyFill="1" applyBorder="1"/>
    <xf numFmtId="0" fontId="0" fillId="48" borderId="10" xfId="0" applyFill="1" applyBorder="1" applyAlignment="1">
      <alignment wrapText="1"/>
    </xf>
    <xf numFmtId="0" fontId="0" fillId="37" borderId="10" xfId="0" applyFill="1" applyBorder="1"/>
    <xf numFmtId="0" fontId="16" fillId="37" borderId="10" xfId="0" applyFont="1" applyFill="1" applyBorder="1"/>
    <xf numFmtId="0" fontId="20" fillId="0" borderId="0" xfId="0" applyFont="1" applyAlignment="1">
      <alignment vertical="center"/>
    </xf>
    <xf numFmtId="0" fontId="20" fillId="0" borderId="0" xfId="0" applyFont="1" applyAlignment="1">
      <alignment horizontal="right" vertical="center"/>
    </xf>
    <xf numFmtId="0" fontId="0" fillId="49" borderId="10" xfId="0" applyFill="1" applyBorder="1"/>
    <xf numFmtId="16" fontId="0" fillId="49" borderId="0" xfId="0" quotePrefix="1" applyNumberFormat="1" applyFill="1"/>
    <xf numFmtId="0" fontId="0" fillId="49" borderId="0" xfId="0" applyFill="1"/>
    <xf numFmtId="0" fontId="0" fillId="49" borderId="0" xfId="0" quotePrefix="1" applyFill="1"/>
    <xf numFmtId="0" fontId="16" fillId="33" borderId="0" xfId="0" applyFont="1" applyFill="1"/>
    <xf numFmtId="1" fontId="0" fillId="46" borderId="0" xfId="0" applyNumberFormat="1" applyFill="1"/>
    <xf numFmtId="0" fontId="52" fillId="0" borderId="0" xfId="50"/>
    <xf numFmtId="43" fontId="0" fillId="0" borderId="10" xfId="42" applyFont="1" applyBorder="1"/>
    <xf numFmtId="0" fontId="0" fillId="0" borderId="10" xfId="42" quotePrefix="1" applyNumberFormat="1" applyFont="1" applyBorder="1"/>
    <xf numFmtId="0" fontId="16" fillId="0" borderId="10" xfId="0" applyFont="1" applyBorder="1"/>
    <xf numFmtId="43" fontId="16" fillId="0" borderId="10" xfId="42" quotePrefix="1" applyFont="1" applyBorder="1"/>
    <xf numFmtId="178" fontId="16" fillId="0" borderId="10" xfId="42" applyNumberFormat="1" applyFont="1" applyBorder="1"/>
    <xf numFmtId="0" fontId="16" fillId="0" borderId="10" xfId="42" quotePrefix="1" applyNumberFormat="1" applyFont="1" applyBorder="1"/>
    <xf numFmtId="10" fontId="14" fillId="0" borderId="0" xfId="43" applyNumberFormat="1" applyFont="1"/>
    <xf numFmtId="173" fontId="14" fillId="0" borderId="0" xfId="0" applyNumberFormat="1" applyFont="1"/>
    <xf numFmtId="169" fontId="0" fillId="0" borderId="0" xfId="42" applyNumberFormat="1" applyFont="1" applyFill="1"/>
    <xf numFmtId="0" fontId="0" fillId="51" borderId="0" xfId="0" applyFill="1"/>
    <xf numFmtId="0" fontId="16" fillId="51" borderId="0" xfId="0" applyFont="1" applyFill="1"/>
    <xf numFmtId="9" fontId="55" fillId="54" borderId="0" xfId="43" applyFont="1" applyFill="1" applyBorder="1" applyAlignment="1">
      <alignment horizontal="right" vertical="top" wrapText="1" indent="1"/>
    </xf>
    <xf numFmtId="164" fontId="0" fillId="0" borderId="10" xfId="0" applyNumberFormat="1" applyBorder="1"/>
    <xf numFmtId="1" fontId="0" fillId="0" borderId="10" xfId="0" applyNumberFormat="1" applyBorder="1"/>
    <xf numFmtId="1" fontId="0" fillId="50" borderId="10" xfId="0" applyNumberFormat="1" applyFill="1" applyBorder="1"/>
    <xf numFmtId="10" fontId="0" fillId="0" borderId="10" xfId="43" applyNumberFormat="1" applyFont="1" applyBorder="1"/>
    <xf numFmtId="165" fontId="0" fillId="0" borderId="10" xfId="43" applyNumberFormat="1" applyFont="1" applyBorder="1"/>
    <xf numFmtId="9" fontId="0" fillId="0" borderId="10" xfId="43" applyFont="1" applyBorder="1"/>
    <xf numFmtId="173" fontId="0" fillId="0" borderId="10" xfId="0" applyNumberFormat="1" applyBorder="1"/>
    <xf numFmtId="173" fontId="0" fillId="38" borderId="10" xfId="0" applyNumberFormat="1" applyFill="1" applyBorder="1"/>
    <xf numFmtId="0" fontId="13" fillId="52" borderId="10" xfId="0" applyFont="1" applyFill="1" applyBorder="1"/>
    <xf numFmtId="0" fontId="13" fillId="55" borderId="10" xfId="0" applyFont="1" applyFill="1" applyBorder="1"/>
    <xf numFmtId="0" fontId="13" fillId="56" borderId="10" xfId="0" applyFont="1" applyFill="1" applyBorder="1"/>
    <xf numFmtId="0" fontId="16" fillId="39" borderId="10" xfId="0" applyFont="1" applyFill="1" applyBorder="1"/>
    <xf numFmtId="9" fontId="0" fillId="38" borderId="10" xfId="0" applyNumberFormat="1" applyFill="1" applyBorder="1"/>
    <xf numFmtId="1" fontId="0" fillId="37" borderId="10" xfId="0" applyNumberFormat="1" applyFill="1" applyBorder="1"/>
    <xf numFmtId="9" fontId="0" fillId="38" borderId="10" xfId="43" applyFont="1" applyFill="1" applyBorder="1"/>
    <xf numFmtId="0" fontId="16" fillId="38" borderId="10" xfId="0" applyFont="1" applyFill="1" applyBorder="1"/>
    <xf numFmtId="9" fontId="0" fillId="37" borderId="10" xfId="43" applyFont="1" applyFill="1" applyBorder="1"/>
    <xf numFmtId="169" fontId="0" fillId="0" borderId="10" xfId="0" applyNumberFormat="1" applyBorder="1"/>
    <xf numFmtId="169" fontId="0" fillId="0" borderId="10" xfId="42" applyNumberFormat="1" applyFont="1" applyBorder="1"/>
    <xf numFmtId="0" fontId="0" fillId="38" borderId="10" xfId="0" applyFill="1" applyBorder="1"/>
    <xf numFmtId="164" fontId="0" fillId="38" borderId="10" xfId="0" applyNumberFormat="1" applyFill="1" applyBorder="1"/>
    <xf numFmtId="165" fontId="0" fillId="38" borderId="10" xfId="43" applyNumberFormat="1" applyFont="1" applyFill="1" applyBorder="1"/>
    <xf numFmtId="10" fontId="0" fillId="38" borderId="10" xfId="43" applyNumberFormat="1" applyFont="1" applyFill="1" applyBorder="1"/>
    <xf numFmtId="164" fontId="0" fillId="50" borderId="10" xfId="0" applyNumberFormat="1" applyFill="1" applyBorder="1"/>
    <xf numFmtId="167" fontId="0" fillId="0" borderId="0" xfId="48" applyNumberFormat="1" applyFont="1"/>
    <xf numFmtId="0" fontId="16" fillId="52" borderId="29" xfId="0" applyFont="1" applyFill="1" applyBorder="1" applyAlignment="1">
      <alignment horizontal="center" wrapText="1"/>
    </xf>
    <xf numFmtId="0" fontId="16" fillId="36" borderId="29" xfId="0" applyFont="1" applyFill="1" applyBorder="1" applyAlignment="1">
      <alignment horizontal="center" wrapText="1"/>
    </xf>
    <xf numFmtId="0" fontId="16" fillId="53" borderId="29" xfId="0" applyFont="1" applyFill="1" applyBorder="1" applyAlignment="1">
      <alignment horizontal="center" wrapText="1"/>
    </xf>
    <xf numFmtId="0" fontId="16" fillId="57" borderId="0" xfId="0" applyFont="1" applyFill="1" applyAlignment="1">
      <alignment horizontal="center" wrapText="1"/>
    </xf>
    <xf numFmtId="179" fontId="0" fillId="0" borderId="0" xfId="0" applyNumberFormat="1"/>
    <xf numFmtId="179" fontId="0" fillId="0" borderId="0" xfId="0" applyNumberFormat="1" applyAlignment="1">
      <alignment horizontal="left"/>
    </xf>
    <xf numFmtId="179" fontId="16" fillId="0" borderId="0" xfId="0" applyNumberFormat="1" applyFont="1"/>
    <xf numFmtId="179" fontId="14" fillId="0" borderId="0" xfId="0" applyNumberFormat="1" applyFont="1"/>
    <xf numFmtId="0" fontId="16" fillId="50" borderId="0" xfId="0" applyFont="1" applyFill="1"/>
    <xf numFmtId="0" fontId="0" fillId="50" borderId="0" xfId="0" applyFill="1"/>
    <xf numFmtId="0" fontId="18" fillId="0" borderId="0" xfId="0" applyFont="1" applyAlignment="1">
      <alignment horizontal="left"/>
    </xf>
    <xf numFmtId="173" fontId="0" fillId="50" borderId="10" xfId="0" applyNumberFormat="1" applyFill="1" applyBorder="1"/>
    <xf numFmtId="172" fontId="0" fillId="0" borderId="0" xfId="0" applyNumberFormat="1"/>
    <xf numFmtId="1" fontId="0" fillId="0" borderId="0" xfId="0" applyNumberFormat="1" applyAlignment="1">
      <alignment wrapText="1"/>
    </xf>
    <xf numFmtId="0" fontId="16" fillId="58" borderId="0" xfId="0" applyFont="1" applyFill="1" applyAlignment="1">
      <alignment horizontal="center" wrapText="1"/>
    </xf>
    <xf numFmtId="0" fontId="16" fillId="59" borderId="0" xfId="0" applyFont="1" applyFill="1" applyAlignment="1">
      <alignment horizontal="center" wrapText="1"/>
    </xf>
    <xf numFmtId="170" fontId="0" fillId="0" borderId="0" xfId="0" applyNumberFormat="1"/>
    <xf numFmtId="0" fontId="56" fillId="0" borderId="0" xfId="0" applyFont="1"/>
    <xf numFmtId="0" fontId="16" fillId="60" borderId="23" xfId="0" applyFont="1" applyFill="1" applyBorder="1" applyAlignment="1">
      <alignment horizontal="center"/>
    </xf>
    <xf numFmtId="0" fontId="16" fillId="60" borderId="24" xfId="0" applyFont="1" applyFill="1" applyBorder="1" applyAlignment="1">
      <alignment horizontal="center"/>
    </xf>
    <xf numFmtId="0" fontId="16" fillId="60" borderId="28" xfId="0" applyFont="1" applyFill="1" applyBorder="1" applyAlignment="1">
      <alignment horizontal="center"/>
    </xf>
    <xf numFmtId="0" fontId="16" fillId="0" borderId="23"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0" xfId="0" applyFont="1" applyBorder="1" applyAlignment="1">
      <alignment horizontal="center" vertical="center"/>
    </xf>
    <xf numFmtId="0" fontId="30" fillId="42" borderId="0" xfId="44" applyFont="1" applyFill="1" applyAlignment="1">
      <alignment horizontal="left" vertical="top" wrapText="1"/>
    </xf>
    <xf numFmtId="0" fontId="37" fillId="5" borderId="17" xfId="9" applyFont="1" applyBorder="1" applyAlignment="1" applyProtection="1">
      <alignment horizontal="center"/>
      <protection locked="0"/>
    </xf>
    <xf numFmtId="0" fontId="37" fillId="5" borderId="26" xfId="9" applyFont="1" applyBorder="1" applyAlignment="1" applyProtection="1">
      <alignment horizontal="center"/>
      <protection locked="0"/>
    </xf>
    <xf numFmtId="0" fontId="37" fillId="5" borderId="19" xfId="9" applyFont="1" applyBorder="1" applyAlignment="1" applyProtection="1">
      <alignment horizontal="center"/>
      <protection locked="0"/>
    </xf>
    <xf numFmtId="0" fontId="37" fillId="5" borderId="20" xfId="9" applyFont="1" applyBorder="1" applyAlignment="1" applyProtection="1">
      <alignment horizontal="center"/>
      <protection locked="0"/>
    </xf>
    <xf numFmtId="0" fontId="37" fillId="5" borderId="0" xfId="9" applyFont="1" applyBorder="1" applyAlignment="1" applyProtection="1">
      <alignment horizontal="center"/>
      <protection locked="0"/>
    </xf>
    <xf numFmtId="0" fontId="37" fillId="5" borderId="22" xfId="9" applyFont="1" applyBorder="1" applyAlignment="1" applyProtection="1">
      <alignment horizontal="center"/>
      <protection locked="0"/>
    </xf>
    <xf numFmtId="165" fontId="37" fillId="5" borderId="0" xfId="9" applyNumberFormat="1" applyFont="1" applyBorder="1" applyAlignment="1" applyProtection="1">
      <alignment horizontal="center"/>
      <protection locked="0"/>
    </xf>
    <xf numFmtId="165" fontId="37" fillId="5" borderId="22" xfId="9" applyNumberFormat="1" applyFont="1" applyBorder="1" applyAlignment="1" applyProtection="1">
      <alignment horizontal="center"/>
      <protection locked="0"/>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omma 2" xfId="48" xr:uid="{B67E8620-6D6E-4792-953C-390A043B511C}"/>
    <cellStyle name="Comma 2 2" xfId="45" xr:uid="{DB680492-CF4D-49A4-8826-7B2FC88D18B2}"/>
    <cellStyle name="Comma 3" xfId="51" xr:uid="{0A0F88FD-FB6E-4907-8D03-069EA7E9A3CF}"/>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0" builtinId="8"/>
    <cellStyle name="Hyperlink 2" xfId="47" xr:uid="{9CF9FD5F-5D02-4F71-AAC4-9B4D005A66CD}"/>
    <cellStyle name="Input" xfId="9" builtinId="20" customBuiltin="1"/>
    <cellStyle name="Linked Cell" xfId="12" builtinId="24" customBuiltin="1"/>
    <cellStyle name="Neutral" xfId="8" builtinId="28" customBuiltin="1"/>
    <cellStyle name="Normal" xfId="0" builtinId="0"/>
    <cellStyle name="Normal 2" xfId="44" xr:uid="{C0566D63-F0BD-4DFF-AC26-05B07DB0B587}"/>
    <cellStyle name="Normal 2 2" xfId="46" xr:uid="{FA29931D-A59A-476A-B8D7-770118CB452C}"/>
    <cellStyle name="Note" xfId="15" builtinId="10" customBuiltin="1"/>
    <cellStyle name="Output" xfId="10" builtinId="21" customBuiltin="1"/>
    <cellStyle name="Percent" xfId="43" builtinId="5"/>
    <cellStyle name="Percent 2" xfId="49" xr:uid="{788ABB2B-C2EC-420B-B9BB-276B6D28E060}"/>
    <cellStyle name="Title" xfId="1" builtinId="15" customBuiltin="1"/>
    <cellStyle name="Total" xfId="17" builtinId="25" customBuiltin="1"/>
    <cellStyle name="Warning Text" xfId="14" builtinId="11" customBuiltin="1"/>
  </cellStyles>
  <dxfs count="30">
    <dxf>
      <fill>
        <patternFill>
          <bgColor theme="7" tint="0.79998168889431442"/>
        </patternFill>
      </fill>
    </dxf>
    <dxf>
      <fill>
        <patternFill patternType="none">
          <bgColor auto="1"/>
        </patternFill>
      </fill>
    </dxf>
    <dxf>
      <numFmt numFmtId="179" formatCode="[$$-409]#,##0.00"/>
    </dxf>
    <dxf>
      <font>
        <b/>
      </font>
    </dxf>
    <dxf>
      <alignment horizontal="center"/>
    </dxf>
    <dxf>
      <alignment wrapText="1"/>
    </dxf>
    <dxf>
      <numFmt numFmtId="12" formatCode="&quot;£&quot;#,##0.00;[Red]\-&quot;£&quot;#,##0.00"/>
    </dxf>
    <dxf>
      <numFmt numFmtId="179" formatCode="[$$-409]#,##0.00"/>
    </dxf>
    <dxf>
      <fill>
        <patternFill>
          <bgColor theme="4" tint="0.79998168889431442"/>
        </patternFill>
      </fill>
    </dxf>
    <dxf>
      <fill>
        <patternFill patternType="solid">
          <bgColor theme="9"/>
        </patternFill>
      </fill>
    </dxf>
    <dxf>
      <fill>
        <patternFill patternType="solid">
          <bgColor rgb="FF0070C0"/>
        </patternFill>
      </fill>
    </dxf>
    <dxf>
      <fill>
        <patternFill patternType="solid">
          <bgColor theme="6" tint="0.39997558519241921"/>
        </patternFill>
      </fill>
    </dxf>
    <dxf>
      <font>
        <b/>
      </font>
    </dxf>
    <dxf>
      <font>
        <b/>
      </font>
    </dxf>
    <dxf>
      <alignment horizontal="center"/>
    </dxf>
    <dxf>
      <alignment horizontal="center"/>
    </dxf>
    <dxf>
      <alignment wrapText="1"/>
    </dxf>
    <dxf>
      <alignment wrapText="1"/>
    </dxf>
    <dxf>
      <numFmt numFmtId="12" formatCode="&quot;£&quot;#,##0.00;[Red]\-&quot;£&quot;#,##0.00"/>
    </dxf>
    <dxf>
      <fill>
        <patternFill>
          <fgColor theme="4" tint="0.79998168889431442"/>
        </patternFill>
      </fill>
    </dxf>
    <dxf>
      <numFmt numFmtId="179" formatCode="[$$-409]#,##0.00"/>
    </dxf>
    <dxf>
      <numFmt numFmtId="179" formatCode="[$$-409]#,##0.00"/>
    </dxf>
    <dxf>
      <numFmt numFmtId="179" formatCode="[$$-409]#,##0.00"/>
    </dxf>
    <dxf>
      <fill>
        <patternFill patternType="none">
          <fgColor indexed="64"/>
          <bgColor indexed="65"/>
        </patternFill>
      </fill>
    </dxf>
    <dxf>
      <font>
        <b/>
      </font>
      <fill>
        <patternFill>
          <fgColor theme="8"/>
        </patternFill>
      </fill>
      <alignment horizontal="center" wrapText="1"/>
    </dxf>
    <dxf>
      <fill>
        <patternFill patternType="solid">
          <bgColor theme="6" tint="0.39997558519241921"/>
        </patternFill>
      </fill>
    </dxf>
    <dxf>
      <font>
        <b/>
      </font>
    </dxf>
    <dxf>
      <alignment horizontal="center"/>
    </dxf>
    <dxf>
      <alignment wrapText="1"/>
    </dxf>
    <dxf>
      <numFmt numFmtId="12" formatCode="&quot;£&quot;#,##0.00;[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dLbl>
              <c:idx val="0"/>
              <c:tx>
                <c:rich>
                  <a:bodyPr/>
                  <a:lstStyle/>
                  <a:p>
                    <a:fld id="{DD3B5F96-05CC-4C8C-B093-9D83D39C297D}"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E74-40A0-BB01-87D1BAA3B7D0}"/>
                </c:ext>
              </c:extLst>
            </c:dLbl>
            <c:dLbl>
              <c:idx val="1"/>
              <c:tx>
                <c:rich>
                  <a:bodyPr/>
                  <a:lstStyle/>
                  <a:p>
                    <a:fld id="{9683FF95-7595-4435-8A7F-CEEBD2EC2CB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74-40A0-BB01-87D1BAA3B7D0}"/>
                </c:ext>
              </c:extLst>
            </c:dLbl>
            <c:dLbl>
              <c:idx val="2"/>
              <c:tx>
                <c:rich>
                  <a:bodyPr/>
                  <a:lstStyle/>
                  <a:p>
                    <a:fld id="{1CA131AD-1061-43F6-8EF8-1F50A717CC8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74-40A0-BB01-87D1BAA3B7D0}"/>
                </c:ext>
              </c:extLst>
            </c:dLbl>
            <c:dLbl>
              <c:idx val="3"/>
              <c:tx>
                <c:rich>
                  <a:bodyPr/>
                  <a:lstStyle/>
                  <a:p>
                    <a:fld id="{2D1D8750-4689-4BBA-ACC8-BF5811A34EE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74-40A0-BB01-87D1BAA3B7D0}"/>
                </c:ext>
              </c:extLst>
            </c:dLbl>
            <c:dLbl>
              <c:idx val="4"/>
              <c:tx>
                <c:rich>
                  <a:bodyPr/>
                  <a:lstStyle/>
                  <a:p>
                    <a:fld id="{F3C1E592-F43E-462F-8BEC-569C4CA2CB0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74-40A0-BB01-87D1BAA3B7D0}"/>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'Preliminary results'!$B$108:$B$112</c:f>
              <c:strCache>
                <c:ptCount val="5"/>
                <c:pt idx="0">
                  <c:v>National debt</c:v>
                </c:pt>
                <c:pt idx="1">
                  <c:v>Annual interest payments</c:v>
                </c:pt>
                <c:pt idx="2">
                  <c:v>Pakistan needs after 2022 floods</c:v>
                </c:pt>
                <c:pt idx="3">
                  <c:v>Total financially assessable damages</c:v>
                </c:pt>
                <c:pt idx="4">
                  <c:v>Award of compensation</c:v>
                </c:pt>
              </c:strCache>
            </c:strRef>
          </c:cat>
          <c:val>
            <c:numRef>
              <c:f>'Preliminary results'!$C$108:$C$112</c:f>
              <c:numCache>
                <c:formatCode>_(* #,##0.00_);_(* \(#,##0.00\);_(* "-"??_);_(@_)</c:formatCode>
                <c:ptCount val="5"/>
                <c:pt idx="0">
                  <c:v>226.40756780223566</c:v>
                </c:pt>
                <c:pt idx="1">
                  <c:v>25.098616336920969</c:v>
                </c:pt>
                <c:pt idx="2" formatCode="0.00">
                  <c:v>14.004149377593359</c:v>
                </c:pt>
                <c:pt idx="3">
                  <c:v>90.206073048874771</c:v>
                </c:pt>
                <c:pt idx="4" formatCode="0.0">
                  <c:v>2.7061821914662429</c:v>
                </c:pt>
              </c:numCache>
            </c:numRef>
          </c:val>
          <c:extLst>
            <c:ext xmlns:c15="http://schemas.microsoft.com/office/drawing/2012/chart" uri="{02D57815-91ED-43cb-92C2-25804820EDAC}">
              <c15:datalabelsRange>
                <c15:f>'Preliminary results'!$D$108:$D$112</c15:f>
                <c15:dlblRangeCache>
                  <c:ptCount val="5"/>
                  <c:pt idx="0">
                    <c:v>70%</c:v>
                  </c:pt>
                  <c:pt idx="1">
                    <c:v>8%</c:v>
                  </c:pt>
                  <c:pt idx="2">
                    <c:v>4%</c:v>
                  </c:pt>
                  <c:pt idx="3">
                    <c:v>28%</c:v>
                  </c:pt>
                  <c:pt idx="4">
                    <c:v>1%</c:v>
                  </c:pt>
                </c15:dlblRangeCache>
              </c15:datalabelsRange>
            </c:ext>
            <c:ext xmlns:c16="http://schemas.microsoft.com/office/drawing/2014/chart" uri="{C3380CC4-5D6E-409C-BE32-E72D297353CC}">
              <c16:uniqueId val="{00000000-BE74-40A0-BB01-87D1BAA3B7D0}"/>
            </c:ext>
          </c:extLst>
        </c:ser>
        <c:dLbls>
          <c:showLegendKey val="0"/>
          <c:showVal val="0"/>
          <c:showCatName val="0"/>
          <c:showSerName val="0"/>
          <c:showPercent val="0"/>
          <c:showBubbleSize val="0"/>
        </c:dLbls>
        <c:gapWidth val="219"/>
        <c:overlap val="-27"/>
        <c:axId val="769414255"/>
        <c:axId val="841705583"/>
      </c:barChart>
      <c:catAx>
        <c:axId val="76941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41705583"/>
        <c:crosses val="autoZero"/>
        <c:auto val="1"/>
        <c:lblAlgn val="ctr"/>
        <c:lblOffset val="100"/>
        <c:noMultiLvlLbl val="0"/>
      </c:catAx>
      <c:valAx>
        <c:axId val="841705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Value (billion 2019 dollars)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6941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8-0CA8-4930-A91E-B1D3C0CE2CE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9-0CA8-4930-A91E-B1D3C0CE2CE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A-0CA8-4930-A91E-B1D3C0CE2CEA}"/>
              </c:ext>
            </c:extLst>
          </c:dPt>
          <c:dPt>
            <c:idx val="3"/>
            <c:invertIfNegative val="0"/>
            <c:bubble3D val="0"/>
            <c:spPr>
              <a:solidFill>
                <a:schemeClr val="accent3"/>
              </a:solidFill>
              <a:ln>
                <a:solidFill>
                  <a:schemeClr val="accent3"/>
                </a:solidFill>
              </a:ln>
              <a:effectLst/>
            </c:spPr>
            <c:extLst>
              <c:ext xmlns:c16="http://schemas.microsoft.com/office/drawing/2014/chart" uri="{C3380CC4-5D6E-409C-BE32-E72D297353CC}">
                <c16:uniqueId val="{00000005-40C5-4FEA-B125-09034D61E2C2}"/>
              </c:ext>
            </c:extLst>
          </c:dPt>
          <c:dPt>
            <c:idx val="4"/>
            <c:invertIfNegative val="0"/>
            <c:bubble3D val="0"/>
            <c:spPr>
              <a:solidFill>
                <a:srgbClr val="0070C0"/>
              </a:solidFill>
              <a:ln>
                <a:solidFill>
                  <a:srgbClr val="0070C0"/>
                </a:solidFill>
              </a:ln>
              <a:effectLst/>
            </c:spPr>
            <c:extLst>
              <c:ext xmlns:c16="http://schemas.microsoft.com/office/drawing/2014/chart" uri="{C3380CC4-5D6E-409C-BE32-E72D297353CC}">
                <c16:uniqueId val="{00000004-40C5-4FEA-B125-09034D61E2C2}"/>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3-40C5-4FEA-B125-09034D61E2C2}"/>
              </c:ext>
            </c:extLst>
          </c:dPt>
          <c:dPt>
            <c:idx val="6"/>
            <c:invertIfNegative val="0"/>
            <c:bubble3D val="0"/>
            <c:spPr>
              <a:solidFill>
                <a:srgbClr val="0070C0"/>
              </a:solidFill>
              <a:ln>
                <a:noFill/>
              </a:ln>
              <a:effectLst/>
            </c:spPr>
            <c:extLst>
              <c:ext xmlns:c16="http://schemas.microsoft.com/office/drawing/2014/chart" uri="{C3380CC4-5D6E-409C-BE32-E72D297353CC}">
                <c16:uniqueId val="{00000002-40C5-4FEA-B125-09034D61E2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'Link to literature'!$D$27:$D$35</c15:sqref>
                  </c15:fullRef>
                </c:ext>
              </c:extLst>
              <c:f>('Link to literature'!$D$27:$D$29,'Link to literature'!$D$31:$D$32,'Link to literature'!$D$34:$D$35)</c:f>
              <c:strCache>
                <c:ptCount val="7"/>
                <c:pt idx="0">
                  <c:v>Average impact over last 20 years (Newman &amp; Noy, 2023)</c:v>
                </c:pt>
                <c:pt idx="1">
                  <c:v>Major extreme 
climate events 
2022 in 
developing 
countries  (Richards et al., 2023)</c:v>
                </c:pt>
                <c:pt idx="2">
                  <c:v>Minimum goal for loss and damage (Richards et al., 2023)</c:v>
                </c:pt>
                <c:pt idx="3">
                  <c:v>CVF_central</c:v>
                </c:pt>
                <c:pt idx="4">
                  <c:v>CVF_upper</c:v>
                </c:pt>
                <c:pt idx="5">
                  <c:v>G77 + China_central</c:v>
                </c:pt>
                <c:pt idx="6">
                  <c:v>G77 + China_upper</c:v>
                </c:pt>
              </c:strCache>
            </c:strRef>
          </c:cat>
          <c:val>
            <c:numRef>
              <c:extLst>
                <c:ext xmlns:c15="http://schemas.microsoft.com/office/drawing/2012/chart" uri="{02D57815-91ED-43cb-92C2-25804820EDAC}">
                  <c15:fullRef>
                    <c15:sqref>'Link to literature'!$E$27:$E$35</c15:sqref>
                  </c15:fullRef>
                </c:ext>
              </c:extLst>
              <c:f>('Link to literature'!$E$27:$E$29,'Link to literature'!$E$31:$E$32,'Link to literature'!$E$34:$E$35)</c:f>
              <c:numCache>
                <c:formatCode>0</c:formatCode>
                <c:ptCount val="7"/>
                <c:pt idx="0">
                  <c:v>115.01007387508395</c:v>
                </c:pt>
                <c:pt idx="1">
                  <c:v>91.504365345869701</c:v>
                </c:pt>
                <c:pt idx="2">
                  <c:v>335.79583613163197</c:v>
                </c:pt>
                <c:pt idx="3">
                  <c:v>9.0989397478768783</c:v>
                </c:pt>
                <c:pt idx="4">
                  <c:v>38.391594242424972</c:v>
                </c:pt>
                <c:pt idx="5">
                  <c:v>82.729157344602356</c:v>
                </c:pt>
                <c:pt idx="6">
                  <c:v>349.06311381310212</c:v>
                </c:pt>
              </c:numCache>
            </c:numRef>
          </c:val>
          <c:extLst>
            <c:ext xmlns:c16="http://schemas.microsoft.com/office/drawing/2014/chart" uri="{C3380CC4-5D6E-409C-BE32-E72D297353CC}">
              <c16:uniqueId val="{00000000-40C5-4FEA-B125-09034D61E2C2}"/>
            </c:ext>
          </c:extLst>
        </c:ser>
        <c:dLbls>
          <c:showLegendKey val="0"/>
          <c:showVal val="0"/>
          <c:showCatName val="0"/>
          <c:showSerName val="0"/>
          <c:showPercent val="0"/>
          <c:showBubbleSize val="0"/>
        </c:dLbls>
        <c:gapWidth val="219"/>
        <c:overlap val="-27"/>
        <c:axId val="856449311"/>
        <c:axId val="841592783"/>
      </c:barChart>
      <c:catAx>
        <c:axId val="85644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592783"/>
        <c:crosses val="autoZero"/>
        <c:auto val="1"/>
        <c:lblAlgn val="ctr"/>
        <c:lblOffset val="100"/>
        <c:noMultiLvlLbl val="0"/>
      </c:catAx>
      <c:valAx>
        <c:axId val="841592783"/>
        <c:scaling>
          <c:orientation val="minMax"/>
          <c:max val="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GB" sz="1050"/>
                  <a:t>value</a:t>
                </a:r>
                <a:r>
                  <a:rPr lang="en-GB" sz="1050" baseline="0"/>
                  <a:t> ($ billion - 2019 USD)</a:t>
                </a:r>
                <a:endParaRPr lang="en-GB" sz="1050"/>
              </a:p>
            </c:rich>
          </c:tx>
          <c:layout>
            <c:manualLayout>
              <c:xMode val="edge"/>
              <c:yMode val="edge"/>
              <c:x val="2.4511932679038437E-2"/>
              <c:y val="0.12076335401789892"/>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449311"/>
        <c:crosses val="autoZero"/>
        <c:crossBetween val="between"/>
        <c:majorUnit val="1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Shape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'MSET pivots'!$B$63</c:f>
              <c:strCache>
                <c:ptCount val="1"/>
                <c:pt idx="0">
                  <c:v>Flat</c:v>
                </c:pt>
              </c:strCache>
            </c:strRef>
          </c:tx>
          <c:spPr>
            <a:ln w="28575" cap="rnd">
              <a:solidFill>
                <a:schemeClr val="accent1"/>
              </a:solidFill>
              <a:round/>
            </a:ln>
            <a:effectLst/>
          </c:spPr>
          <c:marker>
            <c:symbol val="none"/>
          </c:marker>
          <c:cat>
            <c:numRef>
              <c:f>'MSET pivots'!$E$62:$S$62</c:f>
              <c:numCache>
                <c:formatCode>General</c:formatCode>
                <c:ptCount val="15"/>
                <c:pt idx="0">
                  <c:v>2031</c:v>
                </c:pt>
                <c:pt idx="1">
                  <c:v>2032</c:v>
                </c:pt>
                <c:pt idx="2">
                  <c:v>2033</c:v>
                </c:pt>
                <c:pt idx="3">
                  <c:v>2034</c:v>
                </c:pt>
                <c:pt idx="4">
                  <c:v>2035</c:v>
                </c:pt>
                <c:pt idx="5">
                  <c:v>2036</c:v>
                </c:pt>
                <c:pt idx="6">
                  <c:v>2037</c:v>
                </c:pt>
                <c:pt idx="7">
                  <c:v>2038</c:v>
                </c:pt>
                <c:pt idx="8">
                  <c:v>2039</c:v>
                </c:pt>
                <c:pt idx="9">
                  <c:v>2040</c:v>
                </c:pt>
                <c:pt idx="10">
                  <c:v>2041</c:v>
                </c:pt>
                <c:pt idx="11">
                  <c:v>2042</c:v>
                </c:pt>
                <c:pt idx="12">
                  <c:v>2043</c:v>
                </c:pt>
                <c:pt idx="13">
                  <c:v>2044</c:v>
                </c:pt>
                <c:pt idx="14">
                  <c:v>2045</c:v>
                </c:pt>
              </c:numCache>
            </c:numRef>
          </c:cat>
          <c:val>
            <c:numRef>
              <c:f>'MSET pivots'!$E$63:$S$63</c:f>
              <c:numCache>
                <c:formatCode>General</c:formatCode>
                <c:ptCount val="15"/>
                <c:pt idx="0">
                  <c:v>6.6666666666666666E-2</c:v>
                </c:pt>
                <c:pt idx="1">
                  <c:v>6.6666666666666666E-2</c:v>
                </c:pt>
                <c:pt idx="2">
                  <c:v>6.6666666666666666E-2</c:v>
                </c:pt>
                <c:pt idx="3">
                  <c:v>6.6666666666666666E-2</c:v>
                </c:pt>
                <c:pt idx="4">
                  <c:v>6.6666666666666666E-2</c:v>
                </c:pt>
                <c:pt idx="5">
                  <c:v>6.6666666666666666E-2</c:v>
                </c:pt>
                <c:pt idx="6">
                  <c:v>6.6666666666666666E-2</c:v>
                </c:pt>
                <c:pt idx="7">
                  <c:v>6.6666666666666666E-2</c:v>
                </c:pt>
                <c:pt idx="8">
                  <c:v>6.6666666666666666E-2</c:v>
                </c:pt>
                <c:pt idx="9">
                  <c:v>6.6666666666666666E-2</c:v>
                </c:pt>
                <c:pt idx="10">
                  <c:v>6.6666666666666666E-2</c:v>
                </c:pt>
                <c:pt idx="11">
                  <c:v>6.6666666666666666E-2</c:v>
                </c:pt>
                <c:pt idx="12">
                  <c:v>6.6666666666666666E-2</c:v>
                </c:pt>
                <c:pt idx="13">
                  <c:v>6.6666666666666666E-2</c:v>
                </c:pt>
                <c:pt idx="14">
                  <c:v>6.6666666666666666E-2</c:v>
                </c:pt>
              </c:numCache>
            </c:numRef>
          </c:val>
          <c:smooth val="0"/>
          <c:extLst>
            <c:ext xmlns:c16="http://schemas.microsoft.com/office/drawing/2014/chart" uri="{C3380CC4-5D6E-409C-BE32-E72D297353CC}">
              <c16:uniqueId val="{00000000-853E-4643-983D-9870AF6193F1}"/>
            </c:ext>
          </c:extLst>
        </c:ser>
        <c:ser>
          <c:idx val="1"/>
          <c:order val="1"/>
          <c:tx>
            <c:strRef>
              <c:f>'MSET pivots'!$B$64</c:f>
              <c:strCache>
                <c:ptCount val="1"/>
                <c:pt idx="0">
                  <c:v>Tapered</c:v>
                </c:pt>
              </c:strCache>
            </c:strRef>
          </c:tx>
          <c:spPr>
            <a:ln w="28575" cap="rnd">
              <a:solidFill>
                <a:schemeClr val="accent2"/>
              </a:solidFill>
              <a:round/>
            </a:ln>
            <a:effectLst/>
          </c:spPr>
          <c:marker>
            <c:symbol val="none"/>
          </c:marker>
          <c:cat>
            <c:numRef>
              <c:f>'MSET pivots'!$E$62:$S$62</c:f>
              <c:numCache>
                <c:formatCode>General</c:formatCode>
                <c:ptCount val="15"/>
                <c:pt idx="0">
                  <c:v>2031</c:v>
                </c:pt>
                <c:pt idx="1">
                  <c:v>2032</c:v>
                </c:pt>
                <c:pt idx="2">
                  <c:v>2033</c:v>
                </c:pt>
                <c:pt idx="3">
                  <c:v>2034</c:v>
                </c:pt>
                <c:pt idx="4">
                  <c:v>2035</c:v>
                </c:pt>
                <c:pt idx="5">
                  <c:v>2036</c:v>
                </c:pt>
                <c:pt idx="6">
                  <c:v>2037</c:v>
                </c:pt>
                <c:pt idx="7">
                  <c:v>2038</c:v>
                </c:pt>
                <c:pt idx="8">
                  <c:v>2039</c:v>
                </c:pt>
                <c:pt idx="9">
                  <c:v>2040</c:v>
                </c:pt>
                <c:pt idx="10">
                  <c:v>2041</c:v>
                </c:pt>
                <c:pt idx="11">
                  <c:v>2042</c:v>
                </c:pt>
                <c:pt idx="12">
                  <c:v>2043</c:v>
                </c:pt>
                <c:pt idx="13">
                  <c:v>2044</c:v>
                </c:pt>
                <c:pt idx="14">
                  <c:v>2045</c:v>
                </c:pt>
              </c:numCache>
            </c:numRef>
          </c:cat>
          <c:val>
            <c:numRef>
              <c:f>'MSET pivots'!$E$64:$S$64</c:f>
              <c:numCache>
                <c:formatCode>General</c:formatCode>
                <c:ptCount val="15"/>
                <c:pt idx="0">
                  <c:v>2.0833333333333332E-2</c:v>
                </c:pt>
                <c:pt idx="1">
                  <c:v>4.1666666666666664E-2</c:v>
                </c:pt>
                <c:pt idx="2">
                  <c:v>6.25E-2</c:v>
                </c:pt>
                <c:pt idx="3">
                  <c:v>8.3333333333333329E-2</c:v>
                </c:pt>
                <c:pt idx="4">
                  <c:v>8.3333333333333329E-2</c:v>
                </c:pt>
                <c:pt idx="5">
                  <c:v>8.3333333333333329E-2</c:v>
                </c:pt>
                <c:pt idx="6">
                  <c:v>8.3333333333333329E-2</c:v>
                </c:pt>
                <c:pt idx="7">
                  <c:v>8.3333333333333329E-2</c:v>
                </c:pt>
                <c:pt idx="8">
                  <c:v>8.3333333333333329E-2</c:v>
                </c:pt>
                <c:pt idx="9">
                  <c:v>8.3333333333333329E-2</c:v>
                </c:pt>
                <c:pt idx="10">
                  <c:v>8.3333333333333329E-2</c:v>
                </c:pt>
                <c:pt idx="11">
                  <c:v>8.3333333333333329E-2</c:v>
                </c:pt>
                <c:pt idx="12">
                  <c:v>6.25E-2</c:v>
                </c:pt>
                <c:pt idx="13">
                  <c:v>4.1666666666666664E-2</c:v>
                </c:pt>
                <c:pt idx="14">
                  <c:v>2.0833333333333332E-2</c:v>
                </c:pt>
              </c:numCache>
            </c:numRef>
          </c:val>
          <c:smooth val="0"/>
          <c:extLst>
            <c:ext xmlns:c16="http://schemas.microsoft.com/office/drawing/2014/chart" uri="{C3380CC4-5D6E-409C-BE32-E72D297353CC}">
              <c16:uniqueId val="{00000001-853E-4643-983D-9870AF6193F1}"/>
            </c:ext>
          </c:extLst>
        </c:ser>
        <c:ser>
          <c:idx val="2"/>
          <c:order val="2"/>
          <c:tx>
            <c:strRef>
              <c:f>'MSET pivots'!$B$65</c:f>
              <c:strCache>
                <c:ptCount val="1"/>
                <c:pt idx="0">
                  <c:v>Growing</c:v>
                </c:pt>
              </c:strCache>
            </c:strRef>
          </c:tx>
          <c:spPr>
            <a:ln w="28575" cap="rnd">
              <a:solidFill>
                <a:schemeClr val="accent3"/>
              </a:solidFill>
              <a:round/>
            </a:ln>
            <a:effectLst/>
          </c:spPr>
          <c:marker>
            <c:symbol val="none"/>
          </c:marker>
          <c:cat>
            <c:numRef>
              <c:f>'MSET pivots'!$E$62:$S$62</c:f>
              <c:numCache>
                <c:formatCode>General</c:formatCode>
                <c:ptCount val="15"/>
                <c:pt idx="0">
                  <c:v>2031</c:v>
                </c:pt>
                <c:pt idx="1">
                  <c:v>2032</c:v>
                </c:pt>
                <c:pt idx="2">
                  <c:v>2033</c:v>
                </c:pt>
                <c:pt idx="3">
                  <c:v>2034</c:v>
                </c:pt>
                <c:pt idx="4">
                  <c:v>2035</c:v>
                </c:pt>
                <c:pt idx="5">
                  <c:v>2036</c:v>
                </c:pt>
                <c:pt idx="6">
                  <c:v>2037</c:v>
                </c:pt>
                <c:pt idx="7">
                  <c:v>2038</c:v>
                </c:pt>
                <c:pt idx="8">
                  <c:v>2039</c:v>
                </c:pt>
                <c:pt idx="9">
                  <c:v>2040</c:v>
                </c:pt>
                <c:pt idx="10">
                  <c:v>2041</c:v>
                </c:pt>
                <c:pt idx="11">
                  <c:v>2042</c:v>
                </c:pt>
                <c:pt idx="12">
                  <c:v>2043</c:v>
                </c:pt>
                <c:pt idx="13">
                  <c:v>2044</c:v>
                </c:pt>
                <c:pt idx="14">
                  <c:v>2045</c:v>
                </c:pt>
              </c:numCache>
            </c:numRef>
          </c:cat>
          <c:val>
            <c:numRef>
              <c:f>'MSET pivots'!$E$65:$S$65</c:f>
              <c:numCache>
                <c:formatCode>General</c:formatCode>
                <c:ptCount val="15"/>
                <c:pt idx="0">
                  <c:v>3.3334000000000003E-2</c:v>
                </c:pt>
                <c:pt idx="1">
                  <c:v>3.8095857142857147E-2</c:v>
                </c:pt>
                <c:pt idx="2">
                  <c:v>4.2857714285714291E-2</c:v>
                </c:pt>
                <c:pt idx="3">
                  <c:v>4.7619571428571435E-2</c:v>
                </c:pt>
                <c:pt idx="4">
                  <c:v>5.2381428571428579E-2</c:v>
                </c:pt>
                <c:pt idx="5">
                  <c:v>5.7143285714285723E-2</c:v>
                </c:pt>
                <c:pt idx="6">
                  <c:v>6.1905142857142867E-2</c:v>
                </c:pt>
                <c:pt idx="7">
                  <c:v>6.6667000000000004E-2</c:v>
                </c:pt>
                <c:pt idx="8">
                  <c:v>7.1428857142857141E-2</c:v>
                </c:pt>
                <c:pt idx="9">
                  <c:v>7.6190714285714278E-2</c:v>
                </c:pt>
                <c:pt idx="10">
                  <c:v>8.0952571428571415E-2</c:v>
                </c:pt>
                <c:pt idx="11">
                  <c:v>8.5714428571428553E-2</c:v>
                </c:pt>
                <c:pt idx="12">
                  <c:v>9.047628571428569E-2</c:v>
                </c:pt>
                <c:pt idx="13">
                  <c:v>9.5238142857142827E-2</c:v>
                </c:pt>
                <c:pt idx="14">
                  <c:v>0.1</c:v>
                </c:pt>
              </c:numCache>
            </c:numRef>
          </c:val>
          <c:smooth val="0"/>
          <c:extLst>
            <c:ext xmlns:c16="http://schemas.microsoft.com/office/drawing/2014/chart" uri="{C3380CC4-5D6E-409C-BE32-E72D297353CC}">
              <c16:uniqueId val="{00000002-853E-4643-983D-9870AF6193F1}"/>
            </c:ext>
          </c:extLst>
        </c:ser>
        <c:ser>
          <c:idx val="3"/>
          <c:order val="3"/>
          <c:tx>
            <c:strRef>
              <c:f>'MSET pivots'!$B$66</c:f>
              <c:strCache>
                <c:ptCount val="1"/>
              </c:strCache>
            </c:strRef>
          </c:tx>
          <c:spPr>
            <a:ln w="28575" cap="rnd">
              <a:solidFill>
                <a:schemeClr val="accent4"/>
              </a:solidFill>
              <a:round/>
            </a:ln>
            <a:effectLst/>
          </c:spPr>
          <c:marker>
            <c:symbol val="none"/>
          </c:marker>
          <c:cat>
            <c:numRef>
              <c:f>'MSET pivots'!$E$62:$S$62</c:f>
              <c:numCache>
                <c:formatCode>General</c:formatCode>
                <c:ptCount val="15"/>
                <c:pt idx="0">
                  <c:v>2031</c:v>
                </c:pt>
                <c:pt idx="1">
                  <c:v>2032</c:v>
                </c:pt>
                <c:pt idx="2">
                  <c:v>2033</c:v>
                </c:pt>
                <c:pt idx="3">
                  <c:v>2034</c:v>
                </c:pt>
                <c:pt idx="4">
                  <c:v>2035</c:v>
                </c:pt>
                <c:pt idx="5">
                  <c:v>2036</c:v>
                </c:pt>
                <c:pt idx="6">
                  <c:v>2037</c:v>
                </c:pt>
                <c:pt idx="7">
                  <c:v>2038</c:v>
                </c:pt>
                <c:pt idx="8">
                  <c:v>2039</c:v>
                </c:pt>
                <c:pt idx="9">
                  <c:v>2040</c:v>
                </c:pt>
                <c:pt idx="10">
                  <c:v>2041</c:v>
                </c:pt>
                <c:pt idx="11">
                  <c:v>2042</c:v>
                </c:pt>
                <c:pt idx="12">
                  <c:v>2043</c:v>
                </c:pt>
                <c:pt idx="13">
                  <c:v>2044</c:v>
                </c:pt>
                <c:pt idx="14">
                  <c:v>2045</c:v>
                </c:pt>
              </c:numCache>
            </c:numRef>
          </c:cat>
          <c:val>
            <c:numRef>
              <c:f>'MSET pivots'!$D$66:$V$66</c:f>
              <c:numCache>
                <c:formatCode>General</c:formatCode>
                <c:ptCount val="19"/>
              </c:numCache>
            </c:numRef>
          </c:val>
          <c:smooth val="0"/>
          <c:extLst>
            <c:ext xmlns:c16="http://schemas.microsoft.com/office/drawing/2014/chart" uri="{C3380CC4-5D6E-409C-BE32-E72D297353CC}">
              <c16:uniqueId val="{00000003-853E-4643-983D-9870AF6193F1}"/>
            </c:ext>
          </c:extLst>
        </c:ser>
        <c:ser>
          <c:idx val="4"/>
          <c:order val="4"/>
          <c:tx>
            <c:strRef>
              <c:f>'MSET pivots'!$B$67</c:f>
              <c:strCache>
                <c:ptCount val="1"/>
              </c:strCache>
            </c:strRef>
          </c:tx>
          <c:spPr>
            <a:ln w="28575" cap="rnd">
              <a:solidFill>
                <a:schemeClr val="accent5"/>
              </a:solidFill>
              <a:round/>
            </a:ln>
            <a:effectLst/>
          </c:spPr>
          <c:marker>
            <c:symbol val="none"/>
          </c:marker>
          <c:cat>
            <c:numRef>
              <c:f>'MSET pivots'!$E$62:$S$62</c:f>
              <c:numCache>
                <c:formatCode>General</c:formatCode>
                <c:ptCount val="15"/>
                <c:pt idx="0">
                  <c:v>2031</c:v>
                </c:pt>
                <c:pt idx="1">
                  <c:v>2032</c:v>
                </c:pt>
                <c:pt idx="2">
                  <c:v>2033</c:v>
                </c:pt>
                <c:pt idx="3">
                  <c:v>2034</c:v>
                </c:pt>
                <c:pt idx="4">
                  <c:v>2035</c:v>
                </c:pt>
                <c:pt idx="5">
                  <c:v>2036</c:v>
                </c:pt>
                <c:pt idx="6">
                  <c:v>2037</c:v>
                </c:pt>
                <c:pt idx="7">
                  <c:v>2038</c:v>
                </c:pt>
                <c:pt idx="8">
                  <c:v>2039</c:v>
                </c:pt>
                <c:pt idx="9">
                  <c:v>2040</c:v>
                </c:pt>
                <c:pt idx="10">
                  <c:v>2041</c:v>
                </c:pt>
                <c:pt idx="11">
                  <c:v>2042</c:v>
                </c:pt>
                <c:pt idx="12">
                  <c:v>2043</c:v>
                </c:pt>
                <c:pt idx="13">
                  <c:v>2044</c:v>
                </c:pt>
                <c:pt idx="14">
                  <c:v>2045</c:v>
                </c:pt>
              </c:numCache>
            </c:numRef>
          </c:cat>
          <c:val>
            <c:numRef>
              <c:f>'MSET pivots'!$D$67:$V$67</c:f>
              <c:numCache>
                <c:formatCode>General</c:formatCode>
                <c:ptCount val="19"/>
              </c:numCache>
            </c:numRef>
          </c:val>
          <c:smooth val="0"/>
          <c:extLst>
            <c:ext xmlns:c16="http://schemas.microsoft.com/office/drawing/2014/chart" uri="{C3380CC4-5D6E-409C-BE32-E72D297353CC}">
              <c16:uniqueId val="{00000004-853E-4643-983D-9870AF6193F1}"/>
            </c:ext>
          </c:extLst>
        </c:ser>
        <c:ser>
          <c:idx val="5"/>
          <c:order val="5"/>
          <c:tx>
            <c:strRef>
              <c:f>'MSET pivots'!$B$68</c:f>
              <c:strCache>
                <c:ptCount val="1"/>
              </c:strCache>
            </c:strRef>
          </c:tx>
          <c:spPr>
            <a:ln w="28575" cap="rnd">
              <a:solidFill>
                <a:schemeClr val="accent6"/>
              </a:solidFill>
              <a:round/>
            </a:ln>
            <a:effectLst/>
          </c:spPr>
          <c:marker>
            <c:symbol val="none"/>
          </c:marker>
          <c:cat>
            <c:numRef>
              <c:f>'MSET pivots'!$E$62:$S$62</c:f>
              <c:numCache>
                <c:formatCode>General</c:formatCode>
                <c:ptCount val="15"/>
                <c:pt idx="0">
                  <c:v>2031</c:v>
                </c:pt>
                <c:pt idx="1">
                  <c:v>2032</c:v>
                </c:pt>
                <c:pt idx="2">
                  <c:v>2033</c:v>
                </c:pt>
                <c:pt idx="3">
                  <c:v>2034</c:v>
                </c:pt>
                <c:pt idx="4">
                  <c:v>2035</c:v>
                </c:pt>
                <c:pt idx="5">
                  <c:v>2036</c:v>
                </c:pt>
                <c:pt idx="6">
                  <c:v>2037</c:v>
                </c:pt>
                <c:pt idx="7">
                  <c:v>2038</c:v>
                </c:pt>
                <c:pt idx="8">
                  <c:v>2039</c:v>
                </c:pt>
                <c:pt idx="9">
                  <c:v>2040</c:v>
                </c:pt>
                <c:pt idx="10">
                  <c:v>2041</c:v>
                </c:pt>
                <c:pt idx="11">
                  <c:v>2042</c:v>
                </c:pt>
                <c:pt idx="12">
                  <c:v>2043</c:v>
                </c:pt>
                <c:pt idx="13">
                  <c:v>2044</c:v>
                </c:pt>
                <c:pt idx="14">
                  <c:v>2045</c:v>
                </c:pt>
              </c:numCache>
            </c:numRef>
          </c:cat>
          <c:val>
            <c:numRef>
              <c:f>'MSET pivots'!$D$68:$V$68</c:f>
              <c:numCache>
                <c:formatCode>General</c:formatCode>
                <c:ptCount val="19"/>
              </c:numCache>
            </c:numRef>
          </c:val>
          <c:smooth val="0"/>
          <c:extLst>
            <c:ext xmlns:c16="http://schemas.microsoft.com/office/drawing/2014/chart" uri="{C3380CC4-5D6E-409C-BE32-E72D297353CC}">
              <c16:uniqueId val="{00000005-853E-4643-983D-9870AF6193F1}"/>
            </c:ext>
          </c:extLst>
        </c:ser>
        <c:dLbls>
          <c:showLegendKey val="0"/>
          <c:showVal val="0"/>
          <c:showCatName val="0"/>
          <c:showSerName val="0"/>
          <c:showPercent val="0"/>
          <c:showBubbleSize val="0"/>
        </c:dLbls>
        <c:smooth val="0"/>
        <c:axId val="1591414079"/>
        <c:axId val="1591177199"/>
      </c:lineChart>
      <c:catAx>
        <c:axId val="159141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177199"/>
        <c:crosses val="autoZero"/>
        <c:auto val="1"/>
        <c:lblAlgn val="ctr"/>
        <c:lblOffset val="100"/>
        <c:noMultiLvlLbl val="0"/>
      </c:catAx>
      <c:valAx>
        <c:axId val="159117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414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 of responses</a:t>
            </a:r>
            <a:r>
              <a:rPr lang="en-GB" baseline="0"/>
              <a:t> to question 1c on most likely share of climate harm for which UK will be liable in a case against Pakistan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cat>
            <c:strRef>
              <c:f>'Quant interpretation'!$D$54:$K$54</c:f>
              <c:strCache>
                <c:ptCount val="8"/>
                <c:pt idx="0">
                  <c:v>0-1</c:v>
                </c:pt>
                <c:pt idx="1">
                  <c:v>1-2</c:v>
                </c:pt>
                <c:pt idx="2">
                  <c:v>2-4</c:v>
                </c:pt>
                <c:pt idx="3">
                  <c:v>4-6</c:v>
                </c:pt>
                <c:pt idx="4">
                  <c:v>6-8</c:v>
                </c:pt>
                <c:pt idx="5">
                  <c:v>8-10</c:v>
                </c:pt>
                <c:pt idx="6">
                  <c:v>&gt;10</c:v>
                </c:pt>
                <c:pt idx="7">
                  <c:v>Prefer not to quantify</c:v>
                </c:pt>
              </c:strCache>
            </c:strRef>
          </c:cat>
          <c:val>
            <c:numRef>
              <c:f>'Quant interpretation'!$D$55:$K$55</c:f>
              <c:numCache>
                <c:formatCode>General</c:formatCode>
                <c:ptCount val="8"/>
                <c:pt idx="0">
                  <c:v>2</c:v>
                </c:pt>
                <c:pt idx="1">
                  <c:v>1</c:v>
                </c:pt>
                <c:pt idx="2">
                  <c:v>6</c:v>
                </c:pt>
                <c:pt idx="3">
                  <c:v>3</c:v>
                </c:pt>
                <c:pt idx="7">
                  <c:v>2</c:v>
                </c:pt>
              </c:numCache>
            </c:numRef>
          </c:val>
          <c:extLst>
            <c:ext xmlns:c16="http://schemas.microsoft.com/office/drawing/2014/chart" uri="{C3380CC4-5D6E-409C-BE32-E72D297353CC}">
              <c16:uniqueId val="{00000000-39BF-4A82-8B33-ACB6641D4581}"/>
            </c:ext>
          </c:extLst>
        </c:ser>
        <c:dLbls>
          <c:showLegendKey val="0"/>
          <c:showVal val="0"/>
          <c:showCatName val="0"/>
          <c:showSerName val="0"/>
          <c:showPercent val="0"/>
          <c:showBubbleSize val="0"/>
        </c:dLbls>
        <c:gapWidth val="219"/>
        <c:overlap val="-27"/>
        <c:axId val="2477568"/>
        <c:axId val="2478048"/>
      </c:barChart>
      <c:catAx>
        <c:axId val="2477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of total climate harm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8048"/>
        <c:crosses val="autoZero"/>
        <c:auto val="1"/>
        <c:lblAlgn val="ctr"/>
        <c:lblOffset val="100"/>
        <c:noMultiLvlLbl val="0"/>
      </c:catAx>
      <c:valAx>
        <c:axId val="2478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7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Country you are most</a:t>
            </a:r>
            <a:r>
              <a:rPr lang="en-GB" baseline="0"/>
              <a:t> affiliated to professionally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01-42C6-9824-6E578CD653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01-42C6-9824-6E578CD653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01-42C6-9824-6E578CD653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01-42C6-9824-6E578CD6531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01-42C6-9824-6E578CD6531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01-42C6-9824-6E578CD6531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501-42C6-9824-6E578CD6531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501-42C6-9824-6E578CD6531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501-42C6-9824-6E578CD653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Representation!$B$4:$B$12</c:f>
              <c:strCache>
                <c:ptCount val="9"/>
                <c:pt idx="0">
                  <c:v>UK</c:v>
                </c:pt>
                <c:pt idx="1">
                  <c:v>New Zealand</c:v>
                </c:pt>
                <c:pt idx="2">
                  <c:v>Switzerland</c:v>
                </c:pt>
                <c:pt idx="3">
                  <c:v>Netherlands/Austria</c:v>
                </c:pt>
                <c:pt idx="4">
                  <c:v>France</c:v>
                </c:pt>
                <c:pt idx="5">
                  <c:v>Nigeria</c:v>
                </c:pt>
                <c:pt idx="6">
                  <c:v>South Sudan </c:v>
                </c:pt>
                <c:pt idx="7">
                  <c:v>Africa </c:v>
                </c:pt>
                <c:pt idx="8">
                  <c:v>Did not answer</c:v>
                </c:pt>
              </c:strCache>
            </c:strRef>
          </c:cat>
          <c:val>
            <c:numRef>
              <c:f>Representation!$C$4:$C$12</c:f>
              <c:numCache>
                <c:formatCode>General</c:formatCode>
                <c:ptCount val="9"/>
                <c:pt idx="0">
                  <c:v>3</c:v>
                </c:pt>
                <c:pt idx="1">
                  <c:v>3</c:v>
                </c:pt>
                <c:pt idx="2">
                  <c:v>2</c:v>
                </c:pt>
                <c:pt idx="3">
                  <c:v>1</c:v>
                </c:pt>
                <c:pt idx="4">
                  <c:v>1</c:v>
                </c:pt>
                <c:pt idx="5">
                  <c:v>1</c:v>
                </c:pt>
                <c:pt idx="6">
                  <c:v>1</c:v>
                </c:pt>
                <c:pt idx="7">
                  <c:v>1</c:v>
                </c:pt>
                <c:pt idx="8">
                  <c:v>1</c:v>
                </c:pt>
              </c:numCache>
            </c:numRef>
          </c:val>
          <c:extLst>
            <c:ext xmlns:c16="http://schemas.microsoft.com/office/drawing/2014/chart" uri="{C3380CC4-5D6E-409C-BE32-E72D297353CC}">
              <c16:uniqueId val="{00000000-D8FF-44BA-AFE8-7A1986BD576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Years of  relevant professional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29-4FDC-8E9E-E08FC15B12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970-4379-8CC4-69FF8FC5F4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D970-4379-8CC4-69FF8FC5F4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29-4FDC-8E9E-E08FC15B1282}"/>
              </c:ext>
            </c:extLst>
          </c:dPt>
          <c:dLbls>
            <c:dLbl>
              <c:idx val="1"/>
              <c:dLblPos val="outEnd"/>
              <c:showLegendKey val="0"/>
              <c:showVal val="0"/>
              <c:showCatName val="1"/>
              <c:showSerName val="0"/>
              <c:showPercent val="1"/>
              <c:showBubbleSize val="0"/>
              <c:extLst>
                <c:ext xmlns:c15="http://schemas.microsoft.com/office/drawing/2012/chart" uri="{CE6537A1-D6FC-4f65-9D91-7224C49458BB}">
                  <c15:layout>
                    <c:manualLayout>
                      <c:w val="0.10954177602799652"/>
                      <c:h val="0.11568218670372944"/>
                    </c:manualLayout>
                  </c15:layout>
                </c:ext>
                <c:ext xmlns:c16="http://schemas.microsoft.com/office/drawing/2014/chart" uri="{C3380CC4-5D6E-409C-BE32-E72D297353CC}">
                  <c16:uniqueId val="{00000002-D970-4379-8CC4-69FF8FC5F425}"/>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17498622047244092"/>
                      <c:h val="0.11568218670372944"/>
                    </c:manualLayout>
                  </c15:layout>
                </c:ext>
                <c:ext xmlns:c16="http://schemas.microsoft.com/office/drawing/2014/chart" uri="{C3380CC4-5D6E-409C-BE32-E72D297353CC}">
                  <c16:uniqueId val="{00000001-D970-4379-8CC4-69FF8FC5F4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Representation!$C$27:$C$30</c:f>
              <c:strCache>
                <c:ptCount val="4"/>
                <c:pt idx="0">
                  <c:v>1-5</c:v>
                </c:pt>
                <c:pt idx="1">
                  <c:v>5-10</c:v>
                </c:pt>
                <c:pt idx="2">
                  <c:v>10-20</c:v>
                </c:pt>
                <c:pt idx="3">
                  <c:v>20 +</c:v>
                </c:pt>
              </c:strCache>
            </c:strRef>
          </c:cat>
          <c:val>
            <c:numRef>
              <c:f>Representation!$D$27:$D$30</c:f>
              <c:numCache>
                <c:formatCode>General</c:formatCode>
                <c:ptCount val="4"/>
                <c:pt idx="0">
                  <c:v>0</c:v>
                </c:pt>
                <c:pt idx="1">
                  <c:v>9</c:v>
                </c:pt>
                <c:pt idx="2">
                  <c:v>4</c:v>
                </c:pt>
                <c:pt idx="3">
                  <c:v>1</c:v>
                </c:pt>
              </c:numCache>
            </c:numRef>
          </c:val>
          <c:extLst>
            <c:ext xmlns:c16="http://schemas.microsoft.com/office/drawing/2014/chart" uri="{C3380CC4-5D6E-409C-BE32-E72D297353CC}">
              <c16:uniqueId val="{00000000-D970-4379-8CC4-69FF8FC5F425}"/>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Category that best  describes your primary professional background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Representation!$C$49:$C$56</c:f>
              <c:strCache>
                <c:ptCount val="8"/>
                <c:pt idx="0">
                  <c:v>International  law</c:v>
                </c:pt>
                <c:pt idx="1">
                  <c:v>Litigation</c:v>
                </c:pt>
                <c:pt idx="2">
                  <c:v>Finance</c:v>
                </c:pt>
                <c:pt idx="3">
                  <c:v>Economics</c:v>
                </c:pt>
                <c:pt idx="4">
                  <c:v>Diplomacy</c:v>
                </c:pt>
                <c:pt idx="5">
                  <c:v>Civil society/NGO</c:v>
                </c:pt>
                <c:pt idx="6">
                  <c:v>Academia</c:v>
                </c:pt>
                <c:pt idx="7">
                  <c:v>Other (please specifiy)</c:v>
                </c:pt>
              </c:strCache>
            </c:strRef>
          </c:cat>
          <c:val>
            <c:numRef>
              <c:f>Representation!$D$49:$D$56</c:f>
              <c:numCache>
                <c:formatCode>General</c:formatCode>
                <c:ptCount val="8"/>
                <c:pt idx="0">
                  <c:v>3</c:v>
                </c:pt>
                <c:pt idx="1">
                  <c:v>0</c:v>
                </c:pt>
                <c:pt idx="2">
                  <c:v>0</c:v>
                </c:pt>
                <c:pt idx="3">
                  <c:v>3</c:v>
                </c:pt>
                <c:pt idx="4">
                  <c:v>0</c:v>
                </c:pt>
                <c:pt idx="5">
                  <c:v>2</c:v>
                </c:pt>
                <c:pt idx="6">
                  <c:v>4</c:v>
                </c:pt>
                <c:pt idx="7">
                  <c:v>2</c:v>
                </c:pt>
              </c:numCache>
            </c:numRef>
          </c:val>
          <c:extLst>
            <c:ext xmlns:c16="http://schemas.microsoft.com/office/drawing/2014/chart" uri="{C3380CC4-5D6E-409C-BE32-E72D297353CC}">
              <c16:uniqueId val="{00000000-9FD3-4F72-B05B-BF96B99B84A5}"/>
            </c:ext>
          </c:extLst>
        </c:ser>
        <c:dLbls>
          <c:showLegendKey val="0"/>
          <c:showVal val="0"/>
          <c:showCatName val="0"/>
          <c:showSerName val="0"/>
          <c:showPercent val="0"/>
          <c:showBubbleSize val="0"/>
        </c:dLbls>
        <c:gapWidth val="150"/>
        <c:axId val="991459072"/>
        <c:axId val="991460032"/>
      </c:barChart>
      <c:catAx>
        <c:axId val="99145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60032"/>
        <c:crosses val="autoZero"/>
        <c:auto val="1"/>
        <c:lblAlgn val="ctr"/>
        <c:lblOffset val="100"/>
        <c:noMultiLvlLbl val="0"/>
      </c:catAx>
      <c:valAx>
        <c:axId val="991460032"/>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59072"/>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Years of  relevant professional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83F-4959-9E48-A96C8AE31845}"/>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83F-4959-9E48-A96C8AE31845}"/>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183F-4959-9E48-A96C8AE31845}"/>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183F-4959-9E48-A96C8AE31845}"/>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10954177602799652"/>
                      <c:h val="0.11568218670372944"/>
                    </c:manualLayout>
                  </c15:layout>
                </c:ext>
                <c:ext xmlns:c16="http://schemas.microsoft.com/office/drawing/2014/chart" uri="{C3380CC4-5D6E-409C-BE32-E72D297353CC}">
                  <c16:uniqueId val="{00000003-183F-4959-9E48-A96C8AE3184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17498622047244092"/>
                      <c:h val="0.11568218670372944"/>
                    </c:manualLayout>
                  </c15:layout>
                </c:ext>
                <c:ext xmlns:c16="http://schemas.microsoft.com/office/drawing/2014/chart" uri="{C3380CC4-5D6E-409C-BE32-E72D297353CC}">
                  <c16:uniqueId val="{00000005-183F-4959-9E48-A96C8AE318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Representation!$C$27:$C$30</c:f>
              <c:strCache>
                <c:ptCount val="4"/>
                <c:pt idx="0">
                  <c:v>1-5</c:v>
                </c:pt>
                <c:pt idx="1">
                  <c:v>5-10</c:v>
                </c:pt>
                <c:pt idx="2">
                  <c:v>10-20</c:v>
                </c:pt>
                <c:pt idx="3">
                  <c:v>20 +</c:v>
                </c:pt>
              </c:strCache>
            </c:strRef>
          </c:cat>
          <c:val>
            <c:numRef>
              <c:f>Representation!$D$27:$D$30</c:f>
              <c:numCache>
                <c:formatCode>General</c:formatCode>
                <c:ptCount val="4"/>
                <c:pt idx="0">
                  <c:v>0</c:v>
                </c:pt>
                <c:pt idx="1">
                  <c:v>9</c:v>
                </c:pt>
                <c:pt idx="2">
                  <c:v>4</c:v>
                </c:pt>
                <c:pt idx="3">
                  <c:v>1</c:v>
                </c:pt>
              </c:numCache>
            </c:numRef>
          </c:val>
          <c:extLst>
            <c:ext xmlns:c16="http://schemas.microsoft.com/office/drawing/2014/chart" uri="{C3380CC4-5D6E-409C-BE32-E72D297353CC}">
              <c16:uniqueId val="{00000008-183F-4959-9E48-A96C8AE31845}"/>
            </c:ext>
          </c:extLst>
        </c:ser>
        <c:dLbls>
          <c:showLegendKey val="0"/>
          <c:showVal val="0"/>
          <c:showCatName val="0"/>
          <c:showSerName val="0"/>
          <c:showPercent val="0"/>
          <c:showBubbleSize val="0"/>
        </c:dLbls>
        <c:gapWidth val="100"/>
        <c:axId val="910602255"/>
        <c:axId val="910605615"/>
      </c:barChart>
      <c:catAx>
        <c:axId val="910602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5615"/>
        <c:crosses val="autoZero"/>
        <c:auto val="1"/>
        <c:lblAlgn val="ctr"/>
        <c:lblOffset val="100"/>
        <c:noMultiLvlLbl val="0"/>
      </c:catAx>
      <c:valAx>
        <c:axId val="91060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2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waterfall" uniqueId="{00000000-AC4E-401B-9739-6130292D66C9}">
          <cx:dataLabels pos="outEnd">
            <cx:visibility seriesName="0" categoryName="0" value="0"/>
            <cx:separator>, </cx:separator>
          </cx:dataLabels>
          <cx:dataId val="0"/>
          <cx:layoutPr>
            <cx:subtotals/>
          </cx:layoutPr>
        </cx:series>
      </cx:plotAreaRegion>
      <cx:axis id="0">
        <cx:catScaling gapWidth="0.5"/>
        <cx:majorTickMarks type="in"/>
        <cx:tickLabels/>
      </cx:axis>
      <cx:axis id="1">
        <cx:valScaling/>
        <cx:title>
          <cx:tx>
            <cx:txData>
              <cx:v>US $ billions (2019)</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US $ billions (2019)</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3</xdr:col>
      <xdr:colOff>572078</xdr:colOff>
      <xdr:row>139</xdr:row>
      <xdr:rowOff>121360</xdr:rowOff>
    </xdr:to>
    <xdr:pic>
      <xdr:nvPicPr>
        <xdr:cNvPr id="2" name="Picture 1">
          <a:extLst>
            <a:ext uri="{FF2B5EF4-FFF2-40B4-BE49-F238E27FC236}">
              <a16:creationId xmlns:a16="http://schemas.microsoft.com/office/drawing/2014/main" id="{E0AF1CE4-9606-24CF-B584-A9713ED331DC}"/>
            </a:ext>
          </a:extLst>
        </xdr:cNvPr>
        <xdr:cNvPicPr>
          <a:picLocks noChangeAspect="1"/>
        </xdr:cNvPicPr>
      </xdr:nvPicPr>
      <xdr:blipFill>
        <a:blip xmlns:r="http://schemas.openxmlformats.org/officeDocument/2006/relationships" r:embed="rId1"/>
        <a:stretch>
          <a:fillRect/>
        </a:stretch>
      </xdr:blipFill>
      <xdr:spPr>
        <a:xfrm>
          <a:off x="1272988" y="21353929"/>
          <a:ext cx="6668078" cy="3886537"/>
        </a:xfrm>
        <a:prstGeom prst="rect">
          <a:avLst/>
        </a:prstGeom>
      </xdr:spPr>
    </xdr:pic>
    <xdr:clientData/>
  </xdr:twoCellAnchor>
  <xdr:twoCellAnchor>
    <xdr:from>
      <xdr:col>3</xdr:col>
      <xdr:colOff>667873</xdr:colOff>
      <xdr:row>113</xdr:row>
      <xdr:rowOff>152400</xdr:rowOff>
    </xdr:from>
    <xdr:to>
      <xdr:col>5</xdr:col>
      <xdr:colOff>1178861</xdr:colOff>
      <xdr:row>129</xdr:row>
      <xdr:rowOff>26894</xdr:rowOff>
    </xdr:to>
    <xdr:graphicFrame macro="">
      <xdr:nvGraphicFramePr>
        <xdr:cNvPr id="3" name="Chart 2">
          <a:extLst>
            <a:ext uri="{FF2B5EF4-FFF2-40B4-BE49-F238E27FC236}">
              <a16:creationId xmlns:a16="http://schemas.microsoft.com/office/drawing/2014/main" id="{D07E08BD-00C5-81A1-E27C-116C36FD9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1912173</xdr:colOff>
      <xdr:row>1</xdr:row>
      <xdr:rowOff>118334</xdr:rowOff>
    </xdr:from>
    <xdr:to>
      <xdr:col>12</xdr:col>
      <xdr:colOff>69633</xdr:colOff>
      <xdr:row>23</xdr:row>
      <xdr:rowOff>62753</xdr:rowOff>
    </xdr:to>
    <xdr:pic>
      <xdr:nvPicPr>
        <xdr:cNvPr id="2" name="Picture 1">
          <a:extLst>
            <a:ext uri="{FF2B5EF4-FFF2-40B4-BE49-F238E27FC236}">
              <a16:creationId xmlns:a16="http://schemas.microsoft.com/office/drawing/2014/main" id="{126018DC-F9F7-625E-3DCF-AAA69DEC063C}"/>
            </a:ext>
          </a:extLst>
        </xdr:cNvPr>
        <xdr:cNvPicPr>
          <a:picLocks noChangeAspect="1"/>
        </xdr:cNvPicPr>
      </xdr:nvPicPr>
      <xdr:blipFill>
        <a:blip xmlns:r="http://schemas.openxmlformats.org/officeDocument/2006/relationships" r:embed="rId1"/>
        <a:stretch>
          <a:fillRect/>
        </a:stretch>
      </xdr:blipFill>
      <xdr:spPr>
        <a:xfrm>
          <a:off x="3740973" y="297628"/>
          <a:ext cx="6736684" cy="3888890"/>
        </a:xfrm>
        <a:prstGeom prst="rect">
          <a:avLst/>
        </a:prstGeom>
      </xdr:spPr>
    </xdr:pic>
    <xdr:clientData/>
  </xdr:twoCellAnchor>
  <xdr:twoCellAnchor>
    <xdr:from>
      <xdr:col>7</xdr:col>
      <xdr:colOff>574188</xdr:colOff>
      <xdr:row>22</xdr:row>
      <xdr:rowOff>48633</xdr:rowOff>
    </xdr:from>
    <xdr:to>
      <xdr:col>18</xdr:col>
      <xdr:colOff>604083</xdr:colOff>
      <xdr:row>36</xdr:row>
      <xdr:rowOff>10310</xdr:rowOff>
    </xdr:to>
    <xdr:graphicFrame macro="">
      <xdr:nvGraphicFramePr>
        <xdr:cNvPr id="3" name="Chart 2">
          <a:extLst>
            <a:ext uri="{FF2B5EF4-FFF2-40B4-BE49-F238E27FC236}">
              <a16:creationId xmlns:a16="http://schemas.microsoft.com/office/drawing/2014/main" id="{2CC909BE-EC34-EAD5-B686-6AB167B86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1272987</xdr:colOff>
      <xdr:row>23</xdr:row>
      <xdr:rowOff>44822</xdr:rowOff>
    </xdr:from>
    <xdr:to>
      <xdr:col>6</xdr:col>
      <xdr:colOff>600634</xdr:colOff>
      <xdr:row>23</xdr:row>
      <xdr:rowOff>161364</xdr:rowOff>
    </xdr:to>
    <xdr:sp macro="" textlink="">
      <xdr:nvSpPr>
        <xdr:cNvPr id="5" name="Rectangle 4">
          <a:extLst>
            <a:ext uri="{FF2B5EF4-FFF2-40B4-BE49-F238E27FC236}">
              <a16:creationId xmlns:a16="http://schemas.microsoft.com/office/drawing/2014/main" id="{15015FC3-2611-D058-5C4A-01150CAE051B}"/>
            </a:ext>
          </a:extLst>
        </xdr:cNvPr>
        <xdr:cNvSpPr/>
      </xdr:nvSpPr>
      <xdr:spPr>
        <a:xfrm>
          <a:off x="6642846" y="4168587"/>
          <a:ext cx="708212" cy="1165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385482</xdr:colOff>
      <xdr:row>26</xdr:row>
      <xdr:rowOff>0</xdr:rowOff>
    </xdr:from>
    <xdr:to>
      <xdr:col>4</xdr:col>
      <xdr:colOff>1093694</xdr:colOff>
      <xdr:row>26</xdr:row>
      <xdr:rowOff>0</xdr:rowOff>
    </xdr:to>
    <xdr:sp macro="" textlink="">
      <xdr:nvSpPr>
        <xdr:cNvPr id="6" name="Rectangle 5">
          <a:extLst>
            <a:ext uri="{FF2B5EF4-FFF2-40B4-BE49-F238E27FC236}">
              <a16:creationId xmlns:a16="http://schemas.microsoft.com/office/drawing/2014/main" id="{084E3D99-1035-4A3C-945B-C6F5464E8CC4}"/>
            </a:ext>
          </a:extLst>
        </xdr:cNvPr>
        <xdr:cNvSpPr/>
      </xdr:nvSpPr>
      <xdr:spPr>
        <a:xfrm>
          <a:off x="4455458" y="5235387"/>
          <a:ext cx="708212" cy="1165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573740</xdr:colOff>
      <xdr:row>26</xdr:row>
      <xdr:rowOff>0</xdr:rowOff>
    </xdr:from>
    <xdr:to>
      <xdr:col>4</xdr:col>
      <xdr:colOff>1281952</xdr:colOff>
      <xdr:row>26</xdr:row>
      <xdr:rowOff>0</xdr:rowOff>
    </xdr:to>
    <xdr:sp macro="" textlink="">
      <xdr:nvSpPr>
        <xdr:cNvPr id="7" name="Rectangle 6">
          <a:extLst>
            <a:ext uri="{FF2B5EF4-FFF2-40B4-BE49-F238E27FC236}">
              <a16:creationId xmlns:a16="http://schemas.microsoft.com/office/drawing/2014/main" id="{412FF9FE-0637-46ED-8E89-769BA60EF5CD}"/>
            </a:ext>
          </a:extLst>
        </xdr:cNvPr>
        <xdr:cNvSpPr/>
      </xdr:nvSpPr>
      <xdr:spPr>
        <a:xfrm>
          <a:off x="4643716" y="5118846"/>
          <a:ext cx="708212" cy="1165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824752</xdr:colOff>
      <xdr:row>26</xdr:row>
      <xdr:rowOff>0</xdr:rowOff>
    </xdr:from>
    <xdr:to>
      <xdr:col>5</xdr:col>
      <xdr:colOff>233081</xdr:colOff>
      <xdr:row>26</xdr:row>
      <xdr:rowOff>0</xdr:rowOff>
    </xdr:to>
    <xdr:sp macro="" textlink="">
      <xdr:nvSpPr>
        <xdr:cNvPr id="8" name="Rectangle 7">
          <a:extLst>
            <a:ext uri="{FF2B5EF4-FFF2-40B4-BE49-F238E27FC236}">
              <a16:creationId xmlns:a16="http://schemas.microsoft.com/office/drawing/2014/main" id="{FC3E5227-D92A-4E75-A924-18DA0E462D51}"/>
            </a:ext>
          </a:extLst>
        </xdr:cNvPr>
        <xdr:cNvSpPr/>
      </xdr:nvSpPr>
      <xdr:spPr>
        <a:xfrm>
          <a:off x="4894728" y="5002304"/>
          <a:ext cx="708212" cy="1165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94128</xdr:colOff>
      <xdr:row>39</xdr:row>
      <xdr:rowOff>170330</xdr:rowOff>
    </xdr:from>
    <xdr:to>
      <xdr:col>19</xdr:col>
      <xdr:colOff>80682</xdr:colOff>
      <xdr:row>59</xdr:row>
      <xdr:rowOff>62752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D49E017C-1B1D-8AE3-B146-4C6D790CBE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064648" y="8034170"/>
              <a:ext cx="6692154" cy="355002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352425</xdr:colOff>
      <xdr:row>0</xdr:row>
      <xdr:rowOff>55246</xdr:rowOff>
    </xdr:from>
    <xdr:to>
      <xdr:col>7</xdr:col>
      <xdr:colOff>1238250</xdr:colOff>
      <xdr:row>0</xdr:row>
      <xdr:rowOff>676275</xdr:rowOff>
    </xdr:to>
    <xdr:sp macro="" textlink="">
      <xdr:nvSpPr>
        <xdr:cNvPr id="2" name="TextBox 1">
          <a:extLst>
            <a:ext uri="{FF2B5EF4-FFF2-40B4-BE49-F238E27FC236}">
              <a16:creationId xmlns:a16="http://schemas.microsoft.com/office/drawing/2014/main" id="{ADEA0627-DD56-34DA-255C-E4B1DCC0ED3A}"/>
            </a:ext>
          </a:extLst>
        </xdr:cNvPr>
        <xdr:cNvSpPr txBox="1"/>
      </xdr:nvSpPr>
      <xdr:spPr>
        <a:xfrm>
          <a:off x="4876800" y="55246"/>
          <a:ext cx="8686800" cy="621029"/>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NOTE: the total</a:t>
          </a:r>
          <a:r>
            <a:rPr lang="en-GB" sz="1100" baseline="0"/>
            <a:t> of Net Transfers by scenario does not equal 0, due to less than 100% of transfers being allocated with the fair shares method (99.3%) per Scenario set tab column I.</a:t>
          </a:r>
          <a:endParaRPr lang="en-GB" sz="1100"/>
        </a:p>
      </xdr:txBody>
    </xdr:sp>
    <xdr:clientData/>
  </xdr:twoCellAnchor>
  <xdr:twoCellAnchor>
    <xdr:from>
      <xdr:col>3</xdr:col>
      <xdr:colOff>514350</xdr:colOff>
      <xdr:row>67</xdr:row>
      <xdr:rowOff>16192</xdr:rowOff>
    </xdr:from>
    <xdr:to>
      <xdr:col>8</xdr:col>
      <xdr:colOff>1106805</xdr:colOff>
      <xdr:row>82</xdr:row>
      <xdr:rowOff>28575</xdr:rowOff>
    </xdr:to>
    <xdr:graphicFrame macro="">
      <xdr:nvGraphicFramePr>
        <xdr:cNvPr id="3" name="Chart 2">
          <a:extLst>
            <a:ext uri="{FF2B5EF4-FFF2-40B4-BE49-F238E27FC236}">
              <a16:creationId xmlns:a16="http://schemas.microsoft.com/office/drawing/2014/main" id="{70DA1177-C8ED-936A-3D3D-ED493406E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468965</xdr:colOff>
      <xdr:row>63</xdr:row>
      <xdr:rowOff>284630</xdr:rowOff>
    </xdr:from>
    <xdr:to>
      <xdr:col>15</xdr:col>
      <xdr:colOff>89423</xdr:colOff>
      <xdr:row>79</xdr:row>
      <xdr:rowOff>51772</xdr:rowOff>
    </xdr:to>
    <xdr:graphicFrame macro="">
      <xdr:nvGraphicFramePr>
        <xdr:cNvPr id="2" name="Chart 1">
          <a:extLst>
            <a:ext uri="{FF2B5EF4-FFF2-40B4-BE49-F238E27FC236}">
              <a16:creationId xmlns:a16="http://schemas.microsoft.com/office/drawing/2014/main" id="{A6920402-C191-D2F6-FD91-20F7A8E5D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123825</xdr:colOff>
      <xdr:row>5</xdr:row>
      <xdr:rowOff>92392</xdr:rowOff>
    </xdr:from>
    <xdr:to>
      <xdr:col>17</xdr:col>
      <xdr:colOff>323850</xdr:colOff>
      <xdr:row>22</xdr:row>
      <xdr:rowOff>152400</xdr:rowOff>
    </xdr:to>
    <xdr:graphicFrame macro="">
      <xdr:nvGraphicFramePr>
        <xdr:cNvPr id="2" name="Chart 1">
          <a:extLst>
            <a:ext uri="{FF2B5EF4-FFF2-40B4-BE49-F238E27FC236}">
              <a16:creationId xmlns:a16="http://schemas.microsoft.com/office/drawing/2014/main" id="{0128E4C4-5AFF-F113-665E-A8F40DD68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322897</xdr:colOff>
      <xdr:row>25</xdr:row>
      <xdr:rowOff>123826</xdr:rowOff>
    </xdr:from>
    <xdr:to>
      <xdr:col>17</xdr:col>
      <xdr:colOff>472440</xdr:colOff>
      <xdr:row>42</xdr:row>
      <xdr:rowOff>16193</xdr:rowOff>
    </xdr:to>
    <xdr:graphicFrame macro="">
      <xdr:nvGraphicFramePr>
        <xdr:cNvPr id="4" name="Chart 3">
          <a:extLst>
            <a:ext uri="{FF2B5EF4-FFF2-40B4-BE49-F238E27FC236}">
              <a16:creationId xmlns:a16="http://schemas.microsoft.com/office/drawing/2014/main" id="{BD30C8B2-34E0-E2D2-1E09-7EED5ADAC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585787</xdr:colOff>
      <xdr:row>44</xdr:row>
      <xdr:rowOff>61912</xdr:rowOff>
    </xdr:from>
    <xdr:to>
      <xdr:col>14</xdr:col>
      <xdr:colOff>280987</xdr:colOff>
      <xdr:row>59</xdr:row>
      <xdr:rowOff>90487</xdr:rowOff>
    </xdr:to>
    <xdr:graphicFrame macro="">
      <xdr:nvGraphicFramePr>
        <xdr:cNvPr id="5" name="Chart 4">
          <a:extLst>
            <a:ext uri="{FF2B5EF4-FFF2-40B4-BE49-F238E27FC236}">
              <a16:creationId xmlns:a16="http://schemas.microsoft.com/office/drawing/2014/main" id="{52BBF553-2D7E-BB44-A213-56CA95750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9525</xdr:colOff>
      <xdr:row>25</xdr:row>
      <xdr:rowOff>142875</xdr:rowOff>
    </xdr:from>
    <xdr:to>
      <xdr:col>27</xdr:col>
      <xdr:colOff>159068</xdr:colOff>
      <xdr:row>42</xdr:row>
      <xdr:rowOff>35242</xdr:rowOff>
    </xdr:to>
    <xdr:graphicFrame macro="">
      <xdr:nvGraphicFramePr>
        <xdr:cNvPr id="3" name="Chart 2">
          <a:extLst>
            <a:ext uri="{FF2B5EF4-FFF2-40B4-BE49-F238E27FC236}">
              <a16:creationId xmlns:a16="http://schemas.microsoft.com/office/drawing/2014/main" id="{DA4EBB34-7610-43F7-8D0F-58790BCCA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0</xdr:colOff>
          <xdr:row>7</xdr:row>
          <xdr:rowOff>99060</xdr:rowOff>
        </xdr:from>
        <xdr:to>
          <xdr:col>14</xdr:col>
          <xdr:colOff>0</xdr:colOff>
          <xdr:row>9</xdr:row>
          <xdr:rowOff>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2200-0000013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100" b="0" i="0" u="none" strike="noStrike" baseline="0">
                  <a:solidFill>
                    <a:srgbClr val="000000"/>
                  </a:solidFill>
                  <a:latin typeface="Calibri"/>
                  <a:ea typeface="Calibri"/>
                  <a:cs typeface="Calibri"/>
                </a:rPr>
                <a:t>Clear country exclusions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11</xdr:col>
          <xdr:colOff>0</xdr:colOff>
          <xdr:row>7</xdr:row>
          <xdr:rowOff>99060</xdr:rowOff>
        </xdr:from>
        <xdr:to>
          <xdr:col>14</xdr:col>
          <xdr:colOff>0</xdr:colOff>
          <xdr:row>9</xdr:row>
          <xdr:rowOff>0</xdr:rowOff>
        </xdr:to>
        <xdr:sp macro="" textlink="">
          <xdr:nvSpPr>
            <xdr:cNvPr id="13315" name="Button 3" hidden="1">
              <a:extLst>
                <a:ext uri="{63B3BB69-23CF-44E3-9099-C40C66FF867C}">
                  <a14:compatExt spid="_x0000_s13315"/>
                </a:ext>
                <a:ext uri="{FF2B5EF4-FFF2-40B4-BE49-F238E27FC236}">
                  <a16:creationId xmlns:a16="http://schemas.microsoft.com/office/drawing/2014/main" id="{00000000-0008-0000-2200-0000033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100" b="0" i="0" u="none" strike="noStrike" baseline="0">
                  <a:solidFill>
                    <a:srgbClr val="000000"/>
                  </a:solidFill>
                  <a:latin typeface="Calibri"/>
                  <a:ea typeface="Calibri"/>
                  <a:cs typeface="Calibri"/>
                </a:rPr>
                <a:t>Clear country exclusions</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9</xdr:row>
      <xdr:rowOff>85725</xdr:rowOff>
    </xdr:from>
    <xdr:to>
      <xdr:col>12</xdr:col>
      <xdr:colOff>484623</xdr:colOff>
      <xdr:row>46</xdr:row>
      <xdr:rowOff>38676</xdr:rowOff>
    </xdr:to>
    <xdr:pic>
      <xdr:nvPicPr>
        <xdr:cNvPr id="2" name="Picture 1">
          <a:extLst>
            <a:ext uri="{FF2B5EF4-FFF2-40B4-BE49-F238E27FC236}">
              <a16:creationId xmlns:a16="http://schemas.microsoft.com/office/drawing/2014/main" id="{EE7A7546-B751-14DB-D81E-A44D79C410B8}"/>
            </a:ext>
          </a:extLst>
        </xdr:cNvPr>
        <xdr:cNvPicPr>
          <a:picLocks noChangeAspect="1"/>
        </xdr:cNvPicPr>
      </xdr:nvPicPr>
      <xdr:blipFill>
        <a:blip xmlns:r="http://schemas.openxmlformats.org/officeDocument/2006/relationships" r:embed="rId1"/>
        <a:stretch>
          <a:fillRect/>
        </a:stretch>
      </xdr:blipFill>
      <xdr:spPr>
        <a:xfrm>
          <a:off x="495300" y="1714500"/>
          <a:ext cx="8702793" cy="66490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2026_May_/Data/MSET_data/Scenarios/test_4_transfers.xlsx" TargetMode="External"/><Relationship Id="rId2" Type="http://schemas.openxmlformats.org/officeDocument/2006/relationships/externalLinkPath" Target="file:///C:\Users\dell\Downloads\2026_May_\Data\MSET_data\Scenarios\test_4_transfers.xlsx" TargetMode="External"/><Relationship Id="rId1" Type="http://schemas.openxmlformats.org/officeDocument/2006/relationships/externalLinkPath" Target="/Users/dell/Downloads/2026_May_/Data/MSET_data/Scenarios/test_4_transfe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2026_May_/Data/MSET_data/Scenarios/CVF_central_v0.11.xlsx" TargetMode="External"/><Relationship Id="rId2" Type="http://schemas.openxmlformats.org/officeDocument/2006/relationships/externalLinkPath" Target="file:///C:\Users\dell\Downloads\2026_May_\Data\MSET_data\Scenarios\CVF_central_v0.11.xlsx" TargetMode="External"/><Relationship Id="rId1" Type="http://schemas.openxmlformats.org/officeDocument/2006/relationships/externalLinkPath" Target="/Users/dell/Downloads/2026_May_/Data/MSET_data/Scenarios/CVF_central_v0.1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universityofexeteruk-my.sharepoint.com/personal/bm638_exeter_ac_uk/Documents/Readings/3.%20Solutions%20Project/Data/fair-shares-model-oct-2023/Fair%20shares%20model,%20Oct%202023.xlsm" TargetMode="External"/><Relationship Id="rId1" Type="http://schemas.openxmlformats.org/officeDocument/2006/relationships/externalLinkPath" Target="https://universityofexeteruk-my.sharepoint.com/personal/bm638_exeter_ac_uk/Documents/Readings/3.%20Solutions%20Project/Data/fair-shares-model-oct-2023/Fair%20shares%20model,%20Oct%2020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verview"/>
      <sheetName val="Carbon tax"/>
      <sheetName val="CBAM"/>
      <sheetName val="Final demand"/>
      <sheetName val="Investment by"/>
      <sheetName val="Input-output coefficients"/>
      <sheetName val="Price change"/>
      <sheetName val="Investment converter"/>
      <sheetName val="Wage change"/>
      <sheetName val="Employment change"/>
      <sheetName val="Supply constraint"/>
      <sheetName val="Capacity"/>
      <sheetName val="Capital"/>
      <sheetName val="Tariffs"/>
      <sheetName val="Sanction trade"/>
      <sheetName val="rev_proportional"/>
      <sheetName val="rev_split"/>
      <sheetName val="inv_spending"/>
      <sheetName val="govt_spending"/>
      <sheetName val="Country list"/>
      <sheetName val="Sector list"/>
      <sheetName val="FD list"/>
      <sheetName val="Fuel tax"/>
      <sheetName val="Sectoral tax"/>
      <sheetName val="Sales tax"/>
      <sheetName val="Income tax"/>
      <sheetName val="Capital 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2">
          <cell r="A2" t="str">
            <v>XAM</v>
          </cell>
          <cell r="B2" t="str">
            <v>Rest of Americas</v>
          </cell>
        </row>
        <row r="3">
          <cell r="A3" t="str">
            <v>XEU</v>
          </cell>
          <cell r="B3" t="str">
            <v>Rest of Europe</v>
          </cell>
        </row>
        <row r="4">
          <cell r="A4" t="str">
            <v>XAF</v>
          </cell>
          <cell r="B4" t="str">
            <v>Rest of Africa</v>
          </cell>
        </row>
        <row r="5">
          <cell r="A5" t="str">
            <v>XAS</v>
          </cell>
          <cell r="B5" t="str">
            <v>Rest of Asia-Pacific</v>
          </cell>
        </row>
        <row r="6">
          <cell r="A6" t="str">
            <v>AFG</v>
          </cell>
          <cell r="B6" t="str">
            <v>Afghanistan</v>
          </cell>
        </row>
        <row r="7">
          <cell r="A7" t="str">
            <v>AGO</v>
          </cell>
          <cell r="B7" t="str">
            <v>Angola</v>
          </cell>
        </row>
        <row r="8">
          <cell r="A8" t="str">
            <v>ALB</v>
          </cell>
          <cell r="B8" t="str">
            <v>Albania</v>
          </cell>
        </row>
        <row r="9">
          <cell r="A9" t="str">
            <v>ARE</v>
          </cell>
          <cell r="B9" t="str">
            <v>United Arab Emirates</v>
          </cell>
        </row>
        <row r="10">
          <cell r="A10" t="str">
            <v>ARG</v>
          </cell>
          <cell r="B10" t="str">
            <v>Argentina</v>
          </cell>
        </row>
        <row r="11">
          <cell r="A11" t="str">
            <v>ARM</v>
          </cell>
          <cell r="B11" t="str">
            <v>Armenia</v>
          </cell>
        </row>
        <row r="12">
          <cell r="A12" t="str">
            <v>AUS</v>
          </cell>
          <cell r="B12" t="str">
            <v>Australia</v>
          </cell>
        </row>
        <row r="13">
          <cell r="A13" t="str">
            <v>AUT</v>
          </cell>
          <cell r="B13" t="str">
            <v>Austria</v>
          </cell>
        </row>
        <row r="14">
          <cell r="A14" t="str">
            <v>AZE</v>
          </cell>
          <cell r="B14" t="str">
            <v>Azerbaijan</v>
          </cell>
        </row>
        <row r="15">
          <cell r="A15" t="str">
            <v>BDI</v>
          </cell>
          <cell r="B15" t="str">
            <v>Burundi</v>
          </cell>
        </row>
        <row r="16">
          <cell r="A16" t="str">
            <v>BEL</v>
          </cell>
          <cell r="B16" t="str">
            <v>Belgium</v>
          </cell>
        </row>
        <row r="17">
          <cell r="A17" t="str">
            <v>BEN</v>
          </cell>
          <cell r="B17" t="str">
            <v>Benin</v>
          </cell>
        </row>
        <row r="18">
          <cell r="A18" t="str">
            <v>BFA</v>
          </cell>
          <cell r="B18" t="str">
            <v>Burkina Faso</v>
          </cell>
        </row>
        <row r="19">
          <cell r="A19" t="str">
            <v>BGD</v>
          </cell>
          <cell r="B19" t="str">
            <v>Bangladesh</v>
          </cell>
        </row>
        <row r="20">
          <cell r="A20" t="str">
            <v>BGR</v>
          </cell>
          <cell r="B20" t="str">
            <v>Bulgaria</v>
          </cell>
        </row>
        <row r="21">
          <cell r="A21" t="str">
            <v>BHR</v>
          </cell>
          <cell r="B21" t="str">
            <v>Bahrain</v>
          </cell>
        </row>
        <row r="22">
          <cell r="A22" t="str">
            <v>BHS</v>
          </cell>
          <cell r="B22" t="str">
            <v>Bahamas</v>
          </cell>
        </row>
        <row r="23">
          <cell r="A23" t="str">
            <v>BIH</v>
          </cell>
          <cell r="B23" t="str">
            <v>Bosnia and Herzegovina</v>
          </cell>
        </row>
        <row r="24">
          <cell r="A24" t="str">
            <v>BLR</v>
          </cell>
          <cell r="B24" t="str">
            <v>Belarus</v>
          </cell>
        </row>
        <row r="25">
          <cell r="A25" t="str">
            <v>BLZ</v>
          </cell>
          <cell r="B25" t="str">
            <v>Belize</v>
          </cell>
        </row>
        <row r="26">
          <cell r="A26" t="str">
            <v>BOL</v>
          </cell>
          <cell r="B26" t="str">
            <v>Bolivia</v>
          </cell>
        </row>
        <row r="27">
          <cell r="A27" t="str">
            <v>BRA</v>
          </cell>
          <cell r="B27" t="str">
            <v>Brazil</v>
          </cell>
        </row>
        <row r="28">
          <cell r="A28" t="str">
            <v>BRN</v>
          </cell>
          <cell r="B28" t="str">
            <v>Brunei Darussalam</v>
          </cell>
        </row>
        <row r="29">
          <cell r="A29" t="str">
            <v>BTN</v>
          </cell>
          <cell r="B29" t="str">
            <v>Bhutan</v>
          </cell>
        </row>
        <row r="30">
          <cell r="A30" t="str">
            <v>BWA</v>
          </cell>
          <cell r="B30" t="str">
            <v>Botswana</v>
          </cell>
        </row>
        <row r="31">
          <cell r="A31" t="str">
            <v>CAF</v>
          </cell>
          <cell r="B31" t="str">
            <v>Central African Republic</v>
          </cell>
        </row>
        <row r="32">
          <cell r="A32" t="str">
            <v>CAN</v>
          </cell>
          <cell r="B32" t="str">
            <v>Canada</v>
          </cell>
        </row>
        <row r="33">
          <cell r="A33" t="str">
            <v>CHE</v>
          </cell>
          <cell r="B33" t="str">
            <v>Switzerland</v>
          </cell>
        </row>
        <row r="34">
          <cell r="A34" t="str">
            <v>CHL</v>
          </cell>
          <cell r="B34" t="str">
            <v>Chile</v>
          </cell>
        </row>
        <row r="35">
          <cell r="A35" t="str">
            <v>CHN</v>
          </cell>
          <cell r="B35" t="str">
            <v>China</v>
          </cell>
        </row>
        <row r="36">
          <cell r="A36" t="str">
            <v>CIV</v>
          </cell>
          <cell r="B36" t="str">
            <v>Cote d'Ivoire</v>
          </cell>
        </row>
        <row r="37">
          <cell r="A37" t="str">
            <v>CMR</v>
          </cell>
          <cell r="B37" t="str">
            <v>Cameroon</v>
          </cell>
        </row>
        <row r="38">
          <cell r="A38" t="str">
            <v>COD</v>
          </cell>
          <cell r="B38" t="str">
            <v>DR Congo</v>
          </cell>
        </row>
        <row r="39">
          <cell r="A39" t="str">
            <v>COG</v>
          </cell>
          <cell r="B39" t="str">
            <v>Rep Congo</v>
          </cell>
        </row>
        <row r="40">
          <cell r="A40" t="str">
            <v>COL</v>
          </cell>
          <cell r="B40" t="str">
            <v>Colombia</v>
          </cell>
        </row>
        <row r="41">
          <cell r="A41" t="str">
            <v>CRI</v>
          </cell>
          <cell r="B41" t="str">
            <v>Costa Rica</v>
          </cell>
        </row>
        <row r="42">
          <cell r="A42" t="str">
            <v>CUB</v>
          </cell>
          <cell r="B42" t="str">
            <v>Cuba</v>
          </cell>
        </row>
        <row r="43">
          <cell r="A43" t="str">
            <v>CYP</v>
          </cell>
          <cell r="B43" t="str">
            <v>Cyprus</v>
          </cell>
        </row>
        <row r="44">
          <cell r="A44" t="str">
            <v>CZE</v>
          </cell>
          <cell r="B44" t="str">
            <v>CSSR/Czech Republic (1990/1991)</v>
          </cell>
        </row>
        <row r="45">
          <cell r="A45" t="str">
            <v>DEU</v>
          </cell>
          <cell r="B45" t="str">
            <v>Germany</v>
          </cell>
        </row>
        <row r="46">
          <cell r="A46" t="str">
            <v>DJI</v>
          </cell>
          <cell r="B46" t="str">
            <v>Djibouti</v>
          </cell>
        </row>
        <row r="47">
          <cell r="A47" t="str">
            <v>DYE</v>
          </cell>
          <cell r="B47" t="str">
            <v>DR Yemen (Aden)</v>
          </cell>
        </row>
        <row r="48">
          <cell r="A48" t="str">
            <v>DNK</v>
          </cell>
          <cell r="B48" t="str">
            <v>Denmark</v>
          </cell>
        </row>
        <row r="49">
          <cell r="A49" t="str">
            <v>DOM</v>
          </cell>
          <cell r="B49" t="str">
            <v>Dominican Republic</v>
          </cell>
        </row>
        <row r="50">
          <cell r="A50" t="str">
            <v>DZA</v>
          </cell>
          <cell r="B50" t="str">
            <v>Algeria</v>
          </cell>
        </row>
        <row r="51">
          <cell r="A51" t="str">
            <v>ECU</v>
          </cell>
          <cell r="B51" t="str">
            <v>Ecuador</v>
          </cell>
        </row>
        <row r="52">
          <cell r="A52" t="str">
            <v>EGY</v>
          </cell>
          <cell r="B52" t="str">
            <v>Egypt</v>
          </cell>
        </row>
        <row r="53">
          <cell r="A53" t="str">
            <v>ERI</v>
          </cell>
          <cell r="B53" t="str">
            <v>Eritrea</v>
          </cell>
        </row>
        <row r="54">
          <cell r="A54" t="str">
            <v>ESP</v>
          </cell>
          <cell r="B54" t="str">
            <v>Spain</v>
          </cell>
        </row>
        <row r="55">
          <cell r="A55" t="str">
            <v>EST</v>
          </cell>
          <cell r="B55" t="str">
            <v>Estonia</v>
          </cell>
        </row>
        <row r="56">
          <cell r="A56" t="str">
            <v>ETH</v>
          </cell>
          <cell r="B56" t="str">
            <v>Ethiopia/DR Ethiopia (1992/1993)</v>
          </cell>
        </row>
        <row r="57">
          <cell r="A57" t="str">
            <v>FIN</v>
          </cell>
          <cell r="B57" t="str">
            <v>Finland</v>
          </cell>
        </row>
        <row r="58">
          <cell r="A58" t="str">
            <v>FRA</v>
          </cell>
          <cell r="B58" t="str">
            <v>France</v>
          </cell>
        </row>
        <row r="59">
          <cell r="A59" t="str">
            <v>GAB</v>
          </cell>
          <cell r="B59" t="str">
            <v>Gabon</v>
          </cell>
        </row>
        <row r="60">
          <cell r="A60" t="str">
            <v>GBR</v>
          </cell>
          <cell r="B60" t="str">
            <v>United Kingdom</v>
          </cell>
        </row>
        <row r="61">
          <cell r="A61" t="str">
            <v>GEO</v>
          </cell>
          <cell r="B61" t="str">
            <v>Georgia</v>
          </cell>
        </row>
        <row r="62">
          <cell r="A62" t="str">
            <v>GHA</v>
          </cell>
          <cell r="B62" t="str">
            <v>Ghana</v>
          </cell>
        </row>
        <row r="63">
          <cell r="A63" t="str">
            <v>GIN</v>
          </cell>
          <cell r="B63" t="str">
            <v>Guinea</v>
          </cell>
        </row>
        <row r="64">
          <cell r="A64" t="str">
            <v>GMB</v>
          </cell>
          <cell r="B64" t="str">
            <v>Gambia</v>
          </cell>
        </row>
        <row r="65">
          <cell r="A65" t="str">
            <v>GNQ</v>
          </cell>
          <cell r="B65" t="str">
            <v>Equatorial Guinea</v>
          </cell>
        </row>
        <row r="66">
          <cell r="A66" t="str">
            <v>GRC</v>
          </cell>
          <cell r="B66" t="str">
            <v>Greece</v>
          </cell>
        </row>
        <row r="67">
          <cell r="A67" t="str">
            <v>GTM</v>
          </cell>
          <cell r="B67" t="str">
            <v>Guatemala</v>
          </cell>
        </row>
        <row r="68">
          <cell r="A68" t="str">
            <v>HND</v>
          </cell>
          <cell r="B68" t="str">
            <v>Honduras</v>
          </cell>
        </row>
        <row r="69">
          <cell r="A69" t="str">
            <v>HKG</v>
          </cell>
          <cell r="B69" t="str">
            <v>Hong Kong</v>
          </cell>
        </row>
        <row r="70">
          <cell r="A70" t="str">
            <v>HRV</v>
          </cell>
          <cell r="B70" t="str">
            <v>Croatia</v>
          </cell>
        </row>
        <row r="71">
          <cell r="A71" t="str">
            <v>HTI</v>
          </cell>
          <cell r="B71" t="str">
            <v>Haiti</v>
          </cell>
        </row>
        <row r="72">
          <cell r="A72" t="str">
            <v>HUN</v>
          </cell>
          <cell r="B72" t="str">
            <v>Hungary</v>
          </cell>
        </row>
        <row r="73">
          <cell r="A73" t="str">
            <v>IDN</v>
          </cell>
          <cell r="B73" t="str">
            <v>Indonesia</v>
          </cell>
        </row>
        <row r="74">
          <cell r="A74" t="str">
            <v>IND</v>
          </cell>
          <cell r="B74" t="str">
            <v>India</v>
          </cell>
        </row>
        <row r="75">
          <cell r="A75" t="str">
            <v>IRL</v>
          </cell>
          <cell r="B75" t="str">
            <v>Ireland</v>
          </cell>
        </row>
        <row r="76">
          <cell r="A76" t="str">
            <v>IRN</v>
          </cell>
          <cell r="B76" t="str">
            <v>Iran</v>
          </cell>
        </row>
        <row r="77">
          <cell r="A77" t="str">
            <v>IRQ</v>
          </cell>
          <cell r="B77" t="str">
            <v>Iraq</v>
          </cell>
        </row>
        <row r="78">
          <cell r="A78" t="str">
            <v>ISL</v>
          </cell>
          <cell r="B78" t="str">
            <v>Iceland</v>
          </cell>
        </row>
        <row r="79">
          <cell r="A79" t="str">
            <v>ISR</v>
          </cell>
          <cell r="B79" t="str">
            <v>Israel</v>
          </cell>
        </row>
        <row r="80">
          <cell r="A80" t="str">
            <v>ITA</v>
          </cell>
          <cell r="B80" t="str">
            <v>Italy</v>
          </cell>
        </row>
        <row r="81">
          <cell r="A81" t="str">
            <v>JAM</v>
          </cell>
          <cell r="B81" t="str">
            <v>Jamaica</v>
          </cell>
        </row>
        <row r="82">
          <cell r="A82" t="str">
            <v>JOR</v>
          </cell>
          <cell r="B82" t="str">
            <v>Jordan</v>
          </cell>
        </row>
        <row r="83">
          <cell r="A83" t="str">
            <v>JPN</v>
          </cell>
          <cell r="B83" t="str">
            <v>Japan</v>
          </cell>
        </row>
        <row r="84">
          <cell r="A84" t="str">
            <v>KAZ</v>
          </cell>
          <cell r="B84" t="str">
            <v>Kazakhstan</v>
          </cell>
        </row>
        <row r="85">
          <cell r="A85" t="str">
            <v>KEN</v>
          </cell>
          <cell r="B85" t="str">
            <v>Kenya</v>
          </cell>
        </row>
        <row r="86">
          <cell r="A86" t="str">
            <v>KGZ</v>
          </cell>
          <cell r="B86" t="str">
            <v>Kyrgyzstan</v>
          </cell>
        </row>
        <row r="87">
          <cell r="A87" t="str">
            <v>KHM</v>
          </cell>
          <cell r="B87" t="str">
            <v>Cambodia</v>
          </cell>
        </row>
        <row r="88">
          <cell r="A88" t="str">
            <v>KOR</v>
          </cell>
          <cell r="B88" t="str">
            <v>South Korea</v>
          </cell>
        </row>
        <row r="89">
          <cell r="A89" t="str">
            <v>KWT</v>
          </cell>
          <cell r="B89" t="str">
            <v>Kuwait</v>
          </cell>
        </row>
        <row r="90">
          <cell r="A90" t="str">
            <v>LAO</v>
          </cell>
          <cell r="B90" t="str">
            <v>Laos</v>
          </cell>
        </row>
        <row r="91">
          <cell r="A91" t="str">
            <v>LBN</v>
          </cell>
          <cell r="B91" t="str">
            <v>Lebanon</v>
          </cell>
        </row>
        <row r="92">
          <cell r="A92" t="str">
            <v>LBR</v>
          </cell>
          <cell r="B92" t="str">
            <v>Liberia</v>
          </cell>
        </row>
        <row r="93">
          <cell r="A93" t="str">
            <v>LBY</v>
          </cell>
          <cell r="B93" t="str">
            <v>Libya</v>
          </cell>
        </row>
        <row r="94">
          <cell r="A94" t="str">
            <v>LKA</v>
          </cell>
          <cell r="B94" t="str">
            <v>Sri Lanka</v>
          </cell>
        </row>
        <row r="95">
          <cell r="A95" t="str">
            <v>LTU</v>
          </cell>
          <cell r="B95" t="str">
            <v>Lithuania</v>
          </cell>
        </row>
        <row r="96">
          <cell r="A96" t="str">
            <v>LUX</v>
          </cell>
          <cell r="B96" t="str">
            <v>Luxembourg</v>
          </cell>
        </row>
        <row r="97">
          <cell r="A97" t="str">
            <v>LVA</v>
          </cell>
          <cell r="B97" t="str">
            <v>Latvia</v>
          </cell>
        </row>
        <row r="98">
          <cell r="A98" t="str">
            <v>MAR</v>
          </cell>
          <cell r="B98" t="str">
            <v>Morocco</v>
          </cell>
        </row>
        <row r="99">
          <cell r="A99" t="str">
            <v>MDA</v>
          </cell>
          <cell r="B99" t="str">
            <v>Moldova</v>
          </cell>
        </row>
        <row r="100">
          <cell r="A100" t="str">
            <v>MDG</v>
          </cell>
          <cell r="B100" t="str">
            <v>Madagascar</v>
          </cell>
        </row>
        <row r="101">
          <cell r="A101" t="str">
            <v>MEX</v>
          </cell>
          <cell r="B101" t="str">
            <v>Mexico</v>
          </cell>
        </row>
        <row r="102">
          <cell r="A102" t="str">
            <v>MKD</v>
          </cell>
          <cell r="B102" t="str">
            <v>Macedonia</v>
          </cell>
        </row>
        <row r="103">
          <cell r="A103" t="str">
            <v>MLI</v>
          </cell>
          <cell r="B103" t="str">
            <v>Mali</v>
          </cell>
        </row>
        <row r="104">
          <cell r="A104" t="str">
            <v>MLT</v>
          </cell>
          <cell r="B104" t="str">
            <v>Malta</v>
          </cell>
        </row>
        <row r="105">
          <cell r="A105" t="str">
            <v>MMR</v>
          </cell>
          <cell r="B105" t="str">
            <v>Myanmar</v>
          </cell>
        </row>
        <row r="106">
          <cell r="A106" t="str">
            <v>MNG</v>
          </cell>
          <cell r="B106" t="str">
            <v>Mongolia</v>
          </cell>
        </row>
        <row r="107">
          <cell r="A107" t="str">
            <v>MOZ</v>
          </cell>
          <cell r="B107" t="str">
            <v>Mozambique</v>
          </cell>
        </row>
        <row r="108">
          <cell r="A108" t="str">
            <v>MRT</v>
          </cell>
          <cell r="B108" t="str">
            <v>Mauritania</v>
          </cell>
        </row>
        <row r="109">
          <cell r="A109" t="str">
            <v>MWI</v>
          </cell>
          <cell r="B109" t="str">
            <v>Malawi</v>
          </cell>
        </row>
        <row r="110">
          <cell r="A110" t="str">
            <v>MYS</v>
          </cell>
          <cell r="B110" t="str">
            <v>Malaysia</v>
          </cell>
        </row>
        <row r="111">
          <cell r="A111" t="str">
            <v>NAM</v>
          </cell>
          <cell r="B111" t="str">
            <v>Namibia</v>
          </cell>
        </row>
        <row r="112">
          <cell r="A112" t="str">
            <v>NER</v>
          </cell>
          <cell r="B112" t="str">
            <v>Niger</v>
          </cell>
        </row>
        <row r="113">
          <cell r="A113" t="str">
            <v>NGA</v>
          </cell>
          <cell r="B113" t="str">
            <v>Nigeria</v>
          </cell>
        </row>
        <row r="114">
          <cell r="A114" t="str">
            <v>NIC</v>
          </cell>
          <cell r="B114" t="str">
            <v>Nicaragua</v>
          </cell>
        </row>
        <row r="115">
          <cell r="A115" t="str">
            <v>NLD</v>
          </cell>
          <cell r="B115" t="str">
            <v>Netherlands</v>
          </cell>
        </row>
        <row r="116">
          <cell r="A116" t="str">
            <v>NOR</v>
          </cell>
          <cell r="B116" t="str">
            <v>Norway</v>
          </cell>
        </row>
        <row r="117">
          <cell r="A117" t="str">
            <v>NPL</v>
          </cell>
          <cell r="B117" t="str">
            <v>Nepal</v>
          </cell>
        </row>
        <row r="118">
          <cell r="A118" t="str">
            <v>NZL</v>
          </cell>
          <cell r="B118" t="str">
            <v>New Zealand</v>
          </cell>
        </row>
        <row r="119">
          <cell r="A119" t="str">
            <v>OMN</v>
          </cell>
          <cell r="B119" t="str">
            <v>Oman</v>
          </cell>
        </row>
        <row r="120">
          <cell r="A120" t="str">
            <v>PAK</v>
          </cell>
          <cell r="B120" t="str">
            <v>Pakistan</v>
          </cell>
        </row>
        <row r="121">
          <cell r="A121" t="str">
            <v>PSE</v>
          </cell>
          <cell r="B121" t="str">
            <v>Palestine</v>
          </cell>
        </row>
        <row r="122">
          <cell r="A122" t="str">
            <v>PAN</v>
          </cell>
          <cell r="B122" t="str">
            <v>Panama</v>
          </cell>
        </row>
        <row r="123">
          <cell r="A123" t="str">
            <v>PER</v>
          </cell>
          <cell r="B123" t="str">
            <v>Peru</v>
          </cell>
        </row>
        <row r="124">
          <cell r="A124" t="str">
            <v>PHL</v>
          </cell>
          <cell r="B124" t="str">
            <v>Philippines</v>
          </cell>
        </row>
        <row r="125">
          <cell r="A125" t="str">
            <v>PNG</v>
          </cell>
          <cell r="B125" t="str">
            <v>Papua New Guinea</v>
          </cell>
        </row>
        <row r="126">
          <cell r="A126" t="str">
            <v>POL</v>
          </cell>
          <cell r="B126" t="str">
            <v>Poland</v>
          </cell>
        </row>
        <row r="127">
          <cell r="A127" t="str">
            <v>PRK</v>
          </cell>
          <cell r="B127" t="str">
            <v>North Korea</v>
          </cell>
        </row>
        <row r="128">
          <cell r="A128" t="str">
            <v>PRT</v>
          </cell>
          <cell r="B128" t="str">
            <v>Portugal</v>
          </cell>
        </row>
        <row r="129">
          <cell r="A129" t="str">
            <v>PRY</v>
          </cell>
          <cell r="B129" t="str">
            <v>Paraguay</v>
          </cell>
        </row>
        <row r="130">
          <cell r="A130" t="str">
            <v>QAT</v>
          </cell>
          <cell r="B130" t="str">
            <v>Qatar</v>
          </cell>
        </row>
        <row r="131">
          <cell r="A131" t="str">
            <v>ROU</v>
          </cell>
          <cell r="B131" t="str">
            <v>Romania</v>
          </cell>
        </row>
        <row r="132">
          <cell r="A132" t="str">
            <v>RUS</v>
          </cell>
          <cell r="B132" t="str">
            <v>USSR/Russian Federation (1990/1991)</v>
          </cell>
        </row>
        <row r="133">
          <cell r="A133" t="str">
            <v>RWA</v>
          </cell>
          <cell r="B133" t="str">
            <v>Rwanda</v>
          </cell>
        </row>
        <row r="134">
          <cell r="A134" t="str">
            <v>SAU</v>
          </cell>
          <cell r="B134" t="str">
            <v>Saudi Arabia</v>
          </cell>
        </row>
        <row r="135">
          <cell r="A135" t="str">
            <v>SDS</v>
          </cell>
          <cell r="B135" t="str">
            <v>South Sudan</v>
          </cell>
        </row>
        <row r="136">
          <cell r="A136" t="str">
            <v>SEN</v>
          </cell>
          <cell r="B136" t="str">
            <v>Senegal</v>
          </cell>
        </row>
        <row r="137">
          <cell r="A137" t="str">
            <v>SGP</v>
          </cell>
          <cell r="B137" t="str">
            <v>Singapore</v>
          </cell>
        </row>
        <row r="138">
          <cell r="A138" t="str">
            <v>SLE</v>
          </cell>
          <cell r="B138" t="str">
            <v>Sierra Leone</v>
          </cell>
        </row>
        <row r="139">
          <cell r="A139" t="str">
            <v>SLV</v>
          </cell>
          <cell r="B139" t="str">
            <v>El Salvador</v>
          </cell>
        </row>
        <row r="140">
          <cell r="A140" t="str">
            <v>SOM</v>
          </cell>
          <cell r="B140" t="str">
            <v>Somalia</v>
          </cell>
        </row>
        <row r="141">
          <cell r="A141" t="str">
            <v>SRB</v>
          </cell>
          <cell r="B141" t="str">
            <v>Yugoslavia/Serbia (1991/1992)</v>
          </cell>
        </row>
        <row r="142">
          <cell r="A142" t="str">
            <v>SDN</v>
          </cell>
          <cell r="B142" t="str">
            <v>Sudan/North Sudan (2010/2011)</v>
          </cell>
        </row>
        <row r="143">
          <cell r="A143" t="str">
            <v>SVK</v>
          </cell>
          <cell r="B143" t="str">
            <v>Slovakia</v>
          </cell>
        </row>
        <row r="144">
          <cell r="A144" t="str">
            <v>SVN</v>
          </cell>
          <cell r="B144" t="str">
            <v>Slovenia</v>
          </cell>
        </row>
        <row r="145">
          <cell r="A145" t="str">
            <v>SWE</v>
          </cell>
          <cell r="B145" t="str">
            <v>Sweden</v>
          </cell>
        </row>
        <row r="146">
          <cell r="A146" t="str">
            <v>SYR</v>
          </cell>
          <cell r="B146" t="str">
            <v>Syria</v>
          </cell>
        </row>
        <row r="147">
          <cell r="A147" t="str">
            <v>TCD</v>
          </cell>
          <cell r="B147" t="str">
            <v>Chad</v>
          </cell>
        </row>
        <row r="148">
          <cell r="A148" t="str">
            <v>TGO</v>
          </cell>
          <cell r="B148" t="str">
            <v>Togo</v>
          </cell>
        </row>
        <row r="149">
          <cell r="A149" t="str">
            <v>THA</v>
          </cell>
          <cell r="B149" t="str">
            <v>Thailand</v>
          </cell>
        </row>
        <row r="150">
          <cell r="A150" t="str">
            <v>TJK</v>
          </cell>
          <cell r="B150" t="str">
            <v>Tajikistan</v>
          </cell>
        </row>
        <row r="151">
          <cell r="A151" t="str">
            <v>TKM</v>
          </cell>
          <cell r="B151" t="str">
            <v>Turkmenistan</v>
          </cell>
        </row>
        <row r="152">
          <cell r="A152" t="str">
            <v>TUN</v>
          </cell>
          <cell r="B152" t="str">
            <v>Tunisia</v>
          </cell>
        </row>
        <row r="153">
          <cell r="A153" t="str">
            <v>TUR</v>
          </cell>
          <cell r="B153" t="str">
            <v>Turkey</v>
          </cell>
        </row>
        <row r="154">
          <cell r="A154" t="str">
            <v>TZA</v>
          </cell>
          <cell r="B154" t="str">
            <v>Tanzania</v>
          </cell>
        </row>
        <row r="155">
          <cell r="A155" t="str">
            <v>UGA</v>
          </cell>
          <cell r="B155" t="str">
            <v>Uganda</v>
          </cell>
        </row>
        <row r="156">
          <cell r="A156" t="str">
            <v>UKR</v>
          </cell>
          <cell r="B156" t="str">
            <v>Ukraine</v>
          </cell>
        </row>
        <row r="157">
          <cell r="A157" t="str">
            <v>URY</v>
          </cell>
          <cell r="B157" t="str">
            <v>Uruguay</v>
          </cell>
        </row>
        <row r="158">
          <cell r="A158" t="str">
            <v>USA</v>
          </cell>
          <cell r="B158" t="str">
            <v>United States of America</v>
          </cell>
        </row>
        <row r="159">
          <cell r="A159" t="str">
            <v>UZB</v>
          </cell>
          <cell r="B159" t="str">
            <v>Uzbekistan</v>
          </cell>
        </row>
        <row r="160">
          <cell r="A160" t="str">
            <v>VEN</v>
          </cell>
          <cell r="B160" t="str">
            <v>Venezuela</v>
          </cell>
        </row>
        <row r="161">
          <cell r="A161" t="str">
            <v>VNM</v>
          </cell>
          <cell r="B161" t="str">
            <v>Viet Nam</v>
          </cell>
        </row>
        <row r="162">
          <cell r="A162" t="str">
            <v>YEM</v>
          </cell>
          <cell r="B162" t="str">
            <v>Yemen Arab Republic/Yemen (1990/1991)</v>
          </cell>
        </row>
        <row r="163">
          <cell r="A163" t="str">
            <v>ZAF</v>
          </cell>
          <cell r="B163" t="str">
            <v>South Africa</v>
          </cell>
        </row>
        <row r="164">
          <cell r="A164" t="str">
            <v>ZMB</v>
          </cell>
          <cell r="B164" t="str">
            <v>Zambia</v>
          </cell>
        </row>
        <row r="165">
          <cell r="A165" t="str">
            <v>ZWE</v>
          </cell>
          <cell r="B165" t="str">
            <v>Zimbabwe</v>
          </cell>
        </row>
        <row r="166">
          <cell r="A166" t="str">
            <v>ALL</v>
          </cell>
          <cell r="B166" t="str">
            <v>ALL</v>
          </cell>
        </row>
      </sheetData>
      <sheetData sheetId="20">
        <row r="2">
          <cell r="A2">
            <v>1</v>
          </cell>
          <cell r="B2" t="str">
            <v>Growing wheat</v>
          </cell>
        </row>
        <row r="3">
          <cell r="A3">
            <v>2</v>
          </cell>
          <cell r="B3" t="str">
            <v>Growing maize</v>
          </cell>
        </row>
        <row r="4">
          <cell r="A4">
            <v>3</v>
          </cell>
          <cell r="B4" t="str">
            <v>Growing cereals n.e.c</v>
          </cell>
        </row>
        <row r="5">
          <cell r="A5">
            <v>4</v>
          </cell>
          <cell r="B5" t="str">
            <v>Growing leguminous crops and oil seeds</v>
          </cell>
        </row>
        <row r="6">
          <cell r="A6">
            <v>5</v>
          </cell>
          <cell r="B6" t="str">
            <v>Growing rice</v>
          </cell>
        </row>
        <row r="7">
          <cell r="A7">
            <v>6</v>
          </cell>
          <cell r="B7" t="str">
            <v>Growing vegetables, roots, tubers</v>
          </cell>
        </row>
        <row r="8">
          <cell r="A8">
            <v>7</v>
          </cell>
          <cell r="B8" t="str">
            <v>Growing sugar beet and cane</v>
          </cell>
        </row>
        <row r="9">
          <cell r="A9">
            <v>8</v>
          </cell>
          <cell r="B9" t="str">
            <v>Growing tobacco</v>
          </cell>
        </row>
        <row r="10">
          <cell r="A10">
            <v>9</v>
          </cell>
          <cell r="B10" t="str">
            <v>Growing fibre crops</v>
          </cell>
        </row>
        <row r="11">
          <cell r="A11">
            <v>10</v>
          </cell>
          <cell r="B11" t="str">
            <v>Growing crops n.e.c.</v>
          </cell>
        </row>
        <row r="12">
          <cell r="A12">
            <v>11</v>
          </cell>
          <cell r="B12" t="str">
            <v>Growing grapes</v>
          </cell>
        </row>
        <row r="13">
          <cell r="A13">
            <v>12</v>
          </cell>
          <cell r="B13" t="str">
            <v>Growing fruits and nuts</v>
          </cell>
        </row>
        <row r="14">
          <cell r="A14">
            <v>13</v>
          </cell>
          <cell r="B14" t="str">
            <v>Growing beverage crops (coffee, tea etc)</v>
          </cell>
        </row>
        <row r="15">
          <cell r="A15">
            <v>14</v>
          </cell>
          <cell r="B15" t="str">
            <v>Growing spices, aromatic, drug and pharmaceutical crops</v>
          </cell>
        </row>
        <row r="16">
          <cell r="A16">
            <v>15</v>
          </cell>
          <cell r="B16" t="str">
            <v>Seeds and plant propagation</v>
          </cell>
        </row>
        <row r="17">
          <cell r="A17">
            <v>16</v>
          </cell>
          <cell r="B17" t="str">
            <v>Raising of cattle</v>
          </cell>
        </row>
        <row r="18">
          <cell r="A18">
            <v>17</v>
          </cell>
          <cell r="B18" t="str">
            <v>Raising of sheep</v>
          </cell>
        </row>
        <row r="19">
          <cell r="A19">
            <v>18</v>
          </cell>
          <cell r="B19" t="str">
            <v>Raising of swine/pigs</v>
          </cell>
        </row>
        <row r="20">
          <cell r="A20">
            <v>19</v>
          </cell>
          <cell r="B20" t="str">
            <v>Raising of poultry</v>
          </cell>
        </row>
        <row r="21">
          <cell r="A21">
            <v>20</v>
          </cell>
          <cell r="B21" t="str">
            <v>Raising of animals n.e.c.; services to agriculture</v>
          </cell>
        </row>
        <row r="22">
          <cell r="A22">
            <v>21</v>
          </cell>
          <cell r="B22" t="str">
            <v>Forestry and logging</v>
          </cell>
        </row>
        <row r="23">
          <cell r="A23">
            <v>22</v>
          </cell>
          <cell r="B23" t="str">
            <v>Fishing</v>
          </cell>
        </row>
        <row r="24">
          <cell r="A24">
            <v>23</v>
          </cell>
          <cell r="B24" t="str">
            <v>Crustaceans and molluscs</v>
          </cell>
        </row>
        <row r="25">
          <cell r="A25">
            <v>24</v>
          </cell>
          <cell r="B25" t="str">
            <v>Hard coal</v>
          </cell>
        </row>
        <row r="26">
          <cell r="A26">
            <v>25</v>
          </cell>
          <cell r="B26" t="str">
            <v>Lignite and peat</v>
          </cell>
        </row>
        <row r="27">
          <cell r="A27">
            <v>26</v>
          </cell>
          <cell r="B27" t="str">
            <v>Petroleum extraction</v>
          </cell>
        </row>
        <row r="28">
          <cell r="A28">
            <v>27</v>
          </cell>
          <cell r="B28" t="str">
            <v>Gas extraction</v>
          </cell>
        </row>
        <row r="29">
          <cell r="A29">
            <v>28</v>
          </cell>
          <cell r="B29" t="str">
            <v>Iron ores</v>
          </cell>
        </row>
        <row r="30">
          <cell r="A30">
            <v>29</v>
          </cell>
          <cell r="B30" t="str">
            <v>Uranium ores</v>
          </cell>
        </row>
        <row r="31">
          <cell r="A31">
            <v>30</v>
          </cell>
          <cell r="B31" t="str">
            <v>Aluminium ore</v>
          </cell>
        </row>
        <row r="32">
          <cell r="A32">
            <v>31</v>
          </cell>
          <cell r="B32" t="str">
            <v>Copper ores</v>
          </cell>
        </row>
        <row r="33">
          <cell r="A33">
            <v>32</v>
          </cell>
          <cell r="B33" t="str">
            <v>Gold ores</v>
          </cell>
        </row>
        <row r="34">
          <cell r="A34">
            <v>33</v>
          </cell>
          <cell r="B34" t="str">
            <v>Lead/zinc/silver ores</v>
          </cell>
        </row>
        <row r="35">
          <cell r="A35">
            <v>34</v>
          </cell>
          <cell r="B35" t="str">
            <v>Nickel ores</v>
          </cell>
        </row>
        <row r="36">
          <cell r="A36">
            <v>35</v>
          </cell>
          <cell r="B36" t="str">
            <v>Tin ores</v>
          </cell>
        </row>
        <row r="37">
          <cell r="A37">
            <v>36</v>
          </cell>
          <cell r="B37" t="str">
            <v>Other non-ferrous ores</v>
          </cell>
        </row>
        <row r="38">
          <cell r="A38">
            <v>37</v>
          </cell>
          <cell r="B38" t="str">
            <v>Quarrying of stone, sand and clay</v>
          </cell>
        </row>
        <row r="39">
          <cell r="A39">
            <v>38</v>
          </cell>
          <cell r="B39" t="str">
            <v>Chemical and fertilizer minerals</v>
          </cell>
        </row>
        <row r="40">
          <cell r="A40">
            <v>39</v>
          </cell>
          <cell r="B40" t="str">
            <v>Extraction of salt</v>
          </cell>
        </row>
        <row r="41">
          <cell r="A41">
            <v>40</v>
          </cell>
          <cell r="B41" t="str">
            <v>Mining and quarrying n.e.c.; services to mining</v>
          </cell>
        </row>
        <row r="42">
          <cell r="A42">
            <v>41</v>
          </cell>
          <cell r="B42" t="str">
            <v>Beef meat</v>
          </cell>
        </row>
        <row r="43">
          <cell r="A43">
            <v>42</v>
          </cell>
          <cell r="B43" t="str">
            <v>Sheep meat</v>
          </cell>
        </row>
        <row r="44">
          <cell r="A44">
            <v>43</v>
          </cell>
          <cell r="B44" t="str">
            <v>Pork</v>
          </cell>
        </row>
        <row r="45">
          <cell r="A45">
            <v>44</v>
          </cell>
          <cell r="B45" t="str">
            <v>Poultry meat</v>
          </cell>
        </row>
        <row r="46">
          <cell r="A46">
            <v>45</v>
          </cell>
          <cell r="B46" t="str">
            <v>Other meat products</v>
          </cell>
        </row>
        <row r="47">
          <cell r="A47">
            <v>46</v>
          </cell>
          <cell r="B47" t="str">
            <v>Fish products</v>
          </cell>
        </row>
        <row r="48">
          <cell r="A48">
            <v>47</v>
          </cell>
          <cell r="B48" t="str">
            <v>Cereal products</v>
          </cell>
        </row>
        <row r="49">
          <cell r="A49">
            <v>48</v>
          </cell>
          <cell r="B49" t="str">
            <v>Vegetable products</v>
          </cell>
        </row>
        <row r="50">
          <cell r="A50">
            <v>49</v>
          </cell>
          <cell r="B50" t="str">
            <v>Fruit products</v>
          </cell>
        </row>
        <row r="51">
          <cell r="A51">
            <v>50</v>
          </cell>
          <cell r="B51" t="str">
            <v>Food products and feeds n.e.c.</v>
          </cell>
        </row>
        <row r="52">
          <cell r="A52">
            <v>51</v>
          </cell>
          <cell r="B52" t="str">
            <v>Sugar refining; cocoa, chocolate and confectionery</v>
          </cell>
        </row>
        <row r="53">
          <cell r="A53">
            <v>52</v>
          </cell>
          <cell r="B53" t="str">
            <v>Animal oils and fats</v>
          </cell>
        </row>
        <row r="54">
          <cell r="A54">
            <v>53</v>
          </cell>
          <cell r="B54" t="str">
            <v>Vegetable oils and fats</v>
          </cell>
        </row>
        <row r="55">
          <cell r="A55">
            <v>54</v>
          </cell>
          <cell r="B55" t="str">
            <v>Dairy products</v>
          </cell>
        </row>
        <row r="56">
          <cell r="A56">
            <v>55</v>
          </cell>
          <cell r="B56" t="str">
            <v>Alcoholic and other  beverages</v>
          </cell>
        </row>
        <row r="57">
          <cell r="A57">
            <v>56</v>
          </cell>
          <cell r="B57" t="str">
            <v>Tobacco products</v>
          </cell>
        </row>
        <row r="58">
          <cell r="A58">
            <v>57</v>
          </cell>
          <cell r="B58" t="str">
            <v>Textiles and clothing</v>
          </cell>
        </row>
        <row r="59">
          <cell r="A59">
            <v>58</v>
          </cell>
          <cell r="B59" t="str">
            <v>Leather and footwear</v>
          </cell>
        </row>
        <row r="60">
          <cell r="A60">
            <v>59</v>
          </cell>
          <cell r="B60" t="str">
            <v>Sawmill products</v>
          </cell>
        </row>
        <row r="61">
          <cell r="A61">
            <v>60</v>
          </cell>
          <cell r="B61" t="str">
            <v>Pulp and paper</v>
          </cell>
        </row>
        <row r="62">
          <cell r="A62">
            <v>61</v>
          </cell>
          <cell r="B62" t="str">
            <v>Printing</v>
          </cell>
        </row>
        <row r="63">
          <cell r="A63">
            <v>62</v>
          </cell>
          <cell r="B63" t="str">
            <v>Coke oven products</v>
          </cell>
        </row>
        <row r="64">
          <cell r="A64">
            <v>63</v>
          </cell>
          <cell r="B64" t="str">
            <v>Refined petroleum products</v>
          </cell>
        </row>
        <row r="65">
          <cell r="A65">
            <v>64</v>
          </cell>
          <cell r="B65" t="str">
            <v>Nitrogenous fertilizers</v>
          </cell>
        </row>
        <row r="66">
          <cell r="A66">
            <v>65</v>
          </cell>
          <cell r="B66" t="str">
            <v>Non-nitrogenous and mixed fertilizers</v>
          </cell>
        </row>
        <row r="67">
          <cell r="A67">
            <v>66</v>
          </cell>
          <cell r="B67" t="str">
            <v>Basic petrochemical products</v>
          </cell>
        </row>
        <row r="68">
          <cell r="A68">
            <v>67</v>
          </cell>
          <cell r="B68" t="str">
            <v>Basic inorganic chemicals</v>
          </cell>
        </row>
        <row r="69">
          <cell r="A69">
            <v>68</v>
          </cell>
          <cell r="B69" t="str">
            <v>Basic organic chemicals</v>
          </cell>
        </row>
        <row r="70">
          <cell r="A70">
            <v>69</v>
          </cell>
          <cell r="B70" t="str">
            <v>Pharmaceuticals and medicinal products</v>
          </cell>
        </row>
        <row r="71">
          <cell r="A71">
            <v>70</v>
          </cell>
          <cell r="B71" t="str">
            <v>Dyes, paints, glues, detergents and other chemical products</v>
          </cell>
        </row>
        <row r="72">
          <cell r="A72">
            <v>71</v>
          </cell>
          <cell r="B72" t="str">
            <v>Rubber products</v>
          </cell>
        </row>
        <row r="73">
          <cell r="A73">
            <v>72</v>
          </cell>
          <cell r="B73" t="str">
            <v>Plastic products</v>
          </cell>
        </row>
        <row r="74">
          <cell r="A74">
            <v>73</v>
          </cell>
          <cell r="B74" t="str">
            <v>Clay building materials</v>
          </cell>
        </row>
        <row r="75">
          <cell r="A75">
            <v>74</v>
          </cell>
          <cell r="B75" t="str">
            <v>Other ceramics n.e.c.</v>
          </cell>
        </row>
        <row r="76">
          <cell r="A76">
            <v>75</v>
          </cell>
          <cell r="B76" t="str">
            <v>Cement, lime and plaster products</v>
          </cell>
        </row>
        <row r="77">
          <cell r="A77">
            <v>76</v>
          </cell>
          <cell r="B77" t="str">
            <v>Other non-metallic mineral products n.e.c.</v>
          </cell>
        </row>
        <row r="78">
          <cell r="A78">
            <v>77</v>
          </cell>
          <cell r="B78" t="str">
            <v>Basic iron and steel</v>
          </cell>
        </row>
        <row r="79">
          <cell r="A79">
            <v>78</v>
          </cell>
          <cell r="B79" t="str">
            <v>Basic aluminium</v>
          </cell>
        </row>
        <row r="80">
          <cell r="A80">
            <v>79</v>
          </cell>
          <cell r="B80" t="str">
            <v>Basic Copper</v>
          </cell>
        </row>
        <row r="81">
          <cell r="A81">
            <v>80</v>
          </cell>
          <cell r="B81" t="str">
            <v>Basic Gold</v>
          </cell>
        </row>
        <row r="82">
          <cell r="A82">
            <v>81</v>
          </cell>
          <cell r="B82" t="str">
            <v>Basic lead/zinc/silver</v>
          </cell>
        </row>
        <row r="83">
          <cell r="A83">
            <v>82</v>
          </cell>
          <cell r="B83" t="str">
            <v>Basic nickel</v>
          </cell>
        </row>
        <row r="84">
          <cell r="A84">
            <v>83</v>
          </cell>
          <cell r="B84" t="str">
            <v>Basic tin</v>
          </cell>
        </row>
        <row r="85">
          <cell r="A85">
            <v>84</v>
          </cell>
          <cell r="B85" t="str">
            <v>Basic non-ferrous metals n.e.c.</v>
          </cell>
        </row>
        <row r="86">
          <cell r="A86">
            <v>85</v>
          </cell>
          <cell r="B86" t="str">
            <v>Fabricated metal products</v>
          </cell>
        </row>
        <row r="87">
          <cell r="A87">
            <v>86</v>
          </cell>
          <cell r="B87" t="str">
            <v>Machinery and equipment</v>
          </cell>
        </row>
        <row r="88">
          <cell r="A88">
            <v>87</v>
          </cell>
          <cell r="B88" t="str">
            <v>Motor vehicles, trailers and semi-trailers</v>
          </cell>
        </row>
        <row r="89">
          <cell r="A89">
            <v>88</v>
          </cell>
          <cell r="B89" t="str">
            <v>Other transport equipment</v>
          </cell>
        </row>
        <row r="90">
          <cell r="A90">
            <v>89</v>
          </cell>
          <cell r="B90" t="str">
            <v>Repair and installation of machinery and equipment</v>
          </cell>
        </row>
        <row r="91">
          <cell r="A91">
            <v>90</v>
          </cell>
          <cell r="B91" t="str">
            <v>Computers; electronic products; optical and precision instruments</v>
          </cell>
        </row>
        <row r="92">
          <cell r="A92">
            <v>91</v>
          </cell>
          <cell r="B92" t="str">
            <v>Electrical equipment</v>
          </cell>
        </row>
        <row r="93">
          <cell r="A93">
            <v>92</v>
          </cell>
          <cell r="B93" t="str">
            <v>Furniture and other manufacturing n.e.c</v>
          </cell>
        </row>
        <row r="94">
          <cell r="A94">
            <v>93</v>
          </cell>
          <cell r="B94" t="str">
            <v>Electric power generation, transmission and distribution</v>
          </cell>
        </row>
        <row r="95">
          <cell r="A95">
            <v>94</v>
          </cell>
          <cell r="B95" t="str">
            <v>Distribution of gaseous fuels through mains</v>
          </cell>
        </row>
        <row r="96">
          <cell r="A96">
            <v>95</v>
          </cell>
          <cell r="B96" t="str">
            <v>Water collection, treatment and supply; sewerage</v>
          </cell>
        </row>
        <row r="97">
          <cell r="A97">
            <v>96</v>
          </cell>
          <cell r="B97" t="str">
            <v>Waste collection, treatment, and disposal</v>
          </cell>
        </row>
        <row r="98">
          <cell r="A98">
            <v>97</v>
          </cell>
          <cell r="B98" t="str">
            <v>Materials recovery</v>
          </cell>
        </row>
        <row r="99">
          <cell r="A99">
            <v>98</v>
          </cell>
          <cell r="B99" t="str">
            <v>Building construction</v>
          </cell>
        </row>
        <row r="100">
          <cell r="A100">
            <v>99</v>
          </cell>
          <cell r="B100" t="str">
            <v>Civil engineering construction</v>
          </cell>
        </row>
        <row r="101">
          <cell r="A101">
            <v>100</v>
          </cell>
          <cell r="B101" t="str">
            <v>Wholesale and retail trade; repair of motor vehicles and motorcycles</v>
          </cell>
        </row>
        <row r="102">
          <cell r="A102">
            <v>101</v>
          </cell>
          <cell r="B102" t="str">
            <v>Road transport</v>
          </cell>
        </row>
        <row r="103">
          <cell r="A103">
            <v>102</v>
          </cell>
          <cell r="B103" t="str">
            <v>Rail transport</v>
          </cell>
        </row>
        <row r="104">
          <cell r="A104">
            <v>103</v>
          </cell>
          <cell r="B104" t="str">
            <v>Transport via pipeline</v>
          </cell>
        </row>
        <row r="105">
          <cell r="A105">
            <v>104</v>
          </cell>
          <cell r="B105" t="str">
            <v>Water transport</v>
          </cell>
        </row>
        <row r="106">
          <cell r="A106">
            <v>105</v>
          </cell>
          <cell r="B106" t="str">
            <v>Air transport</v>
          </cell>
        </row>
        <row r="107">
          <cell r="A107">
            <v>106</v>
          </cell>
          <cell r="B107" t="str">
            <v>Services to transport</v>
          </cell>
        </row>
        <row r="108">
          <cell r="A108">
            <v>107</v>
          </cell>
          <cell r="B108" t="str">
            <v>Postal and courier services</v>
          </cell>
        </row>
        <row r="109">
          <cell r="A109">
            <v>108</v>
          </cell>
          <cell r="B109" t="str">
            <v>Hospitality</v>
          </cell>
        </row>
        <row r="110">
          <cell r="A110">
            <v>109</v>
          </cell>
          <cell r="B110" t="str">
            <v>Publishing</v>
          </cell>
        </row>
        <row r="111">
          <cell r="A111">
            <v>110</v>
          </cell>
          <cell r="B111" t="str">
            <v>Telecommunications</v>
          </cell>
        </row>
        <row r="112">
          <cell r="A112">
            <v>111</v>
          </cell>
          <cell r="B112" t="str">
            <v>Information services</v>
          </cell>
        </row>
        <row r="113">
          <cell r="A113">
            <v>112</v>
          </cell>
          <cell r="B113" t="str">
            <v>Finance and insurance</v>
          </cell>
        </row>
        <row r="114">
          <cell r="A114">
            <v>113</v>
          </cell>
          <cell r="B114" t="str">
            <v>Property and real estate</v>
          </cell>
        </row>
        <row r="115">
          <cell r="A115">
            <v>114</v>
          </cell>
          <cell r="B115" t="str">
            <v>Professional, scientific and technical services</v>
          </cell>
        </row>
        <row r="116">
          <cell r="A116">
            <v>115</v>
          </cell>
          <cell r="B116" t="str">
            <v>Administrative services</v>
          </cell>
        </row>
        <row r="117">
          <cell r="A117">
            <v>116</v>
          </cell>
          <cell r="B117" t="str">
            <v>Government; social security; defence; public order</v>
          </cell>
        </row>
        <row r="118">
          <cell r="A118">
            <v>117</v>
          </cell>
          <cell r="B118" t="str">
            <v>Education</v>
          </cell>
        </row>
        <row r="119">
          <cell r="A119">
            <v>118</v>
          </cell>
          <cell r="B119" t="str">
            <v>Human health and social work activities</v>
          </cell>
        </row>
        <row r="120">
          <cell r="A120">
            <v>119</v>
          </cell>
          <cell r="B120" t="str">
            <v>Arts, entertainment and recreation</v>
          </cell>
        </row>
        <row r="121">
          <cell r="A121">
            <v>120</v>
          </cell>
          <cell r="B121" t="str">
            <v>Other services</v>
          </cell>
        </row>
        <row r="122">
          <cell r="A122" t="str">
            <v>ALL</v>
          </cell>
          <cell r="B122" t="str">
            <v>ALL</v>
          </cell>
        </row>
      </sheetData>
      <sheetData sheetId="21">
        <row r="2">
          <cell r="A2" t="str">
            <v>FD_1</v>
          </cell>
          <cell r="B2" t="str">
            <v>Household final consumption P.3h</v>
          </cell>
        </row>
        <row r="3">
          <cell r="A3" t="str">
            <v>FD_2</v>
          </cell>
          <cell r="B3" t="str">
            <v>Non-profit institutions serving households P.3n</v>
          </cell>
        </row>
        <row r="4">
          <cell r="A4" t="str">
            <v>FD_3</v>
          </cell>
          <cell r="B4" t="str">
            <v>Government final consumption P.3g</v>
          </cell>
        </row>
        <row r="5">
          <cell r="A5" t="str">
            <v>FD_4</v>
          </cell>
          <cell r="B5" t="str">
            <v>Gross fixed capital formation P.51</v>
          </cell>
        </row>
        <row r="6">
          <cell r="A6" t="str">
            <v>FD_5</v>
          </cell>
          <cell r="B6" t="str">
            <v>Changes in inventories P.52</v>
          </cell>
        </row>
        <row r="7">
          <cell r="A7" t="str">
            <v>FD_6</v>
          </cell>
          <cell r="B7" t="str">
            <v>Acquisitions less disposals of valuables P.53</v>
          </cell>
        </row>
        <row r="8">
          <cell r="A8" t="str">
            <v>ALL</v>
          </cell>
          <cell r="B8" t="str">
            <v>ALL</v>
          </cell>
        </row>
      </sheetData>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verview"/>
      <sheetName val="Carbon tax"/>
      <sheetName val="CBAM"/>
      <sheetName val="Final demand"/>
      <sheetName val="Investment by"/>
      <sheetName val="Input-output coefficients"/>
      <sheetName val="Price change"/>
      <sheetName val="Investment converter"/>
      <sheetName val="Wage change"/>
      <sheetName val="Employment change"/>
      <sheetName val="Supply constraint"/>
      <sheetName val="Capacity"/>
      <sheetName val="Capital"/>
      <sheetName val="Tariffs"/>
      <sheetName val="Sanction trade"/>
      <sheetName val="rev_proportional"/>
      <sheetName val="rev_split"/>
      <sheetName val="inv_spending"/>
      <sheetName val="govt_spending"/>
      <sheetName val="Country list"/>
      <sheetName val="Sector list"/>
      <sheetName val="FD list"/>
      <sheetName val="Fuel tax"/>
      <sheetName val="Sectoral tax"/>
      <sheetName val="Sales tax"/>
      <sheetName val="Income tax"/>
      <sheetName val="Capital 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A2" t="str">
            <v>XAM</v>
          </cell>
          <cell r="B2" t="str">
            <v>Rest of Americas</v>
          </cell>
        </row>
        <row r="3">
          <cell r="A3" t="str">
            <v>XEU</v>
          </cell>
          <cell r="B3" t="str">
            <v>Rest of Europe</v>
          </cell>
        </row>
        <row r="4">
          <cell r="A4" t="str">
            <v>XAF</v>
          </cell>
          <cell r="B4" t="str">
            <v>Rest of Africa</v>
          </cell>
        </row>
        <row r="5">
          <cell r="A5" t="str">
            <v>XAS</v>
          </cell>
          <cell r="B5" t="str">
            <v>Rest of Asia-Pacific</v>
          </cell>
        </row>
        <row r="6">
          <cell r="A6" t="str">
            <v>AFG</v>
          </cell>
          <cell r="B6" t="str">
            <v>Afghanistan</v>
          </cell>
        </row>
        <row r="7">
          <cell r="A7" t="str">
            <v>AGO</v>
          </cell>
          <cell r="B7" t="str">
            <v>Angola</v>
          </cell>
        </row>
        <row r="8">
          <cell r="A8" t="str">
            <v>ALB</v>
          </cell>
          <cell r="B8" t="str">
            <v>Albania</v>
          </cell>
        </row>
        <row r="9">
          <cell r="A9" t="str">
            <v>ARE</v>
          </cell>
          <cell r="B9" t="str">
            <v>United Arab Emirates</v>
          </cell>
        </row>
        <row r="10">
          <cell r="A10" t="str">
            <v>ARG</v>
          </cell>
          <cell r="B10" t="str">
            <v>Argentina</v>
          </cell>
        </row>
        <row r="11">
          <cell r="A11" t="str">
            <v>ARM</v>
          </cell>
          <cell r="B11" t="str">
            <v>Armenia</v>
          </cell>
        </row>
        <row r="12">
          <cell r="A12" t="str">
            <v>AUS</v>
          </cell>
          <cell r="B12" t="str">
            <v>Australia</v>
          </cell>
        </row>
        <row r="13">
          <cell r="A13" t="str">
            <v>AUT</v>
          </cell>
          <cell r="B13" t="str">
            <v>Austria</v>
          </cell>
        </row>
        <row r="14">
          <cell r="A14" t="str">
            <v>AZE</v>
          </cell>
          <cell r="B14" t="str">
            <v>Azerbaijan</v>
          </cell>
        </row>
        <row r="15">
          <cell r="A15" t="str">
            <v>BDI</v>
          </cell>
          <cell r="B15" t="str">
            <v>Burundi</v>
          </cell>
        </row>
        <row r="16">
          <cell r="A16" t="str">
            <v>BEL</v>
          </cell>
          <cell r="B16" t="str">
            <v>Belgium</v>
          </cell>
        </row>
        <row r="17">
          <cell r="A17" t="str">
            <v>BEN</v>
          </cell>
          <cell r="B17" t="str">
            <v>Benin</v>
          </cell>
        </row>
        <row r="18">
          <cell r="A18" t="str">
            <v>BFA</v>
          </cell>
          <cell r="B18" t="str">
            <v>Burkina Faso</v>
          </cell>
        </row>
        <row r="19">
          <cell r="A19" t="str">
            <v>BGD</v>
          </cell>
          <cell r="B19" t="str">
            <v>Bangladesh</v>
          </cell>
        </row>
        <row r="20">
          <cell r="A20" t="str">
            <v>BGR</v>
          </cell>
          <cell r="B20" t="str">
            <v>Bulgaria</v>
          </cell>
        </row>
        <row r="21">
          <cell r="A21" t="str">
            <v>BHR</v>
          </cell>
          <cell r="B21" t="str">
            <v>Bahrain</v>
          </cell>
        </row>
        <row r="22">
          <cell r="A22" t="str">
            <v>BHS</v>
          </cell>
          <cell r="B22" t="str">
            <v>Bahamas</v>
          </cell>
        </row>
        <row r="23">
          <cell r="A23" t="str">
            <v>BIH</v>
          </cell>
          <cell r="B23" t="str">
            <v>Bosnia and Herzegovina</v>
          </cell>
        </row>
        <row r="24">
          <cell r="A24" t="str">
            <v>BLR</v>
          </cell>
          <cell r="B24" t="str">
            <v>Belarus</v>
          </cell>
        </row>
        <row r="25">
          <cell r="A25" t="str">
            <v>BLZ</v>
          </cell>
          <cell r="B25" t="str">
            <v>Belize</v>
          </cell>
        </row>
        <row r="26">
          <cell r="A26" t="str">
            <v>BOL</v>
          </cell>
          <cell r="B26" t="str">
            <v>Bolivia</v>
          </cell>
        </row>
        <row r="27">
          <cell r="A27" t="str">
            <v>BRA</v>
          </cell>
          <cell r="B27" t="str">
            <v>Brazil</v>
          </cell>
        </row>
        <row r="28">
          <cell r="A28" t="str">
            <v>BRN</v>
          </cell>
          <cell r="B28" t="str">
            <v>Brunei Darussalam</v>
          </cell>
        </row>
        <row r="29">
          <cell r="A29" t="str">
            <v>BTN</v>
          </cell>
          <cell r="B29" t="str">
            <v>Bhutan</v>
          </cell>
        </row>
        <row r="30">
          <cell r="A30" t="str">
            <v>BWA</v>
          </cell>
          <cell r="B30" t="str">
            <v>Botswana</v>
          </cell>
        </row>
        <row r="31">
          <cell r="A31" t="str">
            <v>CAF</v>
          </cell>
          <cell r="B31" t="str">
            <v>Central African Republic</v>
          </cell>
        </row>
        <row r="32">
          <cell r="A32" t="str">
            <v>CAN</v>
          </cell>
          <cell r="B32" t="str">
            <v>Canada</v>
          </cell>
        </row>
        <row r="33">
          <cell r="A33" t="str">
            <v>CHE</v>
          </cell>
          <cell r="B33" t="str">
            <v>Switzerland</v>
          </cell>
        </row>
        <row r="34">
          <cell r="A34" t="str">
            <v>CHL</v>
          </cell>
          <cell r="B34" t="str">
            <v>Chile</v>
          </cell>
        </row>
        <row r="35">
          <cell r="A35" t="str">
            <v>CHN</v>
          </cell>
          <cell r="B35" t="str">
            <v>China</v>
          </cell>
        </row>
        <row r="36">
          <cell r="A36" t="str">
            <v>CIV</v>
          </cell>
          <cell r="B36" t="str">
            <v>Cote d'Ivoire</v>
          </cell>
        </row>
        <row r="37">
          <cell r="A37" t="str">
            <v>CMR</v>
          </cell>
          <cell r="B37" t="str">
            <v>Cameroon</v>
          </cell>
        </row>
        <row r="38">
          <cell r="A38" t="str">
            <v>COD</v>
          </cell>
          <cell r="B38" t="str">
            <v>DR Congo</v>
          </cell>
        </row>
        <row r="39">
          <cell r="A39" t="str">
            <v>COG</v>
          </cell>
          <cell r="B39" t="str">
            <v>Rep Congo</v>
          </cell>
        </row>
        <row r="40">
          <cell r="A40" t="str">
            <v>COL</v>
          </cell>
          <cell r="B40" t="str">
            <v>Colombia</v>
          </cell>
        </row>
        <row r="41">
          <cell r="A41" t="str">
            <v>CRI</v>
          </cell>
          <cell r="B41" t="str">
            <v>Costa Rica</v>
          </cell>
        </row>
        <row r="42">
          <cell r="A42" t="str">
            <v>CUB</v>
          </cell>
          <cell r="B42" t="str">
            <v>Cuba</v>
          </cell>
        </row>
        <row r="43">
          <cell r="A43" t="str">
            <v>CYP</v>
          </cell>
          <cell r="B43" t="str">
            <v>Cyprus</v>
          </cell>
        </row>
        <row r="44">
          <cell r="A44" t="str">
            <v>CZE</v>
          </cell>
          <cell r="B44" t="str">
            <v>CSSR/Czech Republic (1990/1991)</v>
          </cell>
        </row>
        <row r="45">
          <cell r="A45" t="str">
            <v>DEU</v>
          </cell>
          <cell r="B45" t="str">
            <v>Germany</v>
          </cell>
        </row>
        <row r="46">
          <cell r="A46" t="str">
            <v>DJI</v>
          </cell>
          <cell r="B46" t="str">
            <v>Djibouti</v>
          </cell>
        </row>
        <row r="47">
          <cell r="A47" t="str">
            <v>DYE</v>
          </cell>
          <cell r="B47" t="str">
            <v>DR Yemen (Aden)</v>
          </cell>
        </row>
        <row r="48">
          <cell r="A48" t="str">
            <v>DNK</v>
          </cell>
          <cell r="B48" t="str">
            <v>Denmark</v>
          </cell>
        </row>
        <row r="49">
          <cell r="A49" t="str">
            <v>DOM</v>
          </cell>
          <cell r="B49" t="str">
            <v>Dominican Republic</v>
          </cell>
        </row>
        <row r="50">
          <cell r="A50" t="str">
            <v>DZA</v>
          </cell>
          <cell r="B50" t="str">
            <v>Algeria</v>
          </cell>
        </row>
        <row r="51">
          <cell r="A51" t="str">
            <v>ECU</v>
          </cell>
          <cell r="B51" t="str">
            <v>Ecuador</v>
          </cell>
        </row>
        <row r="52">
          <cell r="A52" t="str">
            <v>EGY</v>
          </cell>
          <cell r="B52" t="str">
            <v>Egypt</v>
          </cell>
        </row>
        <row r="53">
          <cell r="A53" t="str">
            <v>ERI</v>
          </cell>
          <cell r="B53" t="str">
            <v>Eritrea</v>
          </cell>
        </row>
        <row r="54">
          <cell r="A54" t="str">
            <v>ESP</v>
          </cell>
          <cell r="B54" t="str">
            <v>Spain</v>
          </cell>
        </row>
        <row r="55">
          <cell r="A55" t="str">
            <v>EST</v>
          </cell>
          <cell r="B55" t="str">
            <v>Estonia</v>
          </cell>
        </row>
        <row r="56">
          <cell r="A56" t="str">
            <v>ETH</v>
          </cell>
          <cell r="B56" t="str">
            <v>Ethiopia/DR Ethiopia (1992/1993)</v>
          </cell>
        </row>
        <row r="57">
          <cell r="A57" t="str">
            <v>FIN</v>
          </cell>
          <cell r="B57" t="str">
            <v>Finland</v>
          </cell>
        </row>
        <row r="58">
          <cell r="A58" t="str">
            <v>FRA</v>
          </cell>
          <cell r="B58" t="str">
            <v>France</v>
          </cell>
        </row>
        <row r="59">
          <cell r="A59" t="str">
            <v>GAB</v>
          </cell>
          <cell r="B59" t="str">
            <v>Gabon</v>
          </cell>
        </row>
        <row r="60">
          <cell r="A60" t="str">
            <v>GBR</v>
          </cell>
          <cell r="B60" t="str">
            <v>United Kingdom</v>
          </cell>
        </row>
        <row r="61">
          <cell r="A61" t="str">
            <v>GEO</v>
          </cell>
          <cell r="B61" t="str">
            <v>Georgia</v>
          </cell>
        </row>
        <row r="62">
          <cell r="A62" t="str">
            <v>GHA</v>
          </cell>
          <cell r="B62" t="str">
            <v>Ghana</v>
          </cell>
        </row>
        <row r="63">
          <cell r="A63" t="str">
            <v>GIN</v>
          </cell>
          <cell r="B63" t="str">
            <v>Guinea</v>
          </cell>
        </row>
        <row r="64">
          <cell r="A64" t="str">
            <v>GMB</v>
          </cell>
          <cell r="B64" t="str">
            <v>Gambia</v>
          </cell>
        </row>
        <row r="65">
          <cell r="A65" t="str">
            <v>GNQ</v>
          </cell>
          <cell r="B65" t="str">
            <v>Equatorial Guinea</v>
          </cell>
        </row>
        <row r="66">
          <cell r="A66" t="str">
            <v>GRC</v>
          </cell>
          <cell r="B66" t="str">
            <v>Greece</v>
          </cell>
        </row>
        <row r="67">
          <cell r="A67" t="str">
            <v>GTM</v>
          </cell>
          <cell r="B67" t="str">
            <v>Guatemala</v>
          </cell>
        </row>
        <row r="68">
          <cell r="A68" t="str">
            <v>HND</v>
          </cell>
          <cell r="B68" t="str">
            <v>Honduras</v>
          </cell>
        </row>
        <row r="69">
          <cell r="A69" t="str">
            <v>HKG</v>
          </cell>
          <cell r="B69" t="str">
            <v>Hong Kong</v>
          </cell>
        </row>
        <row r="70">
          <cell r="A70" t="str">
            <v>HRV</v>
          </cell>
          <cell r="B70" t="str">
            <v>Croatia</v>
          </cell>
        </row>
        <row r="71">
          <cell r="A71" t="str">
            <v>HTI</v>
          </cell>
          <cell r="B71" t="str">
            <v>Haiti</v>
          </cell>
        </row>
        <row r="72">
          <cell r="A72" t="str">
            <v>HUN</v>
          </cell>
          <cell r="B72" t="str">
            <v>Hungary</v>
          </cell>
        </row>
        <row r="73">
          <cell r="A73" t="str">
            <v>IDN</v>
          </cell>
          <cell r="B73" t="str">
            <v>Indonesia</v>
          </cell>
        </row>
        <row r="74">
          <cell r="A74" t="str">
            <v>IND</v>
          </cell>
          <cell r="B74" t="str">
            <v>India</v>
          </cell>
        </row>
        <row r="75">
          <cell r="A75" t="str">
            <v>IRL</v>
          </cell>
          <cell r="B75" t="str">
            <v>Ireland</v>
          </cell>
        </row>
        <row r="76">
          <cell r="A76" t="str">
            <v>IRN</v>
          </cell>
          <cell r="B76" t="str">
            <v>Iran</v>
          </cell>
        </row>
        <row r="77">
          <cell r="A77" t="str">
            <v>IRQ</v>
          </cell>
          <cell r="B77" t="str">
            <v>Iraq</v>
          </cell>
        </row>
        <row r="78">
          <cell r="A78" t="str">
            <v>ISL</v>
          </cell>
          <cell r="B78" t="str">
            <v>Iceland</v>
          </cell>
        </row>
        <row r="79">
          <cell r="A79" t="str">
            <v>ISR</v>
          </cell>
          <cell r="B79" t="str">
            <v>Israel</v>
          </cell>
        </row>
        <row r="80">
          <cell r="A80" t="str">
            <v>ITA</v>
          </cell>
          <cell r="B80" t="str">
            <v>Italy</v>
          </cell>
        </row>
        <row r="81">
          <cell r="A81" t="str">
            <v>JAM</v>
          </cell>
          <cell r="B81" t="str">
            <v>Jamaica</v>
          </cell>
        </row>
        <row r="82">
          <cell r="A82" t="str">
            <v>JOR</v>
          </cell>
          <cell r="B82" t="str">
            <v>Jordan</v>
          </cell>
        </row>
        <row r="83">
          <cell r="A83" t="str">
            <v>JPN</v>
          </cell>
          <cell r="B83" t="str">
            <v>Japan</v>
          </cell>
        </row>
        <row r="84">
          <cell r="A84" t="str">
            <v>KAZ</v>
          </cell>
          <cell r="B84" t="str">
            <v>Kazakhstan</v>
          </cell>
        </row>
        <row r="85">
          <cell r="A85" t="str">
            <v>KEN</v>
          </cell>
          <cell r="B85" t="str">
            <v>Kenya</v>
          </cell>
        </row>
        <row r="86">
          <cell r="A86" t="str">
            <v>KGZ</v>
          </cell>
          <cell r="B86" t="str">
            <v>Kyrgyzstan</v>
          </cell>
        </row>
        <row r="87">
          <cell r="A87" t="str">
            <v>KHM</v>
          </cell>
          <cell r="B87" t="str">
            <v>Cambodia</v>
          </cell>
        </row>
        <row r="88">
          <cell r="A88" t="str">
            <v>KOR</v>
          </cell>
          <cell r="B88" t="str">
            <v>South Korea</v>
          </cell>
        </row>
        <row r="89">
          <cell r="A89" t="str">
            <v>KWT</v>
          </cell>
          <cell r="B89" t="str">
            <v>Kuwait</v>
          </cell>
        </row>
        <row r="90">
          <cell r="A90" t="str">
            <v>LAO</v>
          </cell>
          <cell r="B90" t="str">
            <v>Laos</v>
          </cell>
        </row>
        <row r="91">
          <cell r="A91" t="str">
            <v>LBN</v>
          </cell>
          <cell r="B91" t="str">
            <v>Lebanon</v>
          </cell>
        </row>
        <row r="92">
          <cell r="A92" t="str">
            <v>LBR</v>
          </cell>
          <cell r="B92" t="str">
            <v>Liberia</v>
          </cell>
        </row>
        <row r="93">
          <cell r="A93" t="str">
            <v>LBY</v>
          </cell>
          <cell r="B93" t="str">
            <v>Libya</v>
          </cell>
        </row>
        <row r="94">
          <cell r="A94" t="str">
            <v>LKA</v>
          </cell>
          <cell r="B94" t="str">
            <v>Sri Lanka</v>
          </cell>
        </row>
        <row r="95">
          <cell r="A95" t="str">
            <v>LTU</v>
          </cell>
          <cell r="B95" t="str">
            <v>Lithuania</v>
          </cell>
        </row>
        <row r="96">
          <cell r="A96" t="str">
            <v>LUX</v>
          </cell>
          <cell r="B96" t="str">
            <v>Luxembourg</v>
          </cell>
        </row>
        <row r="97">
          <cell r="A97" t="str">
            <v>LVA</v>
          </cell>
          <cell r="B97" t="str">
            <v>Latvia</v>
          </cell>
        </row>
        <row r="98">
          <cell r="A98" t="str">
            <v>MAR</v>
          </cell>
          <cell r="B98" t="str">
            <v>Morocco</v>
          </cell>
        </row>
        <row r="99">
          <cell r="A99" t="str">
            <v>MDA</v>
          </cell>
          <cell r="B99" t="str">
            <v>Moldova</v>
          </cell>
        </row>
        <row r="100">
          <cell r="A100" t="str">
            <v>MDG</v>
          </cell>
          <cell r="B100" t="str">
            <v>Madagascar</v>
          </cell>
        </row>
        <row r="101">
          <cell r="A101" t="str">
            <v>MEX</v>
          </cell>
          <cell r="B101" t="str">
            <v>Mexico</v>
          </cell>
        </row>
        <row r="102">
          <cell r="A102" t="str">
            <v>MKD</v>
          </cell>
          <cell r="B102" t="str">
            <v>Macedonia</v>
          </cell>
        </row>
        <row r="103">
          <cell r="A103" t="str">
            <v>MLI</v>
          </cell>
          <cell r="B103" t="str">
            <v>Mali</v>
          </cell>
        </row>
        <row r="104">
          <cell r="A104" t="str">
            <v>MLT</v>
          </cell>
          <cell r="B104" t="str">
            <v>Malta</v>
          </cell>
        </row>
        <row r="105">
          <cell r="A105" t="str">
            <v>MMR</v>
          </cell>
          <cell r="B105" t="str">
            <v>Myanmar</v>
          </cell>
        </row>
        <row r="106">
          <cell r="A106" t="str">
            <v>MNG</v>
          </cell>
          <cell r="B106" t="str">
            <v>Mongolia</v>
          </cell>
        </row>
        <row r="107">
          <cell r="A107" t="str">
            <v>MOZ</v>
          </cell>
          <cell r="B107" t="str">
            <v>Mozambique</v>
          </cell>
        </row>
        <row r="108">
          <cell r="A108" t="str">
            <v>MRT</v>
          </cell>
          <cell r="B108" t="str">
            <v>Mauritania</v>
          </cell>
        </row>
        <row r="109">
          <cell r="A109" t="str">
            <v>MWI</v>
          </cell>
          <cell r="B109" t="str">
            <v>Malawi</v>
          </cell>
        </row>
        <row r="110">
          <cell r="A110" t="str">
            <v>MYS</v>
          </cell>
          <cell r="B110" t="str">
            <v>Malaysia</v>
          </cell>
        </row>
        <row r="111">
          <cell r="A111" t="str">
            <v>NAM</v>
          </cell>
          <cell r="B111" t="str">
            <v>Namibia</v>
          </cell>
        </row>
        <row r="112">
          <cell r="A112" t="str">
            <v>NER</v>
          </cell>
          <cell r="B112" t="str">
            <v>Niger</v>
          </cell>
        </row>
        <row r="113">
          <cell r="A113" t="str">
            <v>NGA</v>
          </cell>
          <cell r="B113" t="str">
            <v>Nigeria</v>
          </cell>
        </row>
        <row r="114">
          <cell r="A114" t="str">
            <v>NIC</v>
          </cell>
          <cell r="B114" t="str">
            <v>Nicaragua</v>
          </cell>
        </row>
        <row r="115">
          <cell r="A115" t="str">
            <v>NLD</v>
          </cell>
          <cell r="B115" t="str">
            <v>Netherlands</v>
          </cell>
        </row>
        <row r="116">
          <cell r="A116" t="str">
            <v>NOR</v>
          </cell>
          <cell r="B116" t="str">
            <v>Norway</v>
          </cell>
        </row>
        <row r="117">
          <cell r="A117" t="str">
            <v>NPL</v>
          </cell>
          <cell r="B117" t="str">
            <v>Nepal</v>
          </cell>
        </row>
        <row r="118">
          <cell r="A118" t="str">
            <v>NZL</v>
          </cell>
          <cell r="B118" t="str">
            <v>New Zealand</v>
          </cell>
        </row>
        <row r="119">
          <cell r="A119" t="str">
            <v>OMN</v>
          </cell>
          <cell r="B119" t="str">
            <v>Oman</v>
          </cell>
        </row>
        <row r="120">
          <cell r="A120" t="str">
            <v>PAK</v>
          </cell>
          <cell r="B120" t="str">
            <v>Pakistan</v>
          </cell>
        </row>
        <row r="121">
          <cell r="A121" t="str">
            <v>PSE</v>
          </cell>
          <cell r="B121" t="str">
            <v>Palestine</v>
          </cell>
        </row>
        <row r="122">
          <cell r="A122" t="str">
            <v>PAN</v>
          </cell>
          <cell r="B122" t="str">
            <v>Panama</v>
          </cell>
        </row>
        <row r="123">
          <cell r="A123" t="str">
            <v>PER</v>
          </cell>
          <cell r="B123" t="str">
            <v>Peru</v>
          </cell>
        </row>
        <row r="124">
          <cell r="A124" t="str">
            <v>PHL</v>
          </cell>
          <cell r="B124" t="str">
            <v>Philippines</v>
          </cell>
        </row>
        <row r="125">
          <cell r="A125" t="str">
            <v>PNG</v>
          </cell>
          <cell r="B125" t="str">
            <v>Papua New Guinea</v>
          </cell>
        </row>
        <row r="126">
          <cell r="A126" t="str">
            <v>POL</v>
          </cell>
          <cell r="B126" t="str">
            <v>Poland</v>
          </cell>
        </row>
        <row r="127">
          <cell r="A127" t="str">
            <v>PRK</v>
          </cell>
          <cell r="B127" t="str">
            <v>North Korea</v>
          </cell>
        </row>
        <row r="128">
          <cell r="A128" t="str">
            <v>PRT</v>
          </cell>
          <cell r="B128" t="str">
            <v>Portugal</v>
          </cell>
        </row>
        <row r="129">
          <cell r="A129" t="str">
            <v>PRY</v>
          </cell>
          <cell r="B129" t="str">
            <v>Paraguay</v>
          </cell>
        </row>
        <row r="130">
          <cell r="A130" t="str">
            <v>QAT</v>
          </cell>
          <cell r="B130" t="str">
            <v>Qatar</v>
          </cell>
        </row>
        <row r="131">
          <cell r="A131" t="str">
            <v>ROU</v>
          </cell>
          <cell r="B131" t="str">
            <v>Romania</v>
          </cell>
        </row>
        <row r="132">
          <cell r="A132" t="str">
            <v>RUS</v>
          </cell>
          <cell r="B132" t="str">
            <v>USSR/Russian Federation (1990/1991)</v>
          </cell>
        </row>
        <row r="133">
          <cell r="A133" t="str">
            <v>RWA</v>
          </cell>
          <cell r="B133" t="str">
            <v>Rwanda</v>
          </cell>
        </row>
        <row r="134">
          <cell r="A134" t="str">
            <v>SAU</v>
          </cell>
          <cell r="B134" t="str">
            <v>Saudi Arabia</v>
          </cell>
        </row>
        <row r="135">
          <cell r="A135" t="str">
            <v>SDS</v>
          </cell>
          <cell r="B135" t="str">
            <v>South Sudan</v>
          </cell>
        </row>
        <row r="136">
          <cell r="A136" t="str">
            <v>SEN</v>
          </cell>
          <cell r="B136" t="str">
            <v>Senegal</v>
          </cell>
        </row>
        <row r="137">
          <cell r="A137" t="str">
            <v>SGP</v>
          </cell>
          <cell r="B137" t="str">
            <v>Singapore</v>
          </cell>
        </row>
        <row r="138">
          <cell r="A138" t="str">
            <v>SLE</v>
          </cell>
          <cell r="B138" t="str">
            <v>Sierra Leone</v>
          </cell>
        </row>
        <row r="139">
          <cell r="A139" t="str">
            <v>SLV</v>
          </cell>
          <cell r="B139" t="str">
            <v>El Salvador</v>
          </cell>
        </row>
        <row r="140">
          <cell r="A140" t="str">
            <v>SOM</v>
          </cell>
          <cell r="B140" t="str">
            <v>Somalia</v>
          </cell>
        </row>
        <row r="141">
          <cell r="A141" t="str">
            <v>SRB</v>
          </cell>
          <cell r="B141" t="str">
            <v>Yugoslavia/Serbia (1991/1992)</v>
          </cell>
        </row>
        <row r="142">
          <cell r="A142" t="str">
            <v>SDN</v>
          </cell>
          <cell r="B142" t="str">
            <v>Sudan/North Sudan (2010/2011)</v>
          </cell>
        </row>
        <row r="143">
          <cell r="A143" t="str">
            <v>SVK</v>
          </cell>
          <cell r="B143" t="str">
            <v>Slovakia</v>
          </cell>
        </row>
        <row r="144">
          <cell r="A144" t="str">
            <v>SVN</v>
          </cell>
          <cell r="B144" t="str">
            <v>Slovenia</v>
          </cell>
        </row>
        <row r="145">
          <cell r="A145" t="str">
            <v>SWE</v>
          </cell>
          <cell r="B145" t="str">
            <v>Sweden</v>
          </cell>
        </row>
        <row r="146">
          <cell r="A146" t="str">
            <v>SYR</v>
          </cell>
          <cell r="B146" t="str">
            <v>Syria</v>
          </cell>
        </row>
        <row r="147">
          <cell r="A147" t="str">
            <v>TCD</v>
          </cell>
          <cell r="B147" t="str">
            <v>Chad</v>
          </cell>
        </row>
        <row r="148">
          <cell r="A148" t="str">
            <v>TGO</v>
          </cell>
          <cell r="B148" t="str">
            <v>Togo</v>
          </cell>
        </row>
        <row r="149">
          <cell r="A149" t="str">
            <v>THA</v>
          </cell>
          <cell r="B149" t="str">
            <v>Thailand</v>
          </cell>
        </row>
        <row r="150">
          <cell r="A150" t="str">
            <v>TJK</v>
          </cell>
          <cell r="B150" t="str">
            <v>Tajikistan</v>
          </cell>
        </row>
        <row r="151">
          <cell r="A151" t="str">
            <v>TKM</v>
          </cell>
          <cell r="B151" t="str">
            <v>Turkmenistan</v>
          </cell>
        </row>
        <row r="152">
          <cell r="A152" t="str">
            <v>TUN</v>
          </cell>
          <cell r="B152" t="str">
            <v>Tunisia</v>
          </cell>
        </row>
        <row r="153">
          <cell r="A153" t="str">
            <v>TUR</v>
          </cell>
          <cell r="B153" t="str">
            <v>Turkey</v>
          </cell>
        </row>
        <row r="154">
          <cell r="A154" t="str">
            <v>TZA</v>
          </cell>
          <cell r="B154" t="str">
            <v>Tanzania</v>
          </cell>
        </row>
        <row r="155">
          <cell r="A155" t="str">
            <v>UGA</v>
          </cell>
          <cell r="B155" t="str">
            <v>Uganda</v>
          </cell>
        </row>
        <row r="156">
          <cell r="A156" t="str">
            <v>UKR</v>
          </cell>
          <cell r="B156" t="str">
            <v>Ukraine</v>
          </cell>
        </row>
        <row r="157">
          <cell r="A157" t="str">
            <v>URY</v>
          </cell>
          <cell r="B157" t="str">
            <v>Uruguay</v>
          </cell>
        </row>
        <row r="158">
          <cell r="A158" t="str">
            <v>USA</v>
          </cell>
          <cell r="B158" t="str">
            <v>United States of America</v>
          </cell>
        </row>
        <row r="159">
          <cell r="A159" t="str">
            <v>UZB</v>
          </cell>
          <cell r="B159" t="str">
            <v>Uzbekistan</v>
          </cell>
        </row>
        <row r="160">
          <cell r="A160" t="str">
            <v>VEN</v>
          </cell>
          <cell r="B160" t="str">
            <v>Venezuela</v>
          </cell>
        </row>
        <row r="161">
          <cell r="A161" t="str">
            <v>VNM</v>
          </cell>
          <cell r="B161" t="str">
            <v>Viet Nam</v>
          </cell>
        </row>
        <row r="162">
          <cell r="A162" t="str">
            <v>YEM</v>
          </cell>
          <cell r="B162" t="str">
            <v>Yemen Arab Republic/Yemen (1990/1991)</v>
          </cell>
        </row>
        <row r="163">
          <cell r="A163" t="str">
            <v>ZAF</v>
          </cell>
          <cell r="B163" t="str">
            <v>South Africa</v>
          </cell>
        </row>
        <row r="164">
          <cell r="A164" t="str">
            <v>ZMB</v>
          </cell>
          <cell r="B164" t="str">
            <v>Zambia</v>
          </cell>
        </row>
        <row r="165">
          <cell r="A165" t="str">
            <v>ZWE</v>
          </cell>
          <cell r="B165" t="str">
            <v>Zimbabwe</v>
          </cell>
        </row>
        <row r="166">
          <cell r="A166" t="str">
            <v>ALL</v>
          </cell>
          <cell r="B166" t="str">
            <v>ALL</v>
          </cell>
        </row>
      </sheetData>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Notes"/>
      <sheetName val="Dashboard"/>
      <sheetName val="Results"/>
      <sheetName val="Summary 1-9"/>
      <sheetName val="S1 Baseline"/>
      <sheetName val="S2 all GHGs"/>
      <sheetName val="S3 PPP$"/>
      <sheetName val="S4 CO2hd and GNI"/>
      <sheetName val="S5 1990 cut-off"/>
      <sheetName val="S6 1900 cut-off"/>
      <sheetName val="S7 1.4% d.r"/>
      <sheetName val="S8 3% d.r"/>
      <sheetName val="S9 exclusions"/>
      <sheetName val="Summary 1-12"/>
      <sheetName val="S10 high income weight"/>
      <sheetName val="S11 low income weight"/>
      <sheetName val="S12 zero income weight"/>
      <sheetName val="Data sheets"/>
      <sheetName val="CO2"/>
      <sheetName val="CO2 incl LU"/>
      <sheetName val="GHGs"/>
      <sheetName val="CO2-hd"/>
      <sheetName val="GNIhd"/>
      <sheetName val="GNI PPP$hd"/>
      <sheetName val="GNI"/>
      <sheetName val="GNI PPP$"/>
      <sheetName val="Population"/>
      <sheetName val="Metadata - Countries"/>
      <sheetName val="Metadata - Indicators"/>
      <sheetName val="Country Results"/>
      <sheetName val="Countries"/>
      <sheetName val="UN Country codes"/>
      <sheetName val="Calculations"/>
      <sheetName val="Discount factor"/>
      <sheetName val="Fair shares model, Oct 2023"/>
    </sheetNames>
    <definedNames>
      <definedName name="ClearCountryExclusions"/>
    </definedNames>
    <sheetDataSet>
      <sheetData sheetId="0"/>
      <sheetData sheetId="1"/>
      <sheetData sheetId="2">
        <row r="7">
          <cell r="N7" t="str">
            <v>LIC/LMIC/LDC/SIDS</v>
          </cell>
        </row>
        <row r="8">
          <cell r="C8" t="str">
            <v>GHGs (MtCO2e)</v>
          </cell>
        </row>
        <row r="9">
          <cell r="C9" t="str">
            <v>GNI/hd (US$/hd)</v>
          </cell>
        </row>
        <row r="89">
          <cell r="B89" t="str">
            <v>World</v>
          </cell>
        </row>
        <row r="90">
          <cell r="B90" t="str">
            <v>Afghanistan</v>
          </cell>
        </row>
        <row r="91">
          <cell r="B91" t="str">
            <v>Africa</v>
          </cell>
        </row>
        <row r="92">
          <cell r="B92" t="str">
            <v>Africa (GCP)</v>
          </cell>
        </row>
        <row r="93">
          <cell r="B93" t="str">
            <v>Albania</v>
          </cell>
        </row>
        <row r="94">
          <cell r="B94" t="str">
            <v>Algeria</v>
          </cell>
        </row>
        <row r="95">
          <cell r="B95" t="str">
            <v>Andorra</v>
          </cell>
        </row>
        <row r="96">
          <cell r="B96" t="str">
            <v>Angola</v>
          </cell>
        </row>
        <row r="97">
          <cell r="B97" t="str">
            <v>Anguilla</v>
          </cell>
        </row>
        <row r="98">
          <cell r="B98" t="str">
            <v>Antigua and Barbuda</v>
          </cell>
        </row>
        <row r="99">
          <cell r="B99" t="str">
            <v>Argentina</v>
          </cell>
        </row>
        <row r="100">
          <cell r="B100" t="str">
            <v>Armenia</v>
          </cell>
        </row>
        <row r="101">
          <cell r="B101" t="str">
            <v>Aruba</v>
          </cell>
        </row>
        <row r="102">
          <cell r="B102" t="str">
            <v>Asia</v>
          </cell>
        </row>
        <row r="103">
          <cell r="B103" t="str">
            <v>Asia (GCP)</v>
          </cell>
        </row>
        <row r="104">
          <cell r="B104" t="str">
            <v>Asia (excl. China and India)</v>
          </cell>
        </row>
        <row r="105">
          <cell r="B105" t="str">
            <v>Australia</v>
          </cell>
        </row>
        <row r="106">
          <cell r="B106" t="str">
            <v>Austria</v>
          </cell>
        </row>
        <row r="107">
          <cell r="B107" t="str">
            <v>Azerbaijan</v>
          </cell>
        </row>
        <row r="108">
          <cell r="B108" t="str">
            <v>Bahamas</v>
          </cell>
        </row>
        <row r="109">
          <cell r="B109" t="str">
            <v>Bahrain</v>
          </cell>
        </row>
        <row r="110">
          <cell r="B110" t="str">
            <v>Bangladesh</v>
          </cell>
        </row>
        <row r="111">
          <cell r="B111" t="str">
            <v>Barbados</v>
          </cell>
        </row>
        <row r="112">
          <cell r="B112" t="str">
            <v>Belarus</v>
          </cell>
        </row>
        <row r="113">
          <cell r="B113" t="str">
            <v>Belgium</v>
          </cell>
        </row>
        <row r="114">
          <cell r="B114" t="str">
            <v>Belize</v>
          </cell>
        </row>
        <row r="115">
          <cell r="B115" t="str">
            <v>Benin</v>
          </cell>
        </row>
        <row r="116">
          <cell r="B116" t="str">
            <v>Bermuda</v>
          </cell>
        </row>
        <row r="117">
          <cell r="B117" t="str">
            <v>Bhutan</v>
          </cell>
        </row>
        <row r="118">
          <cell r="B118" t="str">
            <v>Bolivia</v>
          </cell>
        </row>
        <row r="119">
          <cell r="B119" t="str">
            <v>Bonaire Sint Eustatius and Saba</v>
          </cell>
        </row>
        <row r="120">
          <cell r="B120" t="str">
            <v>Bosnia and Herzegovina</v>
          </cell>
        </row>
        <row r="121">
          <cell r="B121" t="str">
            <v>Botswana</v>
          </cell>
        </row>
        <row r="122">
          <cell r="B122" t="str">
            <v>Brazil</v>
          </cell>
        </row>
        <row r="123">
          <cell r="B123" t="str">
            <v>British Virgin Islands</v>
          </cell>
        </row>
        <row r="124">
          <cell r="B124" t="str">
            <v>Brunei</v>
          </cell>
        </row>
        <row r="125">
          <cell r="B125" t="str">
            <v>Bulgaria</v>
          </cell>
        </row>
        <row r="126">
          <cell r="B126" t="str">
            <v>Burkina Faso</v>
          </cell>
        </row>
        <row r="127">
          <cell r="B127" t="str">
            <v>Burundi</v>
          </cell>
        </row>
        <row r="128">
          <cell r="B128" t="str">
            <v>Cambodia</v>
          </cell>
        </row>
        <row r="129">
          <cell r="B129" t="str">
            <v>Cameroon</v>
          </cell>
        </row>
        <row r="130">
          <cell r="B130" t="str">
            <v>Canada</v>
          </cell>
        </row>
        <row r="131">
          <cell r="B131" t="str">
            <v>Cape Verde</v>
          </cell>
        </row>
        <row r="132">
          <cell r="B132" t="str">
            <v>Central African Republic</v>
          </cell>
        </row>
        <row r="133">
          <cell r="B133" t="str">
            <v>Central America (GCP)</v>
          </cell>
        </row>
        <row r="134">
          <cell r="B134" t="str">
            <v>Chad</v>
          </cell>
        </row>
        <row r="135">
          <cell r="B135" t="str">
            <v>Chile</v>
          </cell>
        </row>
        <row r="136">
          <cell r="B136" t="str">
            <v>China</v>
          </cell>
        </row>
        <row r="137">
          <cell r="B137" t="str">
            <v>Colombia</v>
          </cell>
        </row>
        <row r="138">
          <cell r="B138" t="str">
            <v>Comoros</v>
          </cell>
        </row>
        <row r="139">
          <cell r="B139" t="str">
            <v>Congo</v>
          </cell>
        </row>
        <row r="140">
          <cell r="B140" t="str">
            <v>Cook Islands</v>
          </cell>
        </row>
        <row r="141">
          <cell r="B141" t="str">
            <v>Costa Rica</v>
          </cell>
        </row>
        <row r="142">
          <cell r="B142" t="str">
            <v>Cote d'Ivoire</v>
          </cell>
        </row>
        <row r="143">
          <cell r="B143" t="str">
            <v>Croatia</v>
          </cell>
        </row>
        <row r="144">
          <cell r="B144" t="str">
            <v>Cuba</v>
          </cell>
        </row>
        <row r="145">
          <cell r="B145" t="str">
            <v>Curacao</v>
          </cell>
        </row>
        <row r="146">
          <cell r="B146" t="str">
            <v>Cyprus</v>
          </cell>
        </row>
        <row r="147">
          <cell r="B147" t="str">
            <v>Czechia</v>
          </cell>
        </row>
        <row r="148">
          <cell r="B148" t="str">
            <v>Democratic Republic of Congo</v>
          </cell>
        </row>
        <row r="149">
          <cell r="B149" t="str">
            <v>Denmark</v>
          </cell>
        </row>
        <row r="150">
          <cell r="B150" t="str">
            <v>Djibouti</v>
          </cell>
        </row>
        <row r="151">
          <cell r="B151" t="str">
            <v>Dominica</v>
          </cell>
        </row>
        <row r="152">
          <cell r="B152" t="str">
            <v>Dominican Republic</v>
          </cell>
        </row>
        <row r="153">
          <cell r="B153" t="str">
            <v>East Timor</v>
          </cell>
        </row>
        <row r="154">
          <cell r="B154" t="str">
            <v>Ecuador</v>
          </cell>
        </row>
        <row r="155">
          <cell r="B155" t="str">
            <v>Egypt</v>
          </cell>
        </row>
        <row r="156">
          <cell r="B156" t="str">
            <v>El Salvador</v>
          </cell>
        </row>
        <row r="157">
          <cell r="B157" t="str">
            <v>Equatorial Guinea</v>
          </cell>
        </row>
        <row r="158">
          <cell r="B158" t="str">
            <v>Eritrea</v>
          </cell>
        </row>
        <row r="159">
          <cell r="B159" t="str">
            <v>Estonia</v>
          </cell>
        </row>
        <row r="160">
          <cell r="B160" t="str">
            <v>Eswatini</v>
          </cell>
        </row>
        <row r="161">
          <cell r="B161" t="str">
            <v>Ethiopia</v>
          </cell>
        </row>
        <row r="162">
          <cell r="B162" t="str">
            <v>Europe</v>
          </cell>
        </row>
        <row r="163">
          <cell r="B163" t="str">
            <v>Europe (GCP)</v>
          </cell>
        </row>
        <row r="164">
          <cell r="B164" t="str">
            <v>Europe (excl. EU-27)</v>
          </cell>
        </row>
        <row r="165">
          <cell r="B165" t="str">
            <v>Europe (excl. EU-28)</v>
          </cell>
        </row>
        <row r="166">
          <cell r="B166" t="str">
            <v>European Union (27)</v>
          </cell>
        </row>
        <row r="167">
          <cell r="B167" t="str">
            <v>European Union (27) (GCP)</v>
          </cell>
        </row>
        <row r="168">
          <cell r="B168" t="str">
            <v>European Union (28)</v>
          </cell>
        </row>
        <row r="169">
          <cell r="B169" t="str">
            <v>Faroe Islands</v>
          </cell>
        </row>
        <row r="170">
          <cell r="B170" t="str">
            <v>Fiji</v>
          </cell>
        </row>
        <row r="171">
          <cell r="B171" t="str">
            <v>Finland</v>
          </cell>
        </row>
        <row r="172">
          <cell r="B172" t="str">
            <v>France</v>
          </cell>
        </row>
        <row r="173">
          <cell r="B173" t="str">
            <v>French Guiana</v>
          </cell>
        </row>
        <row r="174">
          <cell r="B174" t="str">
            <v>French Polynesia</v>
          </cell>
        </row>
        <row r="175">
          <cell r="B175" t="str">
            <v>Gabon</v>
          </cell>
        </row>
        <row r="176">
          <cell r="B176" t="str">
            <v>Gambia</v>
          </cell>
        </row>
        <row r="177">
          <cell r="B177" t="str">
            <v>Georgia</v>
          </cell>
        </row>
        <row r="178">
          <cell r="B178" t="str">
            <v>Germany</v>
          </cell>
        </row>
        <row r="179">
          <cell r="B179" t="str">
            <v>Ghana</v>
          </cell>
        </row>
        <row r="180">
          <cell r="B180" t="str">
            <v>Greece</v>
          </cell>
        </row>
        <row r="181">
          <cell r="B181" t="str">
            <v>Greenland</v>
          </cell>
        </row>
        <row r="182">
          <cell r="B182" t="str">
            <v>Grenada</v>
          </cell>
        </row>
        <row r="183">
          <cell r="B183" t="str">
            <v>Guadeloupe</v>
          </cell>
        </row>
        <row r="184">
          <cell r="B184" t="str">
            <v>Guatemala</v>
          </cell>
        </row>
        <row r="185">
          <cell r="B185" t="str">
            <v>Guinea</v>
          </cell>
        </row>
        <row r="186">
          <cell r="B186" t="str">
            <v>Guinea-Bissau</v>
          </cell>
        </row>
        <row r="187">
          <cell r="B187" t="str">
            <v>Guyana</v>
          </cell>
        </row>
        <row r="188">
          <cell r="B188" t="str">
            <v>Haiti</v>
          </cell>
        </row>
        <row r="189">
          <cell r="B189" t="str">
            <v>High-income countries</v>
          </cell>
        </row>
        <row r="190">
          <cell r="B190" t="str">
            <v>Honduras</v>
          </cell>
        </row>
        <row r="191">
          <cell r="B191" t="str">
            <v>Hong Kong</v>
          </cell>
        </row>
        <row r="192">
          <cell r="B192" t="str">
            <v>Hungary</v>
          </cell>
        </row>
        <row r="193">
          <cell r="B193" t="str">
            <v>Iceland</v>
          </cell>
        </row>
        <row r="194">
          <cell r="B194" t="str">
            <v>India</v>
          </cell>
        </row>
        <row r="195">
          <cell r="B195" t="str">
            <v>Indonesia</v>
          </cell>
        </row>
        <row r="196">
          <cell r="B196" t="str">
            <v>International transport</v>
          </cell>
        </row>
        <row r="197">
          <cell r="B197" t="str">
            <v>Iran</v>
          </cell>
        </row>
        <row r="198">
          <cell r="B198" t="str">
            <v>Iraq</v>
          </cell>
        </row>
        <row r="199">
          <cell r="B199" t="str">
            <v>Ireland</v>
          </cell>
        </row>
        <row r="200">
          <cell r="B200" t="str">
            <v>Israel</v>
          </cell>
        </row>
        <row r="201">
          <cell r="B201" t="str">
            <v>Italy</v>
          </cell>
        </row>
        <row r="202">
          <cell r="B202" t="str">
            <v>Jamaica</v>
          </cell>
        </row>
        <row r="203">
          <cell r="B203" t="str">
            <v>Japan</v>
          </cell>
        </row>
        <row r="204">
          <cell r="B204" t="str">
            <v>Jordan</v>
          </cell>
        </row>
        <row r="205">
          <cell r="B205" t="str">
            <v>Kazakhstan</v>
          </cell>
        </row>
        <row r="206">
          <cell r="B206" t="str">
            <v>Kenya</v>
          </cell>
        </row>
        <row r="207">
          <cell r="B207" t="str">
            <v>Kiribati</v>
          </cell>
        </row>
        <row r="208">
          <cell r="B208" t="str">
            <v>Kosovo</v>
          </cell>
        </row>
        <row r="209">
          <cell r="B209" t="str">
            <v>Kuwait</v>
          </cell>
        </row>
        <row r="210">
          <cell r="B210" t="str">
            <v>Kyrgyzstan</v>
          </cell>
        </row>
        <row r="211">
          <cell r="B211" t="str">
            <v>Laos</v>
          </cell>
        </row>
        <row r="212">
          <cell r="B212" t="str">
            <v>Latvia</v>
          </cell>
        </row>
        <row r="213">
          <cell r="B213" t="str">
            <v>Lebanon</v>
          </cell>
        </row>
        <row r="214">
          <cell r="B214" t="str">
            <v>Lesotho</v>
          </cell>
        </row>
        <row r="215">
          <cell r="B215" t="str">
            <v>Liberia</v>
          </cell>
        </row>
        <row r="216">
          <cell r="B216" t="str">
            <v>Libya</v>
          </cell>
        </row>
        <row r="217">
          <cell r="B217" t="str">
            <v>Liechtenstein</v>
          </cell>
        </row>
        <row r="218">
          <cell r="B218" t="str">
            <v>Lithuania</v>
          </cell>
        </row>
        <row r="219">
          <cell r="B219" t="str">
            <v>Low-income countries</v>
          </cell>
        </row>
        <row r="220">
          <cell r="B220" t="str">
            <v>Lower-middle-income countries</v>
          </cell>
        </row>
        <row r="221">
          <cell r="B221" t="str">
            <v>Luxembourg</v>
          </cell>
        </row>
        <row r="222">
          <cell r="B222" t="str">
            <v>Macao</v>
          </cell>
        </row>
        <row r="223">
          <cell r="B223" t="str">
            <v>Madagascar</v>
          </cell>
        </row>
        <row r="224">
          <cell r="B224" t="str">
            <v>Malawi</v>
          </cell>
        </row>
        <row r="225">
          <cell r="B225" t="str">
            <v>Malaysia</v>
          </cell>
        </row>
        <row r="226">
          <cell r="B226" t="str">
            <v>Maldives</v>
          </cell>
        </row>
        <row r="227">
          <cell r="B227" t="str">
            <v>Mali</v>
          </cell>
        </row>
        <row r="228">
          <cell r="B228" t="str">
            <v>Malta</v>
          </cell>
        </row>
        <row r="229">
          <cell r="B229" t="str">
            <v>Marshall Islands</v>
          </cell>
        </row>
        <row r="230">
          <cell r="B230" t="str">
            <v>Martinique</v>
          </cell>
        </row>
        <row r="231">
          <cell r="B231" t="str">
            <v>Mauritania</v>
          </cell>
        </row>
        <row r="232">
          <cell r="B232" t="str">
            <v>Mauritius</v>
          </cell>
        </row>
        <row r="233">
          <cell r="B233" t="str">
            <v>Mayotte</v>
          </cell>
        </row>
        <row r="234">
          <cell r="B234" t="str">
            <v>Mexico</v>
          </cell>
        </row>
        <row r="235">
          <cell r="B235" t="str">
            <v>Micronesia (country)</v>
          </cell>
        </row>
        <row r="236">
          <cell r="B236" t="str">
            <v>Middle East (GCP)</v>
          </cell>
        </row>
        <row r="237">
          <cell r="B237" t="str">
            <v>Moldova</v>
          </cell>
        </row>
        <row r="238">
          <cell r="B238" t="str">
            <v>Mongolia</v>
          </cell>
        </row>
        <row r="239">
          <cell r="B239" t="str">
            <v>Montenegro</v>
          </cell>
        </row>
        <row r="240">
          <cell r="B240" t="str">
            <v>Montserrat</v>
          </cell>
        </row>
        <row r="241">
          <cell r="B241" t="str">
            <v>Morocco</v>
          </cell>
        </row>
        <row r="242">
          <cell r="B242" t="str">
            <v>Mozambique</v>
          </cell>
        </row>
        <row r="243">
          <cell r="B243" t="str">
            <v>Myanmar</v>
          </cell>
        </row>
        <row r="244">
          <cell r="B244" t="str">
            <v>Namibia</v>
          </cell>
        </row>
        <row r="245">
          <cell r="B245" t="str">
            <v>Nauru</v>
          </cell>
        </row>
        <row r="246">
          <cell r="B246" t="str">
            <v>Nepal</v>
          </cell>
        </row>
        <row r="247">
          <cell r="B247" t="str">
            <v>Netherlands</v>
          </cell>
        </row>
        <row r="248">
          <cell r="B248" t="str">
            <v>New Caledonia</v>
          </cell>
        </row>
        <row r="249">
          <cell r="B249" t="str">
            <v>New Zealand</v>
          </cell>
        </row>
        <row r="250">
          <cell r="B250" t="str">
            <v>Nicaragua</v>
          </cell>
        </row>
        <row r="251">
          <cell r="B251" t="str">
            <v>Niger</v>
          </cell>
        </row>
        <row r="252">
          <cell r="B252" t="str">
            <v>Nigeria</v>
          </cell>
        </row>
        <row r="253">
          <cell r="B253" t="str">
            <v>Niue</v>
          </cell>
        </row>
        <row r="254">
          <cell r="B254" t="str">
            <v>Non-OECD (GCP)</v>
          </cell>
        </row>
        <row r="255">
          <cell r="B255" t="str">
            <v>North America</v>
          </cell>
        </row>
        <row r="256">
          <cell r="B256" t="str">
            <v>North America (GCP)</v>
          </cell>
        </row>
        <row r="257">
          <cell r="B257" t="str">
            <v>North America (excl. USA)</v>
          </cell>
        </row>
        <row r="258">
          <cell r="B258" t="str">
            <v>North Korea</v>
          </cell>
        </row>
        <row r="259">
          <cell r="B259" t="str">
            <v>North Macedonia</v>
          </cell>
        </row>
        <row r="260">
          <cell r="B260" t="str">
            <v>Norway</v>
          </cell>
        </row>
        <row r="261">
          <cell r="B261" t="str">
            <v>OECD (GCP)</v>
          </cell>
        </row>
        <row r="262">
          <cell r="B262" t="str">
            <v>Oceania</v>
          </cell>
        </row>
        <row r="263">
          <cell r="B263" t="str">
            <v>Oceania (GCP)</v>
          </cell>
        </row>
        <row r="264">
          <cell r="B264" t="str">
            <v>Oman</v>
          </cell>
        </row>
        <row r="265">
          <cell r="B265" t="str">
            <v>Pakistan</v>
          </cell>
        </row>
        <row r="266">
          <cell r="B266" t="str">
            <v>Palau</v>
          </cell>
        </row>
        <row r="267">
          <cell r="B267" t="str">
            <v>Palestine</v>
          </cell>
        </row>
        <row r="268">
          <cell r="B268" t="str">
            <v>Panama</v>
          </cell>
        </row>
        <row r="269">
          <cell r="B269" t="str">
            <v>Papua New Guinea</v>
          </cell>
        </row>
        <row r="270">
          <cell r="B270" t="str">
            <v>Paraguay</v>
          </cell>
        </row>
        <row r="271">
          <cell r="B271" t="str">
            <v>Peru</v>
          </cell>
        </row>
        <row r="272">
          <cell r="B272" t="str">
            <v>Philippines</v>
          </cell>
        </row>
        <row r="273">
          <cell r="B273" t="str">
            <v>Poland</v>
          </cell>
        </row>
        <row r="274">
          <cell r="B274" t="str">
            <v>Portugal</v>
          </cell>
        </row>
        <row r="275">
          <cell r="B275" t="str">
            <v>Qatar</v>
          </cell>
        </row>
        <row r="276">
          <cell r="B276" t="str">
            <v>Reunion</v>
          </cell>
        </row>
        <row r="277">
          <cell r="B277" t="str">
            <v>Romania</v>
          </cell>
        </row>
        <row r="278">
          <cell r="B278" t="str">
            <v>Russia</v>
          </cell>
        </row>
        <row r="279">
          <cell r="B279" t="str">
            <v>Rwanda</v>
          </cell>
        </row>
        <row r="280">
          <cell r="B280" t="str">
            <v>Saint Helena</v>
          </cell>
        </row>
        <row r="281">
          <cell r="B281" t="str">
            <v>Saint Kitts and Nevis</v>
          </cell>
        </row>
        <row r="282">
          <cell r="B282" t="str">
            <v>Saint Lucia</v>
          </cell>
        </row>
        <row r="283">
          <cell r="B283" t="str">
            <v>Saint Pierre and Miquelon</v>
          </cell>
        </row>
        <row r="284">
          <cell r="B284" t="str">
            <v>Saint Vincent and the Grenadines</v>
          </cell>
        </row>
        <row r="285">
          <cell r="B285" t="str">
            <v>Samoa</v>
          </cell>
        </row>
        <row r="286">
          <cell r="B286" t="str">
            <v>Sao Tome and Principe</v>
          </cell>
        </row>
        <row r="287">
          <cell r="B287" t="str">
            <v>Saudi Arabia</v>
          </cell>
        </row>
        <row r="288">
          <cell r="B288" t="str">
            <v>Senegal</v>
          </cell>
        </row>
        <row r="289">
          <cell r="B289" t="str">
            <v>Serbia</v>
          </cell>
        </row>
        <row r="290">
          <cell r="B290" t="str">
            <v>Seychelles</v>
          </cell>
        </row>
        <row r="291">
          <cell r="B291" t="str">
            <v>Sierra Leone</v>
          </cell>
        </row>
        <row r="292">
          <cell r="B292" t="str">
            <v>Singapore</v>
          </cell>
        </row>
        <row r="293">
          <cell r="B293" t="str">
            <v>Sint Maarten (Dutch part)</v>
          </cell>
        </row>
        <row r="294">
          <cell r="B294" t="str">
            <v>Slovakia</v>
          </cell>
        </row>
        <row r="295">
          <cell r="B295" t="str">
            <v>Slovenia</v>
          </cell>
        </row>
        <row r="296">
          <cell r="B296" t="str">
            <v>Solomon Islands</v>
          </cell>
        </row>
        <row r="297">
          <cell r="B297" t="str">
            <v>Somalia</v>
          </cell>
        </row>
        <row r="298">
          <cell r="B298" t="str">
            <v>South Africa</v>
          </cell>
        </row>
        <row r="299">
          <cell r="B299" t="str">
            <v>South America</v>
          </cell>
        </row>
        <row r="300">
          <cell r="B300" t="str">
            <v>South America (GCP)</v>
          </cell>
        </row>
        <row r="301">
          <cell r="B301" t="str">
            <v>South Korea</v>
          </cell>
        </row>
        <row r="302">
          <cell r="B302" t="str">
            <v>South Sudan</v>
          </cell>
        </row>
        <row r="303">
          <cell r="B303" t="str">
            <v>Spain</v>
          </cell>
        </row>
        <row r="304">
          <cell r="B304" t="str">
            <v>Sri Lanka</v>
          </cell>
        </row>
        <row r="305">
          <cell r="B305" t="str">
            <v>Sudan</v>
          </cell>
        </row>
        <row r="306">
          <cell r="B306" t="str">
            <v>Suriname</v>
          </cell>
        </row>
        <row r="307">
          <cell r="B307" t="str">
            <v>Sweden</v>
          </cell>
        </row>
        <row r="308">
          <cell r="B308" t="str">
            <v>Switzerland</v>
          </cell>
        </row>
        <row r="309">
          <cell r="B309" t="str">
            <v>Syria</v>
          </cell>
        </row>
        <row r="310">
          <cell r="B310" t="str">
            <v>Taiwan</v>
          </cell>
        </row>
        <row r="311">
          <cell r="B311" t="str">
            <v>Tajikistan</v>
          </cell>
        </row>
        <row r="312">
          <cell r="B312" t="str">
            <v>Tanzania</v>
          </cell>
        </row>
        <row r="313">
          <cell r="B313" t="str">
            <v>Thailand</v>
          </cell>
        </row>
        <row r="314">
          <cell r="B314" t="str">
            <v>Togo</v>
          </cell>
        </row>
        <row r="315">
          <cell r="B315" t="str">
            <v>Tonga</v>
          </cell>
        </row>
        <row r="316">
          <cell r="B316" t="str">
            <v>Trinidad and Tobago</v>
          </cell>
        </row>
        <row r="317">
          <cell r="B317" t="str">
            <v>Tunisia</v>
          </cell>
        </row>
        <row r="318">
          <cell r="B318" t="str">
            <v>Turkey</v>
          </cell>
        </row>
        <row r="319">
          <cell r="B319" t="str">
            <v>Turkmenistan</v>
          </cell>
        </row>
        <row r="320">
          <cell r="B320" t="str">
            <v>Turks and Caicos Islands</v>
          </cell>
        </row>
        <row r="321">
          <cell r="B321" t="str">
            <v>Tuvalu</v>
          </cell>
        </row>
        <row r="322">
          <cell r="B322" t="str">
            <v>Uganda</v>
          </cell>
        </row>
        <row r="323">
          <cell r="B323" t="str">
            <v>Ukraine</v>
          </cell>
        </row>
        <row r="324">
          <cell r="B324" t="str">
            <v>United Arab Emirates</v>
          </cell>
        </row>
        <row r="325">
          <cell r="B325" t="str">
            <v>United Kingdom</v>
          </cell>
        </row>
        <row r="326">
          <cell r="B326" t="str">
            <v>United States</v>
          </cell>
        </row>
        <row r="327">
          <cell r="B327" t="str">
            <v>Upper-middle-income countries</v>
          </cell>
        </row>
        <row r="328">
          <cell r="B328" t="str">
            <v>Uruguay</v>
          </cell>
        </row>
        <row r="329">
          <cell r="B329" t="str">
            <v>Uzbekistan</v>
          </cell>
        </row>
        <row r="330">
          <cell r="B330" t="str">
            <v>Vanuatu</v>
          </cell>
        </row>
        <row r="331">
          <cell r="B331" t="str">
            <v>Venezuela</v>
          </cell>
        </row>
        <row r="332">
          <cell r="B332" t="str">
            <v>Vietnam</v>
          </cell>
        </row>
        <row r="333">
          <cell r="B333" t="str">
            <v>Wallis and Futuna</v>
          </cell>
        </row>
        <row r="334">
          <cell r="B334" t="str">
            <v>Yemen</v>
          </cell>
        </row>
        <row r="335">
          <cell r="B335" t="str">
            <v>Zambia</v>
          </cell>
        </row>
        <row r="336">
          <cell r="B336" t="str">
            <v>Zimbabwe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6">
          <cell r="C6" t="str">
            <v>OWID Code</v>
          </cell>
          <cell r="D6" t="str">
            <v>ISO Code</v>
          </cell>
          <cell r="F6" t="str">
            <v>UN name</v>
          </cell>
          <cell r="I6" t="str">
            <v>earliest year</v>
          </cell>
          <cell r="J6" t="str">
            <v>Undiscounted CO2 (Mt)</v>
          </cell>
          <cell r="K6" t="str">
            <v>Share of total (%)</v>
          </cell>
          <cell r="L6" t="str">
            <v>CO2 (Mt)</v>
          </cell>
          <cell r="M6" t="str">
            <v>Share of total (%)</v>
          </cell>
          <cell r="O6" t="str">
            <v>earliest year</v>
          </cell>
          <cell r="P6" t="str">
            <v>Undiscounted CO2 incl. land-use change (Mt)</v>
          </cell>
          <cell r="Q6" t="str">
            <v>Share of total (%)</v>
          </cell>
          <cell r="R6" t="str">
            <v>CO2 incl. land-use change (Mt)</v>
          </cell>
          <cell r="S6" t="str">
            <v>Share of total (%)</v>
          </cell>
          <cell r="U6" t="str">
            <v>earliest year</v>
          </cell>
          <cell r="V6" t="str">
            <v>Undiscounted GHGs (MtCO2e)</v>
          </cell>
          <cell r="W6" t="str">
            <v>Share of total (%)</v>
          </cell>
          <cell r="X6" t="str">
            <v>GHGs (MtCO2e)</v>
          </cell>
          <cell r="Y6" t="str">
            <v>Share of total (%)</v>
          </cell>
          <cell r="AA6" t="str">
            <v>earliest year</v>
          </cell>
          <cell r="AB6" t="str">
            <v>Undiscounted CO2/hd (Mt)</v>
          </cell>
          <cell r="AC6" t="str">
            <v>Share of total (%)</v>
          </cell>
          <cell r="AD6" t="str">
            <v>CO2/hd (t)</v>
          </cell>
          <cell r="AE6" t="str">
            <v>Share of total (%)</v>
          </cell>
          <cell r="AG6" t="str">
            <v>GNI/hd (US$/hd)</v>
          </cell>
          <cell r="AH6" t="str">
            <v>GNI/hd (PPP$/hd)</v>
          </cell>
          <cell r="AJ6" t="str">
            <v>GNI (US$m)</v>
          </cell>
          <cell r="AK6" t="str">
            <v>GNI (PPP$m)</v>
          </cell>
        </row>
        <row r="7">
          <cell r="B7" t="str">
            <v>World</v>
          </cell>
          <cell r="C7" t="str">
            <v>OWID_WRL</v>
          </cell>
          <cell r="D7" t="e">
            <v>#N/A</v>
          </cell>
          <cell r="E7" t="str">
            <v/>
          </cell>
          <cell r="F7" t="e">
            <v>#N/A</v>
          </cell>
          <cell r="G7" t="str">
            <v/>
          </cell>
          <cell r="I7">
            <v>1750</v>
          </cell>
          <cell r="J7">
            <v>1173973.8600000001</v>
          </cell>
          <cell r="K7">
            <v>1</v>
          </cell>
          <cell r="L7">
            <v>1173973.8600000001</v>
          </cell>
          <cell r="M7">
            <v>1</v>
          </cell>
          <cell r="O7">
            <v>1850</v>
          </cell>
          <cell r="P7">
            <v>1384724.696</v>
          </cell>
          <cell r="Q7">
            <v>1</v>
          </cell>
          <cell r="R7">
            <v>1384724.696</v>
          </cell>
          <cell r="S7">
            <v>1</v>
          </cell>
          <cell r="U7">
            <v>1850</v>
          </cell>
          <cell r="V7">
            <v>1860896.3980000003</v>
          </cell>
          <cell r="W7">
            <v>1</v>
          </cell>
          <cell r="X7">
            <v>1860896.3980000003</v>
          </cell>
          <cell r="Y7">
            <v>1</v>
          </cell>
          <cell r="AA7">
            <v>1750</v>
          </cell>
          <cell r="AB7">
            <v>189.37372429999996</v>
          </cell>
          <cell r="AC7">
            <v>1</v>
          </cell>
          <cell r="AD7">
            <v>189.37372429999996</v>
          </cell>
          <cell r="AE7">
            <v>1</v>
          </cell>
          <cell r="AG7" t="e">
            <v>#N/A</v>
          </cell>
          <cell r="AH7" t="e">
            <v>#N/A</v>
          </cell>
          <cell r="AJ7" t="e">
            <v>#N/A</v>
          </cell>
          <cell r="AK7" t="e">
            <v>#N/A</v>
          </cell>
        </row>
        <row r="8">
          <cell r="B8" t="str">
            <v>Afghanistan</v>
          </cell>
          <cell r="C8" t="str">
            <v>AFG</v>
          </cell>
          <cell r="D8" t="str">
            <v>AFG</v>
          </cell>
          <cell r="E8" t="str">
            <v/>
          </cell>
          <cell r="F8" t="str">
            <v>Afghanistan</v>
          </cell>
          <cell r="G8" t="str">
            <v/>
          </cell>
          <cell r="I8">
            <v>1949</v>
          </cell>
          <cell r="J8">
            <v>190.18814544</v>
          </cell>
          <cell r="K8">
            <v>1.6200373102004162E-4</v>
          </cell>
          <cell r="L8">
            <v>190.18814544</v>
          </cell>
          <cell r="M8">
            <v>1.6200373102004162E-4</v>
          </cell>
          <cell r="O8">
            <v>1850</v>
          </cell>
          <cell r="P8">
            <v>236.35454593999995</v>
          </cell>
          <cell r="Q8">
            <v>1.7068703015317636E-4</v>
          </cell>
          <cell r="R8">
            <v>236.35454593999995</v>
          </cell>
          <cell r="S8">
            <v>1.7068703015317636E-4</v>
          </cell>
          <cell r="U8">
            <v>1850</v>
          </cell>
          <cell r="V8">
            <v>985.30625899999995</v>
          </cell>
          <cell r="W8">
            <v>5.2947937352071752E-4</v>
          </cell>
          <cell r="X8">
            <v>985.30625899999995</v>
          </cell>
          <cell r="Y8">
            <v>5.2947937352071752E-4</v>
          </cell>
          <cell r="AA8">
            <v>1949</v>
          </cell>
          <cell r="AB8">
            <v>8.3263999480000042</v>
          </cell>
          <cell r="AC8">
            <v>4.3968084689561156E-2</v>
          </cell>
          <cell r="AD8">
            <v>8.3263999480000042</v>
          </cell>
          <cell r="AE8">
            <v>1.7966951974616042E-4</v>
          </cell>
          <cell r="AG8">
            <v>390</v>
          </cell>
          <cell r="AH8">
            <v>1680</v>
          </cell>
          <cell r="AJ8">
            <v>15695.386786937233</v>
          </cell>
          <cell r="AK8">
            <v>67358.352349672146</v>
          </cell>
        </row>
        <row r="9">
          <cell r="B9" t="str">
            <v>Africa</v>
          </cell>
          <cell r="D9" t="str">
            <v/>
          </cell>
          <cell r="E9" t="str">
            <v/>
          </cell>
          <cell r="F9" t="str">
            <v/>
          </cell>
          <cell r="G9" t="str">
            <v/>
          </cell>
          <cell r="I9" t="str">
            <v/>
          </cell>
          <cell r="J9" t="str">
            <v/>
          </cell>
          <cell r="K9" t="str">
            <v/>
          </cell>
          <cell r="L9" t="str">
            <v/>
          </cell>
          <cell r="M9" t="str">
            <v/>
          </cell>
          <cell r="O9" t="str">
            <v/>
          </cell>
          <cell r="P9" t="str">
            <v/>
          </cell>
          <cell r="Q9" t="str">
            <v/>
          </cell>
          <cell r="R9" t="str">
            <v/>
          </cell>
          <cell r="S9" t="str">
            <v/>
          </cell>
          <cell r="U9" t="str">
            <v/>
          </cell>
          <cell r="V9" t="str">
            <v/>
          </cell>
          <cell r="W9" t="str">
            <v/>
          </cell>
          <cell r="X9" t="str">
            <v/>
          </cell>
          <cell r="Y9" t="str">
            <v/>
          </cell>
          <cell r="AA9" t="str">
            <v/>
          </cell>
          <cell r="AB9" t="str">
            <v/>
          </cell>
          <cell r="AC9" t="str">
            <v/>
          </cell>
          <cell r="AD9" t="str">
            <v/>
          </cell>
          <cell r="AE9" t="str">
            <v/>
          </cell>
          <cell r="AG9" t="e">
            <v>#N/A</v>
          </cell>
          <cell r="AH9" t="e">
            <v>#N/A</v>
          </cell>
          <cell r="AJ9" t="e">
            <v>#N/A</v>
          </cell>
          <cell r="AK9" t="e">
            <v>#N/A</v>
          </cell>
        </row>
        <row r="10">
          <cell r="B10" t="str">
            <v>Africa (GCP)</v>
          </cell>
          <cell r="D10" t="str">
            <v/>
          </cell>
          <cell r="E10" t="str">
            <v/>
          </cell>
          <cell r="F10" t="str">
            <v/>
          </cell>
          <cell r="G10" t="str">
            <v/>
          </cell>
          <cell r="I10" t="str">
            <v/>
          </cell>
          <cell r="J10" t="str">
            <v/>
          </cell>
          <cell r="K10" t="str">
            <v/>
          </cell>
          <cell r="L10" t="str">
            <v/>
          </cell>
          <cell r="M10" t="str">
            <v/>
          </cell>
          <cell r="O10" t="str">
            <v/>
          </cell>
          <cell r="P10" t="str">
            <v/>
          </cell>
          <cell r="Q10" t="str">
            <v/>
          </cell>
          <cell r="R10" t="str">
            <v/>
          </cell>
          <cell r="S10" t="str">
            <v/>
          </cell>
          <cell r="U10" t="str">
            <v/>
          </cell>
          <cell r="V10" t="str">
            <v/>
          </cell>
          <cell r="W10" t="str">
            <v/>
          </cell>
          <cell r="X10" t="str">
            <v/>
          </cell>
          <cell r="Y10" t="str">
            <v/>
          </cell>
          <cell r="AA10" t="str">
            <v/>
          </cell>
          <cell r="AB10" t="str">
            <v/>
          </cell>
          <cell r="AC10" t="str">
            <v/>
          </cell>
          <cell r="AD10" t="str">
            <v/>
          </cell>
          <cell r="AE10" t="str">
            <v/>
          </cell>
          <cell r="AG10" t="e">
            <v>#N/A</v>
          </cell>
          <cell r="AH10" t="e">
            <v>#N/A</v>
          </cell>
          <cell r="AJ10" t="e">
            <v>#N/A</v>
          </cell>
          <cell r="AK10" t="e">
            <v>#N/A</v>
          </cell>
        </row>
        <row r="11">
          <cell r="B11" t="str">
            <v>Albania</v>
          </cell>
          <cell r="C11" t="str">
            <v>ALB</v>
          </cell>
          <cell r="D11" t="str">
            <v>ALB</v>
          </cell>
          <cell r="E11" t="str">
            <v/>
          </cell>
          <cell r="F11" t="str">
            <v>Albania</v>
          </cell>
          <cell r="G11" t="str">
            <v/>
          </cell>
          <cell r="I11">
            <v>1933</v>
          </cell>
          <cell r="J11">
            <v>209.36299010000005</v>
          </cell>
          <cell r="K11">
            <v>1.7833701177980235E-4</v>
          </cell>
          <cell r="L11">
            <v>209.36299010000005</v>
          </cell>
          <cell r="M11">
            <v>1.7833701177980235E-4</v>
          </cell>
          <cell r="O11">
            <v>1850</v>
          </cell>
          <cell r="P11">
            <v>254.06379000000004</v>
          </cell>
          <cell r="Q11">
            <v>1.8347603009746569E-4</v>
          </cell>
          <cell r="R11">
            <v>254.06379000000004</v>
          </cell>
          <cell r="S11">
            <v>1.8347603009746569E-4</v>
          </cell>
          <cell r="U11">
            <v>1850</v>
          </cell>
          <cell r="V11">
            <v>414.48587150000003</v>
          </cell>
          <cell r="W11">
            <v>2.2273452296724794E-4</v>
          </cell>
          <cell r="X11">
            <v>414.48587150000003</v>
          </cell>
          <cell r="Y11">
            <v>2.2273452296724794E-4</v>
          </cell>
          <cell r="AA11">
            <v>1933</v>
          </cell>
          <cell r="AB11">
            <v>68.633814569999998</v>
          </cell>
          <cell r="AC11">
            <v>0.36242522463819976</v>
          </cell>
          <cell r="AD11">
            <v>68.633814569999998</v>
          </cell>
          <cell r="AE11">
            <v>1.4810007421155555E-3</v>
          </cell>
          <cell r="AG11">
            <v>6110</v>
          </cell>
          <cell r="AH11">
            <v>15600</v>
          </cell>
          <cell r="AJ11">
            <v>17183.974018017423</v>
          </cell>
          <cell r="AK11">
            <v>43856.907132133834</v>
          </cell>
        </row>
        <row r="12">
          <cell r="B12" t="str">
            <v>Algeria</v>
          </cell>
          <cell r="C12" t="str">
            <v>DZA</v>
          </cell>
          <cell r="D12" t="str">
            <v>DZA</v>
          </cell>
          <cell r="E12" t="str">
            <v/>
          </cell>
          <cell r="F12" t="str">
            <v>Algeria</v>
          </cell>
          <cell r="G12" t="str">
            <v/>
          </cell>
          <cell r="I12">
            <v>1916</v>
          </cell>
          <cell r="J12">
            <v>4429.0031019999997</v>
          </cell>
          <cell r="K12">
            <v>3.7726590454066834E-3</v>
          </cell>
          <cell r="L12">
            <v>4429.0031019999997</v>
          </cell>
          <cell r="M12">
            <v>3.7726590454066834E-3</v>
          </cell>
          <cell r="O12">
            <v>1850</v>
          </cell>
          <cell r="P12">
            <v>4670.130948</v>
          </cell>
          <cell r="Q12">
            <v>3.3726060938253101E-3</v>
          </cell>
          <cell r="R12">
            <v>4670.130948</v>
          </cell>
          <cell r="S12">
            <v>3.3726060938253101E-3</v>
          </cell>
          <cell r="U12">
            <v>1850</v>
          </cell>
          <cell r="V12">
            <v>8219.7539800000013</v>
          </cell>
          <cell r="W12">
            <v>4.4170938203944013E-3</v>
          </cell>
          <cell r="X12">
            <v>8219.7539800000013</v>
          </cell>
          <cell r="Y12">
            <v>4.4170938203944013E-3</v>
          </cell>
          <cell r="AA12">
            <v>1916</v>
          </cell>
          <cell r="AB12">
            <v>140.24569829999999</v>
          </cell>
          <cell r="AC12">
            <v>0.74057633295433911</v>
          </cell>
          <cell r="AD12">
            <v>140.24569829999999</v>
          </cell>
          <cell r="AE12">
            <v>3.0262631410203182E-3</v>
          </cell>
          <cell r="AG12">
            <v>3660</v>
          </cell>
          <cell r="AH12">
            <v>11860</v>
          </cell>
          <cell r="AJ12">
            <v>161494.85071019549</v>
          </cell>
          <cell r="AK12">
            <v>524016.53537795087</v>
          </cell>
        </row>
        <row r="13">
          <cell r="B13" t="str">
            <v>Andorra</v>
          </cell>
          <cell r="C13" t="str">
            <v>AND</v>
          </cell>
          <cell r="D13" t="str">
            <v>AND</v>
          </cell>
          <cell r="E13" t="str">
            <v/>
          </cell>
          <cell r="F13" t="str">
            <v>Andorra</v>
          </cell>
          <cell r="G13" t="str">
            <v/>
          </cell>
          <cell r="I13">
            <v>1990</v>
          </cell>
          <cell r="J13">
            <v>15.484491969999997</v>
          </cell>
          <cell r="K13">
            <v>1.3189809839547871E-5</v>
          </cell>
          <cell r="L13">
            <v>15.484491969999997</v>
          </cell>
          <cell r="M13">
            <v>1.3189809839547871E-5</v>
          </cell>
          <cell r="O13">
            <v>1990</v>
          </cell>
          <cell r="P13">
            <v>16.62033194</v>
          </cell>
          <cell r="Q13">
            <v>1.2002625495169185E-5</v>
          </cell>
          <cell r="R13">
            <v>16.62033194</v>
          </cell>
          <cell r="S13">
            <v>1.2002625495169185E-5</v>
          </cell>
          <cell r="U13">
            <v>1850</v>
          </cell>
          <cell r="V13">
            <v>22.204697990000003</v>
          </cell>
          <cell r="W13">
            <v>1.1932259105807565E-5</v>
          </cell>
          <cell r="X13">
            <v>22.204697990000003</v>
          </cell>
          <cell r="Y13">
            <v>1.1932259105807565E-5</v>
          </cell>
          <cell r="AA13">
            <v>1990</v>
          </cell>
          <cell r="AB13">
            <v>222.40042929999998</v>
          </cell>
          <cell r="AC13">
            <v>1.1743996170645097</v>
          </cell>
          <cell r="AD13">
            <v>222.40042929999998</v>
          </cell>
          <cell r="AE13">
            <v>4.7990222152695088E-3</v>
          </cell>
          <cell r="AG13">
            <v>46530</v>
          </cell>
          <cell r="AH13" t="str">
            <v/>
          </cell>
          <cell r="AJ13">
            <v>3551.9873660441503</v>
          </cell>
          <cell r="AK13" t="e">
            <v>#VALUE!</v>
          </cell>
        </row>
        <row r="14">
          <cell r="B14" t="str">
            <v>Angola</v>
          </cell>
          <cell r="C14" t="str">
            <v>AGO</v>
          </cell>
          <cell r="D14" t="str">
            <v>AGO</v>
          </cell>
          <cell r="E14" t="str">
            <v/>
          </cell>
          <cell r="F14" t="str">
            <v>Angola</v>
          </cell>
          <cell r="G14" t="str">
            <v/>
          </cell>
          <cell r="I14">
            <v>1950</v>
          </cell>
          <cell r="J14">
            <v>602.42239500000005</v>
          </cell>
          <cell r="K14">
            <v>5.1314804828788948E-4</v>
          </cell>
          <cell r="L14">
            <v>602.42239500000005</v>
          </cell>
          <cell r="M14">
            <v>5.1314804828788948E-4</v>
          </cell>
          <cell r="O14">
            <v>1850</v>
          </cell>
          <cell r="P14">
            <v>2990.2511960000006</v>
          </cell>
          <cell r="Q14">
            <v>2.1594553810138739E-3</v>
          </cell>
          <cell r="R14">
            <v>2990.2511960000006</v>
          </cell>
          <cell r="S14">
            <v>2.1594553810138739E-3</v>
          </cell>
          <cell r="U14">
            <v>1850</v>
          </cell>
          <cell r="V14">
            <v>5997.2018079999998</v>
          </cell>
          <cell r="W14">
            <v>3.2227488937296546E-3</v>
          </cell>
          <cell r="X14">
            <v>5997.2018079999998</v>
          </cell>
          <cell r="Y14">
            <v>3.2227488937296546E-3</v>
          </cell>
          <cell r="AA14">
            <v>1950</v>
          </cell>
          <cell r="AB14">
            <v>30.576073410000006</v>
          </cell>
          <cell r="AC14">
            <v>0.16145890103297722</v>
          </cell>
          <cell r="AD14">
            <v>30.576073410000006</v>
          </cell>
          <cell r="AE14">
            <v>6.5977955173983729E-4</v>
          </cell>
          <cell r="AG14">
            <v>1710</v>
          </cell>
          <cell r="AH14">
            <v>5980</v>
          </cell>
          <cell r="AJ14">
            <v>58878.791427283722</v>
          </cell>
          <cell r="AK14">
            <v>206278.15075312252</v>
          </cell>
        </row>
        <row r="15">
          <cell r="B15" t="str">
            <v>Anguilla</v>
          </cell>
          <cell r="C15" t="str">
            <v>AIA</v>
          </cell>
          <cell r="D15" t="str">
            <v>AIA</v>
          </cell>
          <cell r="E15" t="str">
            <v/>
          </cell>
          <cell r="F15" t="str">
            <v>Anguilla</v>
          </cell>
          <cell r="G15" t="str">
            <v/>
          </cell>
          <cell r="I15">
            <v>1990</v>
          </cell>
          <cell r="J15">
            <v>3.588390009999999</v>
          </cell>
          <cell r="K15">
            <v>3.05661832197865E-6</v>
          </cell>
          <cell r="L15">
            <v>3.588390009999999</v>
          </cell>
          <cell r="M15">
            <v>3.05661832197865E-6</v>
          </cell>
          <cell r="O15">
            <v>1850</v>
          </cell>
          <cell r="P15">
            <v>3.588390009999999</v>
          </cell>
          <cell r="Q15">
            <v>2.5914104228556339E-6</v>
          </cell>
          <cell r="R15">
            <v>3.588390009999999</v>
          </cell>
          <cell r="S15">
            <v>2.5914104228556339E-6</v>
          </cell>
          <cell r="U15">
            <v>0</v>
          </cell>
          <cell r="V15">
            <v>0</v>
          </cell>
          <cell r="W15">
            <v>0</v>
          </cell>
          <cell r="X15">
            <v>0</v>
          </cell>
          <cell r="Y15">
            <v>0</v>
          </cell>
          <cell r="AA15">
            <v>1990</v>
          </cell>
          <cell r="AB15">
            <v>287.17841770000007</v>
          </cell>
          <cell r="AC15">
            <v>1.5164639062864971</v>
          </cell>
          <cell r="AD15">
            <v>287.17841770000007</v>
          </cell>
          <cell r="AE15">
            <v>6.1968208003285842E-3</v>
          </cell>
          <cell r="AG15" t="e">
            <v>#N/A</v>
          </cell>
          <cell r="AH15" t="e">
            <v>#N/A</v>
          </cell>
          <cell r="AJ15" t="e">
            <v>#N/A</v>
          </cell>
          <cell r="AK15" t="e">
            <v>#N/A</v>
          </cell>
        </row>
        <row r="16">
          <cell r="B16" t="str">
            <v>Antigua and Barbuda</v>
          </cell>
          <cell r="C16" t="str">
            <v>ATG</v>
          </cell>
          <cell r="D16" t="str">
            <v>ATG</v>
          </cell>
          <cell r="E16" t="str">
            <v/>
          </cell>
          <cell r="F16" t="str">
            <v>Antigua and Barbuda</v>
          </cell>
          <cell r="G16" t="str">
            <v/>
          </cell>
          <cell r="I16">
            <v>1957</v>
          </cell>
          <cell r="J16">
            <v>14.165156019999998</v>
          </cell>
          <cell r="K16">
            <v>1.2065989288722319E-5</v>
          </cell>
          <cell r="L16">
            <v>14.165156019999998</v>
          </cell>
          <cell r="M16">
            <v>1.2065989288722319E-5</v>
          </cell>
          <cell r="O16">
            <v>1850</v>
          </cell>
          <cell r="P16">
            <v>13.249156019999999</v>
          </cell>
          <cell r="Q16">
            <v>9.5680795310954719E-6</v>
          </cell>
          <cell r="R16">
            <v>13.249156019999999</v>
          </cell>
          <cell r="S16">
            <v>9.5680795310954719E-6</v>
          </cell>
          <cell r="U16">
            <v>1850</v>
          </cell>
          <cell r="V16">
            <v>18.085222890000008</v>
          </cell>
          <cell r="W16">
            <v>9.7185544071325589E-6</v>
          </cell>
          <cell r="X16">
            <v>18.085222890000008</v>
          </cell>
          <cell r="Y16">
            <v>9.7185544071325589E-6</v>
          </cell>
          <cell r="AA16">
            <v>1957</v>
          </cell>
          <cell r="AB16">
            <v>181.92518779999995</v>
          </cell>
          <cell r="AC16">
            <v>0.96066752910134312</v>
          </cell>
          <cell r="AD16">
            <v>181.92518779999995</v>
          </cell>
          <cell r="AE16">
            <v>3.9256354878325645E-3</v>
          </cell>
          <cell r="AG16">
            <v>15780</v>
          </cell>
          <cell r="AH16">
            <v>20770</v>
          </cell>
          <cell r="AJ16">
            <v>1471.3517441211754</v>
          </cell>
          <cell r="AK16">
            <v>1936.5303156010441</v>
          </cell>
        </row>
        <row r="17">
          <cell r="B17" t="str">
            <v>Argentina</v>
          </cell>
          <cell r="C17" t="str">
            <v>ARG</v>
          </cell>
          <cell r="D17" t="str">
            <v>ARG</v>
          </cell>
          <cell r="E17" t="str">
            <v/>
          </cell>
          <cell r="F17" t="str">
            <v>Argentina</v>
          </cell>
          <cell r="G17" t="str">
            <v/>
          </cell>
          <cell r="I17">
            <v>1887</v>
          </cell>
          <cell r="J17">
            <v>6271.298053999999</v>
          </cell>
          <cell r="K17">
            <v>5.3419401127040413E-3</v>
          </cell>
          <cell r="L17">
            <v>6271.298053999999</v>
          </cell>
          <cell r="M17">
            <v>5.3419401127040413E-3</v>
          </cell>
          <cell r="O17">
            <v>1850</v>
          </cell>
          <cell r="P17">
            <v>10428.692244000005</v>
          </cell>
          <cell r="Q17">
            <v>7.5312387177934792E-3</v>
          </cell>
          <cell r="R17">
            <v>10428.692244000005</v>
          </cell>
          <cell r="S17">
            <v>7.5312387177934792E-3</v>
          </cell>
          <cell r="U17">
            <v>1850</v>
          </cell>
          <cell r="V17">
            <v>17123.30168</v>
          </cell>
          <cell r="W17">
            <v>9.2016415843478878E-3</v>
          </cell>
          <cell r="X17">
            <v>17123.30168</v>
          </cell>
          <cell r="Y17">
            <v>9.2016415843478878E-3</v>
          </cell>
          <cell r="AA17">
            <v>1887</v>
          </cell>
          <cell r="AB17">
            <v>168.60360269999995</v>
          </cell>
          <cell r="AC17">
            <v>0.89032205139982024</v>
          </cell>
          <cell r="AD17">
            <v>168.60360269999995</v>
          </cell>
          <cell r="AE17">
            <v>3.6381783860692123E-3</v>
          </cell>
          <cell r="AG17">
            <v>9960</v>
          </cell>
          <cell r="AH17">
            <v>23170</v>
          </cell>
          <cell r="AJ17">
            <v>456139.41642938292</v>
          </cell>
          <cell r="AK17">
            <v>1061536.8853340801</v>
          </cell>
        </row>
        <row r="18">
          <cell r="B18" t="str">
            <v>Armenia</v>
          </cell>
          <cell r="C18" t="str">
            <v>ARM</v>
          </cell>
          <cell r="D18" t="str">
            <v>ARM</v>
          </cell>
          <cell r="E18" t="str">
            <v/>
          </cell>
          <cell r="F18" t="str">
            <v>Armenia</v>
          </cell>
          <cell r="G18" t="str">
            <v/>
          </cell>
          <cell r="I18">
            <v>1830</v>
          </cell>
          <cell r="J18">
            <v>241.6917425</v>
          </cell>
          <cell r="K18">
            <v>2.05874892733983E-4</v>
          </cell>
          <cell r="L18">
            <v>241.6917425</v>
          </cell>
          <cell r="M18">
            <v>2.05874892733983E-4</v>
          </cell>
          <cell r="O18">
            <v>1850</v>
          </cell>
          <cell r="P18">
            <v>318.81894200000005</v>
          </cell>
          <cell r="Q18">
            <v>2.3023994799902092E-4</v>
          </cell>
          <cell r="R18">
            <v>318.81894200000005</v>
          </cell>
          <cell r="S18">
            <v>2.3023994799902092E-4</v>
          </cell>
          <cell r="U18">
            <v>1850</v>
          </cell>
          <cell r="V18">
            <v>413.29346050000009</v>
          </cell>
          <cell r="W18">
            <v>2.220937505947067E-4</v>
          </cell>
          <cell r="X18">
            <v>413.29346050000009</v>
          </cell>
          <cell r="Y18">
            <v>2.220937505947067E-4</v>
          </cell>
          <cell r="AA18">
            <v>1830</v>
          </cell>
          <cell r="AB18">
            <v>77.129818689999979</v>
          </cell>
          <cell r="AC18">
            <v>0.40728891494901015</v>
          </cell>
          <cell r="AD18">
            <v>77.129818689999979</v>
          </cell>
          <cell r="AE18">
            <v>1.6643300308279544E-3</v>
          </cell>
          <cell r="AG18">
            <v>4850</v>
          </cell>
          <cell r="AH18">
            <v>15140</v>
          </cell>
          <cell r="AJ18">
            <v>13533.316860918352</v>
          </cell>
          <cell r="AK18">
            <v>42242.456978509414</v>
          </cell>
        </row>
        <row r="19">
          <cell r="B19" t="str">
            <v>Aruba</v>
          </cell>
          <cell r="C19" t="str">
            <v>ABW</v>
          </cell>
          <cell r="D19" t="str">
            <v>ABW</v>
          </cell>
          <cell r="E19" t="str">
            <v/>
          </cell>
          <cell r="F19" t="str">
            <v>Aruba</v>
          </cell>
          <cell r="G19" t="str">
            <v/>
          </cell>
          <cell r="I19">
            <v>1926</v>
          </cell>
          <cell r="J19">
            <v>53.068010000000001</v>
          </cell>
          <cell r="K19">
            <v>4.5203740737464118E-5</v>
          </cell>
          <cell r="L19">
            <v>53.068010000000001</v>
          </cell>
          <cell r="M19">
            <v>4.5203740737464118E-5</v>
          </cell>
          <cell r="O19">
            <v>1926</v>
          </cell>
          <cell r="P19">
            <v>0</v>
          </cell>
          <cell r="Q19">
            <v>0</v>
          </cell>
          <cell r="R19">
            <v>0</v>
          </cell>
          <cell r="S19">
            <v>0</v>
          </cell>
          <cell r="U19">
            <v>1850</v>
          </cell>
          <cell r="V19">
            <v>55.536872150000001</v>
          </cell>
          <cell r="W19">
            <v>2.9844150490961395E-5</v>
          </cell>
          <cell r="X19">
            <v>55.536872150000001</v>
          </cell>
          <cell r="Y19">
            <v>2.9844150490961395E-5</v>
          </cell>
          <cell r="AA19">
            <v>1930</v>
          </cell>
          <cell r="AB19">
            <v>598.27627450000011</v>
          </cell>
          <cell r="AC19">
            <v>3.1592359326060961</v>
          </cell>
          <cell r="AD19">
            <v>598.27627450000011</v>
          </cell>
          <cell r="AE19">
            <v>1.2909782329247417E-2</v>
          </cell>
          <cell r="AG19">
            <v>29390</v>
          </cell>
          <cell r="AH19">
            <v>41430</v>
          </cell>
          <cell r="AJ19">
            <v>3130.8331597203787</v>
          </cell>
          <cell r="AK19">
            <v>4413.8659932584133</v>
          </cell>
        </row>
        <row r="20">
          <cell r="B20" t="str">
            <v>Asia</v>
          </cell>
          <cell r="D20" t="str">
            <v/>
          </cell>
          <cell r="E20" t="str">
            <v/>
          </cell>
          <cell r="F20" t="str">
            <v/>
          </cell>
          <cell r="G20" t="str">
            <v/>
          </cell>
          <cell r="I20" t="str">
            <v/>
          </cell>
          <cell r="J20" t="str">
            <v/>
          </cell>
          <cell r="K20" t="str">
            <v/>
          </cell>
          <cell r="L20" t="str">
            <v/>
          </cell>
          <cell r="M20" t="str">
            <v/>
          </cell>
          <cell r="O20" t="str">
            <v/>
          </cell>
          <cell r="P20" t="str">
            <v/>
          </cell>
          <cell r="Q20" t="str">
            <v/>
          </cell>
          <cell r="R20" t="str">
            <v/>
          </cell>
          <cell r="S20" t="str">
            <v/>
          </cell>
          <cell r="U20" t="str">
            <v/>
          </cell>
          <cell r="V20" t="str">
            <v/>
          </cell>
          <cell r="W20" t="str">
            <v/>
          </cell>
          <cell r="X20" t="str">
            <v/>
          </cell>
          <cell r="Y20" t="str">
            <v/>
          </cell>
          <cell r="AA20" t="str">
            <v/>
          </cell>
          <cell r="AB20" t="str">
            <v/>
          </cell>
          <cell r="AC20" t="str">
            <v/>
          </cell>
          <cell r="AD20" t="str">
            <v/>
          </cell>
          <cell r="AE20" t="str">
            <v/>
          </cell>
          <cell r="AG20" t="e">
            <v>#N/A</v>
          </cell>
          <cell r="AH20" t="e">
            <v>#N/A</v>
          </cell>
          <cell r="AJ20" t="e">
            <v>#N/A</v>
          </cell>
          <cell r="AK20" t="e">
            <v>#N/A</v>
          </cell>
        </row>
        <row r="21">
          <cell r="B21" t="str">
            <v>Asia (GCP)</v>
          </cell>
          <cell r="D21" t="str">
            <v/>
          </cell>
          <cell r="E21" t="str">
            <v/>
          </cell>
          <cell r="F21" t="str">
            <v/>
          </cell>
          <cell r="G21" t="str">
            <v/>
          </cell>
          <cell r="I21" t="str">
            <v/>
          </cell>
          <cell r="J21" t="str">
            <v/>
          </cell>
          <cell r="K21" t="str">
            <v/>
          </cell>
          <cell r="L21" t="str">
            <v/>
          </cell>
          <cell r="M21" t="str">
            <v/>
          </cell>
          <cell r="O21" t="str">
            <v/>
          </cell>
          <cell r="P21" t="str">
            <v/>
          </cell>
          <cell r="Q21" t="str">
            <v/>
          </cell>
          <cell r="R21" t="str">
            <v/>
          </cell>
          <cell r="S21" t="str">
            <v/>
          </cell>
          <cell r="U21" t="str">
            <v/>
          </cell>
          <cell r="V21" t="str">
            <v/>
          </cell>
          <cell r="W21" t="str">
            <v/>
          </cell>
          <cell r="X21" t="str">
            <v/>
          </cell>
          <cell r="Y21" t="str">
            <v/>
          </cell>
          <cell r="AA21" t="str">
            <v/>
          </cell>
          <cell r="AB21" t="str">
            <v/>
          </cell>
          <cell r="AC21" t="str">
            <v/>
          </cell>
          <cell r="AD21" t="str">
            <v/>
          </cell>
          <cell r="AE21" t="str">
            <v/>
          </cell>
          <cell r="AG21" t="e">
            <v>#N/A</v>
          </cell>
          <cell r="AH21" t="e">
            <v>#N/A</v>
          </cell>
          <cell r="AJ21" t="e">
            <v>#N/A</v>
          </cell>
          <cell r="AK21" t="e">
            <v>#N/A</v>
          </cell>
        </row>
        <row r="22">
          <cell r="B22" t="str">
            <v>Asia (excl. China and India)</v>
          </cell>
          <cell r="D22" t="str">
            <v/>
          </cell>
          <cell r="E22" t="str">
            <v/>
          </cell>
          <cell r="F22" t="str">
            <v/>
          </cell>
          <cell r="G22" t="str">
            <v/>
          </cell>
          <cell r="I22" t="str">
            <v/>
          </cell>
          <cell r="J22" t="str">
            <v/>
          </cell>
          <cell r="K22" t="str">
            <v/>
          </cell>
          <cell r="L22" t="str">
            <v/>
          </cell>
          <cell r="M22" t="str">
            <v/>
          </cell>
          <cell r="O22" t="str">
            <v/>
          </cell>
          <cell r="P22" t="str">
            <v/>
          </cell>
          <cell r="Q22" t="str">
            <v/>
          </cell>
          <cell r="R22" t="str">
            <v/>
          </cell>
          <cell r="S22" t="str">
            <v/>
          </cell>
          <cell r="U22" t="str">
            <v/>
          </cell>
          <cell r="V22" t="str">
            <v/>
          </cell>
          <cell r="W22" t="str">
            <v/>
          </cell>
          <cell r="X22" t="str">
            <v/>
          </cell>
          <cell r="Y22" t="str">
            <v/>
          </cell>
          <cell r="AA22" t="str">
            <v/>
          </cell>
          <cell r="AB22" t="str">
            <v/>
          </cell>
          <cell r="AC22" t="str">
            <v/>
          </cell>
          <cell r="AD22" t="str">
            <v/>
          </cell>
          <cell r="AE22" t="str">
            <v/>
          </cell>
          <cell r="AG22" t="e">
            <v>#N/A</v>
          </cell>
          <cell r="AH22" t="e">
            <v>#N/A</v>
          </cell>
          <cell r="AJ22" t="e">
            <v>#N/A</v>
          </cell>
          <cell r="AK22" t="e">
            <v>#N/A</v>
          </cell>
        </row>
        <row r="23">
          <cell r="B23" t="str">
            <v>Australia</v>
          </cell>
          <cell r="C23" t="str">
            <v>AUS</v>
          </cell>
          <cell r="D23" t="str">
            <v>AUS</v>
          </cell>
          <cell r="E23" t="str">
            <v/>
          </cell>
          <cell r="F23" t="str">
            <v>Australia</v>
          </cell>
          <cell r="G23" t="str">
            <v/>
          </cell>
          <cell r="I23">
            <v>1860</v>
          </cell>
          <cell r="J23">
            <v>14332.97306</v>
          </cell>
          <cell r="K23">
            <v>1.2208937139366969E-2</v>
          </cell>
          <cell r="L23">
            <v>14332.97306</v>
          </cell>
          <cell r="M23">
            <v>1.2208937139366969E-2</v>
          </cell>
          <cell r="O23">
            <v>1860</v>
          </cell>
          <cell r="P23">
            <v>18892.747719999996</v>
          </cell>
          <cell r="Q23">
            <v>1.3643685112697663E-2</v>
          </cell>
          <cell r="R23">
            <v>18892.747719999996</v>
          </cell>
          <cell r="S23">
            <v>1.3643685112697663E-2</v>
          </cell>
          <cell r="U23">
            <v>1850</v>
          </cell>
          <cell r="V23">
            <v>27112.759970000003</v>
          </cell>
          <cell r="W23">
            <v>1.4569731017341676E-2</v>
          </cell>
          <cell r="X23">
            <v>27112.759970000003</v>
          </cell>
          <cell r="Y23">
            <v>1.4569731017341676E-2</v>
          </cell>
          <cell r="AA23">
            <v>1860</v>
          </cell>
          <cell r="AB23">
            <v>728.94804249999993</v>
          </cell>
          <cell r="AC23">
            <v>3.8492565174734756</v>
          </cell>
          <cell r="AD23">
            <v>728.94804249999993</v>
          </cell>
          <cell r="AE23">
            <v>1.572945637175855E-2</v>
          </cell>
          <cell r="AG23">
            <v>57170</v>
          </cell>
          <cell r="AH23">
            <v>55330</v>
          </cell>
          <cell r="AJ23">
            <v>1468490.0401763583</v>
          </cell>
          <cell r="AK23">
            <v>1421242.2404872139</v>
          </cell>
        </row>
        <row r="24">
          <cell r="B24" t="str">
            <v>Austria</v>
          </cell>
          <cell r="C24" t="str">
            <v>AUT</v>
          </cell>
          <cell r="D24" t="str">
            <v>AUT</v>
          </cell>
          <cell r="E24" t="str">
            <v/>
          </cell>
          <cell r="F24" t="str">
            <v>Austria</v>
          </cell>
          <cell r="G24" t="str">
            <v/>
          </cell>
          <cell r="I24">
            <v>1807</v>
          </cell>
          <cell r="J24">
            <v>2781.3392279999998</v>
          </cell>
          <cell r="K24">
            <v>2.3691662333946684E-3</v>
          </cell>
          <cell r="L24">
            <v>2781.3392279999998</v>
          </cell>
          <cell r="M24">
            <v>2.3691662333946684E-3</v>
          </cell>
          <cell r="O24">
            <v>1850</v>
          </cell>
          <cell r="P24">
            <v>2686.4049920000002</v>
          </cell>
          <cell r="Q24">
            <v>1.940028223487393E-3</v>
          </cell>
          <cell r="R24">
            <v>2686.4049920000002</v>
          </cell>
          <cell r="S24">
            <v>1.940028223487393E-3</v>
          </cell>
          <cell r="U24">
            <v>1850</v>
          </cell>
          <cell r="V24">
            <v>3240.0871220000004</v>
          </cell>
          <cell r="W24">
            <v>1.7411432068342367E-3</v>
          </cell>
          <cell r="X24">
            <v>3240.0871220000004</v>
          </cell>
          <cell r="Y24">
            <v>1.7411432068342367E-3</v>
          </cell>
          <cell r="AA24">
            <v>1807</v>
          </cell>
          <cell r="AB24">
            <v>343.31520050000012</v>
          </cell>
          <cell r="AC24">
            <v>1.8128977595441427</v>
          </cell>
          <cell r="AD24">
            <v>343.31520050000012</v>
          </cell>
          <cell r="AE24">
            <v>7.4081568962115589E-3</v>
          </cell>
          <cell r="AG24">
            <v>52760</v>
          </cell>
          <cell r="AH24">
            <v>59490</v>
          </cell>
          <cell r="AJ24">
            <v>472474.25412069459</v>
          </cell>
          <cell r="AK24">
            <v>532804.64374302409</v>
          </cell>
        </row>
        <row r="25">
          <cell r="B25" t="str">
            <v>Azerbaijan</v>
          </cell>
          <cell r="C25" t="str">
            <v>AZE</v>
          </cell>
          <cell r="D25" t="str">
            <v>AZE</v>
          </cell>
          <cell r="E25" t="str">
            <v/>
          </cell>
          <cell r="F25" t="str">
            <v>Azerbaijan</v>
          </cell>
          <cell r="G25" t="str">
            <v/>
          </cell>
          <cell r="I25">
            <v>1830</v>
          </cell>
          <cell r="J25">
            <v>1676.5950560000001</v>
          </cell>
          <cell r="K25">
            <v>1.4281366162616261E-3</v>
          </cell>
          <cell r="L25">
            <v>1676.5950560000001</v>
          </cell>
          <cell r="M25">
            <v>1.4281366162616261E-3</v>
          </cell>
          <cell r="O25">
            <v>1850</v>
          </cell>
          <cell r="P25">
            <v>1827.222092</v>
          </cell>
          <cell r="Q25">
            <v>1.3195562246258949E-3</v>
          </cell>
          <cell r="R25">
            <v>1827.222092</v>
          </cell>
          <cell r="S25">
            <v>1.3195562246258949E-3</v>
          </cell>
          <cell r="U25">
            <v>1850</v>
          </cell>
          <cell r="V25">
            <v>2472.9593220000006</v>
          </cell>
          <cell r="W25">
            <v>1.3289075762937773E-3</v>
          </cell>
          <cell r="X25">
            <v>2472.9593220000006</v>
          </cell>
          <cell r="Y25">
            <v>1.3289075762937773E-3</v>
          </cell>
          <cell r="AA25">
            <v>1830</v>
          </cell>
          <cell r="AB25">
            <v>210.10827750000001</v>
          </cell>
          <cell r="AC25">
            <v>1.1094901274009537</v>
          </cell>
          <cell r="AD25">
            <v>210.10827750000001</v>
          </cell>
          <cell r="AE25">
            <v>4.5337785296015653E-3</v>
          </cell>
          <cell r="AG25">
            <v>4900</v>
          </cell>
          <cell r="AH25">
            <v>15520</v>
          </cell>
          <cell r="AJ25">
            <v>49671.562882737264</v>
          </cell>
          <cell r="AK25">
            <v>157380.65719701358</v>
          </cell>
        </row>
        <row r="26">
          <cell r="B26" t="str">
            <v>Bahamas</v>
          </cell>
          <cell r="C26" t="str">
            <v>BHS</v>
          </cell>
          <cell r="D26" t="str">
            <v>BHS</v>
          </cell>
          <cell r="E26" t="str">
            <v/>
          </cell>
          <cell r="F26" t="str">
            <v>Bahamas</v>
          </cell>
          <cell r="G26" t="str">
            <v/>
          </cell>
          <cell r="I26">
            <v>1950</v>
          </cell>
          <cell r="J26">
            <v>97.410612799999996</v>
          </cell>
          <cell r="K26">
            <v>8.2975112239722261E-5</v>
          </cell>
          <cell r="L26">
            <v>97.410612799999996</v>
          </cell>
          <cell r="M26">
            <v>8.2975112239722261E-5</v>
          </cell>
          <cell r="O26">
            <v>1850</v>
          </cell>
          <cell r="P26">
            <v>95.651892800000013</v>
          </cell>
          <cell r="Q26">
            <v>6.9076469190089478E-5</v>
          </cell>
          <cell r="R26">
            <v>95.651892800000013</v>
          </cell>
          <cell r="S26">
            <v>6.9076469190089478E-5</v>
          </cell>
          <cell r="U26">
            <v>1850</v>
          </cell>
          <cell r="V26">
            <v>111.8495492</v>
          </cell>
          <cell r="W26">
            <v>6.010519947279729E-5</v>
          </cell>
          <cell r="X26">
            <v>111.8495492</v>
          </cell>
          <cell r="Y26">
            <v>6.010519947279729E-5</v>
          </cell>
          <cell r="AA26">
            <v>1950</v>
          </cell>
          <cell r="AB26">
            <v>325.95583389999996</v>
          </cell>
          <cell r="AC26">
            <v>1.7212305197294999</v>
          </cell>
          <cell r="AD26">
            <v>325.95583389999996</v>
          </cell>
          <cell r="AE26">
            <v>7.033571351486587E-3</v>
          </cell>
          <cell r="AG26">
            <v>26490</v>
          </cell>
          <cell r="AH26">
            <v>31010</v>
          </cell>
          <cell r="AJ26">
            <v>10804.701902113859</v>
          </cell>
          <cell r="AK26">
            <v>12651.107437571502</v>
          </cell>
        </row>
        <row r="27">
          <cell r="B27" t="str">
            <v>Bahrain</v>
          </cell>
          <cell r="C27" t="str">
            <v>BHR</v>
          </cell>
          <cell r="D27" t="str">
            <v>BHR</v>
          </cell>
          <cell r="E27" t="str">
            <v/>
          </cell>
          <cell r="F27" t="str">
            <v>Bahrain</v>
          </cell>
          <cell r="G27" t="str">
            <v/>
          </cell>
          <cell r="I27">
            <v>1933</v>
          </cell>
          <cell r="J27">
            <v>854.73000349999995</v>
          </cell>
          <cell r="K27">
            <v>7.2806561766204907E-4</v>
          </cell>
          <cell r="L27">
            <v>854.73000349999995</v>
          </cell>
          <cell r="M27">
            <v>7.2806561766204907E-4</v>
          </cell>
          <cell r="O27">
            <v>1850</v>
          </cell>
          <cell r="P27">
            <v>854.73000349999995</v>
          </cell>
          <cell r="Q27">
            <v>6.1725627192829374E-4</v>
          </cell>
          <cell r="R27">
            <v>854.73000349999995</v>
          </cell>
          <cell r="S27">
            <v>6.1725627192829374E-4</v>
          </cell>
          <cell r="U27">
            <v>1850</v>
          </cell>
          <cell r="V27">
            <v>1744.4021060000002</v>
          </cell>
          <cell r="W27">
            <v>9.3739882987295669E-4</v>
          </cell>
          <cell r="X27">
            <v>1744.4021060000002</v>
          </cell>
          <cell r="Y27">
            <v>9.3739882987295669E-4</v>
          </cell>
          <cell r="AA27">
            <v>1933</v>
          </cell>
          <cell r="AB27">
            <v>1014.8753819999999</v>
          </cell>
          <cell r="AC27">
            <v>5.3591140257254803</v>
          </cell>
          <cell r="AD27">
            <v>1014.8753819999999</v>
          </cell>
          <cell r="AE27">
            <v>2.1899281036811061E-2</v>
          </cell>
          <cell r="AG27">
            <v>22950</v>
          </cell>
          <cell r="AH27">
            <v>46900</v>
          </cell>
          <cell r="AJ27">
            <v>33908.342858844961</v>
          </cell>
          <cell r="AK27">
            <v>69297.316263871879</v>
          </cell>
        </row>
        <row r="28">
          <cell r="B28" t="str">
            <v>Bangladesh</v>
          </cell>
          <cell r="C28" t="str">
            <v>BGD</v>
          </cell>
          <cell r="D28" t="str">
            <v>BGD</v>
          </cell>
          <cell r="E28" t="str">
            <v/>
          </cell>
          <cell r="F28" t="str">
            <v>Bangladesh</v>
          </cell>
          <cell r="G28" t="str">
            <v/>
          </cell>
          <cell r="I28">
            <v>1946</v>
          </cell>
          <cell r="J28">
            <v>1562.607432</v>
          </cell>
          <cell r="K28">
            <v>1.331041077865226E-3</v>
          </cell>
          <cell r="L28">
            <v>1562.607432</v>
          </cell>
          <cell r="M28">
            <v>1.331041077865226E-3</v>
          </cell>
          <cell r="O28">
            <v>1850</v>
          </cell>
          <cell r="P28">
            <v>2236.9666429999997</v>
          </cell>
          <cell r="Q28">
            <v>1.6154594840850588E-3</v>
          </cell>
          <cell r="R28">
            <v>2236.9666429999997</v>
          </cell>
          <cell r="S28">
            <v>1.6154594840850588E-3</v>
          </cell>
          <cell r="U28">
            <v>1850</v>
          </cell>
          <cell r="V28">
            <v>6838.735326</v>
          </cell>
          <cell r="W28">
            <v>3.6749683288924283E-3</v>
          </cell>
          <cell r="X28">
            <v>6838.735326</v>
          </cell>
          <cell r="Y28">
            <v>3.6749683288924283E-3</v>
          </cell>
          <cell r="AA28">
            <v>1946</v>
          </cell>
          <cell r="AB28">
            <v>11.013858459000001</v>
          </cell>
          <cell r="AC28">
            <v>5.8159380345460122E-2</v>
          </cell>
          <cell r="AD28">
            <v>11.013858459000001</v>
          </cell>
          <cell r="AE28">
            <v>2.3766029403332186E-4</v>
          </cell>
          <cell r="AG28">
            <v>2570</v>
          </cell>
          <cell r="AH28">
            <v>6840</v>
          </cell>
          <cell r="AJ28">
            <v>435530.77262286789</v>
          </cell>
          <cell r="AK28">
            <v>1157653.6236870801</v>
          </cell>
        </row>
        <row r="29">
          <cell r="B29" t="str">
            <v>Barbados</v>
          </cell>
          <cell r="C29" t="str">
            <v>BRB</v>
          </cell>
          <cell r="D29" t="str">
            <v>BRB</v>
          </cell>
          <cell r="E29" t="str">
            <v/>
          </cell>
          <cell r="F29" t="str">
            <v>Barbados</v>
          </cell>
          <cell r="G29" t="str">
            <v/>
          </cell>
          <cell r="I29">
            <v>1928</v>
          </cell>
          <cell r="J29">
            <v>47.447883940000004</v>
          </cell>
          <cell r="K29">
            <v>4.041647395794656E-5</v>
          </cell>
          <cell r="L29">
            <v>47.447883940000004</v>
          </cell>
          <cell r="M29">
            <v>4.041647395794656E-5</v>
          </cell>
          <cell r="O29">
            <v>1850</v>
          </cell>
          <cell r="P29">
            <v>45.982283939999995</v>
          </cell>
          <cell r="Q29">
            <v>3.3206805708620075E-5</v>
          </cell>
          <cell r="R29">
            <v>45.982283939999995</v>
          </cell>
          <cell r="S29">
            <v>3.3206805708620075E-5</v>
          </cell>
          <cell r="U29">
            <v>1850</v>
          </cell>
          <cell r="V29">
            <v>59.662252260000002</v>
          </cell>
          <cell r="W29">
            <v>3.2061028396917769E-5</v>
          </cell>
          <cell r="X29">
            <v>59.662252260000002</v>
          </cell>
          <cell r="Y29">
            <v>3.2061028396917769E-5</v>
          </cell>
          <cell r="AA29">
            <v>1928</v>
          </cell>
          <cell r="AB29">
            <v>176.99325620000005</v>
          </cell>
          <cell r="AC29">
            <v>0.93462415049520198</v>
          </cell>
          <cell r="AD29">
            <v>176.99325620000005</v>
          </cell>
          <cell r="AE29">
            <v>3.819212809661101E-3</v>
          </cell>
          <cell r="AG29">
            <v>16900</v>
          </cell>
          <cell r="AH29">
            <v>14810</v>
          </cell>
          <cell r="AJ29">
            <v>4752.0819338596821</v>
          </cell>
          <cell r="AK29">
            <v>4164.8101953932546</v>
          </cell>
        </row>
        <row r="30">
          <cell r="B30" t="str">
            <v>Belarus</v>
          </cell>
          <cell r="C30" t="str">
            <v>BLR</v>
          </cell>
          <cell r="D30" t="str">
            <v>BLR</v>
          </cell>
          <cell r="E30" t="str">
            <v/>
          </cell>
          <cell r="F30" t="str">
            <v>Belarus</v>
          </cell>
          <cell r="G30" t="str">
            <v/>
          </cell>
          <cell r="I30">
            <v>1830</v>
          </cell>
          <cell r="J30">
            <v>3214.6773599999997</v>
          </cell>
          <cell r="K30">
            <v>2.7382870007003389E-3</v>
          </cell>
          <cell r="L30">
            <v>3214.6773599999997</v>
          </cell>
          <cell r="M30">
            <v>2.7382870007003389E-3</v>
          </cell>
          <cell r="O30">
            <v>1850</v>
          </cell>
          <cell r="P30">
            <v>3323.7180060000005</v>
          </cell>
          <cell r="Q30">
            <v>2.4002735096738683E-3</v>
          </cell>
          <cell r="R30">
            <v>3323.7180060000005</v>
          </cell>
          <cell r="S30">
            <v>2.4002735096738683E-3</v>
          </cell>
          <cell r="U30">
            <v>1850</v>
          </cell>
          <cell r="V30">
            <v>4750.0235719999991</v>
          </cell>
          <cell r="W30">
            <v>2.5525459542536009E-3</v>
          </cell>
          <cell r="X30">
            <v>4750.0235719999991</v>
          </cell>
          <cell r="Y30">
            <v>2.5525459542536009E-3</v>
          </cell>
          <cell r="AA30">
            <v>1830</v>
          </cell>
          <cell r="AB30">
            <v>319.93050079999995</v>
          </cell>
          <cell r="AC30">
            <v>1.6894133649353382</v>
          </cell>
          <cell r="AD30">
            <v>319.93050079999995</v>
          </cell>
          <cell r="AE30">
            <v>6.9035549324881597E-3</v>
          </cell>
          <cell r="AG30">
            <v>6940</v>
          </cell>
          <cell r="AH30">
            <v>20860</v>
          </cell>
          <cell r="AJ30">
            <v>64824.195383025697</v>
          </cell>
          <cell r="AK30">
            <v>194830.47412049473</v>
          </cell>
        </row>
        <row r="31">
          <cell r="B31" t="str">
            <v>Belgium</v>
          </cell>
          <cell r="C31" t="str">
            <v>BEL</v>
          </cell>
          <cell r="D31" t="str">
            <v>BEL</v>
          </cell>
          <cell r="E31" t="str">
            <v/>
          </cell>
          <cell r="F31" t="str">
            <v>Belgium</v>
          </cell>
          <cell r="G31" t="str">
            <v/>
          </cell>
          <cell r="I31">
            <v>1802</v>
          </cell>
          <cell r="J31">
            <v>4924.8735280000001</v>
          </cell>
          <cell r="K31">
            <v>4.1950453036492651E-3</v>
          </cell>
          <cell r="L31">
            <v>4924.8735280000001</v>
          </cell>
          <cell r="M31">
            <v>4.1950453036492651E-3</v>
          </cell>
          <cell r="O31">
            <v>1850</v>
          </cell>
          <cell r="P31">
            <v>4961.4036079999996</v>
          </cell>
          <cell r="Q31">
            <v>3.5829530753165679E-3</v>
          </cell>
          <cell r="R31">
            <v>4961.4036079999996</v>
          </cell>
          <cell r="S31">
            <v>3.5829530753165679E-3</v>
          </cell>
          <cell r="U31">
            <v>1850</v>
          </cell>
          <cell r="V31">
            <v>6239.3267080000023</v>
          </cell>
          <cell r="W31">
            <v>3.3528608657127411E-3</v>
          </cell>
          <cell r="X31">
            <v>6239.3267080000023</v>
          </cell>
          <cell r="Y31">
            <v>3.3528608657127411E-3</v>
          </cell>
          <cell r="AA31">
            <v>1802</v>
          </cell>
          <cell r="AB31">
            <v>473.75295510000012</v>
          </cell>
          <cell r="AC31">
            <v>2.5016826217638064</v>
          </cell>
          <cell r="AD31">
            <v>473.75295510000012</v>
          </cell>
          <cell r="AE31">
            <v>1.0222781328392333E-2</v>
          </cell>
          <cell r="AG31">
            <v>50490</v>
          </cell>
          <cell r="AH31">
            <v>59920</v>
          </cell>
          <cell r="AJ31">
            <v>585375.40072192287</v>
          </cell>
          <cell r="AK31">
            <v>694627.64424744877</v>
          </cell>
        </row>
        <row r="32">
          <cell r="B32" t="str">
            <v>Belize</v>
          </cell>
          <cell r="C32" t="str">
            <v>BLZ</v>
          </cell>
          <cell r="D32" t="str">
            <v>BLZ</v>
          </cell>
          <cell r="E32" t="str">
            <v/>
          </cell>
          <cell r="F32" t="str">
            <v>Belize</v>
          </cell>
          <cell r="G32" t="str">
            <v/>
          </cell>
          <cell r="I32">
            <v>1950</v>
          </cell>
          <cell r="J32">
            <v>17.227738970000001</v>
          </cell>
          <cell r="K32">
            <v>1.4674721096430545E-5</v>
          </cell>
          <cell r="L32">
            <v>17.227738970000001</v>
          </cell>
          <cell r="M32">
            <v>1.4674721096430545E-5</v>
          </cell>
          <cell r="O32">
            <v>1850</v>
          </cell>
          <cell r="P32">
            <v>168.11125949999996</v>
          </cell>
          <cell r="Q32">
            <v>1.2140410291346458E-4</v>
          </cell>
          <cell r="R32">
            <v>168.11125949999996</v>
          </cell>
          <cell r="S32">
            <v>1.2140410291346458E-4</v>
          </cell>
          <cell r="U32">
            <v>1850</v>
          </cell>
          <cell r="V32">
            <v>216.47339780000004</v>
          </cell>
          <cell r="W32">
            <v>1.1632748498661987E-4</v>
          </cell>
          <cell r="X32">
            <v>216.47339780000004</v>
          </cell>
          <cell r="Y32">
            <v>1.1632748498661987E-4</v>
          </cell>
          <cell r="AA32">
            <v>1950</v>
          </cell>
          <cell r="AB32">
            <v>67.00656930000001</v>
          </cell>
          <cell r="AC32">
            <v>0.3538324524570805</v>
          </cell>
          <cell r="AD32">
            <v>67.00656930000001</v>
          </cell>
          <cell r="AE32">
            <v>1.4458875625906714E-3</v>
          </cell>
          <cell r="AG32">
            <v>6070</v>
          </cell>
          <cell r="AH32">
            <v>9330</v>
          </cell>
          <cell r="AJ32">
            <v>2429.2040547675833</v>
          </cell>
          <cell r="AK32">
            <v>3730.4462843429324</v>
          </cell>
        </row>
        <row r="33">
          <cell r="B33" t="str">
            <v>Benin</v>
          </cell>
          <cell r="C33" t="str">
            <v>BEN</v>
          </cell>
          <cell r="D33" t="str">
            <v>BEN</v>
          </cell>
          <cell r="E33" t="str">
            <v/>
          </cell>
          <cell r="F33" t="str">
            <v>Benin</v>
          </cell>
          <cell r="G33" t="str">
            <v/>
          </cell>
          <cell r="I33">
            <v>1958</v>
          </cell>
          <cell r="J33">
            <v>114.24361103000003</v>
          </cell>
          <cell r="K33">
            <v>9.73135901254224E-5</v>
          </cell>
          <cell r="L33">
            <v>114.24361103000003</v>
          </cell>
          <cell r="M33">
            <v>9.73135901254224E-5</v>
          </cell>
          <cell r="O33">
            <v>1850</v>
          </cell>
          <cell r="P33">
            <v>1070.2178560000002</v>
          </cell>
          <cell r="Q33">
            <v>7.7287410204461332E-4</v>
          </cell>
          <cell r="R33">
            <v>1070.2178560000002</v>
          </cell>
          <cell r="S33">
            <v>7.7287410204461332E-4</v>
          </cell>
          <cell r="U33">
            <v>1850</v>
          </cell>
          <cell r="V33">
            <v>1192.1312329999998</v>
          </cell>
          <cell r="W33">
            <v>6.4062203262967444E-4</v>
          </cell>
          <cell r="X33">
            <v>1192.1312329999998</v>
          </cell>
          <cell r="Y33">
            <v>6.4062203262967444E-4</v>
          </cell>
          <cell r="AA33">
            <v>1958</v>
          </cell>
          <cell r="AB33">
            <v>12.564106540999999</v>
          </cell>
          <cell r="AC33">
            <v>6.6345563976427546E-2</v>
          </cell>
          <cell r="AD33">
            <v>12.564106540999999</v>
          </cell>
          <cell r="AE33">
            <v>2.7111200547161871E-4</v>
          </cell>
          <cell r="AG33">
            <v>1350</v>
          </cell>
          <cell r="AH33">
            <v>3750</v>
          </cell>
          <cell r="AJ33">
            <v>17603.223276717963</v>
          </cell>
          <cell r="AK33">
            <v>48684.692867778824</v>
          </cell>
        </row>
        <row r="34">
          <cell r="B34" t="str">
            <v>Bermuda</v>
          </cell>
          <cell r="C34" t="str">
            <v>BMU</v>
          </cell>
          <cell r="D34" t="str">
            <v>BMU</v>
          </cell>
          <cell r="E34" t="str">
            <v/>
          </cell>
          <cell r="F34" t="str">
            <v>Bermuda</v>
          </cell>
          <cell r="G34" t="str">
            <v/>
          </cell>
          <cell r="I34">
            <v>1950</v>
          </cell>
          <cell r="J34">
            <v>23.208901029999996</v>
          </cell>
          <cell r="K34">
            <v>1.9769521128860564E-5</v>
          </cell>
          <cell r="L34">
            <v>23.208901029999996</v>
          </cell>
          <cell r="M34">
            <v>1.9769521128860564E-5</v>
          </cell>
          <cell r="O34">
            <v>1950</v>
          </cell>
          <cell r="P34">
            <v>0</v>
          </cell>
          <cell r="Q34">
            <v>0</v>
          </cell>
          <cell r="R34">
            <v>0</v>
          </cell>
          <cell r="S34">
            <v>0</v>
          </cell>
          <cell r="U34">
            <v>0</v>
          </cell>
          <cell r="V34">
            <v>0</v>
          </cell>
          <cell r="W34">
            <v>0</v>
          </cell>
          <cell r="X34">
            <v>0</v>
          </cell>
          <cell r="Y34">
            <v>0</v>
          </cell>
          <cell r="AA34">
            <v>1950</v>
          </cell>
          <cell r="AB34">
            <v>384.98843919999996</v>
          </cell>
          <cell r="AC34">
            <v>2.0329559479440413</v>
          </cell>
          <cell r="AD34">
            <v>384.98843919999996</v>
          </cell>
          <cell r="AE34">
            <v>8.3073943614133776E-3</v>
          </cell>
          <cell r="AG34">
            <v>122470</v>
          </cell>
          <cell r="AH34">
            <v>91950</v>
          </cell>
          <cell r="AJ34">
            <v>7821.9342483566461</v>
          </cell>
          <cell r="AK34">
            <v>5872.7733866700009</v>
          </cell>
        </row>
        <row r="35">
          <cell r="B35" t="str">
            <v>Bhutan</v>
          </cell>
          <cell r="C35" t="str">
            <v>BTN</v>
          </cell>
          <cell r="D35" t="str">
            <v>BTN</v>
          </cell>
          <cell r="E35" t="str">
            <v/>
          </cell>
          <cell r="F35" t="str">
            <v>Bhutan</v>
          </cell>
          <cell r="G35" t="str">
            <v/>
          </cell>
          <cell r="I35">
            <v>1970</v>
          </cell>
          <cell r="J35">
            <v>19.675283010000001</v>
          </cell>
          <cell r="K35">
            <v>1.6759558010942425E-5</v>
          </cell>
          <cell r="L35">
            <v>19.675283010000001</v>
          </cell>
          <cell r="M35">
            <v>1.6759558010942425E-5</v>
          </cell>
          <cell r="O35">
            <v>1850</v>
          </cell>
          <cell r="P35">
            <v>525.49048600000003</v>
          </cell>
          <cell r="Q35">
            <v>3.7949094684160963E-4</v>
          </cell>
          <cell r="R35">
            <v>525.49048600000003</v>
          </cell>
          <cell r="S35">
            <v>3.7949094684160963E-4</v>
          </cell>
          <cell r="U35">
            <v>1850</v>
          </cell>
          <cell r="V35">
            <v>287.8130175</v>
          </cell>
          <cell r="W35">
            <v>1.5466364371994446E-4</v>
          </cell>
          <cell r="X35">
            <v>287.8130175</v>
          </cell>
          <cell r="Y35">
            <v>1.5466364371994446E-4</v>
          </cell>
          <cell r="AA35">
            <v>1970</v>
          </cell>
          <cell r="AB35">
            <v>28.647312049</v>
          </cell>
          <cell r="AC35">
            <v>0.15127395394948151</v>
          </cell>
          <cell r="AD35">
            <v>28.647312049</v>
          </cell>
          <cell r="AE35">
            <v>6.1816016886127878E-4</v>
          </cell>
          <cell r="AG35">
            <v>3040</v>
          </cell>
          <cell r="AH35">
            <v>11250</v>
          </cell>
          <cell r="AJ35">
            <v>2364.8572137745405</v>
          </cell>
          <cell r="AK35">
            <v>8745.8666399639969</v>
          </cell>
        </row>
        <row r="36">
          <cell r="B36" t="str">
            <v>Bolivia</v>
          </cell>
          <cell r="C36" t="str">
            <v>BOL</v>
          </cell>
          <cell r="D36" t="str">
            <v>BOL</v>
          </cell>
          <cell r="E36" t="str">
            <v/>
          </cell>
          <cell r="F36" t="str">
            <v>Bolivia (Plurinational State of)</v>
          </cell>
          <cell r="G36" t="str">
            <v>diff</v>
          </cell>
          <cell r="I36">
            <v>1928</v>
          </cell>
          <cell r="J36">
            <v>517.87981500000001</v>
          </cell>
          <cell r="K36">
            <v>4.4113402576101651E-4</v>
          </cell>
          <cell r="L36">
            <v>517.87981500000001</v>
          </cell>
          <cell r="M36">
            <v>4.4113402576101651E-4</v>
          </cell>
          <cell r="O36">
            <v>1850</v>
          </cell>
          <cell r="P36">
            <v>3837.3538740000008</v>
          </cell>
          <cell r="Q36">
            <v>2.7712034638255638E-3</v>
          </cell>
          <cell r="R36">
            <v>3837.3538740000008</v>
          </cell>
          <cell r="S36">
            <v>2.7712034638255638E-3</v>
          </cell>
          <cell r="U36">
            <v>1850</v>
          </cell>
          <cell r="V36">
            <v>4853.3084140000001</v>
          </cell>
          <cell r="W36">
            <v>2.6080486905214586E-3</v>
          </cell>
          <cell r="X36">
            <v>4853.3084140000001</v>
          </cell>
          <cell r="Y36">
            <v>2.6080486905214586E-3</v>
          </cell>
          <cell r="AA36">
            <v>1928</v>
          </cell>
          <cell r="AB36">
            <v>56.017870110000004</v>
          </cell>
          <cell r="AC36">
            <v>0.29580592723232413</v>
          </cell>
          <cell r="AD36">
            <v>56.017870110000004</v>
          </cell>
          <cell r="AE36">
            <v>1.2087701627020728E-3</v>
          </cell>
          <cell r="AG36">
            <v>3290</v>
          </cell>
          <cell r="AH36">
            <v>8620</v>
          </cell>
          <cell r="AJ36">
            <v>39785.726292480991</v>
          </cell>
          <cell r="AK36">
            <v>104106.47633822206</v>
          </cell>
        </row>
        <row r="37">
          <cell r="B37" t="str">
            <v>Bonaire Sint Eustatius and Saba</v>
          </cell>
          <cell r="C37" t="str">
            <v>BES</v>
          </cell>
          <cell r="D37" t="str">
            <v>BES</v>
          </cell>
          <cell r="E37" t="str">
            <v/>
          </cell>
          <cell r="F37" t="str">
            <v>Bonaire, Sint Eustatius and Saba</v>
          </cell>
          <cell r="G37" t="str">
            <v>diff</v>
          </cell>
          <cell r="I37">
            <v>1926</v>
          </cell>
          <cell r="J37">
            <v>3.4998840039999983</v>
          </cell>
          <cell r="K37">
            <v>2.9812282225772881E-6</v>
          </cell>
          <cell r="L37">
            <v>3.4998840039999983</v>
          </cell>
          <cell r="M37">
            <v>2.9812282225772881E-6</v>
          </cell>
          <cell r="O37">
            <v>1850</v>
          </cell>
          <cell r="P37">
            <v>3.4998840039999983</v>
          </cell>
          <cell r="Q37">
            <v>2.527494464502566E-6</v>
          </cell>
          <cell r="R37">
            <v>3.4998840039999983</v>
          </cell>
          <cell r="S37">
            <v>2.527494464502566E-6</v>
          </cell>
          <cell r="U37">
            <v>0</v>
          </cell>
          <cell r="V37">
            <v>0</v>
          </cell>
          <cell r="W37">
            <v>0</v>
          </cell>
          <cell r="X37">
            <v>0</v>
          </cell>
          <cell r="Y37">
            <v>0</v>
          </cell>
          <cell r="AA37">
            <v>1950</v>
          </cell>
          <cell r="AB37">
            <v>227.00738885999999</v>
          </cell>
          <cell r="AC37">
            <v>1.1987269601372044</v>
          </cell>
          <cell r="AD37">
            <v>227.00738885999999</v>
          </cell>
          <cell r="AE37">
            <v>4.8984325506851176E-3</v>
          </cell>
          <cell r="AG37" t="e">
            <v>#N/A</v>
          </cell>
          <cell r="AH37" t="e">
            <v>#N/A</v>
          </cell>
          <cell r="AJ37" t="e">
            <v>#N/A</v>
          </cell>
          <cell r="AK37" t="e">
            <v>#N/A</v>
          </cell>
        </row>
        <row r="38">
          <cell r="B38" t="str">
            <v>Bosnia and Herzegovina</v>
          </cell>
          <cell r="C38" t="str">
            <v>BIH</v>
          </cell>
          <cell r="D38" t="str">
            <v>BIH</v>
          </cell>
          <cell r="E38" t="str">
            <v/>
          </cell>
          <cell r="F38" t="str">
            <v>Bosnia and Herzegovina</v>
          </cell>
          <cell r="G38" t="str">
            <v/>
          </cell>
          <cell r="I38">
            <v>1885</v>
          </cell>
          <cell r="J38">
            <v>709.59242449999999</v>
          </cell>
          <cell r="K38">
            <v>6.0443630704009026E-4</v>
          </cell>
          <cell r="L38">
            <v>709.59242449999999</v>
          </cell>
          <cell r="M38">
            <v>6.0443630704009026E-4</v>
          </cell>
          <cell r="O38">
            <v>1850</v>
          </cell>
          <cell r="P38">
            <v>600.80826449999995</v>
          </cell>
          <cell r="Q38">
            <v>4.3388282612098365E-4</v>
          </cell>
          <cell r="R38">
            <v>600.80826449999995</v>
          </cell>
          <cell r="S38">
            <v>4.3388282612098365E-4</v>
          </cell>
          <cell r="U38">
            <v>1850</v>
          </cell>
          <cell r="V38">
            <v>939.77469249999979</v>
          </cell>
          <cell r="W38">
            <v>5.0501182844462668E-4</v>
          </cell>
          <cell r="X38">
            <v>939.77469249999979</v>
          </cell>
          <cell r="Y38">
            <v>5.0501182844462668E-4</v>
          </cell>
          <cell r="AA38">
            <v>1885</v>
          </cell>
          <cell r="AB38">
            <v>180.06257071999997</v>
          </cell>
          <cell r="AC38">
            <v>0.95083186110207374</v>
          </cell>
          <cell r="AD38">
            <v>180.06257071999997</v>
          </cell>
          <cell r="AE38">
            <v>3.8854433858047277E-3</v>
          </cell>
          <cell r="AG38">
            <v>6810</v>
          </cell>
          <cell r="AH38">
            <v>17240</v>
          </cell>
          <cell r="AJ38">
            <v>22273.405448432866</v>
          </cell>
          <cell r="AK38">
            <v>56382.247989926887</v>
          </cell>
        </row>
        <row r="39">
          <cell r="B39" t="str">
            <v>Botswana</v>
          </cell>
          <cell r="C39" t="str">
            <v>BWA</v>
          </cell>
          <cell r="D39" t="str">
            <v>BWA</v>
          </cell>
          <cell r="E39" t="str">
            <v/>
          </cell>
          <cell r="F39" t="str">
            <v>Botswana</v>
          </cell>
          <cell r="G39" t="str">
            <v/>
          </cell>
          <cell r="I39">
            <v>1972</v>
          </cell>
          <cell r="J39">
            <v>153.91691180000001</v>
          </cell>
          <cell r="K39">
            <v>1.3110761409968703E-4</v>
          </cell>
          <cell r="L39">
            <v>153.91691180000001</v>
          </cell>
          <cell r="M39">
            <v>1.3110761409968703E-4</v>
          </cell>
          <cell r="O39">
            <v>1850</v>
          </cell>
          <cell r="P39">
            <v>255.37307200000006</v>
          </cell>
          <cell r="Q39">
            <v>1.844215480071138E-4</v>
          </cell>
          <cell r="R39">
            <v>255.37307200000006</v>
          </cell>
          <cell r="S39">
            <v>1.844215480071138E-4</v>
          </cell>
          <cell r="U39">
            <v>1850</v>
          </cell>
          <cell r="V39">
            <v>844.26984899999979</v>
          </cell>
          <cell r="W39">
            <v>4.5368987220749065E-4</v>
          </cell>
          <cell r="X39">
            <v>844.26984899999979</v>
          </cell>
          <cell r="Y39">
            <v>4.5368987220749065E-4</v>
          </cell>
          <cell r="AA39">
            <v>1972</v>
          </cell>
          <cell r="AB39">
            <v>82.663032859999987</v>
          </cell>
          <cell r="AC39">
            <v>0.4365074044224202</v>
          </cell>
          <cell r="AD39">
            <v>82.663032859999987</v>
          </cell>
          <cell r="AE39">
            <v>1.7837273620617663E-3</v>
          </cell>
          <cell r="AG39">
            <v>6430</v>
          </cell>
          <cell r="AH39">
            <v>15420</v>
          </cell>
          <cell r="AJ39">
            <v>16635.346405194243</v>
          </cell>
          <cell r="AK39">
            <v>39909.918090237355</v>
          </cell>
        </row>
        <row r="40">
          <cell r="B40" t="str">
            <v>Brazil</v>
          </cell>
          <cell r="C40" t="str">
            <v>BRA</v>
          </cell>
          <cell r="D40" t="str">
            <v>BRA</v>
          </cell>
          <cell r="E40" t="str">
            <v/>
          </cell>
          <cell r="F40" t="str">
            <v>Brazil</v>
          </cell>
          <cell r="G40" t="str">
            <v/>
          </cell>
          <cell r="I40">
            <v>1901</v>
          </cell>
          <cell r="J40">
            <v>14296.80321</v>
          </cell>
          <cell r="K40">
            <v>1.2178127381814105E-2</v>
          </cell>
          <cell r="L40">
            <v>14296.80321</v>
          </cell>
          <cell r="M40">
            <v>1.2178127381814105E-2</v>
          </cell>
          <cell r="O40">
            <v>1850</v>
          </cell>
          <cell r="P40">
            <v>76264.935699999987</v>
          </cell>
          <cell r="Q40">
            <v>5.5075883257013847E-2</v>
          </cell>
          <cell r="R40">
            <v>76264.935699999987</v>
          </cell>
          <cell r="S40">
            <v>5.5075883257013847E-2</v>
          </cell>
          <cell r="U40">
            <v>1850</v>
          </cell>
          <cell r="V40">
            <v>93318.886699999988</v>
          </cell>
          <cell r="W40">
            <v>5.0147276764195219E-2</v>
          </cell>
          <cell r="X40">
            <v>93318.886699999988</v>
          </cell>
          <cell r="Y40">
            <v>5.0147276764195219E-2</v>
          </cell>
          <cell r="AA40">
            <v>1901</v>
          </cell>
          <cell r="AB40">
            <v>80.230809500000007</v>
          </cell>
          <cell r="AC40">
            <v>0.42366389422061984</v>
          </cell>
          <cell r="AD40">
            <v>80.230809500000007</v>
          </cell>
          <cell r="AE40">
            <v>1.7312441273221769E-3</v>
          </cell>
          <cell r="AG40">
            <v>7740</v>
          </cell>
          <cell r="AH40">
            <v>15600</v>
          </cell>
          <cell r="AJ40">
            <v>1658600.4796678086</v>
          </cell>
          <cell r="AK40">
            <v>3343313.2393053225</v>
          </cell>
        </row>
        <row r="41">
          <cell r="B41" t="str">
            <v>British Virgin Islands</v>
          </cell>
          <cell r="C41" t="str">
            <v>VGB</v>
          </cell>
          <cell r="D41" t="str">
            <v>VGB</v>
          </cell>
          <cell r="E41" t="str">
            <v/>
          </cell>
          <cell r="F41" t="str">
            <v>British Virgin Islands</v>
          </cell>
          <cell r="G41" t="str">
            <v/>
          </cell>
          <cell r="I41">
            <v>1962</v>
          </cell>
          <cell r="J41">
            <v>5.3807360099999988</v>
          </cell>
          <cell r="K41">
            <v>4.5833524862299727E-6</v>
          </cell>
          <cell r="L41">
            <v>5.3807360099999988</v>
          </cell>
          <cell r="M41">
            <v>4.5833524862299727E-6</v>
          </cell>
          <cell r="O41">
            <v>1962</v>
          </cell>
          <cell r="P41">
            <v>0</v>
          </cell>
          <cell r="Q41">
            <v>0</v>
          </cell>
          <cell r="R41">
            <v>0</v>
          </cell>
          <cell r="S41">
            <v>0</v>
          </cell>
          <cell r="U41">
            <v>1850</v>
          </cell>
          <cell r="V41">
            <v>6.4467036479999988</v>
          </cell>
          <cell r="W41">
            <v>3.4643001377876801E-6</v>
          </cell>
          <cell r="X41">
            <v>6.4467036479999988</v>
          </cell>
          <cell r="Y41">
            <v>3.4643001377876801E-6</v>
          </cell>
          <cell r="AA41">
            <v>1962</v>
          </cell>
          <cell r="AB41">
            <v>241.56773590000003</v>
          </cell>
          <cell r="AC41">
            <v>1.2756137990786722</v>
          </cell>
          <cell r="AD41">
            <v>241.56773590000003</v>
          </cell>
          <cell r="AE41">
            <v>5.2126200238250073E-3</v>
          </cell>
          <cell r="AG41" t="str">
            <v/>
          </cell>
          <cell r="AH41" t="str">
            <v/>
          </cell>
          <cell r="AJ41" t="e">
            <v>#VALUE!</v>
          </cell>
          <cell r="AK41" t="e">
            <v>#VALUE!</v>
          </cell>
        </row>
        <row r="42">
          <cell r="B42" t="str">
            <v>Brunei</v>
          </cell>
          <cell r="C42" t="str">
            <v>BRN</v>
          </cell>
          <cell r="D42" t="str">
            <v>BRN</v>
          </cell>
          <cell r="E42" t="str">
            <v/>
          </cell>
          <cell r="F42" t="str">
            <v>Brunei Darussalam</v>
          </cell>
          <cell r="G42" t="str">
            <v>diff</v>
          </cell>
          <cell r="I42">
            <v>1933</v>
          </cell>
          <cell r="J42">
            <v>259.26160659999999</v>
          </cell>
          <cell r="K42">
            <v>2.2084103865822017E-4</v>
          </cell>
          <cell r="L42">
            <v>259.26160659999999</v>
          </cell>
          <cell r="M42">
            <v>2.2084103865822017E-4</v>
          </cell>
          <cell r="O42">
            <v>1933</v>
          </cell>
          <cell r="P42">
            <v>300.18848600000001</v>
          </cell>
          <cell r="Q42">
            <v>2.167856808412118E-4</v>
          </cell>
          <cell r="R42">
            <v>300.18848600000001</v>
          </cell>
          <cell r="S42">
            <v>2.167856808412118E-4</v>
          </cell>
          <cell r="U42">
            <v>1850</v>
          </cell>
          <cell r="V42">
            <v>550.37965750000001</v>
          </cell>
          <cell r="W42">
            <v>2.957605045028412E-4</v>
          </cell>
          <cell r="X42">
            <v>550.37965750000001</v>
          </cell>
          <cell r="Y42">
            <v>2.957605045028412E-4</v>
          </cell>
          <cell r="AA42">
            <v>1933</v>
          </cell>
          <cell r="AB42">
            <v>790.07930699999986</v>
          </cell>
          <cell r="AC42">
            <v>4.1720640491200394</v>
          </cell>
          <cell r="AD42">
            <v>790.07930699999986</v>
          </cell>
          <cell r="AE42">
            <v>1.7048564870363485E-2</v>
          </cell>
          <cell r="AG42">
            <v>30320</v>
          </cell>
          <cell r="AH42">
            <v>66480</v>
          </cell>
          <cell r="AJ42">
            <v>13502.203486566672</v>
          </cell>
          <cell r="AK42">
            <v>29607.524054166384</v>
          </cell>
        </row>
        <row r="43">
          <cell r="B43" t="str">
            <v>Bulgaria</v>
          </cell>
          <cell r="C43" t="str">
            <v>BGR</v>
          </cell>
          <cell r="D43" t="str">
            <v>BGR</v>
          </cell>
          <cell r="E43" t="str">
            <v/>
          </cell>
          <cell r="F43" t="str">
            <v>Bulgaria</v>
          </cell>
          <cell r="G43" t="str">
            <v/>
          </cell>
          <cell r="I43">
            <v>1881</v>
          </cell>
          <cell r="J43">
            <v>2573.4732019999992</v>
          </cell>
          <cell r="K43">
            <v>2.1921043471956002E-3</v>
          </cell>
          <cell r="L43">
            <v>2573.4732019999992</v>
          </cell>
          <cell r="M43">
            <v>2.1921043471956002E-3</v>
          </cell>
          <cell r="O43">
            <v>1850</v>
          </cell>
          <cell r="P43">
            <v>2424.9712840000002</v>
          </cell>
          <cell r="Q43">
            <v>1.7512298950144529E-3</v>
          </cell>
          <cell r="R43">
            <v>2424.9712840000002</v>
          </cell>
          <cell r="S43">
            <v>1.7512298950144529E-3</v>
          </cell>
          <cell r="U43">
            <v>1850</v>
          </cell>
          <cell r="V43">
            <v>3271.0180659999996</v>
          </cell>
          <cell r="W43">
            <v>1.7577647361322901E-3</v>
          </cell>
          <cell r="X43">
            <v>3271.0180659999996</v>
          </cell>
          <cell r="Y43">
            <v>1.7577647361322901E-3</v>
          </cell>
          <cell r="AA43">
            <v>1881</v>
          </cell>
          <cell r="AB43">
            <v>313.19888919999994</v>
          </cell>
          <cell r="AC43">
            <v>1.6538666615852156</v>
          </cell>
          <cell r="AD43">
            <v>313.19888919999994</v>
          </cell>
          <cell r="AE43">
            <v>6.758298227208203E-3</v>
          </cell>
          <cell r="AG43">
            <v>11200</v>
          </cell>
          <cell r="AH43">
            <v>27380</v>
          </cell>
          <cell r="AJ43">
            <v>77004.618633979175</v>
          </cell>
          <cell r="AK43">
            <v>188313.36300503497</v>
          </cell>
        </row>
        <row r="44">
          <cell r="B44" t="str">
            <v>Burkina Faso</v>
          </cell>
          <cell r="C44" t="str">
            <v>BFA</v>
          </cell>
          <cell r="D44" t="str">
            <v>BFA</v>
          </cell>
          <cell r="E44" t="str">
            <v/>
          </cell>
          <cell r="F44" t="str">
            <v>Burkina Faso</v>
          </cell>
          <cell r="G44" t="str">
            <v/>
          </cell>
          <cell r="I44">
            <v>1958</v>
          </cell>
          <cell r="J44">
            <v>71.75483303</v>
          </cell>
          <cell r="K44">
            <v>6.1121320904027621E-5</v>
          </cell>
          <cell r="L44">
            <v>71.75483303</v>
          </cell>
          <cell r="M44">
            <v>6.1121320904027621E-5</v>
          </cell>
          <cell r="O44">
            <v>1850</v>
          </cell>
          <cell r="P44">
            <v>785.94170599999973</v>
          </cell>
          <cell r="Q44">
            <v>5.6757975666233058E-4</v>
          </cell>
          <cell r="R44">
            <v>785.94170599999973</v>
          </cell>
          <cell r="S44">
            <v>5.6757975666233058E-4</v>
          </cell>
          <cell r="U44">
            <v>1850</v>
          </cell>
          <cell r="V44">
            <v>1610.5483479999998</v>
          </cell>
          <cell r="W44">
            <v>8.6546910925881619E-4</v>
          </cell>
          <cell r="X44">
            <v>1610.5483479999998</v>
          </cell>
          <cell r="Y44">
            <v>8.6546910925881619E-4</v>
          </cell>
          <cell r="AA44">
            <v>1958</v>
          </cell>
          <cell r="AB44">
            <v>4.7224385380000005</v>
          </cell>
          <cell r="AC44">
            <v>2.4937137163331381E-2</v>
          </cell>
          <cell r="AD44">
            <v>4.7224385380000005</v>
          </cell>
          <cell r="AE44">
            <v>1.0190217494380918E-4</v>
          </cell>
          <cell r="AG44">
            <v>830</v>
          </cell>
          <cell r="AH44">
            <v>2270</v>
          </cell>
          <cell r="AJ44">
            <v>18393.295258243692</v>
          </cell>
          <cell r="AK44">
            <v>50190.304713401732</v>
          </cell>
        </row>
        <row r="45">
          <cell r="B45" t="str">
            <v>Burundi</v>
          </cell>
          <cell r="C45" t="str">
            <v>BDI</v>
          </cell>
          <cell r="D45" t="str">
            <v>BDI</v>
          </cell>
          <cell r="E45" t="str">
            <v/>
          </cell>
          <cell r="F45" t="str">
            <v>Burundi</v>
          </cell>
          <cell r="G45" t="str">
            <v/>
          </cell>
          <cell r="I45">
            <v>1950</v>
          </cell>
          <cell r="J45">
            <v>12.472626979999999</v>
          </cell>
          <cell r="K45">
            <v>1.0624279981838776E-5</v>
          </cell>
          <cell r="L45">
            <v>12.472626979999999</v>
          </cell>
          <cell r="M45">
            <v>1.0624279981838776E-5</v>
          </cell>
          <cell r="O45">
            <v>1850</v>
          </cell>
          <cell r="P45">
            <v>181.74942730000004</v>
          </cell>
          <cell r="Q45">
            <v>1.3125311321810935E-4</v>
          </cell>
          <cell r="R45">
            <v>181.74942730000004</v>
          </cell>
          <cell r="S45">
            <v>1.3125311321810935E-4</v>
          </cell>
          <cell r="U45">
            <v>1850</v>
          </cell>
          <cell r="V45">
            <v>344.11533650000001</v>
          </cell>
          <cell r="W45">
            <v>1.8491912654021911E-4</v>
          </cell>
          <cell r="X45">
            <v>344.11533650000001</v>
          </cell>
          <cell r="Y45">
            <v>1.8491912654021911E-4</v>
          </cell>
          <cell r="AA45">
            <v>1950</v>
          </cell>
          <cell r="AB45">
            <v>1.6717395359999998</v>
          </cell>
          <cell r="AC45">
            <v>8.8277269836637001E-3</v>
          </cell>
          <cell r="AD45">
            <v>1.6717395359999998</v>
          </cell>
          <cell r="AE45">
            <v>3.6073289951191385E-5</v>
          </cell>
          <cell r="AG45">
            <v>220</v>
          </cell>
          <cell r="AH45">
            <v>780</v>
          </cell>
          <cell r="AJ45">
            <v>2793.4935167017011</v>
          </cell>
          <cell r="AK45">
            <v>9749.8787991831177</v>
          </cell>
        </row>
        <row r="46">
          <cell r="B46" t="str">
            <v>Cambodia</v>
          </cell>
          <cell r="C46" t="str">
            <v>KHM</v>
          </cell>
          <cell r="D46" t="str">
            <v>KHM</v>
          </cell>
          <cell r="E46" t="str">
            <v/>
          </cell>
          <cell r="F46" t="str">
            <v>Cambodia</v>
          </cell>
          <cell r="G46" t="str">
            <v/>
          </cell>
          <cell r="I46">
            <v>1955</v>
          </cell>
          <cell r="J46">
            <v>178.14618099999998</v>
          </cell>
          <cell r="K46">
            <v>1.5174629271558053E-4</v>
          </cell>
          <cell r="L46">
            <v>178.14618099999998</v>
          </cell>
          <cell r="M46">
            <v>1.5174629271558053E-4</v>
          </cell>
          <cell r="O46">
            <v>1955</v>
          </cell>
          <cell r="P46">
            <v>2110.3565979999998</v>
          </cell>
          <cell r="Q46">
            <v>1.5240261144298967E-3</v>
          </cell>
          <cell r="R46">
            <v>2110.3565979999998</v>
          </cell>
          <cell r="S46">
            <v>1.5240261144298967E-3</v>
          </cell>
          <cell r="U46">
            <v>1850</v>
          </cell>
          <cell r="V46">
            <v>2427.9872569999998</v>
          </cell>
          <cell r="W46">
            <v>1.3047406935762145E-3</v>
          </cell>
          <cell r="X46">
            <v>2427.9872569999998</v>
          </cell>
          <cell r="Y46">
            <v>1.3047406935762145E-3</v>
          </cell>
          <cell r="AA46">
            <v>1955</v>
          </cell>
          <cell r="AB46">
            <v>12.371510433800003</v>
          </cell>
          <cell r="AC46">
            <v>6.5328547978501184E-2</v>
          </cell>
          <cell r="AD46">
            <v>12.371510433800003</v>
          </cell>
          <cell r="AE46">
            <v>2.669561097301566E-4</v>
          </cell>
          <cell r="AG46">
            <v>1580</v>
          </cell>
          <cell r="AH46">
            <v>4540</v>
          </cell>
          <cell r="AJ46">
            <v>26266.782588603575</v>
          </cell>
          <cell r="AK46">
            <v>75231.46986809044</v>
          </cell>
        </row>
        <row r="47">
          <cell r="B47" t="str">
            <v>Cameroon</v>
          </cell>
          <cell r="C47" t="str">
            <v>CMR</v>
          </cell>
          <cell r="D47" t="str">
            <v>CMR</v>
          </cell>
          <cell r="E47" t="str">
            <v/>
          </cell>
          <cell r="F47" t="str">
            <v>Cameroon</v>
          </cell>
          <cell r="G47" t="str">
            <v/>
          </cell>
          <cell r="I47">
            <v>1950</v>
          </cell>
          <cell r="J47">
            <v>226.61368600000003</v>
          </cell>
          <cell r="K47">
            <v>1.9303128776649252E-4</v>
          </cell>
          <cell r="L47">
            <v>226.61368600000003</v>
          </cell>
          <cell r="M47">
            <v>1.9303128776649252E-4</v>
          </cell>
          <cell r="O47">
            <v>1850</v>
          </cell>
          <cell r="P47">
            <v>1429.0285869999996</v>
          </cell>
          <cell r="Q47">
            <v>1.0319947287197077E-3</v>
          </cell>
          <cell r="R47">
            <v>1429.0285869999996</v>
          </cell>
          <cell r="S47">
            <v>1.0319947287197077E-3</v>
          </cell>
          <cell r="U47">
            <v>1850</v>
          </cell>
          <cell r="V47">
            <v>2654.7076460000003</v>
          </cell>
          <cell r="W47">
            <v>1.4265746598537937E-3</v>
          </cell>
          <cell r="X47">
            <v>2654.7076460000003</v>
          </cell>
          <cell r="Y47">
            <v>1.4265746598537937E-3</v>
          </cell>
          <cell r="AA47">
            <v>1950</v>
          </cell>
          <cell r="AB47">
            <v>14.435086649999999</v>
          </cell>
          <cell r="AC47">
            <v>7.6225393482426226E-2</v>
          </cell>
          <cell r="AD47">
            <v>14.435086649999999</v>
          </cell>
          <cell r="AE47">
            <v>3.1148456741171549E-4</v>
          </cell>
          <cell r="AG47">
            <v>1590</v>
          </cell>
          <cell r="AH47">
            <v>3970</v>
          </cell>
          <cell r="AJ47">
            <v>43215.530335575422</v>
          </cell>
          <cell r="AK47">
            <v>108055.27145156758</v>
          </cell>
        </row>
        <row r="48">
          <cell r="B48" t="str">
            <v>Canada</v>
          </cell>
          <cell r="C48" t="str">
            <v>CAN</v>
          </cell>
          <cell r="D48" t="str">
            <v>CAN</v>
          </cell>
          <cell r="E48" t="str">
            <v/>
          </cell>
          <cell r="F48" t="str">
            <v>Canada</v>
          </cell>
          <cell r="G48" t="str">
            <v/>
          </cell>
          <cell r="I48">
            <v>1785</v>
          </cell>
          <cell r="J48">
            <v>22145.371700000003</v>
          </cell>
          <cell r="K48">
            <v>1.886359863242611E-2</v>
          </cell>
          <cell r="L48">
            <v>22145.371700000003</v>
          </cell>
          <cell r="M48">
            <v>1.886359863242611E-2</v>
          </cell>
          <cell r="O48">
            <v>1850</v>
          </cell>
          <cell r="P48">
            <v>30441.180379999994</v>
          </cell>
          <cell r="Q48">
            <v>2.198356140244645E-2</v>
          </cell>
          <cell r="R48">
            <v>30441.180379999994</v>
          </cell>
          <cell r="S48">
            <v>2.198356140244645E-2</v>
          </cell>
          <cell r="U48">
            <v>1850</v>
          </cell>
          <cell r="V48">
            <v>33961.172960000004</v>
          </cell>
          <cell r="W48">
            <v>1.8249899885076783E-2</v>
          </cell>
          <cell r="X48">
            <v>33961.172960000004</v>
          </cell>
          <cell r="Y48">
            <v>1.8249899885076783E-2</v>
          </cell>
          <cell r="AA48">
            <v>1790</v>
          </cell>
          <cell r="AB48">
            <v>720.18573700000013</v>
          </cell>
          <cell r="AC48">
            <v>3.8029866057822481</v>
          </cell>
          <cell r="AD48">
            <v>720.18573700000013</v>
          </cell>
          <cell r="AE48">
            <v>1.5540380753137534E-2</v>
          </cell>
          <cell r="AG48">
            <v>48310</v>
          </cell>
          <cell r="AH48">
            <v>52310</v>
          </cell>
          <cell r="AJ48">
            <v>1847687.3314600652</v>
          </cell>
          <cell r="AK48">
            <v>2000772.1159530706</v>
          </cell>
        </row>
        <row r="49">
          <cell r="B49" t="str">
            <v>Cape Verde</v>
          </cell>
          <cell r="C49" t="str">
            <v>CPV</v>
          </cell>
          <cell r="D49" t="str">
            <v>CPV</v>
          </cell>
          <cell r="E49" t="str">
            <v/>
          </cell>
          <cell r="F49" t="str">
            <v>Cabo Verde</v>
          </cell>
          <cell r="G49" t="str">
            <v>diff</v>
          </cell>
          <cell r="I49">
            <v>1950</v>
          </cell>
          <cell r="J49">
            <v>14.010518000000001</v>
          </cell>
          <cell r="K49">
            <v>1.1934267429089093E-5</v>
          </cell>
          <cell r="L49">
            <v>14.010518000000001</v>
          </cell>
          <cell r="M49">
            <v>1.1934267429089093E-5</v>
          </cell>
          <cell r="O49">
            <v>1850</v>
          </cell>
          <cell r="P49">
            <v>16.905078</v>
          </cell>
          <cell r="Q49">
            <v>1.2208259193205001E-5</v>
          </cell>
          <cell r="R49">
            <v>16.905078</v>
          </cell>
          <cell r="S49">
            <v>1.2208259193205001E-5</v>
          </cell>
          <cell r="U49">
            <v>1850</v>
          </cell>
          <cell r="V49">
            <v>26.486966020000001</v>
          </cell>
          <cell r="W49">
            <v>1.4233444725062011E-5</v>
          </cell>
          <cell r="X49">
            <v>26.486966020000001</v>
          </cell>
          <cell r="Y49">
            <v>1.4233444725062011E-5</v>
          </cell>
          <cell r="AA49">
            <v>1950</v>
          </cell>
          <cell r="AB49">
            <v>28.69331476</v>
          </cell>
          <cell r="AC49">
            <v>0.15151687419182264</v>
          </cell>
          <cell r="AD49">
            <v>28.69331476</v>
          </cell>
          <cell r="AE49">
            <v>6.1915282895976182E-4</v>
          </cell>
          <cell r="AG49">
            <v>3190</v>
          </cell>
          <cell r="AH49">
            <v>6590</v>
          </cell>
          <cell r="AJ49">
            <v>1873.7815812246076</v>
          </cell>
          <cell r="AK49">
            <v>3872.1106762249847</v>
          </cell>
        </row>
        <row r="50">
          <cell r="B50" t="str">
            <v>Central African Republic</v>
          </cell>
          <cell r="C50" t="str">
            <v>CAF</v>
          </cell>
          <cell r="D50" t="str">
            <v>CAF</v>
          </cell>
          <cell r="E50" t="str">
            <v/>
          </cell>
          <cell r="F50" t="str">
            <v>Central African Republic</v>
          </cell>
          <cell r="G50" t="str">
            <v/>
          </cell>
          <cell r="I50">
            <v>1959</v>
          </cell>
          <cell r="J50">
            <v>8.3447859999999991</v>
          </cell>
          <cell r="K50">
            <v>7.1081531576861503E-6</v>
          </cell>
          <cell r="L50">
            <v>8.3447859999999991</v>
          </cell>
          <cell r="M50">
            <v>7.1081531576861503E-6</v>
          </cell>
          <cell r="O50">
            <v>1850</v>
          </cell>
          <cell r="P50">
            <v>265.08126649999997</v>
          </cell>
          <cell r="Q50">
            <v>1.9143246832076431E-4</v>
          </cell>
          <cell r="R50">
            <v>265.08126649999997</v>
          </cell>
          <cell r="S50">
            <v>1.9143246832076431E-4</v>
          </cell>
          <cell r="U50">
            <v>1850</v>
          </cell>
          <cell r="V50">
            <v>1169.8380819999998</v>
          </cell>
          <cell r="W50">
            <v>6.286422410496813E-4</v>
          </cell>
          <cell r="X50">
            <v>1169.8380819999998</v>
          </cell>
          <cell r="Y50">
            <v>6.286422410496813E-4</v>
          </cell>
          <cell r="AA50">
            <v>1959</v>
          </cell>
          <cell r="AB50">
            <v>2.3430359830000005</v>
          </cell>
          <cell r="AC50">
            <v>1.2372550583037781E-2</v>
          </cell>
          <cell r="AD50">
            <v>2.3430359830000005</v>
          </cell>
          <cell r="AE50">
            <v>5.0558723150777818E-5</v>
          </cell>
          <cell r="AG50">
            <v>480</v>
          </cell>
          <cell r="AH50">
            <v>980</v>
          </cell>
          <cell r="AJ50">
            <v>2612.2199550350297</v>
          </cell>
          <cell r="AK50">
            <v>5363.5996344775631</v>
          </cell>
        </row>
        <row r="51">
          <cell r="B51" t="str">
            <v>Central America (GCP)</v>
          </cell>
          <cell r="D51" t="str">
            <v/>
          </cell>
          <cell r="E51" t="str">
            <v/>
          </cell>
          <cell r="F51" t="str">
            <v/>
          </cell>
          <cell r="G51" t="str">
            <v/>
          </cell>
          <cell r="I51" t="str">
            <v/>
          </cell>
          <cell r="J51" t="str">
            <v/>
          </cell>
          <cell r="K51" t="str">
            <v/>
          </cell>
          <cell r="L51" t="str">
            <v/>
          </cell>
          <cell r="M51" t="str">
            <v/>
          </cell>
          <cell r="O51" t="str">
            <v/>
          </cell>
          <cell r="P51" t="str">
            <v/>
          </cell>
          <cell r="Q51" t="str">
            <v/>
          </cell>
          <cell r="R51" t="str">
            <v/>
          </cell>
          <cell r="S51" t="str">
            <v/>
          </cell>
          <cell r="U51" t="str">
            <v/>
          </cell>
          <cell r="V51" t="str">
            <v/>
          </cell>
          <cell r="W51" t="str">
            <v/>
          </cell>
          <cell r="X51" t="str">
            <v/>
          </cell>
          <cell r="Y51" t="str">
            <v/>
          </cell>
          <cell r="AA51" t="str">
            <v/>
          </cell>
          <cell r="AB51" t="str">
            <v/>
          </cell>
          <cell r="AC51" t="str">
            <v/>
          </cell>
          <cell r="AD51" t="str">
            <v/>
          </cell>
          <cell r="AE51" t="str">
            <v/>
          </cell>
          <cell r="AG51" t="e">
            <v>#N/A</v>
          </cell>
          <cell r="AH51" t="e">
            <v>#N/A</v>
          </cell>
          <cell r="AJ51" t="e">
            <v>#N/A</v>
          </cell>
          <cell r="AK51" t="e">
            <v>#N/A</v>
          </cell>
        </row>
        <row r="52">
          <cell r="B52" t="str">
            <v>Chad</v>
          </cell>
          <cell r="C52" t="str">
            <v>TCD</v>
          </cell>
          <cell r="D52" t="str">
            <v>TCD</v>
          </cell>
          <cell r="E52" t="str">
            <v/>
          </cell>
          <cell r="F52" t="str">
            <v>Chad</v>
          </cell>
          <cell r="G52" t="str">
            <v/>
          </cell>
          <cell r="I52">
            <v>1959</v>
          </cell>
          <cell r="J52">
            <v>34.102051189999997</v>
          </cell>
          <cell r="K52">
            <v>2.904839055786131E-5</v>
          </cell>
          <cell r="L52">
            <v>34.102051189999997</v>
          </cell>
          <cell r="M52">
            <v>2.904839055786131E-5</v>
          </cell>
          <cell r="O52">
            <v>1850</v>
          </cell>
          <cell r="P52">
            <v>562.08444470000018</v>
          </cell>
          <cell r="Q52">
            <v>4.0591783068769663E-4</v>
          </cell>
          <cell r="R52">
            <v>562.08444470000018</v>
          </cell>
          <cell r="S52">
            <v>4.0591783068769663E-4</v>
          </cell>
          <cell r="U52">
            <v>1850</v>
          </cell>
          <cell r="V52">
            <v>2367.8929730000004</v>
          </cell>
          <cell r="W52">
            <v>1.2724475019377194E-3</v>
          </cell>
          <cell r="X52">
            <v>2367.8929730000004</v>
          </cell>
          <cell r="Y52">
            <v>1.2724475019377194E-3</v>
          </cell>
          <cell r="AA52">
            <v>1959</v>
          </cell>
          <cell r="AB52">
            <v>3.1883552780000004</v>
          </cell>
          <cell r="AC52">
            <v>1.6836312903415824E-2</v>
          </cell>
          <cell r="AD52">
            <v>3.1883552780000004</v>
          </cell>
          <cell r="AE52">
            <v>6.8799272813695926E-5</v>
          </cell>
          <cell r="AG52">
            <v>640</v>
          </cell>
          <cell r="AH52">
            <v>1510</v>
          </cell>
          <cell r="AJ52">
            <v>11061.46373257704</v>
          </cell>
          <cell r="AK52">
            <v>25993.258124469667</v>
          </cell>
        </row>
        <row r="53">
          <cell r="B53" t="str">
            <v>Chile</v>
          </cell>
          <cell r="C53" t="str">
            <v>CHL</v>
          </cell>
          <cell r="D53" t="str">
            <v>CHL</v>
          </cell>
          <cell r="E53" t="str">
            <v/>
          </cell>
          <cell r="F53" t="str">
            <v>Chile</v>
          </cell>
          <cell r="G53" t="str">
            <v/>
          </cell>
          <cell r="I53">
            <v>1895</v>
          </cell>
          <cell r="J53">
            <v>2286.0391639999998</v>
          </cell>
          <cell r="K53">
            <v>1.9472658139083265E-3</v>
          </cell>
          <cell r="L53">
            <v>2286.0391639999998</v>
          </cell>
          <cell r="M53">
            <v>1.9472658139083265E-3</v>
          </cell>
          <cell r="O53">
            <v>1850</v>
          </cell>
          <cell r="P53">
            <v>3176.3179080000004</v>
          </cell>
          <cell r="Q53">
            <v>2.2938262870412477E-3</v>
          </cell>
          <cell r="R53">
            <v>3176.3179080000004</v>
          </cell>
          <cell r="S53">
            <v>2.2938262870412477E-3</v>
          </cell>
          <cell r="U53">
            <v>1850</v>
          </cell>
          <cell r="V53">
            <v>3995.8672499999993</v>
          </cell>
          <cell r="W53">
            <v>2.1472808772667628E-3</v>
          </cell>
          <cell r="X53">
            <v>3995.8672499999993</v>
          </cell>
          <cell r="Y53">
            <v>2.1472808772667628E-3</v>
          </cell>
          <cell r="AA53">
            <v>1895</v>
          </cell>
          <cell r="AB53">
            <v>143.44683160000002</v>
          </cell>
          <cell r="AC53">
            <v>0.7574801210159231</v>
          </cell>
          <cell r="AD53">
            <v>143.44683160000002</v>
          </cell>
          <cell r="AE53">
            <v>3.0953381417705042E-3</v>
          </cell>
          <cell r="AG53">
            <v>14780</v>
          </cell>
          <cell r="AH53">
            <v>26720</v>
          </cell>
          <cell r="AJ53">
            <v>288125.20954570797</v>
          </cell>
          <cell r="AK53">
            <v>520858.97993059614</v>
          </cell>
        </row>
        <row r="54">
          <cell r="B54" t="str">
            <v>China</v>
          </cell>
          <cell r="C54" t="str">
            <v>CHN</v>
          </cell>
          <cell r="D54" t="str">
            <v>CHN</v>
          </cell>
          <cell r="E54" t="str">
            <v/>
          </cell>
          <cell r="F54" t="str">
            <v>China</v>
          </cell>
          <cell r="G54" t="str">
            <v/>
          </cell>
          <cell r="I54">
            <v>1907</v>
          </cell>
          <cell r="J54">
            <v>229324.91529999999</v>
          </cell>
          <cell r="K54">
            <v>0.19534073382179051</v>
          </cell>
          <cell r="L54">
            <v>229324.91529999999</v>
          </cell>
          <cell r="M54">
            <v>0.19534073382179051</v>
          </cell>
          <cell r="O54">
            <v>1850</v>
          </cell>
          <cell r="P54">
            <v>262284.28149999998</v>
          </cell>
          <cell r="Q54">
            <v>0.18941258306264799</v>
          </cell>
          <cell r="R54">
            <v>262284.28149999998</v>
          </cell>
          <cell r="S54">
            <v>0.18941258306264799</v>
          </cell>
          <cell r="U54">
            <v>1850</v>
          </cell>
          <cell r="V54">
            <v>308590.98480000003</v>
          </cell>
          <cell r="W54">
            <v>0.16582921280929902</v>
          </cell>
          <cell r="X54">
            <v>308590.98480000003</v>
          </cell>
          <cell r="Y54">
            <v>0.16582921280929902</v>
          </cell>
          <cell r="AA54">
            <v>1907</v>
          </cell>
          <cell r="AB54">
            <v>175.28944200000001</v>
          </cell>
          <cell r="AC54">
            <v>0.92562705120754729</v>
          </cell>
          <cell r="AD54">
            <v>175.28944200000001</v>
          </cell>
          <cell r="AE54">
            <v>3.7824474031273652E-3</v>
          </cell>
          <cell r="AG54">
            <v>11880</v>
          </cell>
          <cell r="AH54">
            <v>19160</v>
          </cell>
          <cell r="AJ54">
            <v>16785118.839866642</v>
          </cell>
          <cell r="AK54">
            <v>27063466.631541673</v>
          </cell>
        </row>
        <row r="55">
          <cell r="B55" t="str">
            <v>Colombia</v>
          </cell>
          <cell r="C55" t="str">
            <v>COL</v>
          </cell>
          <cell r="D55" t="str">
            <v>COL</v>
          </cell>
          <cell r="E55" t="str">
            <v/>
          </cell>
          <cell r="F55" t="str">
            <v>Colombia</v>
          </cell>
          <cell r="G55" t="str">
            <v/>
          </cell>
          <cell r="I55">
            <v>1921</v>
          </cell>
          <cell r="J55">
            <v>2785.4987919999999</v>
          </cell>
          <cell r="K55">
            <v>2.3727093821322388E-3</v>
          </cell>
          <cell r="L55">
            <v>2785.4987919999999</v>
          </cell>
          <cell r="M55">
            <v>2.3727093821322388E-3</v>
          </cell>
          <cell r="O55">
            <v>1850</v>
          </cell>
          <cell r="P55">
            <v>5125.5124599999999</v>
          </cell>
          <cell r="Q55">
            <v>3.7014667787798306E-3</v>
          </cell>
          <cell r="R55">
            <v>5125.5124599999999</v>
          </cell>
          <cell r="S55">
            <v>3.7014667787798306E-3</v>
          </cell>
          <cell r="U55">
            <v>1850</v>
          </cell>
          <cell r="V55">
            <v>9367.6508799999992</v>
          </cell>
          <cell r="W55">
            <v>5.03394540935642E-3</v>
          </cell>
          <cell r="X55">
            <v>9367.6508799999992</v>
          </cell>
          <cell r="Y55">
            <v>5.03394540935642E-3</v>
          </cell>
          <cell r="AA55">
            <v>1921</v>
          </cell>
          <cell r="AB55">
            <v>71.792906000000002</v>
          </cell>
          <cell r="AC55">
            <v>0.37910700793035002</v>
          </cell>
          <cell r="AD55">
            <v>71.792906000000002</v>
          </cell>
          <cell r="AE55">
            <v>1.549168550965363E-3</v>
          </cell>
          <cell r="AG55">
            <v>6190</v>
          </cell>
          <cell r="AH55">
            <v>16610</v>
          </cell>
          <cell r="AJ55">
            <v>318932.01027170016</v>
          </cell>
          <cell r="AK55">
            <v>855432.99384611042</v>
          </cell>
        </row>
        <row r="56">
          <cell r="B56" t="str">
            <v>Comoros</v>
          </cell>
          <cell r="C56" t="str">
            <v>COM</v>
          </cell>
          <cell r="D56" t="str">
            <v>COM</v>
          </cell>
          <cell r="E56" t="str">
            <v/>
          </cell>
          <cell r="F56" t="str">
            <v>Comoros</v>
          </cell>
          <cell r="G56" t="str">
            <v/>
          </cell>
          <cell r="I56">
            <v>1959</v>
          </cell>
          <cell r="J56">
            <v>5.1863039999999998</v>
          </cell>
          <cell r="K56">
            <v>4.4177337986043394E-6</v>
          </cell>
          <cell r="L56">
            <v>5.1863039999999998</v>
          </cell>
          <cell r="M56">
            <v>4.4177337986043394E-6</v>
          </cell>
          <cell r="O56">
            <v>1850</v>
          </cell>
          <cell r="P56">
            <v>11.891423999999999</v>
          </cell>
          <cell r="Q56">
            <v>8.5875727026103389E-6</v>
          </cell>
          <cell r="R56">
            <v>11.891423999999999</v>
          </cell>
          <cell r="S56">
            <v>8.5875727026103389E-6</v>
          </cell>
          <cell r="U56">
            <v>1850</v>
          </cell>
          <cell r="V56">
            <v>31.366447859999994</v>
          </cell>
          <cell r="W56">
            <v>1.6855558371605805E-5</v>
          </cell>
          <cell r="X56">
            <v>31.366447859999994</v>
          </cell>
          <cell r="Y56">
            <v>1.6855558371605805E-5</v>
          </cell>
          <cell r="AA56">
            <v>1959</v>
          </cell>
          <cell r="AB56">
            <v>8.6606142200000011</v>
          </cell>
          <cell r="AC56">
            <v>4.5732924417117793E-2</v>
          </cell>
          <cell r="AD56">
            <v>8.6606142200000011</v>
          </cell>
          <cell r="AE56">
            <v>1.8688129411654431E-4</v>
          </cell>
          <cell r="AG56">
            <v>1580</v>
          </cell>
          <cell r="AH56">
            <v>3560</v>
          </cell>
          <cell r="AJ56">
            <v>1299.4801643687631</v>
          </cell>
          <cell r="AK56">
            <v>2928.3595183901507</v>
          </cell>
        </row>
        <row r="57">
          <cell r="B57" t="str">
            <v>Congo</v>
          </cell>
          <cell r="C57" t="str">
            <v>COG</v>
          </cell>
          <cell r="D57" t="str">
            <v>COG</v>
          </cell>
          <cell r="E57" t="str">
            <v/>
          </cell>
          <cell r="F57" t="str">
            <v>Congo</v>
          </cell>
          <cell r="G57" t="str">
            <v/>
          </cell>
          <cell r="I57">
            <v>1959</v>
          </cell>
          <cell r="J57">
            <v>99.290392060000002</v>
          </cell>
          <cell r="K57">
            <v>8.457632273004783E-5</v>
          </cell>
          <cell r="L57">
            <v>99.290392060000002</v>
          </cell>
          <cell r="M57">
            <v>8.457632273004783E-5</v>
          </cell>
          <cell r="O57">
            <v>1850</v>
          </cell>
          <cell r="P57">
            <v>817.94735500000002</v>
          </cell>
          <cell r="Q57">
            <v>5.9069312287328489E-4</v>
          </cell>
          <cell r="R57">
            <v>817.94735500000002</v>
          </cell>
          <cell r="S57">
            <v>5.9069312287328489E-4</v>
          </cell>
          <cell r="U57">
            <v>1850</v>
          </cell>
          <cell r="V57">
            <v>1236.5204000000001</v>
          </cell>
          <cell r="W57">
            <v>6.6447568028448617E-4</v>
          </cell>
          <cell r="X57">
            <v>1236.5204000000001</v>
          </cell>
          <cell r="Y57">
            <v>6.6447568028448617E-4</v>
          </cell>
          <cell r="AA57">
            <v>1959</v>
          </cell>
          <cell r="AB57">
            <v>25.188293395000002</v>
          </cell>
          <cell r="AC57">
            <v>0.13300838586823951</v>
          </cell>
          <cell r="AD57">
            <v>25.188293395000002</v>
          </cell>
          <cell r="AE57">
            <v>5.4352044169966569E-4</v>
          </cell>
          <cell r="AG57">
            <v>1970</v>
          </cell>
          <cell r="AH57">
            <v>3400</v>
          </cell>
          <cell r="AJ57">
            <v>11484.743537013359</v>
          </cell>
          <cell r="AK57">
            <v>19830.929385748805</v>
          </cell>
        </row>
        <row r="58">
          <cell r="B58" t="str">
            <v>Cook Islands</v>
          </cell>
          <cell r="C58" t="str">
            <v>COK</v>
          </cell>
          <cell r="D58" t="str">
            <v>COK</v>
          </cell>
          <cell r="E58" t="str">
            <v/>
          </cell>
          <cell r="F58" t="str">
            <v>Cook Islands</v>
          </cell>
          <cell r="G58" t="str">
            <v/>
          </cell>
          <cell r="I58">
            <v>1969</v>
          </cell>
          <cell r="J58">
            <v>2.2834809999999992</v>
          </cell>
          <cell r="K58">
            <v>1.9450867500576197E-6</v>
          </cell>
          <cell r="L58">
            <v>2.2834809999999992</v>
          </cell>
          <cell r="M58">
            <v>1.9450867500576197E-6</v>
          </cell>
          <cell r="O58">
            <v>1969</v>
          </cell>
          <cell r="P58">
            <v>0</v>
          </cell>
          <cell r="Q58">
            <v>0</v>
          </cell>
          <cell r="R58">
            <v>0</v>
          </cell>
          <cell r="S58">
            <v>0</v>
          </cell>
          <cell r="U58">
            <v>1850</v>
          </cell>
          <cell r="V58">
            <v>2.5334573530000002</v>
          </cell>
          <cell r="W58">
            <v>1.3614177316495617E-6</v>
          </cell>
          <cell r="X58">
            <v>2.5334573530000002</v>
          </cell>
          <cell r="Y58">
            <v>1.3614177316495617E-6</v>
          </cell>
          <cell r="AA58">
            <v>1969</v>
          </cell>
          <cell r="AB58">
            <v>134.6920618</v>
          </cell>
          <cell r="AC58">
            <v>0.71125000206800093</v>
          </cell>
          <cell r="AD58">
            <v>134.6920618</v>
          </cell>
          <cell r="AE58">
            <v>2.9064251307119831E-3</v>
          </cell>
          <cell r="AG58" t="e">
            <v>#N/A</v>
          </cell>
          <cell r="AH58" t="e">
            <v>#N/A</v>
          </cell>
          <cell r="AJ58" t="e">
            <v>#N/A</v>
          </cell>
          <cell r="AK58" t="e">
            <v>#N/A</v>
          </cell>
        </row>
        <row r="59">
          <cell r="B59" t="str">
            <v>Costa Rica</v>
          </cell>
          <cell r="C59" t="str">
            <v>CRI</v>
          </cell>
          <cell r="D59" t="str">
            <v>CRI</v>
          </cell>
          <cell r="E59" t="str">
            <v/>
          </cell>
          <cell r="F59" t="str">
            <v>Costa Rica</v>
          </cell>
          <cell r="G59" t="str">
            <v/>
          </cell>
          <cell r="I59">
            <v>1950</v>
          </cell>
          <cell r="J59">
            <v>231.49153509999999</v>
          </cell>
          <cell r="K59">
            <v>1.9718627729922367E-4</v>
          </cell>
          <cell r="L59">
            <v>231.49153509999999</v>
          </cell>
          <cell r="M59">
            <v>1.9718627729922367E-4</v>
          </cell>
          <cell r="O59">
            <v>1850</v>
          </cell>
          <cell r="P59">
            <v>555.71889399999998</v>
          </cell>
          <cell r="Q59">
            <v>4.0132085143370619E-4</v>
          </cell>
          <cell r="R59">
            <v>555.71889399999998</v>
          </cell>
          <cell r="S59">
            <v>4.0132085143370619E-4</v>
          </cell>
          <cell r="U59">
            <v>1850</v>
          </cell>
          <cell r="V59">
            <v>727.89785299999994</v>
          </cell>
          <cell r="W59">
            <v>3.9115442094589934E-4</v>
          </cell>
          <cell r="X59">
            <v>727.89785299999994</v>
          </cell>
          <cell r="Y59">
            <v>3.9115442094589934E-4</v>
          </cell>
          <cell r="AA59">
            <v>1950</v>
          </cell>
          <cell r="AB59">
            <v>57.078319669999999</v>
          </cell>
          <cell r="AC59">
            <v>0.30140569860461897</v>
          </cell>
          <cell r="AD59">
            <v>57.078319669999999</v>
          </cell>
          <cell r="AE59">
            <v>1.2316528568255987E-3</v>
          </cell>
          <cell r="AG59">
            <v>12310</v>
          </cell>
          <cell r="AH59">
            <v>21070</v>
          </cell>
          <cell r="AJ59">
            <v>63469.559146703228</v>
          </cell>
          <cell r="AK59">
            <v>108605.14575336124</v>
          </cell>
        </row>
        <row r="60">
          <cell r="B60" t="str">
            <v>Cote d'Ivoire</v>
          </cell>
          <cell r="C60" t="str">
            <v>CIV</v>
          </cell>
          <cell r="D60" t="str">
            <v>CIV</v>
          </cell>
          <cell r="E60" t="str">
            <v/>
          </cell>
          <cell r="F60" t="str">
            <v>Côte d’Ivoire</v>
          </cell>
          <cell r="G60" t="str">
            <v>diff</v>
          </cell>
          <cell r="I60">
            <v>1958</v>
          </cell>
          <cell r="J60">
            <v>306.05158729999994</v>
          </cell>
          <cell r="K60">
            <v>2.6069710555565515E-4</v>
          </cell>
          <cell r="L60">
            <v>306.05158729999994</v>
          </cell>
          <cell r="M60">
            <v>2.6069710555565515E-4</v>
          </cell>
          <cell r="O60">
            <v>1958</v>
          </cell>
          <cell r="P60">
            <v>3376.7766940000006</v>
          </cell>
          <cell r="Q60">
            <v>2.4385906482020311E-3</v>
          </cell>
          <cell r="R60">
            <v>3376.7766940000006</v>
          </cell>
          <cell r="S60">
            <v>2.4385906482020311E-3</v>
          </cell>
          <cell r="U60">
            <v>1850</v>
          </cell>
          <cell r="V60">
            <v>5049.5254339999992</v>
          </cell>
          <cell r="W60">
            <v>2.7134908957999922E-3</v>
          </cell>
          <cell r="X60">
            <v>5049.5254339999992</v>
          </cell>
          <cell r="Y60">
            <v>2.7134908957999922E-3</v>
          </cell>
          <cell r="AA60">
            <v>1958</v>
          </cell>
          <cell r="AB60">
            <v>19.188985589999998</v>
          </cell>
          <cell r="AC60">
            <v>0.10132865930017516</v>
          </cell>
          <cell r="AD60">
            <v>19.188985589999998</v>
          </cell>
          <cell r="AE60">
            <v>4.1406560421102786E-4</v>
          </cell>
          <cell r="AG60">
            <v>2420</v>
          </cell>
          <cell r="AH60">
            <v>5670</v>
          </cell>
          <cell r="AJ60">
            <v>66459.624866633501</v>
          </cell>
          <cell r="AK60">
            <v>155901.59886136802</v>
          </cell>
        </row>
        <row r="61">
          <cell r="B61" t="str">
            <v>Croatia</v>
          </cell>
          <cell r="C61" t="str">
            <v>HRV</v>
          </cell>
          <cell r="D61" t="str">
            <v>HRV</v>
          </cell>
          <cell r="E61" t="str">
            <v/>
          </cell>
          <cell r="F61" t="str">
            <v>Croatia</v>
          </cell>
          <cell r="G61" t="str">
            <v/>
          </cell>
          <cell r="I61">
            <v>1885</v>
          </cell>
          <cell r="J61">
            <v>842.77331700000002</v>
          </cell>
          <cell r="K61">
            <v>7.1788081976544179E-4</v>
          </cell>
          <cell r="L61">
            <v>842.77331700000002</v>
          </cell>
          <cell r="M61">
            <v>7.1788081976544179E-4</v>
          </cell>
          <cell r="O61">
            <v>1850</v>
          </cell>
          <cell r="P61">
            <v>725.70851800000025</v>
          </cell>
          <cell r="Q61">
            <v>5.2408144383957764E-4</v>
          </cell>
          <cell r="R61">
            <v>725.70851800000025</v>
          </cell>
          <cell r="S61">
            <v>5.2408144383957764E-4</v>
          </cell>
          <cell r="U61">
            <v>1850</v>
          </cell>
          <cell r="V61">
            <v>1058.4196320000001</v>
          </cell>
          <cell r="W61">
            <v>5.6876870369437945E-4</v>
          </cell>
          <cell r="X61">
            <v>1058.4196320000001</v>
          </cell>
          <cell r="Y61">
            <v>5.6876870369437945E-4</v>
          </cell>
          <cell r="AA61">
            <v>1885</v>
          </cell>
          <cell r="AB61">
            <v>186.01558230000001</v>
          </cell>
          <cell r="AC61">
            <v>0.98226711750844542</v>
          </cell>
          <cell r="AD61">
            <v>186.01558230000001</v>
          </cell>
          <cell r="AE61">
            <v>4.0138992296630148E-3</v>
          </cell>
          <cell r="AG61">
            <v>17630</v>
          </cell>
          <cell r="AH61">
            <v>34850</v>
          </cell>
          <cell r="AJ61">
            <v>68724.221654612309</v>
          </cell>
          <cell r="AK61">
            <v>135867.56187213107</v>
          </cell>
        </row>
        <row r="62">
          <cell r="B62" t="str">
            <v>Cuba</v>
          </cell>
          <cell r="C62" t="str">
            <v>CUB</v>
          </cell>
          <cell r="D62" t="str">
            <v>CUB</v>
          </cell>
          <cell r="E62" t="str">
            <v/>
          </cell>
          <cell r="F62" t="str">
            <v>Cuba</v>
          </cell>
          <cell r="G62" t="str">
            <v/>
          </cell>
          <cell r="I62">
            <v>1941</v>
          </cell>
          <cell r="J62">
            <v>1180.4085519999996</v>
          </cell>
          <cell r="K62">
            <v>1.0054811203377217E-3</v>
          </cell>
          <cell r="L62">
            <v>1180.4085519999996</v>
          </cell>
          <cell r="M62">
            <v>1.0054811203377217E-3</v>
          </cell>
          <cell r="O62">
            <v>1850</v>
          </cell>
          <cell r="P62">
            <v>1773.4635859999999</v>
          </cell>
          <cell r="Q62">
            <v>1.2807337018852446E-3</v>
          </cell>
          <cell r="R62">
            <v>1773.4635859999999</v>
          </cell>
          <cell r="S62">
            <v>1.2807337018852446E-3</v>
          </cell>
          <cell r="U62">
            <v>1850</v>
          </cell>
          <cell r="V62">
            <v>2533.0027059999993</v>
          </cell>
          <cell r="W62">
            <v>1.3611734155229414E-3</v>
          </cell>
          <cell r="X62">
            <v>2533.0027059999993</v>
          </cell>
          <cell r="Y62">
            <v>1.3611734155229414E-3</v>
          </cell>
          <cell r="AA62">
            <v>1941</v>
          </cell>
          <cell r="AB62">
            <v>109.2542127</v>
          </cell>
          <cell r="AC62">
            <v>0.57692382142161847</v>
          </cell>
          <cell r="AD62">
            <v>109.2542127</v>
          </cell>
          <cell r="AE62">
            <v>2.3575197022296401E-3</v>
          </cell>
          <cell r="AG62">
            <v>8920</v>
          </cell>
          <cell r="AH62" t="str">
            <v/>
          </cell>
          <cell r="AJ62">
            <v>100932.93476884722</v>
          </cell>
          <cell r="AK62" t="e">
            <v>#VALUE!</v>
          </cell>
        </row>
        <row r="63">
          <cell r="B63" t="str">
            <v>Curacao</v>
          </cell>
          <cell r="C63" t="str">
            <v>CUW</v>
          </cell>
          <cell r="D63" t="str">
            <v>CUW</v>
          </cell>
          <cell r="E63" t="str">
            <v/>
          </cell>
          <cell r="F63" t="str">
            <v>Curaçao</v>
          </cell>
          <cell r="G63" t="str">
            <v>diff</v>
          </cell>
          <cell r="I63">
            <v>1926</v>
          </cell>
          <cell r="J63">
            <v>220.4844765</v>
          </cell>
          <cell r="K63">
            <v>1.8781037978136923E-4</v>
          </cell>
          <cell r="L63">
            <v>220.4844765</v>
          </cell>
          <cell r="M63">
            <v>1.8781037978136923E-4</v>
          </cell>
          <cell r="O63">
            <v>1850</v>
          </cell>
          <cell r="P63">
            <v>221.73023650000002</v>
          </cell>
          <cell r="Q63">
            <v>1.6012586266461737E-4</v>
          </cell>
          <cell r="R63">
            <v>221.73023650000002</v>
          </cell>
          <cell r="S63">
            <v>1.6012586266461737E-4</v>
          </cell>
          <cell r="U63">
            <v>0</v>
          </cell>
          <cell r="V63">
            <v>0</v>
          </cell>
          <cell r="W63">
            <v>0</v>
          </cell>
          <cell r="X63">
            <v>0</v>
          </cell>
          <cell r="Y63">
            <v>0</v>
          </cell>
          <cell r="AA63">
            <v>1950</v>
          </cell>
          <cell r="AB63">
            <v>1409.3584145</v>
          </cell>
          <cell r="AC63">
            <v>7.4422067776801928</v>
          </cell>
          <cell r="AD63">
            <v>1409.3584145</v>
          </cell>
          <cell r="AE63">
            <v>3.0411552539491942E-2</v>
          </cell>
          <cell r="AG63">
            <v>18430</v>
          </cell>
          <cell r="AH63">
            <v>23790</v>
          </cell>
          <cell r="AJ63">
            <v>2808.3970449305466</v>
          </cell>
          <cell r="AK63">
            <v>3624.3367912814401</v>
          </cell>
        </row>
        <row r="64">
          <cell r="B64" t="str">
            <v>Cyprus</v>
          </cell>
          <cell r="C64" t="str">
            <v>CYP</v>
          </cell>
          <cell r="D64" t="str">
            <v>CYP</v>
          </cell>
          <cell r="E64" t="str">
            <v/>
          </cell>
          <cell r="F64" t="str">
            <v>Cyprus</v>
          </cell>
          <cell r="G64" t="str">
            <v/>
          </cell>
          <cell r="I64">
            <v>1950</v>
          </cell>
          <cell r="J64">
            <v>264.12436119999995</v>
          </cell>
          <cell r="K64">
            <v>2.2498317057928352E-4</v>
          </cell>
          <cell r="L64">
            <v>264.12436119999995</v>
          </cell>
          <cell r="M64">
            <v>2.2498317057928352E-4</v>
          </cell>
          <cell r="O64">
            <v>1850</v>
          </cell>
          <cell r="P64">
            <v>191.13748145</v>
          </cell>
          <cell r="Q64">
            <v>1.3803283930887588E-4</v>
          </cell>
          <cell r="R64">
            <v>191.13748145</v>
          </cell>
          <cell r="S64">
            <v>1.3803283930887588E-4</v>
          </cell>
          <cell r="U64">
            <v>1850</v>
          </cell>
          <cell r="V64">
            <v>260.01686179999996</v>
          </cell>
          <cell r="W64">
            <v>1.3972667262909062E-4</v>
          </cell>
          <cell r="X64">
            <v>260.01686179999996</v>
          </cell>
          <cell r="Y64">
            <v>1.3972667262909062E-4</v>
          </cell>
          <cell r="AA64">
            <v>1950</v>
          </cell>
          <cell r="AB64">
            <v>272.25005440000001</v>
          </cell>
          <cell r="AC64">
            <v>1.4376337340691994</v>
          </cell>
          <cell r="AD64">
            <v>272.25005440000001</v>
          </cell>
          <cell r="AE64">
            <v>5.874692163527818E-3</v>
          </cell>
          <cell r="AG64">
            <v>28470</v>
          </cell>
          <cell r="AH64">
            <v>40640</v>
          </cell>
          <cell r="AJ64">
            <v>25634.099805076126</v>
          </cell>
          <cell r="AK64">
            <v>36602.570337076344</v>
          </cell>
        </row>
        <row r="65">
          <cell r="B65" t="str">
            <v>Czechia</v>
          </cell>
          <cell r="C65" t="str">
            <v>CZE</v>
          </cell>
          <cell r="D65" t="str">
            <v>CZE</v>
          </cell>
          <cell r="E65" t="str">
            <v/>
          </cell>
          <cell r="F65" t="str">
            <v>Czechia</v>
          </cell>
          <cell r="G65" t="str">
            <v/>
          </cell>
          <cell r="I65">
            <v>1860</v>
          </cell>
          <cell r="J65">
            <v>5900.1231040000002</v>
          </cell>
          <cell r="K65">
            <v>5.0257704238832026E-3</v>
          </cell>
          <cell r="L65">
            <v>5900.1231040000002</v>
          </cell>
          <cell r="M65">
            <v>5.0257704238832026E-3</v>
          </cell>
          <cell r="O65">
            <v>1850</v>
          </cell>
          <cell r="P65">
            <v>5573.0011939999995</v>
          </cell>
          <cell r="Q65">
            <v>4.0246275740575075E-3</v>
          </cell>
          <cell r="R65">
            <v>5573.0011939999995</v>
          </cell>
          <cell r="S65">
            <v>4.0246275740575075E-3</v>
          </cell>
          <cell r="U65">
            <v>1850</v>
          </cell>
          <cell r="V65">
            <v>6366.996392</v>
          </cell>
          <cell r="W65">
            <v>3.4214674169088261E-3</v>
          </cell>
          <cell r="X65">
            <v>6366.996392</v>
          </cell>
          <cell r="Y65">
            <v>3.4214674169088261E-3</v>
          </cell>
          <cell r="AA65">
            <v>1860</v>
          </cell>
          <cell r="AB65">
            <v>570.60562650000008</v>
          </cell>
          <cell r="AC65">
            <v>3.0131193153072515</v>
          </cell>
          <cell r="AD65">
            <v>570.60562650000008</v>
          </cell>
          <cell r="AE65">
            <v>1.2312696905982442E-2</v>
          </cell>
          <cell r="AG65">
            <v>24430</v>
          </cell>
          <cell r="AH65">
            <v>43960</v>
          </cell>
          <cell r="AJ65">
            <v>256631.30182318235</v>
          </cell>
          <cell r="AK65">
            <v>461847.08984220732</v>
          </cell>
        </row>
        <row r="66">
          <cell r="B66" t="str">
            <v>Democratic Republic of Congo</v>
          </cell>
          <cell r="C66" t="str">
            <v>COD</v>
          </cell>
          <cell r="D66" t="str">
            <v>COD</v>
          </cell>
          <cell r="E66" t="str">
            <v/>
          </cell>
          <cell r="F66" t="str">
            <v>Democratic Republic of the Congo</v>
          </cell>
          <cell r="G66" t="str">
            <v>diff</v>
          </cell>
          <cell r="I66">
            <v>1920</v>
          </cell>
          <cell r="J66">
            <v>110.14553094</v>
          </cell>
          <cell r="K66">
            <v>9.3822813857201206E-5</v>
          </cell>
          <cell r="L66">
            <v>110.14553094</v>
          </cell>
          <cell r="M66">
            <v>9.3822813857201206E-5</v>
          </cell>
          <cell r="O66">
            <v>1850</v>
          </cell>
          <cell r="P66">
            <v>12719.691573999999</v>
          </cell>
          <cell r="Q66">
            <v>9.1857187285984531E-3</v>
          </cell>
          <cell r="R66">
            <v>12719.691573999999</v>
          </cell>
          <cell r="S66">
            <v>9.1857187285984531E-3</v>
          </cell>
          <cell r="U66">
            <v>1850</v>
          </cell>
          <cell r="V66">
            <v>14666.859530000002</v>
          </cell>
          <cell r="W66">
            <v>7.8816099304417058E-3</v>
          </cell>
          <cell r="X66">
            <v>14666.859530000002</v>
          </cell>
          <cell r="Y66">
            <v>7.8816099304417058E-3</v>
          </cell>
          <cell r="AA66">
            <v>1920</v>
          </cell>
          <cell r="AB66">
            <v>2.5963342740000002</v>
          </cell>
          <cell r="AC66">
            <v>1.3710108324674272E-2</v>
          </cell>
          <cell r="AD66">
            <v>2.5963342740000002</v>
          </cell>
          <cell r="AE66">
            <v>5.6024468560644248E-5</v>
          </cell>
          <cell r="AG66">
            <v>550</v>
          </cell>
          <cell r="AH66">
            <v>1110</v>
          </cell>
          <cell r="AJ66">
            <v>52544.087754388835</v>
          </cell>
          <cell r="AK66">
            <v>106232.6655265603</v>
          </cell>
        </row>
        <row r="67">
          <cell r="B67" t="str">
            <v>Denmark</v>
          </cell>
          <cell r="C67" t="str">
            <v>DNK</v>
          </cell>
          <cell r="D67" t="str">
            <v>DNK</v>
          </cell>
          <cell r="E67" t="str">
            <v/>
          </cell>
          <cell r="F67" t="str">
            <v>Denmark</v>
          </cell>
          <cell r="G67" t="str">
            <v/>
          </cell>
          <cell r="I67">
            <v>1843</v>
          </cell>
          <cell r="J67">
            <v>2224.9957999999997</v>
          </cell>
          <cell r="K67">
            <v>1.8952686050437268E-3</v>
          </cell>
          <cell r="L67">
            <v>2224.9957999999997</v>
          </cell>
          <cell r="M67">
            <v>1.8952686050437268E-3</v>
          </cell>
          <cell r="O67">
            <v>1850</v>
          </cell>
          <cell r="P67">
            <v>2205.97964</v>
          </cell>
          <cell r="Q67">
            <v>1.5930817485759639E-3</v>
          </cell>
          <cell r="R67">
            <v>2205.97964</v>
          </cell>
          <cell r="S67">
            <v>1.5930817485759639E-3</v>
          </cell>
          <cell r="U67">
            <v>1850</v>
          </cell>
          <cell r="V67">
            <v>2919.9197520000002</v>
          </cell>
          <cell r="W67">
            <v>1.5690931290630612E-3</v>
          </cell>
          <cell r="X67">
            <v>2919.9197520000002</v>
          </cell>
          <cell r="Y67">
            <v>1.5690931290630612E-3</v>
          </cell>
          <cell r="AA67">
            <v>1843</v>
          </cell>
          <cell r="AB67">
            <v>417.35915779999999</v>
          </cell>
          <cell r="AC67">
            <v>2.2038915870864564</v>
          </cell>
          <cell r="AD67">
            <v>417.35915779999999</v>
          </cell>
          <cell r="AE67">
            <v>9.0058992976430052E-3</v>
          </cell>
          <cell r="AG67">
            <v>68300</v>
          </cell>
          <cell r="AH67">
            <v>66760</v>
          </cell>
          <cell r="AJ67">
            <v>400036.91838518687</v>
          </cell>
          <cell r="AK67">
            <v>390994.54794434074</v>
          </cell>
        </row>
        <row r="68">
          <cell r="B68" t="str">
            <v>Djibouti</v>
          </cell>
          <cell r="C68" t="str">
            <v>DJI</v>
          </cell>
          <cell r="D68" t="str">
            <v>DJI</v>
          </cell>
          <cell r="E68" t="str">
            <v/>
          </cell>
          <cell r="F68" t="str">
            <v>Djibouti</v>
          </cell>
          <cell r="G68" t="str">
            <v/>
          </cell>
          <cell r="I68">
            <v>1950</v>
          </cell>
          <cell r="J68">
            <v>16.426518969999997</v>
          </cell>
          <cell r="K68">
            <v>1.3992235712982565E-5</v>
          </cell>
          <cell r="L68">
            <v>16.426518969999997</v>
          </cell>
          <cell r="M68">
            <v>1.3992235712982565E-5</v>
          </cell>
          <cell r="O68">
            <v>1850</v>
          </cell>
          <cell r="P68">
            <v>20.237078999999994</v>
          </cell>
          <cell r="Q68">
            <v>1.4614514392975046E-5</v>
          </cell>
          <cell r="R68">
            <v>20.237078999999994</v>
          </cell>
          <cell r="S68">
            <v>1.4614514392975046E-5</v>
          </cell>
          <cell r="U68">
            <v>1850</v>
          </cell>
          <cell r="V68">
            <v>63.729803799999999</v>
          </cell>
          <cell r="W68">
            <v>3.4246830650268143E-5</v>
          </cell>
          <cell r="X68">
            <v>63.729803799999999</v>
          </cell>
          <cell r="Y68">
            <v>3.4246830650268143E-5</v>
          </cell>
          <cell r="AA68">
            <v>1950</v>
          </cell>
          <cell r="AB68">
            <v>25.228817400000001</v>
          </cell>
          <cell r="AC68">
            <v>0.13322237545496698</v>
          </cell>
          <cell r="AD68">
            <v>25.228817400000001</v>
          </cell>
          <cell r="AE68">
            <v>5.4439488066032225E-4</v>
          </cell>
          <cell r="AG68">
            <v>3080</v>
          </cell>
          <cell r="AH68">
            <v>5300</v>
          </cell>
          <cell r="AJ68">
            <v>3406.955915640659</v>
          </cell>
          <cell r="AK68">
            <v>5864.0575799478156</v>
          </cell>
        </row>
        <row r="69">
          <cell r="B69" t="str">
            <v>Dominica</v>
          </cell>
          <cell r="C69" t="str">
            <v>DMA</v>
          </cell>
          <cell r="D69" t="str">
            <v>DMA</v>
          </cell>
          <cell r="E69" t="str">
            <v/>
          </cell>
          <cell r="F69" t="str">
            <v>Dominica</v>
          </cell>
          <cell r="G69" t="str">
            <v/>
          </cell>
          <cell r="I69">
            <v>1951</v>
          </cell>
          <cell r="J69">
            <v>4.5380159999999989</v>
          </cell>
          <cell r="K69">
            <v>3.8655170737787969E-6</v>
          </cell>
          <cell r="L69">
            <v>4.5380159999999989</v>
          </cell>
          <cell r="M69">
            <v>3.8655170737787969E-6</v>
          </cell>
          <cell r="O69">
            <v>1850</v>
          </cell>
          <cell r="P69">
            <v>3.1090559999999998</v>
          </cell>
          <cell r="Q69">
            <v>2.2452520771681246E-6</v>
          </cell>
          <cell r="R69">
            <v>3.1090559999999998</v>
          </cell>
          <cell r="S69">
            <v>2.2452520771681246E-6</v>
          </cell>
          <cell r="U69">
            <v>1850</v>
          </cell>
          <cell r="V69">
            <v>8.1198617550000005</v>
          </cell>
          <cell r="W69">
            <v>4.363414193141987E-6</v>
          </cell>
          <cell r="X69">
            <v>8.1198617550000005</v>
          </cell>
          <cell r="Y69">
            <v>4.363414193141987E-6</v>
          </cell>
          <cell r="AA69">
            <v>1951</v>
          </cell>
          <cell r="AB69">
            <v>65.150949949999998</v>
          </cell>
          <cell r="AC69">
            <v>0.34403373641630391</v>
          </cell>
          <cell r="AD69">
            <v>65.150949949999998</v>
          </cell>
          <cell r="AE69">
            <v>1.405846459649626E-3</v>
          </cell>
          <cell r="AG69">
            <v>7790</v>
          </cell>
          <cell r="AH69">
            <v>11990</v>
          </cell>
          <cell r="AJ69">
            <v>563.76039587530283</v>
          </cell>
          <cell r="AK69">
            <v>867.93035835356147</v>
          </cell>
        </row>
        <row r="70">
          <cell r="B70" t="str">
            <v>Dominican Republic</v>
          </cell>
          <cell r="C70" t="str">
            <v>DOM</v>
          </cell>
          <cell r="D70" t="str">
            <v>DOM</v>
          </cell>
          <cell r="E70" t="str">
            <v/>
          </cell>
          <cell r="F70" t="str">
            <v>Dominican Republic</v>
          </cell>
          <cell r="G70" t="str">
            <v/>
          </cell>
          <cell r="I70">
            <v>1947</v>
          </cell>
          <cell r="J70">
            <v>705.00608950000003</v>
          </cell>
          <cell r="K70">
            <v>6.0052963146896645E-4</v>
          </cell>
          <cell r="L70">
            <v>705.00608950000003</v>
          </cell>
          <cell r="M70">
            <v>6.0052963146896645E-4</v>
          </cell>
          <cell r="O70">
            <v>1850</v>
          </cell>
          <cell r="P70">
            <v>801.99216999999987</v>
          </cell>
          <cell r="Q70">
            <v>5.7917084335729931E-4</v>
          </cell>
          <cell r="R70">
            <v>801.99216999999987</v>
          </cell>
          <cell r="S70">
            <v>5.7917084335729931E-4</v>
          </cell>
          <cell r="U70">
            <v>1850</v>
          </cell>
          <cell r="V70">
            <v>1244.8475819999999</v>
          </cell>
          <cell r="W70">
            <v>6.6895050328320306E-4</v>
          </cell>
          <cell r="X70">
            <v>1244.8475819999999</v>
          </cell>
          <cell r="Y70">
            <v>6.6895050328320306E-4</v>
          </cell>
          <cell r="AA70">
            <v>1947</v>
          </cell>
          <cell r="AB70">
            <v>79.806025899999966</v>
          </cell>
          <cell r="AC70">
            <v>0.42142079739411864</v>
          </cell>
          <cell r="AD70">
            <v>79.806025899999966</v>
          </cell>
          <cell r="AE70">
            <v>1.7220780212157337E-3</v>
          </cell>
          <cell r="AG70">
            <v>8100</v>
          </cell>
          <cell r="AH70">
            <v>19440</v>
          </cell>
          <cell r="AJ70">
            <v>90005.657508281613</v>
          </cell>
          <cell r="AK70">
            <v>216139.10121280985</v>
          </cell>
        </row>
        <row r="71">
          <cell r="B71" t="str">
            <v>East Timor</v>
          </cell>
          <cell r="C71" t="str">
            <v>TLS</v>
          </cell>
          <cell r="D71" t="str">
            <v>TLS</v>
          </cell>
          <cell r="E71" t="str">
            <v/>
          </cell>
          <cell r="F71" t="str">
            <v>Timor-Leste</v>
          </cell>
          <cell r="G71" t="str">
            <v>diff</v>
          </cell>
          <cell r="I71">
            <v>2002</v>
          </cell>
          <cell r="J71">
            <v>9.2776390000000006</v>
          </cell>
          <cell r="K71">
            <v>7.9027645470743282E-6</v>
          </cell>
          <cell r="L71">
            <v>9.2776390000000006</v>
          </cell>
          <cell r="M71">
            <v>7.9027645470743282E-6</v>
          </cell>
          <cell r="O71">
            <v>1850</v>
          </cell>
          <cell r="P71">
            <v>107.91251849999999</v>
          </cell>
          <cell r="Q71">
            <v>7.7930666515678283E-5</v>
          </cell>
          <cell r="R71">
            <v>107.91251849999999</v>
          </cell>
          <cell r="S71">
            <v>7.7930666515678283E-5</v>
          </cell>
          <cell r="U71">
            <v>1850</v>
          </cell>
          <cell r="V71">
            <v>250.85757890000005</v>
          </cell>
          <cell r="W71">
            <v>1.3480469905235423E-4</v>
          </cell>
          <cell r="X71">
            <v>250.85757890000005</v>
          </cell>
          <cell r="Y71">
            <v>1.3480469905235423E-4</v>
          </cell>
          <cell r="AA71">
            <v>2002</v>
          </cell>
          <cell r="AB71">
            <v>8.0151533700000002</v>
          </cell>
          <cell r="AC71">
            <v>4.2324527331482606E-2</v>
          </cell>
          <cell r="AD71">
            <v>8.0151533700000002</v>
          </cell>
          <cell r="AE71">
            <v>1.7295334906721905E-4</v>
          </cell>
          <cell r="AG71">
            <v>1140</v>
          </cell>
          <cell r="AH71">
            <v>2880</v>
          </cell>
          <cell r="AJ71">
            <v>1509.5713943030439</v>
          </cell>
          <cell r="AK71">
            <v>3807.9477969846253</v>
          </cell>
        </row>
        <row r="72">
          <cell r="B72" t="str">
            <v>Ecuador</v>
          </cell>
          <cell r="C72" t="str">
            <v>ECU</v>
          </cell>
          <cell r="D72" t="str">
            <v>ECU</v>
          </cell>
          <cell r="E72" t="str">
            <v/>
          </cell>
          <cell r="F72" t="str">
            <v>Ecuador</v>
          </cell>
          <cell r="G72" t="str">
            <v/>
          </cell>
          <cell r="I72">
            <v>1917</v>
          </cell>
          <cell r="J72">
            <v>1137.2657720000004</v>
          </cell>
          <cell r="K72">
            <v>9.6873176716217538E-4</v>
          </cell>
          <cell r="L72">
            <v>1137.2657720000004</v>
          </cell>
          <cell r="M72">
            <v>9.6873176716217538E-4</v>
          </cell>
          <cell r="O72">
            <v>1850</v>
          </cell>
          <cell r="P72">
            <v>2314.7654599999996</v>
          </cell>
          <cell r="Q72">
            <v>1.6716430830522283E-3</v>
          </cell>
          <cell r="R72">
            <v>2314.7654599999996</v>
          </cell>
          <cell r="S72">
            <v>1.6716430830522283E-3</v>
          </cell>
          <cell r="U72">
            <v>1850</v>
          </cell>
          <cell r="V72">
            <v>3850.6955900000007</v>
          </cell>
          <cell r="W72">
            <v>2.0692691942112082E-3</v>
          </cell>
          <cell r="X72">
            <v>3850.6955900000007</v>
          </cell>
          <cell r="Y72">
            <v>2.0692691942112082E-3</v>
          </cell>
          <cell r="AA72">
            <v>1917</v>
          </cell>
          <cell r="AB72">
            <v>87.448997200000022</v>
          </cell>
          <cell r="AC72">
            <v>0.46177999362501865</v>
          </cell>
          <cell r="AD72">
            <v>87.448997200000022</v>
          </cell>
          <cell r="AE72">
            <v>1.8870003155422922E-3</v>
          </cell>
          <cell r="AG72">
            <v>5960</v>
          </cell>
          <cell r="AH72">
            <v>11540</v>
          </cell>
          <cell r="AJ72">
            <v>106042.08907598964</v>
          </cell>
          <cell r="AK72">
            <v>205385.8501571368</v>
          </cell>
        </row>
        <row r="73">
          <cell r="B73" t="str">
            <v>Egypt</v>
          </cell>
          <cell r="C73" t="str">
            <v>EGY</v>
          </cell>
          <cell r="D73" t="str">
            <v>EGY</v>
          </cell>
          <cell r="E73" t="str">
            <v/>
          </cell>
          <cell r="F73" t="str">
            <v>Egypt</v>
          </cell>
          <cell r="G73" t="str">
            <v/>
          </cell>
          <cell r="I73">
            <v>1911</v>
          </cell>
          <cell r="J73">
            <v>6012.6560220000001</v>
          </cell>
          <cell r="K73">
            <v>5.1216268324747877E-3</v>
          </cell>
          <cell r="L73">
            <v>6012.6560220000001</v>
          </cell>
          <cell r="M73">
            <v>5.1216268324747877E-3</v>
          </cell>
          <cell r="O73">
            <v>1850</v>
          </cell>
          <cell r="P73">
            <v>6110.1550520000001</v>
          </cell>
          <cell r="Q73">
            <v>4.4125414023814015E-3</v>
          </cell>
          <cell r="R73">
            <v>6110.1550520000001</v>
          </cell>
          <cell r="S73">
            <v>4.4125414023814015E-3</v>
          </cell>
          <cell r="U73">
            <v>1850</v>
          </cell>
          <cell r="V73">
            <v>9387.610475999998</v>
          </cell>
          <cell r="W73">
            <v>5.0446712058174435E-3</v>
          </cell>
          <cell r="X73">
            <v>9387.610475999998</v>
          </cell>
          <cell r="Y73">
            <v>5.0446712058174435E-3</v>
          </cell>
          <cell r="AA73">
            <v>1911</v>
          </cell>
          <cell r="AB73">
            <v>77.205979799999994</v>
          </cell>
          <cell r="AC73">
            <v>0.40769108853608793</v>
          </cell>
          <cell r="AD73">
            <v>77.205979799999994</v>
          </cell>
          <cell r="AE73">
            <v>1.6659734577762748E-3</v>
          </cell>
          <cell r="AG73">
            <v>3350</v>
          </cell>
          <cell r="AH73">
            <v>12320</v>
          </cell>
          <cell r="AJ73">
            <v>365799.86262615846</v>
          </cell>
          <cell r="AK73">
            <v>1345735.1347638597</v>
          </cell>
        </row>
        <row r="74">
          <cell r="B74" t="str">
            <v>El Salvador</v>
          </cell>
          <cell r="C74" t="str">
            <v>SLV</v>
          </cell>
          <cell r="D74" t="str">
            <v>SLV</v>
          </cell>
          <cell r="E74" t="str">
            <v/>
          </cell>
          <cell r="F74" t="str">
            <v>El Salvador</v>
          </cell>
          <cell r="G74" t="str">
            <v/>
          </cell>
          <cell r="I74">
            <v>1950</v>
          </cell>
          <cell r="J74">
            <v>207.62260599999996</v>
          </cell>
          <cell r="K74">
            <v>1.7685453916324844E-4</v>
          </cell>
          <cell r="L74">
            <v>207.62260599999996</v>
          </cell>
          <cell r="M74">
            <v>1.7685453916324844E-4</v>
          </cell>
          <cell r="O74">
            <v>1850</v>
          </cell>
          <cell r="P74">
            <v>260.67732599999999</v>
          </cell>
          <cell r="Q74">
            <v>1.8825209570754993E-4</v>
          </cell>
          <cell r="R74">
            <v>260.67732599999999</v>
          </cell>
          <cell r="S74">
            <v>1.8825209570754993E-4</v>
          </cell>
          <cell r="U74">
            <v>1850</v>
          </cell>
          <cell r="V74">
            <v>532.45018400000004</v>
          </cell>
          <cell r="W74">
            <v>2.8612564599095965E-4</v>
          </cell>
          <cell r="X74">
            <v>532.45018400000004</v>
          </cell>
          <cell r="Y74">
            <v>2.8612564599095965E-4</v>
          </cell>
          <cell r="AA74">
            <v>1950</v>
          </cell>
          <cell r="AB74">
            <v>35.358291350000002</v>
          </cell>
          <cell r="AC74">
            <v>0.18671170713201213</v>
          </cell>
          <cell r="AD74">
            <v>35.358291350000002</v>
          </cell>
          <cell r="AE74">
            <v>7.6297166429355331E-4</v>
          </cell>
          <cell r="AG74">
            <v>4260</v>
          </cell>
          <cell r="AH74">
            <v>9420</v>
          </cell>
          <cell r="AJ74">
            <v>26911.001129127784</v>
          </cell>
          <cell r="AK74">
            <v>59464.974694621604</v>
          </cell>
        </row>
        <row r="75">
          <cell r="B75" t="str">
            <v>Equatorial Guinea</v>
          </cell>
          <cell r="C75" t="str">
            <v>GNQ</v>
          </cell>
          <cell r="D75" t="str">
            <v>GNQ</v>
          </cell>
          <cell r="E75" t="str">
            <v/>
          </cell>
          <cell r="F75" t="str">
            <v>Equatorial Guinea</v>
          </cell>
          <cell r="G75" t="str">
            <v/>
          </cell>
          <cell r="I75">
            <v>1950</v>
          </cell>
          <cell r="J75">
            <v>146.21343000999997</v>
          </cell>
          <cell r="K75">
            <v>1.2454572882057184E-4</v>
          </cell>
          <cell r="L75">
            <v>146.21343000999997</v>
          </cell>
          <cell r="M75">
            <v>1.2454572882057184E-4</v>
          </cell>
          <cell r="O75">
            <v>1850</v>
          </cell>
          <cell r="P75">
            <v>207.84190950000004</v>
          </cell>
          <cell r="Q75">
            <v>1.5009619608893004E-4</v>
          </cell>
          <cell r="R75">
            <v>207.84190950000004</v>
          </cell>
          <cell r="S75">
            <v>1.5009619608893004E-4</v>
          </cell>
          <cell r="U75">
            <v>1850</v>
          </cell>
          <cell r="V75">
            <v>565.98702073000004</v>
          </cell>
          <cell r="W75">
            <v>3.0414751801244549E-4</v>
          </cell>
          <cell r="X75">
            <v>565.98702073000004</v>
          </cell>
          <cell r="Y75">
            <v>3.0414751801244549E-4</v>
          </cell>
          <cell r="AA75">
            <v>1950</v>
          </cell>
          <cell r="AB75">
            <v>138.91764972000001</v>
          </cell>
          <cell r="AC75">
            <v>0.73356348793104476</v>
          </cell>
          <cell r="AD75">
            <v>138.91764972000001</v>
          </cell>
          <cell r="AE75">
            <v>2.9976061161286088E-3</v>
          </cell>
          <cell r="AG75">
            <v>5150</v>
          </cell>
          <cell r="AH75">
            <v>11990</v>
          </cell>
          <cell r="AJ75">
            <v>8418.0101606336266</v>
          </cell>
          <cell r="AK75">
            <v>19595.556323137309</v>
          </cell>
        </row>
        <row r="76">
          <cell r="B76" t="str">
            <v>Eritrea</v>
          </cell>
          <cell r="C76" t="str">
            <v>ERI</v>
          </cell>
          <cell r="D76" t="str">
            <v>ERI</v>
          </cell>
          <cell r="E76" t="str">
            <v/>
          </cell>
          <cell r="F76" t="str">
            <v>Eritrea</v>
          </cell>
          <cell r="G76" t="str">
            <v/>
          </cell>
          <cell r="I76">
            <v>1939</v>
          </cell>
          <cell r="J76">
            <v>18.754397000000001</v>
          </cell>
          <cell r="K76">
            <v>1.5975140196051723E-5</v>
          </cell>
          <cell r="L76">
            <v>18.754397000000001</v>
          </cell>
          <cell r="M76">
            <v>1.5975140196051723E-5</v>
          </cell>
          <cell r="O76">
            <v>1850</v>
          </cell>
          <cell r="P76">
            <v>72.615196999999995</v>
          </cell>
          <cell r="Q76">
            <v>5.2440168944600083E-5</v>
          </cell>
          <cell r="R76">
            <v>72.615196999999995</v>
          </cell>
          <cell r="S76">
            <v>5.2440168944600083E-5</v>
          </cell>
          <cell r="U76">
            <v>1850</v>
          </cell>
          <cell r="V76">
            <v>284.26642220000008</v>
          </cell>
          <cell r="W76">
            <v>1.5275779054949842E-4</v>
          </cell>
          <cell r="X76">
            <v>284.26642220000008</v>
          </cell>
          <cell r="Y76">
            <v>1.5275779054949842E-4</v>
          </cell>
          <cell r="AA76">
            <v>1939</v>
          </cell>
          <cell r="AB76">
            <v>6.6657172800000009</v>
          </cell>
          <cell r="AC76">
            <v>3.5198744200860617E-2</v>
          </cell>
          <cell r="AD76">
            <v>6.6657172800000009</v>
          </cell>
          <cell r="AE76">
            <v>1.4383481816159359E-4</v>
          </cell>
          <cell r="AG76">
            <v>610</v>
          </cell>
          <cell r="AH76">
            <v>1610</v>
          </cell>
          <cell r="AJ76">
            <v>1940.9389924891539</v>
          </cell>
          <cell r="AK76">
            <v>5164.7601144352238</v>
          </cell>
        </row>
        <row r="77">
          <cell r="B77" t="str">
            <v>Estonia</v>
          </cell>
          <cell r="C77" t="str">
            <v>EST</v>
          </cell>
          <cell r="D77" t="str">
            <v>EST</v>
          </cell>
          <cell r="E77" t="str">
            <v/>
          </cell>
          <cell r="F77" t="str">
            <v>Estonia</v>
          </cell>
          <cell r="G77" t="str">
            <v/>
          </cell>
          <cell r="I77">
            <v>1830</v>
          </cell>
          <cell r="J77">
            <v>990.43194100000005</v>
          </cell>
          <cell r="K77">
            <v>8.4365757598725403E-4</v>
          </cell>
          <cell r="L77">
            <v>990.43194100000005</v>
          </cell>
          <cell r="M77">
            <v>8.4365757598725403E-4</v>
          </cell>
          <cell r="O77">
            <v>1850</v>
          </cell>
          <cell r="P77">
            <v>830.05866050000031</v>
          </cell>
          <cell r="Q77">
            <v>5.9943948634537847E-4</v>
          </cell>
          <cell r="R77">
            <v>830.05866050000031</v>
          </cell>
          <cell r="S77">
            <v>5.9943948634537847E-4</v>
          </cell>
          <cell r="U77">
            <v>1850</v>
          </cell>
          <cell r="V77">
            <v>1123.558477</v>
          </cell>
          <cell r="W77">
            <v>6.0377271846382492E-4</v>
          </cell>
          <cell r="X77">
            <v>1123.558477</v>
          </cell>
          <cell r="Y77">
            <v>6.0377271846382492E-4</v>
          </cell>
          <cell r="AA77">
            <v>1830</v>
          </cell>
          <cell r="AB77">
            <v>687.09660249999979</v>
          </cell>
          <cell r="AC77">
            <v>3.628257325770933</v>
          </cell>
          <cell r="AD77">
            <v>687.09660249999979</v>
          </cell>
          <cell r="AE77">
            <v>1.4826373626220794E-2</v>
          </cell>
          <cell r="AG77">
            <v>26460</v>
          </cell>
          <cell r="AH77">
            <v>41770</v>
          </cell>
          <cell r="AJ77">
            <v>35218.923321311806</v>
          </cell>
          <cell r="AK77">
            <v>55592.017244939554</v>
          </cell>
        </row>
        <row r="78">
          <cell r="B78" t="str">
            <v>Eswatini</v>
          </cell>
          <cell r="C78" t="str">
            <v>SWZ</v>
          </cell>
          <cell r="D78" t="str">
            <v>SWZ</v>
          </cell>
          <cell r="E78" t="str">
            <v/>
          </cell>
          <cell r="F78" t="str">
            <v>Eswatini</v>
          </cell>
          <cell r="G78" t="str">
            <v/>
          </cell>
          <cell r="I78">
            <v>1950</v>
          </cell>
          <cell r="J78">
            <v>37.534162999999999</v>
          </cell>
          <cell r="K78">
            <v>3.1971889902216386E-5</v>
          </cell>
          <cell r="L78">
            <v>37.534162999999999</v>
          </cell>
          <cell r="M78">
            <v>3.1971889902216386E-5</v>
          </cell>
          <cell r="O78">
            <v>1850</v>
          </cell>
          <cell r="P78">
            <v>79.450323060000002</v>
          </cell>
          <cell r="Q78">
            <v>5.7376259186757513E-5</v>
          </cell>
          <cell r="R78">
            <v>79.450323060000002</v>
          </cell>
          <cell r="S78">
            <v>5.7376259186757513E-5</v>
          </cell>
          <cell r="U78">
            <v>1850</v>
          </cell>
          <cell r="V78">
            <v>125.40595539999998</v>
          </cell>
          <cell r="W78">
            <v>6.7390079068764994E-5</v>
          </cell>
          <cell r="X78">
            <v>125.40595539999998</v>
          </cell>
          <cell r="Y78">
            <v>6.7390079068764994E-5</v>
          </cell>
          <cell r="AA78">
            <v>1950</v>
          </cell>
          <cell r="AB78">
            <v>37.984183139999999</v>
          </cell>
          <cell r="AC78">
            <v>0.20057789580051053</v>
          </cell>
          <cell r="AD78">
            <v>37.984183139999999</v>
          </cell>
          <cell r="AE78">
            <v>8.1963393367301179E-4</v>
          </cell>
          <cell r="AG78">
            <v>3650</v>
          </cell>
          <cell r="AH78">
            <v>8950</v>
          </cell>
          <cell r="AJ78">
            <v>4354.6807730420687</v>
          </cell>
          <cell r="AK78">
            <v>10668.146999683759</v>
          </cell>
        </row>
        <row r="79">
          <cell r="B79" t="str">
            <v>Ethiopia</v>
          </cell>
          <cell r="C79" t="str">
            <v>ETH</v>
          </cell>
          <cell r="D79" t="str">
            <v>ETH</v>
          </cell>
          <cell r="E79" t="str">
            <v/>
          </cell>
          <cell r="F79" t="str">
            <v>Ethiopia</v>
          </cell>
          <cell r="G79" t="str">
            <v/>
          </cell>
          <cell r="I79">
            <v>1941</v>
          </cell>
          <cell r="J79">
            <v>257.4076245</v>
          </cell>
          <cell r="K79">
            <v>2.1926180238800204E-4</v>
          </cell>
          <cell r="L79">
            <v>257.4076245</v>
          </cell>
          <cell r="M79">
            <v>2.1926180238800204E-4</v>
          </cell>
          <cell r="O79">
            <v>1850</v>
          </cell>
          <cell r="P79">
            <v>3423.8730125000002</v>
          </cell>
          <cell r="Q79">
            <v>2.4726019709119134E-3</v>
          </cell>
          <cell r="R79">
            <v>3423.8730125000002</v>
          </cell>
          <cell r="S79">
            <v>2.4726019709119134E-3</v>
          </cell>
          <cell r="U79">
            <v>1850</v>
          </cell>
          <cell r="V79">
            <v>6621.1540559999994</v>
          </cell>
          <cell r="W79">
            <v>3.5580455006071748E-3</v>
          </cell>
          <cell r="X79">
            <v>6621.1540559999994</v>
          </cell>
          <cell r="Y79">
            <v>3.5580455006071748E-3</v>
          </cell>
          <cell r="AA79">
            <v>1941</v>
          </cell>
          <cell r="AB79">
            <v>3.1954262440000005</v>
          </cell>
          <cell r="AC79">
            <v>1.6873651589266448E-2</v>
          </cell>
          <cell r="AD79">
            <v>3.1954262440000005</v>
          </cell>
          <cell r="AE79">
            <v>6.8951852208547923E-5</v>
          </cell>
          <cell r="AG79">
            <v>940</v>
          </cell>
          <cell r="AH79">
            <v>2530</v>
          </cell>
          <cell r="AJ79">
            <v>113593.42140522774</v>
          </cell>
          <cell r="AK79">
            <v>304912.79367670027</v>
          </cell>
        </row>
        <row r="80">
          <cell r="B80" t="str">
            <v>Europe</v>
          </cell>
          <cell r="D80" t="str">
            <v/>
          </cell>
          <cell r="E80" t="str">
            <v/>
          </cell>
          <cell r="F80" t="str">
            <v/>
          </cell>
          <cell r="G80" t="str">
            <v/>
          </cell>
          <cell r="I80" t="str">
            <v/>
          </cell>
          <cell r="J80" t="str">
            <v/>
          </cell>
          <cell r="K80" t="str">
            <v/>
          </cell>
          <cell r="L80" t="str">
            <v/>
          </cell>
          <cell r="M80" t="str">
            <v/>
          </cell>
          <cell r="O80" t="str">
            <v/>
          </cell>
          <cell r="P80" t="str">
            <v/>
          </cell>
          <cell r="Q80" t="str">
            <v/>
          </cell>
          <cell r="R80" t="str">
            <v/>
          </cell>
          <cell r="S80" t="str">
            <v/>
          </cell>
          <cell r="U80" t="str">
            <v/>
          </cell>
          <cell r="V80" t="str">
            <v/>
          </cell>
          <cell r="W80" t="str">
            <v/>
          </cell>
          <cell r="X80" t="str">
            <v/>
          </cell>
          <cell r="Y80" t="str">
            <v/>
          </cell>
          <cell r="AA80" t="str">
            <v/>
          </cell>
          <cell r="AB80" t="str">
            <v/>
          </cell>
          <cell r="AC80" t="str">
            <v/>
          </cell>
          <cell r="AD80" t="str">
            <v/>
          </cell>
          <cell r="AE80" t="str">
            <v/>
          </cell>
          <cell r="AG80" t="e">
            <v>#N/A</v>
          </cell>
          <cell r="AH80" t="e">
            <v>#N/A</v>
          </cell>
          <cell r="AJ80" t="e">
            <v>#N/A</v>
          </cell>
          <cell r="AK80" t="e">
            <v>#N/A</v>
          </cell>
        </row>
        <row r="81">
          <cell r="B81" t="str">
            <v>Europe (GCP)</v>
          </cell>
          <cell r="D81" t="str">
            <v/>
          </cell>
          <cell r="E81" t="str">
            <v/>
          </cell>
          <cell r="F81" t="str">
            <v/>
          </cell>
          <cell r="G81" t="str">
            <v/>
          </cell>
          <cell r="I81" t="str">
            <v/>
          </cell>
          <cell r="J81" t="str">
            <v/>
          </cell>
          <cell r="K81" t="str">
            <v/>
          </cell>
          <cell r="L81" t="str">
            <v/>
          </cell>
          <cell r="M81" t="str">
            <v/>
          </cell>
          <cell r="O81" t="str">
            <v/>
          </cell>
          <cell r="P81" t="str">
            <v/>
          </cell>
          <cell r="Q81" t="str">
            <v/>
          </cell>
          <cell r="R81" t="str">
            <v/>
          </cell>
          <cell r="S81" t="str">
            <v/>
          </cell>
          <cell r="U81" t="str">
            <v/>
          </cell>
          <cell r="V81" t="str">
            <v/>
          </cell>
          <cell r="W81" t="str">
            <v/>
          </cell>
          <cell r="X81" t="str">
            <v/>
          </cell>
          <cell r="Y81" t="str">
            <v/>
          </cell>
          <cell r="AA81" t="str">
            <v/>
          </cell>
          <cell r="AB81" t="str">
            <v/>
          </cell>
          <cell r="AC81" t="str">
            <v/>
          </cell>
          <cell r="AD81" t="str">
            <v/>
          </cell>
          <cell r="AE81" t="str">
            <v/>
          </cell>
          <cell r="AG81" t="e">
            <v>#N/A</v>
          </cell>
          <cell r="AH81" t="e">
            <v>#N/A</v>
          </cell>
          <cell r="AJ81" t="e">
            <v>#N/A</v>
          </cell>
          <cell r="AK81" t="e">
            <v>#N/A</v>
          </cell>
        </row>
        <row r="82">
          <cell r="B82" t="str">
            <v>Europe (excl. EU-27)</v>
          </cell>
          <cell r="D82" t="str">
            <v/>
          </cell>
          <cell r="E82" t="str">
            <v/>
          </cell>
          <cell r="F82" t="str">
            <v/>
          </cell>
          <cell r="G82" t="str">
            <v/>
          </cell>
          <cell r="I82" t="str">
            <v/>
          </cell>
          <cell r="J82" t="str">
            <v/>
          </cell>
          <cell r="K82" t="str">
            <v/>
          </cell>
          <cell r="L82" t="str">
            <v/>
          </cell>
          <cell r="M82" t="str">
            <v/>
          </cell>
          <cell r="O82" t="str">
            <v/>
          </cell>
          <cell r="P82" t="str">
            <v/>
          </cell>
          <cell r="Q82" t="str">
            <v/>
          </cell>
          <cell r="R82" t="str">
            <v/>
          </cell>
          <cell r="S82" t="str">
            <v/>
          </cell>
          <cell r="U82" t="str">
            <v/>
          </cell>
          <cell r="V82" t="str">
            <v/>
          </cell>
          <cell r="W82" t="str">
            <v/>
          </cell>
          <cell r="X82" t="str">
            <v/>
          </cell>
          <cell r="Y82" t="str">
            <v/>
          </cell>
          <cell r="AA82" t="str">
            <v/>
          </cell>
          <cell r="AB82" t="str">
            <v/>
          </cell>
          <cell r="AC82" t="str">
            <v/>
          </cell>
          <cell r="AD82" t="str">
            <v/>
          </cell>
          <cell r="AE82" t="str">
            <v/>
          </cell>
          <cell r="AG82" t="e">
            <v>#N/A</v>
          </cell>
          <cell r="AH82" t="e">
            <v>#N/A</v>
          </cell>
          <cell r="AJ82" t="e">
            <v>#N/A</v>
          </cell>
          <cell r="AK82" t="e">
            <v>#N/A</v>
          </cell>
        </row>
        <row r="83">
          <cell r="B83" t="str">
            <v>Europe (excl. EU-28)</v>
          </cell>
          <cell r="D83" t="str">
            <v/>
          </cell>
          <cell r="E83" t="str">
            <v/>
          </cell>
          <cell r="F83" t="str">
            <v/>
          </cell>
          <cell r="G83" t="str">
            <v/>
          </cell>
          <cell r="I83" t="str">
            <v/>
          </cell>
          <cell r="J83" t="str">
            <v/>
          </cell>
          <cell r="K83" t="str">
            <v/>
          </cell>
          <cell r="L83" t="str">
            <v/>
          </cell>
          <cell r="M83" t="str">
            <v/>
          </cell>
          <cell r="O83" t="str">
            <v/>
          </cell>
          <cell r="P83" t="str">
            <v/>
          </cell>
          <cell r="Q83" t="str">
            <v/>
          </cell>
          <cell r="R83" t="str">
            <v/>
          </cell>
          <cell r="S83" t="str">
            <v/>
          </cell>
          <cell r="U83" t="str">
            <v/>
          </cell>
          <cell r="V83" t="str">
            <v/>
          </cell>
          <cell r="W83" t="str">
            <v/>
          </cell>
          <cell r="X83" t="str">
            <v/>
          </cell>
          <cell r="Y83" t="str">
            <v/>
          </cell>
          <cell r="AA83" t="str">
            <v/>
          </cell>
          <cell r="AB83" t="str">
            <v/>
          </cell>
          <cell r="AC83" t="str">
            <v/>
          </cell>
          <cell r="AD83" t="str">
            <v/>
          </cell>
          <cell r="AE83" t="str">
            <v/>
          </cell>
          <cell r="AG83" t="e">
            <v>#N/A</v>
          </cell>
          <cell r="AH83" t="e">
            <v>#N/A</v>
          </cell>
          <cell r="AJ83" t="e">
            <v>#N/A</v>
          </cell>
          <cell r="AK83" t="e">
            <v>#N/A</v>
          </cell>
        </row>
        <row r="84">
          <cell r="B84" t="str">
            <v>European Union (27)</v>
          </cell>
          <cell r="D84" t="str">
            <v/>
          </cell>
          <cell r="E84" t="str">
            <v/>
          </cell>
          <cell r="F84" t="str">
            <v/>
          </cell>
          <cell r="G84" t="str">
            <v/>
          </cell>
          <cell r="I84" t="str">
            <v/>
          </cell>
          <cell r="J84" t="str">
            <v/>
          </cell>
          <cell r="K84" t="str">
            <v/>
          </cell>
          <cell r="L84" t="str">
            <v/>
          </cell>
          <cell r="M84" t="str">
            <v/>
          </cell>
          <cell r="O84" t="str">
            <v/>
          </cell>
          <cell r="P84" t="str">
            <v/>
          </cell>
          <cell r="Q84" t="str">
            <v/>
          </cell>
          <cell r="R84" t="str">
            <v/>
          </cell>
          <cell r="S84" t="str">
            <v/>
          </cell>
          <cell r="U84" t="str">
            <v/>
          </cell>
          <cell r="V84" t="str">
            <v/>
          </cell>
          <cell r="W84" t="str">
            <v/>
          </cell>
          <cell r="X84" t="str">
            <v/>
          </cell>
          <cell r="Y84" t="str">
            <v/>
          </cell>
          <cell r="AA84" t="str">
            <v/>
          </cell>
          <cell r="AB84" t="str">
            <v/>
          </cell>
          <cell r="AC84" t="str">
            <v/>
          </cell>
          <cell r="AD84" t="str">
            <v/>
          </cell>
          <cell r="AE84" t="str">
            <v/>
          </cell>
          <cell r="AG84" t="e">
            <v>#N/A</v>
          </cell>
          <cell r="AH84" t="e">
            <v>#N/A</v>
          </cell>
          <cell r="AJ84" t="e">
            <v>#N/A</v>
          </cell>
          <cell r="AK84" t="e">
            <v>#N/A</v>
          </cell>
        </row>
        <row r="85">
          <cell r="B85" t="str">
            <v>European Union (27) (GCP)</v>
          </cell>
          <cell r="D85" t="str">
            <v/>
          </cell>
          <cell r="E85" t="str">
            <v/>
          </cell>
          <cell r="F85" t="str">
            <v/>
          </cell>
          <cell r="G85" t="str">
            <v/>
          </cell>
          <cell r="I85" t="str">
            <v/>
          </cell>
          <cell r="J85" t="str">
            <v/>
          </cell>
          <cell r="K85" t="str">
            <v/>
          </cell>
          <cell r="L85" t="str">
            <v/>
          </cell>
          <cell r="M85" t="str">
            <v/>
          </cell>
          <cell r="O85" t="str">
            <v/>
          </cell>
          <cell r="P85" t="str">
            <v/>
          </cell>
          <cell r="Q85" t="str">
            <v/>
          </cell>
          <cell r="R85" t="str">
            <v/>
          </cell>
          <cell r="S85" t="str">
            <v/>
          </cell>
          <cell r="U85" t="str">
            <v/>
          </cell>
          <cell r="V85" t="str">
            <v/>
          </cell>
          <cell r="W85" t="str">
            <v/>
          </cell>
          <cell r="X85" t="str">
            <v/>
          </cell>
          <cell r="Y85" t="str">
            <v/>
          </cell>
          <cell r="AA85" t="str">
            <v/>
          </cell>
          <cell r="AB85" t="str">
            <v/>
          </cell>
          <cell r="AC85" t="str">
            <v/>
          </cell>
          <cell r="AD85" t="str">
            <v/>
          </cell>
          <cell r="AE85" t="str">
            <v/>
          </cell>
          <cell r="AG85" t="e">
            <v>#N/A</v>
          </cell>
          <cell r="AH85" t="e">
            <v>#N/A</v>
          </cell>
          <cell r="AJ85" t="e">
            <v>#N/A</v>
          </cell>
          <cell r="AK85" t="e">
            <v>#N/A</v>
          </cell>
        </row>
        <row r="86">
          <cell r="B86" t="str">
            <v>European Union (28)</v>
          </cell>
          <cell r="D86" t="str">
            <v/>
          </cell>
          <cell r="E86" t="str">
            <v/>
          </cell>
          <cell r="F86" t="str">
            <v/>
          </cell>
          <cell r="G86" t="str">
            <v/>
          </cell>
          <cell r="I86" t="str">
            <v/>
          </cell>
          <cell r="J86" t="str">
            <v/>
          </cell>
          <cell r="K86" t="str">
            <v/>
          </cell>
          <cell r="L86" t="str">
            <v/>
          </cell>
          <cell r="M86" t="str">
            <v/>
          </cell>
          <cell r="O86" t="str">
            <v/>
          </cell>
          <cell r="P86" t="str">
            <v/>
          </cell>
          <cell r="Q86" t="str">
            <v/>
          </cell>
          <cell r="R86" t="str">
            <v/>
          </cell>
          <cell r="S86" t="str">
            <v/>
          </cell>
          <cell r="U86" t="str">
            <v/>
          </cell>
          <cell r="V86" t="str">
            <v/>
          </cell>
          <cell r="W86" t="str">
            <v/>
          </cell>
          <cell r="X86" t="str">
            <v/>
          </cell>
          <cell r="Y86" t="str">
            <v/>
          </cell>
          <cell r="AA86" t="str">
            <v/>
          </cell>
          <cell r="AB86" t="str">
            <v/>
          </cell>
          <cell r="AC86" t="str">
            <v/>
          </cell>
          <cell r="AD86" t="str">
            <v/>
          </cell>
          <cell r="AE86" t="str">
            <v/>
          </cell>
          <cell r="AG86" t="e">
            <v>#N/A</v>
          </cell>
          <cell r="AH86" t="e">
            <v>#N/A</v>
          </cell>
          <cell r="AJ86" t="e">
            <v>#N/A</v>
          </cell>
          <cell r="AK86" t="e">
            <v>#N/A</v>
          </cell>
        </row>
        <row r="87">
          <cell r="B87" t="str">
            <v>Faroe Islands</v>
          </cell>
          <cell r="C87" t="str">
            <v>FRO</v>
          </cell>
          <cell r="D87" t="str">
            <v>FRO</v>
          </cell>
          <cell r="E87" t="str">
            <v/>
          </cell>
          <cell r="F87" t="str">
            <v>Faroe Islands</v>
          </cell>
          <cell r="G87" t="str">
            <v/>
          </cell>
          <cell r="I87">
            <v>1950</v>
          </cell>
          <cell r="J87">
            <v>26.364342969999999</v>
          </cell>
          <cell r="K87">
            <v>2.2457350941357414E-5</v>
          </cell>
          <cell r="L87">
            <v>26.364342969999999</v>
          </cell>
          <cell r="M87">
            <v>2.2457350941357414E-5</v>
          </cell>
          <cell r="O87">
            <v>1850</v>
          </cell>
          <cell r="P87">
            <v>27.28034297</v>
          </cell>
          <cell r="Q87">
            <v>1.9700914592484454E-5</v>
          </cell>
          <cell r="R87">
            <v>27.28034297</v>
          </cell>
          <cell r="S87">
            <v>1.9700914592484454E-5</v>
          </cell>
          <cell r="U87">
            <v>0</v>
          </cell>
          <cell r="V87">
            <v>0</v>
          </cell>
          <cell r="W87">
            <v>0</v>
          </cell>
          <cell r="X87">
            <v>0</v>
          </cell>
          <cell r="Y87">
            <v>0</v>
          </cell>
          <cell r="AA87">
            <v>1950</v>
          </cell>
          <cell r="AB87">
            <v>559.07795500000009</v>
          </cell>
          <cell r="AC87">
            <v>2.9522467125076242</v>
          </cell>
          <cell r="AD87">
            <v>559.07795500000009</v>
          </cell>
          <cell r="AE87">
            <v>1.2063949402243566E-2</v>
          </cell>
          <cell r="AG87" t="str">
            <v/>
          </cell>
          <cell r="AH87" t="str">
            <v/>
          </cell>
          <cell r="AJ87" t="e">
            <v>#VALUE!</v>
          </cell>
          <cell r="AK87" t="e">
            <v>#VALUE!</v>
          </cell>
        </row>
        <row r="88">
          <cell r="B88" t="str">
            <v>Fiji</v>
          </cell>
          <cell r="C88" t="str">
            <v>FJI</v>
          </cell>
          <cell r="D88" t="str">
            <v>FJI</v>
          </cell>
          <cell r="E88" t="str">
            <v/>
          </cell>
          <cell r="F88" t="str">
            <v>Fiji</v>
          </cell>
          <cell r="G88" t="str">
            <v/>
          </cell>
          <cell r="I88">
            <v>1950</v>
          </cell>
          <cell r="J88">
            <v>39.464681060000004</v>
          </cell>
          <cell r="K88">
            <v>3.3616320094214025E-5</v>
          </cell>
          <cell r="L88">
            <v>39.464681060000004</v>
          </cell>
          <cell r="M88">
            <v>3.3616320094214025E-5</v>
          </cell>
          <cell r="O88">
            <v>1850</v>
          </cell>
          <cell r="P88">
            <v>71.231561000000013</v>
          </cell>
          <cell r="Q88">
            <v>5.1440955162974873E-5</v>
          </cell>
          <cell r="R88">
            <v>71.231561000000013</v>
          </cell>
          <cell r="S88">
            <v>5.1440955162974873E-5</v>
          </cell>
          <cell r="U88">
            <v>1850</v>
          </cell>
          <cell r="V88">
            <v>155.25227129999996</v>
          </cell>
          <cell r="W88">
            <v>8.342875587639239E-5</v>
          </cell>
          <cell r="X88">
            <v>155.25227129999996</v>
          </cell>
          <cell r="Y88">
            <v>8.342875587639239E-5</v>
          </cell>
          <cell r="AA88">
            <v>1950</v>
          </cell>
          <cell r="AB88">
            <v>47.529970190000007</v>
          </cell>
          <cell r="AC88">
            <v>0.25098503166524044</v>
          </cell>
          <cell r="AD88">
            <v>47.529970190000007</v>
          </cell>
          <cell r="AE88">
            <v>1.0256157488132492E-3</v>
          </cell>
          <cell r="AG88">
            <v>4500</v>
          </cell>
          <cell r="AH88">
            <v>10720</v>
          </cell>
          <cell r="AJ88">
            <v>4160.6524042656811</v>
          </cell>
          <cell r="AK88">
            <v>9909.5149006736083</v>
          </cell>
        </row>
        <row r="89">
          <cell r="B89" t="str">
            <v>Finland</v>
          </cell>
          <cell r="C89" t="str">
            <v>FIN</v>
          </cell>
          <cell r="D89" t="str">
            <v>FIN</v>
          </cell>
          <cell r="E89" t="str">
            <v/>
          </cell>
          <cell r="F89" t="str">
            <v>Finland</v>
          </cell>
          <cell r="G89" t="str">
            <v/>
          </cell>
          <cell r="I89">
            <v>1860</v>
          </cell>
          <cell r="J89">
            <v>2345.9072300000007</v>
          </cell>
          <cell r="K89">
            <v>1.9982618948602487E-3</v>
          </cell>
          <cell r="L89">
            <v>2345.9072300000007</v>
          </cell>
          <cell r="M89">
            <v>1.9982618948602487E-3</v>
          </cell>
          <cell r="O89">
            <v>1850</v>
          </cell>
          <cell r="P89">
            <v>2762.3574719999992</v>
          </cell>
          <cell r="Q89">
            <v>1.9948784621083983E-3</v>
          </cell>
          <cell r="R89">
            <v>2762.3574719999992</v>
          </cell>
          <cell r="S89">
            <v>1.9948784621083983E-3</v>
          </cell>
          <cell r="U89">
            <v>1850</v>
          </cell>
          <cell r="V89">
            <v>3870.9483260000006</v>
          </cell>
          <cell r="W89">
            <v>2.0801525169054577E-3</v>
          </cell>
          <cell r="X89">
            <v>3870.9483260000006</v>
          </cell>
          <cell r="Y89">
            <v>2.0801525169054577E-3</v>
          </cell>
          <cell r="AA89">
            <v>1860</v>
          </cell>
          <cell r="AB89">
            <v>454.53051540000007</v>
          </cell>
          <cell r="AC89">
            <v>2.4001773059072704</v>
          </cell>
          <cell r="AD89">
            <v>454.53051540000007</v>
          </cell>
          <cell r="AE89">
            <v>9.8079938415051443E-3</v>
          </cell>
          <cell r="AG89">
            <v>53510</v>
          </cell>
          <cell r="AH89">
            <v>56150</v>
          </cell>
          <cell r="AJ89">
            <v>296473.03182804759</v>
          </cell>
          <cell r="AK89">
            <v>311140.81457378092</v>
          </cell>
        </row>
        <row r="90">
          <cell r="B90" t="str">
            <v>France</v>
          </cell>
          <cell r="C90" t="str">
            <v>FRA</v>
          </cell>
          <cell r="D90" t="str">
            <v>FRA</v>
          </cell>
          <cell r="E90" t="str">
            <v/>
          </cell>
          <cell r="F90" t="str">
            <v>France</v>
          </cell>
          <cell r="G90" t="str">
            <v/>
          </cell>
          <cell r="I90">
            <v>1802</v>
          </cell>
          <cell r="J90">
            <v>16778.799719999999</v>
          </cell>
          <cell r="K90">
            <v>1.4292311176332322E-2</v>
          </cell>
          <cell r="L90">
            <v>16778.799719999999</v>
          </cell>
          <cell r="M90">
            <v>1.4292311176332322E-2</v>
          </cell>
          <cell r="O90">
            <v>1850</v>
          </cell>
          <cell r="P90">
            <v>15705.467540000001</v>
          </cell>
          <cell r="Q90">
            <v>1.134194225420242E-2</v>
          </cell>
          <cell r="R90">
            <v>15705.467540000001</v>
          </cell>
          <cell r="S90">
            <v>1.134194225420242E-2</v>
          </cell>
          <cell r="U90">
            <v>1850</v>
          </cell>
          <cell r="V90">
            <v>21739.816930000001</v>
          </cell>
          <cell r="W90">
            <v>1.1682443446806004E-2</v>
          </cell>
          <cell r="X90">
            <v>21739.816930000001</v>
          </cell>
          <cell r="Y90">
            <v>1.1682443446806004E-2</v>
          </cell>
          <cell r="AA90">
            <v>1802</v>
          </cell>
          <cell r="AB90">
            <v>286.15107510000001</v>
          </cell>
          <cell r="AC90">
            <v>1.5110389583229</v>
          </cell>
          <cell r="AD90">
            <v>286.15107510000001</v>
          </cell>
          <cell r="AE90">
            <v>6.1746524979758828E-3</v>
          </cell>
          <cell r="AG90">
            <v>44160</v>
          </cell>
          <cell r="AH90">
            <v>52140</v>
          </cell>
          <cell r="AJ90">
            <v>2991553.4878915395</v>
          </cell>
          <cell r="AK90">
            <v>3532178.6547639868</v>
          </cell>
        </row>
        <row r="91">
          <cell r="B91" t="str">
            <v>French Guiana</v>
          </cell>
          <cell r="C91" t="str">
            <v>GUF</v>
          </cell>
          <cell r="D91" t="str">
            <v>GUF</v>
          </cell>
          <cell r="E91" t="str">
            <v/>
          </cell>
          <cell r="F91" t="str">
            <v>French Guiana</v>
          </cell>
          <cell r="G91" t="str">
            <v/>
          </cell>
          <cell r="I91">
            <v>1950</v>
          </cell>
          <cell r="J91">
            <v>26.017255940000002</v>
          </cell>
          <cell r="K91">
            <v>2.2161699528812338E-5</v>
          </cell>
          <cell r="L91">
            <v>26.017255940000002</v>
          </cell>
          <cell r="M91">
            <v>2.2161699528812338E-5</v>
          </cell>
          <cell r="O91">
            <v>1950</v>
          </cell>
          <cell r="P91">
            <v>67.38381600000001</v>
          </cell>
          <cell r="Q91">
            <v>4.8662247589465981E-5</v>
          </cell>
          <cell r="R91">
            <v>67.38381600000001</v>
          </cell>
          <cell r="S91">
            <v>4.8662247589465981E-5</v>
          </cell>
          <cell r="U91">
            <v>0</v>
          </cell>
          <cell r="V91">
            <v>0</v>
          </cell>
          <cell r="W91">
            <v>0</v>
          </cell>
          <cell r="X91">
            <v>0</v>
          </cell>
          <cell r="Y91">
            <v>0</v>
          </cell>
          <cell r="AA91">
            <v>1950</v>
          </cell>
          <cell r="AB91">
            <v>172.6063772</v>
          </cell>
          <cell r="AC91">
            <v>0.91145895682213196</v>
          </cell>
          <cell r="AD91">
            <v>172.6063772</v>
          </cell>
          <cell r="AE91">
            <v>3.7245514376351456E-3</v>
          </cell>
          <cell r="AG91" t="e">
            <v>#N/A</v>
          </cell>
          <cell r="AH91" t="e">
            <v>#N/A</v>
          </cell>
          <cell r="AJ91" t="e">
            <v>#N/A</v>
          </cell>
          <cell r="AK91" t="e">
            <v>#N/A</v>
          </cell>
        </row>
        <row r="92">
          <cell r="B92" t="str">
            <v>French Polynesia</v>
          </cell>
          <cell r="C92" t="str">
            <v>PYF</v>
          </cell>
          <cell r="D92" t="str">
            <v>PYF</v>
          </cell>
          <cell r="E92" t="str">
            <v/>
          </cell>
          <cell r="F92" t="str">
            <v>French Polynesia</v>
          </cell>
          <cell r="G92" t="str">
            <v/>
          </cell>
          <cell r="I92">
            <v>1955</v>
          </cell>
          <cell r="J92">
            <v>27.434088000000003</v>
          </cell>
          <cell r="K92">
            <v>2.3368568019052828E-5</v>
          </cell>
          <cell r="L92">
            <v>27.434088000000003</v>
          </cell>
          <cell r="M92">
            <v>2.3368568019052828E-5</v>
          </cell>
          <cell r="O92">
            <v>1955</v>
          </cell>
          <cell r="P92">
            <v>0</v>
          </cell>
          <cell r="Q92">
            <v>0</v>
          </cell>
          <cell r="R92">
            <v>0</v>
          </cell>
          <cell r="S92">
            <v>0</v>
          </cell>
          <cell r="U92">
            <v>0</v>
          </cell>
          <cell r="V92">
            <v>0</v>
          </cell>
          <cell r="W92">
            <v>0</v>
          </cell>
          <cell r="X92">
            <v>0</v>
          </cell>
          <cell r="Y92">
            <v>0</v>
          </cell>
          <cell r="AA92">
            <v>1955</v>
          </cell>
          <cell r="AB92">
            <v>110.08201180000002</v>
          </cell>
          <cell r="AC92">
            <v>0.58129506723758317</v>
          </cell>
          <cell r="AD92">
            <v>110.08201180000002</v>
          </cell>
          <cell r="AE92">
            <v>2.3753821959450702E-3</v>
          </cell>
          <cell r="AG92">
            <v>18560</v>
          </cell>
          <cell r="AH92" t="str">
            <v/>
          </cell>
          <cell r="AJ92">
            <v>4658.4194294767958</v>
          </cell>
          <cell r="AK92" t="e">
            <v>#VALUE!</v>
          </cell>
        </row>
        <row r="93">
          <cell r="B93" t="str">
            <v>Gabon</v>
          </cell>
          <cell r="C93" t="str">
            <v>GAB</v>
          </cell>
          <cell r="D93" t="str">
            <v>GAB</v>
          </cell>
          <cell r="E93" t="str">
            <v/>
          </cell>
          <cell r="F93" t="str">
            <v>Gabon</v>
          </cell>
          <cell r="G93" t="str">
            <v/>
          </cell>
          <cell r="I93">
            <v>1959</v>
          </cell>
          <cell r="J93">
            <v>225.25590160000004</v>
          </cell>
          <cell r="K93">
            <v>1.9187471652903755E-4</v>
          </cell>
          <cell r="L93">
            <v>225.25590160000004</v>
          </cell>
          <cell r="M93">
            <v>1.9187471652903755E-4</v>
          </cell>
          <cell r="O93">
            <v>1850</v>
          </cell>
          <cell r="P93">
            <v>645.77318300000002</v>
          </cell>
          <cell r="Q93">
            <v>4.6635492590362524E-4</v>
          </cell>
          <cell r="R93">
            <v>645.77318300000002</v>
          </cell>
          <cell r="S93">
            <v>4.6635492590362524E-4</v>
          </cell>
          <cell r="U93">
            <v>1850</v>
          </cell>
          <cell r="V93">
            <v>1124.4884149999996</v>
          </cell>
          <cell r="W93">
            <v>6.0427244429541826E-4</v>
          </cell>
          <cell r="X93">
            <v>1124.4884149999996</v>
          </cell>
          <cell r="Y93">
            <v>6.0427244429541826E-4</v>
          </cell>
          <cell r="AA93">
            <v>1959</v>
          </cell>
          <cell r="AB93">
            <v>185.32861929999999</v>
          </cell>
          <cell r="AC93">
            <v>0.97863956567917598</v>
          </cell>
          <cell r="AD93">
            <v>185.32861929999999</v>
          </cell>
          <cell r="AE93">
            <v>3.9990757389510379E-3</v>
          </cell>
          <cell r="AG93">
            <v>6440</v>
          </cell>
          <cell r="AH93">
            <v>12800</v>
          </cell>
          <cell r="AJ93">
            <v>15076.33026351712</v>
          </cell>
          <cell r="AK93">
            <v>29967.699991768903</v>
          </cell>
        </row>
        <row r="94">
          <cell r="B94" t="str">
            <v>Gambia</v>
          </cell>
          <cell r="C94" t="str">
            <v>GMB</v>
          </cell>
          <cell r="D94" t="str">
            <v>GMB</v>
          </cell>
          <cell r="E94" t="str">
            <v/>
          </cell>
          <cell r="F94" t="str">
            <v>Gambia</v>
          </cell>
          <cell r="G94" t="str">
            <v/>
          </cell>
          <cell r="I94">
            <v>1950</v>
          </cell>
          <cell r="J94">
            <v>13.738141970000001</v>
          </cell>
          <cell r="K94">
            <v>1.1702255423302184E-5</v>
          </cell>
          <cell r="L94">
            <v>13.738141970000001</v>
          </cell>
          <cell r="M94">
            <v>1.1702255423302184E-5</v>
          </cell>
          <cell r="O94">
            <v>1850</v>
          </cell>
          <cell r="P94">
            <v>43.709662000000002</v>
          </cell>
          <cell r="Q94">
            <v>3.1565597209512034E-5</v>
          </cell>
          <cell r="R94">
            <v>43.709662000000002</v>
          </cell>
          <cell r="S94">
            <v>3.1565597209512034E-5</v>
          </cell>
          <cell r="U94">
            <v>1850</v>
          </cell>
          <cell r="V94">
            <v>123.93914730000003</v>
          </cell>
          <cell r="W94">
            <v>6.6601852436924333E-5</v>
          </cell>
          <cell r="X94">
            <v>123.93914730000003</v>
          </cell>
          <cell r="Y94">
            <v>6.6601852436924333E-5</v>
          </cell>
          <cell r="AA94">
            <v>1950</v>
          </cell>
          <cell r="AB94">
            <v>8.7916339900000011</v>
          </cell>
          <cell r="AC94">
            <v>4.6424782648687671E-2</v>
          </cell>
          <cell r="AD94">
            <v>8.7916339900000011</v>
          </cell>
          <cell r="AE94">
            <v>1.8970847744909691E-4</v>
          </cell>
          <cell r="AG94">
            <v>740</v>
          </cell>
          <cell r="AH94">
            <v>2220</v>
          </cell>
          <cell r="AJ94">
            <v>1951.48662046341</v>
          </cell>
          <cell r="AK94">
            <v>5871.037016247019</v>
          </cell>
        </row>
        <row r="95">
          <cell r="B95" t="str">
            <v>Georgia</v>
          </cell>
          <cell r="C95" t="str">
            <v>GEO</v>
          </cell>
          <cell r="D95" t="str">
            <v>GEO</v>
          </cell>
          <cell r="E95" t="str">
            <v/>
          </cell>
          <cell r="F95" t="str">
            <v>Georgia</v>
          </cell>
          <cell r="G95" t="str">
            <v/>
          </cell>
          <cell r="I95">
            <v>1830</v>
          </cell>
          <cell r="J95">
            <v>408.63132599999994</v>
          </cell>
          <cell r="K95">
            <v>3.4807531915574333E-4</v>
          </cell>
          <cell r="L95">
            <v>408.63132599999994</v>
          </cell>
          <cell r="M95">
            <v>3.4807531915574333E-4</v>
          </cell>
          <cell r="O95">
            <v>1850</v>
          </cell>
          <cell r="P95">
            <v>30.909565000000004</v>
          </cell>
          <cell r="Q95">
            <v>2.2321812479612196E-5</v>
          </cell>
          <cell r="R95">
            <v>30.909565000000004</v>
          </cell>
          <cell r="S95">
            <v>2.2321812479612196E-5</v>
          </cell>
          <cell r="U95">
            <v>1850</v>
          </cell>
          <cell r="V95">
            <v>468.55690779999998</v>
          </cell>
          <cell r="W95">
            <v>2.5179096928962935E-4</v>
          </cell>
          <cell r="X95">
            <v>468.55690779999998</v>
          </cell>
          <cell r="Y95">
            <v>2.5179096928962935E-4</v>
          </cell>
          <cell r="AA95">
            <v>1830</v>
          </cell>
          <cell r="AB95">
            <v>89.300749389999979</v>
          </cell>
          <cell r="AC95">
            <v>0.4715582888813683</v>
          </cell>
          <cell r="AD95">
            <v>89.300749389999979</v>
          </cell>
          <cell r="AE95">
            <v>1.9269579717615456E-3</v>
          </cell>
          <cell r="AG95">
            <v>4700</v>
          </cell>
          <cell r="AH95">
            <v>15950</v>
          </cell>
          <cell r="AJ95">
            <v>17421.88346805485</v>
          </cell>
          <cell r="AK95">
            <v>59135.797214093029</v>
          </cell>
        </row>
        <row r="96">
          <cell r="B96" t="str">
            <v>Germany</v>
          </cell>
          <cell r="C96" t="str">
            <v>DEU</v>
          </cell>
          <cell r="D96" t="str">
            <v>DEU</v>
          </cell>
          <cell r="E96" t="str">
            <v/>
          </cell>
          <cell r="F96" t="str">
            <v>Germany</v>
          </cell>
          <cell r="G96" t="str">
            <v/>
          </cell>
          <cell r="I96">
            <v>1792</v>
          </cell>
          <cell r="J96">
            <v>39039.813890000005</v>
          </cell>
          <cell r="K96">
            <v>3.3254414957757238E-2</v>
          </cell>
          <cell r="L96">
            <v>39039.813890000005</v>
          </cell>
          <cell r="M96">
            <v>3.3254414957757238E-2</v>
          </cell>
          <cell r="O96">
            <v>1850</v>
          </cell>
          <cell r="P96">
            <v>37970.439140000002</v>
          </cell>
          <cell r="Q96">
            <v>2.7420930131226606E-2</v>
          </cell>
          <cell r="R96">
            <v>37970.439140000002</v>
          </cell>
          <cell r="S96">
            <v>2.7420930131226606E-2</v>
          </cell>
          <cell r="U96">
            <v>1850</v>
          </cell>
          <cell r="V96">
            <v>44425.759900000005</v>
          </cell>
          <cell r="W96">
            <v>2.3873311780143496E-2</v>
          </cell>
          <cell r="X96">
            <v>44425.759900000005</v>
          </cell>
          <cell r="Y96">
            <v>2.3873311780143496E-2</v>
          </cell>
          <cell r="AA96">
            <v>1800</v>
          </cell>
          <cell r="AB96">
            <v>485.82707700000003</v>
          </cell>
          <cell r="AC96">
            <v>2.5654407906683394</v>
          </cell>
          <cell r="AD96">
            <v>485.82707700000003</v>
          </cell>
          <cell r="AE96">
            <v>1.0483320300418372E-2</v>
          </cell>
          <cell r="AG96">
            <v>51660</v>
          </cell>
          <cell r="AH96">
            <v>60050</v>
          </cell>
          <cell r="AJ96">
            <v>4298325.015352834</v>
          </cell>
          <cell r="AK96">
            <v>4996111.5178118972</v>
          </cell>
        </row>
        <row r="97">
          <cell r="B97" t="str">
            <v>Ghana</v>
          </cell>
          <cell r="C97" t="str">
            <v>GHA</v>
          </cell>
          <cell r="D97" t="str">
            <v>GHA</v>
          </cell>
          <cell r="E97" t="str">
            <v/>
          </cell>
          <cell r="F97" t="str">
            <v>Ghana</v>
          </cell>
          <cell r="G97" t="str">
            <v/>
          </cell>
          <cell r="I97">
            <v>1950</v>
          </cell>
          <cell r="J97">
            <v>347.87336400000004</v>
          </cell>
          <cell r="K97">
            <v>2.9632121791877037E-4</v>
          </cell>
          <cell r="L97">
            <v>347.87336400000004</v>
          </cell>
          <cell r="M97">
            <v>2.9632121791877037E-4</v>
          </cell>
          <cell r="O97">
            <v>1850</v>
          </cell>
          <cell r="P97">
            <v>1381.9640849999998</v>
          </cell>
          <cell r="Q97">
            <v>9.98006382779209E-4</v>
          </cell>
          <cell r="R97">
            <v>1381.9640849999998</v>
          </cell>
          <cell r="S97">
            <v>9.98006382779209E-4</v>
          </cell>
          <cell r="U97">
            <v>1850</v>
          </cell>
          <cell r="V97">
            <v>1915.4332999999999</v>
          </cell>
          <cell r="W97">
            <v>1.0293067911027252E-3</v>
          </cell>
          <cell r="X97">
            <v>1915.4332999999999</v>
          </cell>
          <cell r="Y97">
            <v>1.0293067911027252E-3</v>
          </cell>
          <cell r="AA97">
            <v>1950</v>
          </cell>
          <cell r="AB97">
            <v>15.231472850000001</v>
          </cell>
          <cell r="AC97">
            <v>8.043076148130654E-2</v>
          </cell>
          <cell r="AD97">
            <v>15.231472850000001</v>
          </cell>
          <cell r="AE97">
            <v>3.2866922428384174E-4</v>
          </cell>
          <cell r="AG97">
            <v>2280</v>
          </cell>
          <cell r="AH97">
            <v>5820</v>
          </cell>
          <cell r="AJ97">
            <v>74910.564808634401</v>
          </cell>
          <cell r="AK97">
            <v>191105.72957660639</v>
          </cell>
        </row>
        <row r="98">
          <cell r="B98" t="str">
            <v>Greece</v>
          </cell>
          <cell r="C98" t="str">
            <v>GRC</v>
          </cell>
          <cell r="D98" t="str">
            <v>GRC</v>
          </cell>
          <cell r="E98" t="str">
            <v/>
          </cell>
          <cell r="F98" t="str">
            <v>Greece</v>
          </cell>
          <cell r="G98" t="str">
            <v/>
          </cell>
          <cell r="I98">
            <v>1867</v>
          </cell>
          <cell r="J98">
            <v>3526.6354299999994</v>
          </cell>
          <cell r="K98">
            <v>3.0040152938328618E-3</v>
          </cell>
          <cell r="L98">
            <v>3526.6354299999994</v>
          </cell>
          <cell r="M98">
            <v>3.0040152938328618E-3</v>
          </cell>
          <cell r="O98">
            <v>1850</v>
          </cell>
          <cell r="P98">
            <v>3260.8855079999994</v>
          </cell>
          <cell r="Q98">
            <v>2.3548980656007594E-3</v>
          </cell>
          <cell r="R98">
            <v>3260.8855079999994</v>
          </cell>
          <cell r="S98">
            <v>2.3548980656007594E-3</v>
          </cell>
          <cell r="U98">
            <v>1850</v>
          </cell>
          <cell r="V98">
            <v>4332.3954960000001</v>
          </cell>
          <cell r="W98">
            <v>2.3281228877954975E-3</v>
          </cell>
          <cell r="X98">
            <v>4332.3954960000001</v>
          </cell>
          <cell r="Y98">
            <v>2.3281228877954975E-3</v>
          </cell>
          <cell r="AA98">
            <v>1867</v>
          </cell>
          <cell r="AB98">
            <v>331.22989440000009</v>
          </cell>
          <cell r="AC98">
            <v>1.7490805317599183</v>
          </cell>
          <cell r="AD98">
            <v>331.22989440000009</v>
          </cell>
          <cell r="AE98">
            <v>7.1473765882113524E-3</v>
          </cell>
          <cell r="AG98">
            <v>20000</v>
          </cell>
          <cell r="AH98">
            <v>31610</v>
          </cell>
          <cell r="AJ98">
            <v>212806.97746491974</v>
          </cell>
          <cell r="AK98">
            <v>336385.25408971764</v>
          </cell>
        </row>
        <row r="99">
          <cell r="B99" t="str">
            <v>Greenland</v>
          </cell>
          <cell r="C99" t="str">
            <v>GRL</v>
          </cell>
          <cell r="D99" t="str">
            <v>GRL</v>
          </cell>
          <cell r="E99" t="str">
            <v/>
          </cell>
          <cell r="F99" t="str">
            <v>Greenland</v>
          </cell>
          <cell r="G99" t="str">
            <v/>
          </cell>
          <cell r="I99">
            <v>1950</v>
          </cell>
          <cell r="J99">
            <v>24.163710970000004</v>
          </cell>
          <cell r="K99">
            <v>2.0582835609303943E-5</v>
          </cell>
          <cell r="L99">
            <v>24.163710970000004</v>
          </cell>
          <cell r="M99">
            <v>2.0582835609303943E-5</v>
          </cell>
          <cell r="O99">
            <v>1850</v>
          </cell>
          <cell r="P99">
            <v>24.163710970000004</v>
          </cell>
          <cell r="Q99">
            <v>1.7450191391690183E-5</v>
          </cell>
          <cell r="R99">
            <v>24.163710970000004</v>
          </cell>
          <cell r="S99">
            <v>1.7450191391690183E-5</v>
          </cell>
          <cell r="U99">
            <v>0</v>
          </cell>
          <cell r="V99">
            <v>0</v>
          </cell>
          <cell r="W99">
            <v>0</v>
          </cell>
          <cell r="X99">
            <v>0</v>
          </cell>
          <cell r="Y99">
            <v>0</v>
          </cell>
          <cell r="AA99">
            <v>1950</v>
          </cell>
          <cell r="AB99">
            <v>436.83256369999992</v>
          </cell>
          <cell r="AC99">
            <v>2.3067221459297245</v>
          </cell>
          <cell r="AD99">
            <v>436.83256369999992</v>
          </cell>
          <cell r="AE99">
            <v>9.426102207390985E-3</v>
          </cell>
          <cell r="AG99">
            <v>34800</v>
          </cell>
          <cell r="AH99" t="str">
            <v/>
          </cell>
          <cell r="AJ99">
            <v>1967.9199371306038</v>
          </cell>
          <cell r="AK99" t="e">
            <v>#VALUE!</v>
          </cell>
        </row>
        <row r="100">
          <cell r="B100" t="str">
            <v>Grenada</v>
          </cell>
          <cell r="C100" t="str">
            <v>GRD</v>
          </cell>
          <cell r="D100" t="str">
            <v>GRD</v>
          </cell>
          <cell r="E100" t="str">
            <v/>
          </cell>
          <cell r="F100" t="str">
            <v>Grenada</v>
          </cell>
          <cell r="G100" t="str">
            <v/>
          </cell>
          <cell r="I100">
            <v>1950</v>
          </cell>
          <cell r="J100">
            <v>7.7536339400000012</v>
          </cell>
          <cell r="K100">
            <v>6.6046052677867979E-6</v>
          </cell>
          <cell r="L100">
            <v>7.7536339400000012</v>
          </cell>
          <cell r="M100">
            <v>6.6046052677867979E-6</v>
          </cell>
          <cell r="O100">
            <v>1850</v>
          </cell>
          <cell r="P100">
            <v>2.9537939399999997</v>
          </cell>
          <cell r="Q100">
            <v>2.1331272191017525E-6</v>
          </cell>
          <cell r="R100">
            <v>2.9537939399999997</v>
          </cell>
          <cell r="S100">
            <v>2.1331272191017525E-6</v>
          </cell>
          <cell r="U100">
            <v>1850</v>
          </cell>
          <cell r="V100">
            <v>7.7082866050000014</v>
          </cell>
          <cell r="W100">
            <v>4.1422438203891888E-6</v>
          </cell>
          <cell r="X100">
            <v>7.7082866050000014</v>
          </cell>
          <cell r="Y100">
            <v>4.1422438203891888E-6</v>
          </cell>
          <cell r="AA100">
            <v>1950</v>
          </cell>
          <cell r="AB100">
            <v>69.585466099999991</v>
          </cell>
          <cell r="AC100">
            <v>0.36745048109084477</v>
          </cell>
          <cell r="AD100">
            <v>69.585466099999991</v>
          </cell>
          <cell r="AE100">
            <v>1.5015357601820209E-3</v>
          </cell>
          <cell r="AG100">
            <v>8590</v>
          </cell>
          <cell r="AH100">
            <v>14150</v>
          </cell>
          <cell r="AJ100">
            <v>1070.5978751097412</v>
          </cell>
          <cell r="AK100">
            <v>1763.7567056023668</v>
          </cell>
        </row>
        <row r="101">
          <cell r="B101" t="str">
            <v>Guadeloupe</v>
          </cell>
          <cell r="C101" t="str">
            <v>GLP</v>
          </cell>
          <cell r="D101" t="str">
            <v>GLP</v>
          </cell>
          <cell r="E101" t="str">
            <v/>
          </cell>
          <cell r="F101" t="str">
            <v>Guadeloupe</v>
          </cell>
          <cell r="G101" t="str">
            <v/>
          </cell>
          <cell r="I101">
            <v>1950</v>
          </cell>
          <cell r="J101">
            <v>79.270517939999976</v>
          </cell>
          <cell r="K101">
            <v>6.7523239350491138E-5</v>
          </cell>
          <cell r="L101">
            <v>79.270517939999976</v>
          </cell>
          <cell r="M101">
            <v>6.7523239350491138E-5</v>
          </cell>
          <cell r="O101">
            <v>1950</v>
          </cell>
          <cell r="P101">
            <v>80.772757999999996</v>
          </cell>
          <cell r="Q101">
            <v>5.8331275692074463E-5</v>
          </cell>
          <cell r="R101">
            <v>80.772757999999996</v>
          </cell>
          <cell r="S101">
            <v>5.8331275692074463E-5</v>
          </cell>
          <cell r="U101">
            <v>0</v>
          </cell>
          <cell r="V101">
            <v>0</v>
          </cell>
          <cell r="W101">
            <v>0</v>
          </cell>
          <cell r="X101">
            <v>0</v>
          </cell>
          <cell r="Y101">
            <v>0</v>
          </cell>
          <cell r="AA101">
            <v>1950</v>
          </cell>
          <cell r="AB101">
            <v>198.27352859999996</v>
          </cell>
          <cell r="AC101">
            <v>1.0469959828529389</v>
          </cell>
          <cell r="AD101">
            <v>198.27352859999996</v>
          </cell>
          <cell r="AE101">
            <v>4.2784048189392337E-3</v>
          </cell>
          <cell r="AG101" t="e">
            <v>#N/A</v>
          </cell>
          <cell r="AH101" t="e">
            <v>#N/A</v>
          </cell>
          <cell r="AJ101" t="e">
            <v>#N/A</v>
          </cell>
          <cell r="AK101" t="e">
            <v>#N/A</v>
          </cell>
        </row>
        <row r="102">
          <cell r="B102" t="str">
            <v>Guatemala</v>
          </cell>
          <cell r="C102" t="str">
            <v>GTM</v>
          </cell>
          <cell r="D102" t="str">
            <v>GTM</v>
          </cell>
          <cell r="E102" t="str">
            <v/>
          </cell>
          <cell r="F102" t="str">
            <v>Guatemala</v>
          </cell>
          <cell r="G102" t="str">
            <v/>
          </cell>
          <cell r="I102">
            <v>1941</v>
          </cell>
          <cell r="J102">
            <v>407.63753800000001</v>
          </cell>
          <cell r="K102">
            <v>3.4722880286278265E-4</v>
          </cell>
          <cell r="L102">
            <v>407.63753800000001</v>
          </cell>
          <cell r="M102">
            <v>3.4722880286278265E-4</v>
          </cell>
          <cell r="O102">
            <v>1850</v>
          </cell>
          <cell r="P102">
            <v>1868.6941699999995</v>
          </cell>
          <cell r="Q102">
            <v>1.3495059165175743E-3</v>
          </cell>
          <cell r="R102">
            <v>1868.6941699999995</v>
          </cell>
          <cell r="S102">
            <v>1.3495059165175743E-3</v>
          </cell>
          <cell r="U102">
            <v>1850</v>
          </cell>
          <cell r="V102">
            <v>2496.8528459999989</v>
          </cell>
          <cell r="W102">
            <v>1.3417473690010325E-3</v>
          </cell>
          <cell r="X102">
            <v>2496.8528459999989</v>
          </cell>
          <cell r="Y102">
            <v>1.3417473690010325E-3</v>
          </cell>
          <cell r="AA102">
            <v>1941</v>
          </cell>
          <cell r="AB102">
            <v>32.067264219999998</v>
          </cell>
          <cell r="AC102">
            <v>0.16933322898165132</v>
          </cell>
          <cell r="AD102">
            <v>32.067264219999998</v>
          </cell>
          <cell r="AE102">
            <v>6.9195690790286202E-4</v>
          </cell>
          <cell r="AG102">
            <v>4940</v>
          </cell>
          <cell r="AH102">
            <v>9590</v>
          </cell>
          <cell r="AJ102">
            <v>84534.761311132766</v>
          </cell>
          <cell r="AK102">
            <v>164066.46294767223</v>
          </cell>
        </row>
        <row r="103">
          <cell r="B103" t="str">
            <v>Guinea</v>
          </cell>
          <cell r="C103" t="str">
            <v>GIN</v>
          </cell>
          <cell r="D103" t="str">
            <v>GIN</v>
          </cell>
          <cell r="E103" t="str">
            <v/>
          </cell>
          <cell r="F103" t="str">
            <v>Guinea</v>
          </cell>
          <cell r="G103" t="str">
            <v/>
          </cell>
          <cell r="I103">
            <v>1958</v>
          </cell>
          <cell r="J103">
            <v>78.280669180000018</v>
          </cell>
          <cell r="K103">
            <v>6.6680078532583355E-5</v>
          </cell>
          <cell r="L103">
            <v>78.280669180000018</v>
          </cell>
          <cell r="M103">
            <v>6.6680078532583355E-5</v>
          </cell>
          <cell r="O103">
            <v>1958</v>
          </cell>
          <cell r="P103">
            <v>592.92611299999999</v>
          </cell>
          <cell r="Q103">
            <v>4.2819061053273798E-4</v>
          </cell>
          <cell r="R103">
            <v>592.92611299999999</v>
          </cell>
          <cell r="S103">
            <v>4.2819061053273798E-4</v>
          </cell>
          <cell r="U103">
            <v>1850</v>
          </cell>
          <cell r="V103">
            <v>1096.2848394999999</v>
          </cell>
          <cell r="W103">
            <v>5.8911653581480018E-4</v>
          </cell>
          <cell r="X103">
            <v>1096.2848394999999</v>
          </cell>
          <cell r="Y103">
            <v>5.8911653581480018E-4</v>
          </cell>
          <cell r="AA103">
            <v>1958</v>
          </cell>
          <cell r="AB103">
            <v>8.7112406</v>
          </cell>
          <cell r="AC103">
            <v>4.6000260237792669E-2</v>
          </cell>
          <cell r="AD103">
            <v>8.7112406</v>
          </cell>
          <cell r="AE103">
            <v>1.8797372511167941E-4</v>
          </cell>
          <cell r="AG103">
            <v>1020</v>
          </cell>
          <cell r="AH103">
            <v>2560</v>
          </cell>
          <cell r="AJ103">
            <v>13789.498056546243</v>
          </cell>
          <cell r="AK103">
            <v>34678.527652366545</v>
          </cell>
        </row>
        <row r="104">
          <cell r="B104" t="str">
            <v>Guinea-Bissau</v>
          </cell>
          <cell r="C104" t="str">
            <v>GNB</v>
          </cell>
          <cell r="D104" t="str">
            <v>GNB</v>
          </cell>
          <cell r="E104" t="str">
            <v/>
          </cell>
          <cell r="F104" t="str">
            <v>Guinea-Bissau</v>
          </cell>
          <cell r="G104" t="str">
            <v/>
          </cell>
          <cell r="I104">
            <v>1950</v>
          </cell>
          <cell r="J104">
            <v>9.0717819999999989</v>
          </cell>
          <cell r="K104">
            <v>7.727413964736829E-6</v>
          </cell>
          <cell r="L104">
            <v>9.0717819999999989</v>
          </cell>
          <cell r="M104">
            <v>7.727413964736829E-6</v>
          </cell>
          <cell r="O104">
            <v>1850</v>
          </cell>
          <cell r="P104">
            <v>110.19818200000005</v>
          </cell>
          <cell r="Q104">
            <v>7.9581293175694221E-5</v>
          </cell>
          <cell r="R104">
            <v>110.19818200000005</v>
          </cell>
          <cell r="S104">
            <v>7.9581293175694221E-5</v>
          </cell>
          <cell r="U104">
            <v>1850</v>
          </cell>
          <cell r="V104">
            <v>192.03508380000002</v>
          </cell>
          <cell r="W104">
            <v>1.0319493551945711E-4</v>
          </cell>
          <cell r="X104">
            <v>192.03508380000002</v>
          </cell>
          <cell r="Y104">
            <v>1.0319493551945711E-4</v>
          </cell>
          <cell r="AA104">
            <v>1950</v>
          </cell>
          <cell r="AB104">
            <v>7.0525130000000003</v>
          </cell>
          <cell r="AC104">
            <v>3.724124361005663E-2</v>
          </cell>
          <cell r="AD104">
            <v>7.0525130000000003</v>
          </cell>
          <cell r="AE104">
            <v>1.5218121056242501E-4</v>
          </cell>
          <cell r="AG104">
            <v>760</v>
          </cell>
          <cell r="AH104">
            <v>2010</v>
          </cell>
          <cell r="AJ104">
            <v>1574.2828257072927</v>
          </cell>
          <cell r="AK104">
            <v>4151.9108835143124</v>
          </cell>
        </row>
        <row r="105">
          <cell r="B105" t="str">
            <v>Guyana</v>
          </cell>
          <cell r="C105" t="str">
            <v>GUY</v>
          </cell>
          <cell r="D105" t="str">
            <v>GUY</v>
          </cell>
          <cell r="E105" t="str">
            <v/>
          </cell>
          <cell r="F105" t="str">
            <v>Guyana</v>
          </cell>
          <cell r="G105" t="str">
            <v/>
          </cell>
          <cell r="I105">
            <v>1950</v>
          </cell>
          <cell r="J105">
            <v>75.342702000000003</v>
          </cell>
          <cell r="K105">
            <v>6.417749540011052E-5</v>
          </cell>
          <cell r="L105">
            <v>75.342702000000003</v>
          </cell>
          <cell r="M105">
            <v>6.417749540011052E-5</v>
          </cell>
          <cell r="O105">
            <v>1850</v>
          </cell>
          <cell r="P105">
            <v>385.28046199999989</v>
          </cell>
          <cell r="Q105">
            <v>2.782361455045501E-4</v>
          </cell>
          <cell r="R105">
            <v>385.28046199999989</v>
          </cell>
          <cell r="S105">
            <v>2.782361455045501E-4</v>
          </cell>
          <cell r="U105">
            <v>1850</v>
          </cell>
          <cell r="V105">
            <v>511.67100249999999</v>
          </cell>
          <cell r="W105">
            <v>2.7495942442035934E-4</v>
          </cell>
          <cell r="X105">
            <v>511.67100249999999</v>
          </cell>
          <cell r="Y105">
            <v>2.7495942442035934E-4</v>
          </cell>
          <cell r="AA105">
            <v>1950</v>
          </cell>
          <cell r="AB105">
            <v>98.622713199999993</v>
          </cell>
          <cell r="AC105">
            <v>0.52078351188660665</v>
          </cell>
          <cell r="AD105">
            <v>98.622713199999993</v>
          </cell>
          <cell r="AE105">
            <v>2.1281100628565805E-3</v>
          </cell>
          <cell r="AG105">
            <v>9410</v>
          </cell>
          <cell r="AH105">
            <v>22920</v>
          </cell>
          <cell r="AJ105">
            <v>7567.3034126826988</v>
          </cell>
          <cell r="AK105">
            <v>18440.075819371148</v>
          </cell>
        </row>
        <row r="106">
          <cell r="B106" t="str">
            <v>Haiti</v>
          </cell>
          <cell r="C106" t="str">
            <v>HTI</v>
          </cell>
          <cell r="D106" t="str">
            <v>HTI</v>
          </cell>
          <cell r="E106" t="str">
            <v/>
          </cell>
          <cell r="F106" t="str">
            <v>Haiti</v>
          </cell>
          <cell r="G106" t="str">
            <v/>
          </cell>
          <cell r="I106">
            <v>1950</v>
          </cell>
          <cell r="J106">
            <v>68.909298059999998</v>
          </cell>
          <cell r="K106">
            <v>5.8697472241843609E-5</v>
          </cell>
          <cell r="L106">
            <v>68.909298059999998</v>
          </cell>
          <cell r="M106">
            <v>5.8697472241843609E-5</v>
          </cell>
          <cell r="O106">
            <v>1850</v>
          </cell>
          <cell r="P106">
            <v>256.50609799999995</v>
          </cell>
          <cell r="Q106">
            <v>1.8523977996561994E-4</v>
          </cell>
          <cell r="R106">
            <v>256.50609799999995</v>
          </cell>
          <cell r="S106">
            <v>1.8523977996561994E-4</v>
          </cell>
          <cell r="U106">
            <v>1850</v>
          </cell>
          <cell r="V106">
            <v>537.81487450000009</v>
          </cell>
          <cell r="W106">
            <v>2.8900849884927341E-4</v>
          </cell>
          <cell r="X106">
            <v>537.81487450000009</v>
          </cell>
          <cell r="Y106">
            <v>2.8900849884927341E-4</v>
          </cell>
          <cell r="AA106">
            <v>1950</v>
          </cell>
          <cell r="AB106">
            <v>7.7669249990000004</v>
          </cell>
          <cell r="AC106">
            <v>4.1013741624977916E-2</v>
          </cell>
          <cell r="AD106">
            <v>7.7669249990000004</v>
          </cell>
          <cell r="AE106">
            <v>1.6759700389001503E-4</v>
          </cell>
          <cell r="AG106">
            <v>1430</v>
          </cell>
          <cell r="AH106">
            <v>3160</v>
          </cell>
          <cell r="AJ106">
            <v>16421.484153348967</v>
          </cell>
          <cell r="AK106">
            <v>36135.414237766963</v>
          </cell>
        </row>
        <row r="107">
          <cell r="B107" t="str">
            <v>High-income countries</v>
          </cell>
          <cell r="D107" t="str">
            <v/>
          </cell>
          <cell r="E107" t="str">
            <v/>
          </cell>
          <cell r="F107" t="str">
            <v/>
          </cell>
          <cell r="G107" t="str">
            <v/>
          </cell>
          <cell r="I107" t="str">
            <v/>
          </cell>
          <cell r="J107" t="str">
            <v/>
          </cell>
          <cell r="K107" t="str">
            <v/>
          </cell>
          <cell r="L107" t="str">
            <v/>
          </cell>
          <cell r="M107" t="str">
            <v/>
          </cell>
          <cell r="O107" t="str">
            <v/>
          </cell>
          <cell r="P107" t="str">
            <v/>
          </cell>
          <cell r="Q107" t="str">
            <v/>
          </cell>
          <cell r="R107" t="str">
            <v/>
          </cell>
          <cell r="S107" t="str">
            <v/>
          </cell>
          <cell r="U107" t="str">
            <v/>
          </cell>
          <cell r="V107" t="str">
            <v/>
          </cell>
          <cell r="W107" t="str">
            <v/>
          </cell>
          <cell r="X107" t="str">
            <v/>
          </cell>
          <cell r="Y107" t="str">
            <v/>
          </cell>
          <cell r="AA107" t="str">
            <v/>
          </cell>
          <cell r="AB107" t="str">
            <v/>
          </cell>
          <cell r="AC107" t="str">
            <v/>
          </cell>
          <cell r="AD107" t="str">
            <v/>
          </cell>
          <cell r="AE107" t="str">
            <v/>
          </cell>
          <cell r="AG107" t="e">
            <v>#N/A</v>
          </cell>
          <cell r="AH107" t="e">
            <v>#N/A</v>
          </cell>
          <cell r="AJ107" t="e">
            <v>#N/A</v>
          </cell>
          <cell r="AK107" t="e">
            <v>#N/A</v>
          </cell>
        </row>
        <row r="108">
          <cell r="B108" t="str">
            <v>Honduras</v>
          </cell>
          <cell r="C108" t="str">
            <v>HND</v>
          </cell>
          <cell r="D108" t="str">
            <v>HND</v>
          </cell>
          <cell r="E108" t="str">
            <v/>
          </cell>
          <cell r="F108" t="str">
            <v>Honduras</v>
          </cell>
          <cell r="G108" t="str">
            <v/>
          </cell>
          <cell r="I108">
            <v>1950</v>
          </cell>
          <cell r="J108">
            <v>244.58992849999996</v>
          </cell>
          <cell r="K108">
            <v>2.083435899501203E-4</v>
          </cell>
          <cell r="L108">
            <v>244.58992849999996</v>
          </cell>
          <cell r="M108">
            <v>2.083435899501203E-4</v>
          </cell>
          <cell r="O108">
            <v>1850</v>
          </cell>
          <cell r="P108">
            <v>911.32800799999995</v>
          </cell>
          <cell r="Q108">
            <v>6.5812938169768867E-4</v>
          </cell>
          <cell r="R108">
            <v>911.32800799999995</v>
          </cell>
          <cell r="S108">
            <v>6.5812938169768867E-4</v>
          </cell>
          <cell r="U108">
            <v>1850</v>
          </cell>
          <cell r="V108">
            <v>1166.3592460000004</v>
          </cell>
          <cell r="W108">
            <v>6.2677280006213454E-4</v>
          </cell>
          <cell r="X108">
            <v>1166.3592460000004</v>
          </cell>
          <cell r="Y108">
            <v>6.2677280006213454E-4</v>
          </cell>
          <cell r="AA108">
            <v>1950</v>
          </cell>
          <cell r="AB108">
            <v>33.090135159999996</v>
          </cell>
          <cell r="AC108">
            <v>0.17473456406011023</v>
          </cell>
          <cell r="AD108">
            <v>33.090135159999996</v>
          </cell>
          <cell r="AE108">
            <v>7.140287194540531E-4</v>
          </cell>
          <cell r="AG108">
            <v>2490</v>
          </cell>
          <cell r="AH108">
            <v>5620</v>
          </cell>
          <cell r="AJ108">
            <v>25542.215213975189</v>
          </cell>
          <cell r="AK108">
            <v>57802.629620149608</v>
          </cell>
        </row>
        <row r="109">
          <cell r="B109" t="str">
            <v>Hong Kong</v>
          </cell>
          <cell r="C109" t="str">
            <v>HKG</v>
          </cell>
          <cell r="D109" t="str">
            <v>HKG</v>
          </cell>
          <cell r="E109" t="str">
            <v/>
          </cell>
          <cell r="F109" t="str">
            <v>China, Hong Kong Special Administrative Region</v>
          </cell>
          <cell r="G109" t="str">
            <v>diff</v>
          </cell>
          <cell r="I109">
            <v>1938</v>
          </cell>
          <cell r="J109">
            <v>1483.8154070000001</v>
          </cell>
          <cell r="K109">
            <v>1.2639254224962044E-3</v>
          </cell>
          <cell r="L109">
            <v>1483.8154070000001</v>
          </cell>
          <cell r="M109">
            <v>1.2639254224962044E-3</v>
          </cell>
          <cell r="O109">
            <v>1850</v>
          </cell>
          <cell r="P109">
            <v>1491.4731669999996</v>
          </cell>
          <cell r="Q109">
            <v>1.0770900319091296E-3</v>
          </cell>
          <cell r="R109">
            <v>1491.4731669999996</v>
          </cell>
          <cell r="S109">
            <v>1.0770900319091296E-3</v>
          </cell>
          <cell r="U109">
            <v>1850</v>
          </cell>
          <cell r="V109">
            <v>1711.9428300000002</v>
          </cell>
          <cell r="W109">
            <v>9.1995601251091243E-4</v>
          </cell>
          <cell r="X109">
            <v>1711.9428300000002</v>
          </cell>
          <cell r="Y109">
            <v>9.1995601251091243E-4</v>
          </cell>
          <cell r="AA109">
            <v>1938</v>
          </cell>
          <cell r="AB109">
            <v>225.6843068</v>
          </cell>
          <cell r="AC109">
            <v>1.191740341138763</v>
          </cell>
          <cell r="AD109">
            <v>225.6843068</v>
          </cell>
          <cell r="AE109">
            <v>4.8698826948302999E-3</v>
          </cell>
          <cell r="AG109">
            <v>54460</v>
          </cell>
          <cell r="AH109">
            <v>70600</v>
          </cell>
          <cell r="AJ109">
            <v>403721.36950777128</v>
          </cell>
          <cell r="AK109">
            <v>523350.26452140958</v>
          </cell>
        </row>
        <row r="110">
          <cell r="B110" t="str">
            <v>Hungary</v>
          </cell>
          <cell r="C110" t="str">
            <v>HUN</v>
          </cell>
          <cell r="D110" t="str">
            <v>HUN</v>
          </cell>
          <cell r="E110" t="str">
            <v/>
          </cell>
          <cell r="F110" t="str">
            <v>Hungary</v>
          </cell>
          <cell r="G110" t="str">
            <v/>
          </cell>
          <cell r="I110">
            <v>1830</v>
          </cell>
          <cell r="J110">
            <v>2731.6308580000009</v>
          </cell>
          <cell r="K110">
            <v>2.3268242599541362E-3</v>
          </cell>
          <cell r="L110">
            <v>2731.6308580000009</v>
          </cell>
          <cell r="M110">
            <v>2.3268242599541362E-3</v>
          </cell>
          <cell r="O110">
            <v>1850</v>
          </cell>
          <cell r="P110">
            <v>2445.7655779999996</v>
          </cell>
          <cell r="Q110">
            <v>1.766246810694564E-3</v>
          </cell>
          <cell r="R110">
            <v>2445.7655779999996</v>
          </cell>
          <cell r="S110">
            <v>1.766246810694564E-3</v>
          </cell>
          <cell r="U110">
            <v>1850</v>
          </cell>
          <cell r="V110">
            <v>3377.4315759999999</v>
          </cell>
          <cell r="W110">
            <v>1.8149487417085104E-3</v>
          </cell>
          <cell r="X110">
            <v>3377.4315759999999</v>
          </cell>
          <cell r="Y110">
            <v>1.8149487417085104E-3</v>
          </cell>
          <cell r="AA110">
            <v>1830</v>
          </cell>
          <cell r="AB110">
            <v>266.4760483</v>
          </cell>
          <cell r="AC110">
            <v>1.4071437274891259</v>
          </cell>
          <cell r="AD110">
            <v>266.4760483</v>
          </cell>
          <cell r="AE110">
            <v>5.7500989528392549E-3</v>
          </cell>
          <cell r="AG110">
            <v>17740</v>
          </cell>
          <cell r="AH110">
            <v>35660</v>
          </cell>
          <cell r="AJ110">
            <v>172210.65395541239</v>
          </cell>
          <cell r="AK110">
            <v>346240.22773096972</v>
          </cell>
        </row>
        <row r="111">
          <cell r="B111" t="str">
            <v>Iceland</v>
          </cell>
          <cell r="C111" t="str">
            <v>ISL</v>
          </cell>
          <cell r="D111" t="str">
            <v>ISL</v>
          </cell>
          <cell r="E111" t="str">
            <v/>
          </cell>
          <cell r="F111" t="str">
            <v>Iceland</v>
          </cell>
          <cell r="G111" t="str">
            <v/>
          </cell>
          <cell r="I111">
            <v>1936</v>
          </cell>
          <cell r="J111">
            <v>117.86026999999997</v>
          </cell>
          <cell r="K111">
            <v>1.0039428816583698E-4</v>
          </cell>
          <cell r="L111">
            <v>117.86026999999997</v>
          </cell>
          <cell r="M111">
            <v>1.0039428816583698E-4</v>
          </cell>
          <cell r="O111">
            <v>1936</v>
          </cell>
          <cell r="P111">
            <v>119.39914999999999</v>
          </cell>
          <cell r="Q111">
            <v>8.6225912157776661E-5</v>
          </cell>
          <cell r="R111">
            <v>119.39914999999999</v>
          </cell>
          <cell r="S111">
            <v>8.6225912157776661E-5</v>
          </cell>
          <cell r="U111">
            <v>1850</v>
          </cell>
          <cell r="V111">
            <v>167.75591369999995</v>
          </cell>
          <cell r="W111">
            <v>9.0147906073812458E-5</v>
          </cell>
          <cell r="X111">
            <v>167.75591369999995</v>
          </cell>
          <cell r="Y111">
            <v>9.0147906073812458E-5</v>
          </cell>
          <cell r="AA111">
            <v>1936</v>
          </cell>
          <cell r="AB111">
            <v>404.05340710000002</v>
          </cell>
          <cell r="AC111">
            <v>2.1336297239415916</v>
          </cell>
          <cell r="AD111">
            <v>404.05340710000002</v>
          </cell>
          <cell r="AE111">
            <v>8.718783875244232E-3</v>
          </cell>
          <cell r="AG111">
            <v>63460</v>
          </cell>
          <cell r="AH111">
            <v>56250</v>
          </cell>
          <cell r="AJ111">
            <v>23639.284180000126</v>
          </cell>
          <cell r="AK111">
            <v>20953.523820413295</v>
          </cell>
        </row>
        <row r="112">
          <cell r="B112" t="str">
            <v>India</v>
          </cell>
          <cell r="C112" t="str">
            <v>IND</v>
          </cell>
          <cell r="D112" t="str">
            <v>IND</v>
          </cell>
          <cell r="E112" t="str">
            <v/>
          </cell>
          <cell r="F112" t="str">
            <v>India</v>
          </cell>
          <cell r="G112" t="str">
            <v/>
          </cell>
          <cell r="I112">
            <v>1858</v>
          </cell>
          <cell r="J112">
            <v>50911.641140000007</v>
          </cell>
          <cell r="K112">
            <v>4.3366929089886208E-2</v>
          </cell>
          <cell r="L112">
            <v>50911.641140000007</v>
          </cell>
          <cell r="M112">
            <v>4.3366929089886208E-2</v>
          </cell>
          <cell r="O112">
            <v>1850</v>
          </cell>
          <cell r="P112">
            <v>57833.377090000002</v>
          </cell>
          <cell r="Q112">
            <v>4.1765252874496291E-2</v>
          </cell>
          <cell r="R112">
            <v>57833.377090000002</v>
          </cell>
          <cell r="S112">
            <v>4.1765252874496291E-2</v>
          </cell>
          <cell r="U112">
            <v>1850</v>
          </cell>
          <cell r="V112">
            <v>95491.344699999972</v>
          </cell>
          <cell r="W112">
            <v>5.1314702313696434E-2</v>
          </cell>
          <cell r="X112">
            <v>95491.344699999972</v>
          </cell>
          <cell r="Y112">
            <v>5.1314702313696434E-2</v>
          </cell>
          <cell r="AA112">
            <v>1858</v>
          </cell>
          <cell r="AB112">
            <v>44.115455080000004</v>
          </cell>
          <cell r="AC112">
            <v>0.23295446737961215</v>
          </cell>
          <cell r="AD112">
            <v>44.115455080000004</v>
          </cell>
          <cell r="AE112">
            <v>9.5193633228137008E-4</v>
          </cell>
          <cell r="AG112">
            <v>2150</v>
          </cell>
          <cell r="AH112">
            <v>7130</v>
          </cell>
          <cell r="AJ112">
            <v>3023424.4245034191</v>
          </cell>
          <cell r="AK112">
            <v>10034913.318545416</v>
          </cell>
        </row>
        <row r="113">
          <cell r="B113" t="str">
            <v>Indonesia</v>
          </cell>
          <cell r="C113" t="str">
            <v>IDN</v>
          </cell>
          <cell r="D113" t="str">
            <v>IDN</v>
          </cell>
          <cell r="E113" t="str">
            <v/>
          </cell>
          <cell r="F113" t="str">
            <v>Indonesia</v>
          </cell>
          <cell r="G113" t="str">
            <v/>
          </cell>
          <cell r="I113">
            <v>1889</v>
          </cell>
          <cell r="J113">
            <v>13430.50684</v>
          </cell>
          <cell r="K113">
            <v>1.1440209443845708E-2</v>
          </cell>
          <cell r="L113">
            <v>13430.50684</v>
          </cell>
          <cell r="M113">
            <v>1.1440209443845708E-2</v>
          </cell>
          <cell r="O113">
            <v>1850</v>
          </cell>
          <cell r="P113">
            <v>50971.924070000015</v>
          </cell>
          <cell r="Q113">
            <v>3.6810150217758533E-2</v>
          </cell>
          <cell r="R113">
            <v>50971.924070000015</v>
          </cell>
          <cell r="S113">
            <v>3.6810150217758533E-2</v>
          </cell>
          <cell r="U113">
            <v>1850</v>
          </cell>
          <cell r="V113">
            <v>67263.024000000005</v>
          </cell>
          <cell r="W113">
            <v>3.6145496370615253E-2</v>
          </cell>
          <cell r="X113">
            <v>67263.024000000005</v>
          </cell>
          <cell r="Y113">
            <v>3.6145496370615253E-2</v>
          </cell>
          <cell r="AA113">
            <v>1889</v>
          </cell>
          <cell r="AB113">
            <v>58.957613410000008</v>
          </cell>
          <cell r="AC113">
            <v>0.31132942876806496</v>
          </cell>
          <cell r="AD113">
            <v>58.957613410000008</v>
          </cell>
          <cell r="AE113">
            <v>1.2722048127533068E-3</v>
          </cell>
          <cell r="AG113">
            <v>4180</v>
          </cell>
          <cell r="AH113">
            <v>12680</v>
          </cell>
          <cell r="AJ113">
            <v>1143081.6205990289</v>
          </cell>
          <cell r="AK113">
            <v>3471169.0166733167</v>
          </cell>
        </row>
        <row r="114">
          <cell r="B114" t="str">
            <v>International transport</v>
          </cell>
          <cell r="D114" t="str">
            <v/>
          </cell>
          <cell r="E114" t="str">
            <v/>
          </cell>
          <cell r="F114" t="str">
            <v/>
          </cell>
          <cell r="G114" t="str">
            <v/>
          </cell>
          <cell r="I114" t="str">
            <v/>
          </cell>
          <cell r="J114" t="str">
            <v/>
          </cell>
          <cell r="K114" t="str">
            <v/>
          </cell>
          <cell r="L114" t="str">
            <v/>
          </cell>
          <cell r="M114" t="str">
            <v/>
          </cell>
          <cell r="O114" t="str">
            <v/>
          </cell>
          <cell r="P114" t="str">
            <v/>
          </cell>
          <cell r="Q114" t="str">
            <v/>
          </cell>
          <cell r="R114" t="str">
            <v/>
          </cell>
          <cell r="S114" t="str">
            <v/>
          </cell>
          <cell r="U114" t="str">
            <v/>
          </cell>
          <cell r="V114" t="str">
            <v/>
          </cell>
          <cell r="W114" t="str">
            <v/>
          </cell>
          <cell r="X114" t="str">
            <v/>
          </cell>
          <cell r="Y114" t="str">
            <v/>
          </cell>
          <cell r="AA114" t="str">
            <v/>
          </cell>
          <cell r="AB114" t="str">
            <v/>
          </cell>
          <cell r="AC114" t="str">
            <v/>
          </cell>
          <cell r="AD114" t="str">
            <v/>
          </cell>
          <cell r="AE114" t="str">
            <v/>
          </cell>
          <cell r="AG114" t="e">
            <v>#N/A</v>
          </cell>
          <cell r="AH114" t="e">
            <v>#N/A</v>
          </cell>
          <cell r="AJ114" t="e">
            <v>#N/A</v>
          </cell>
          <cell r="AK114" t="e">
            <v>#N/A</v>
          </cell>
        </row>
        <row r="115">
          <cell r="B115" t="str">
            <v>Iran</v>
          </cell>
          <cell r="C115" t="str">
            <v>IRN</v>
          </cell>
          <cell r="D115" t="str">
            <v>IRN</v>
          </cell>
          <cell r="E115" t="str">
            <v/>
          </cell>
          <cell r="F115" t="str">
            <v>Iran (Islamic Republic of)</v>
          </cell>
          <cell r="G115" t="str">
            <v>diff</v>
          </cell>
          <cell r="I115">
            <v>1906</v>
          </cell>
          <cell r="J115">
            <v>16713.225240000003</v>
          </cell>
          <cell r="K115">
            <v>1.4236454327867234E-2</v>
          </cell>
          <cell r="L115">
            <v>16713.225240000003</v>
          </cell>
          <cell r="M115">
            <v>1.4236454327867234E-2</v>
          </cell>
          <cell r="O115">
            <v>1850</v>
          </cell>
          <cell r="P115">
            <v>16658.08196</v>
          </cell>
          <cell r="Q115">
            <v>1.2029887246266026E-2</v>
          </cell>
          <cell r="R115">
            <v>16658.08196</v>
          </cell>
          <cell r="S115">
            <v>1.2029887246266026E-2</v>
          </cell>
          <cell r="U115">
            <v>1850</v>
          </cell>
          <cell r="V115">
            <v>24300.898850000005</v>
          </cell>
          <cell r="W115">
            <v>1.3058705941995166E-2</v>
          </cell>
          <cell r="X115">
            <v>24300.898850000005</v>
          </cell>
          <cell r="Y115">
            <v>1.3058705941995166E-2</v>
          </cell>
          <cell r="AA115">
            <v>1906</v>
          </cell>
          <cell r="AB115">
            <v>240.75379099999998</v>
          </cell>
          <cell r="AC115">
            <v>1.2713157112472759</v>
          </cell>
          <cell r="AD115">
            <v>240.75379099999998</v>
          </cell>
          <cell r="AE115">
            <v>5.1950564801331181E-3</v>
          </cell>
          <cell r="AG115">
            <v>3530</v>
          </cell>
          <cell r="AH115">
            <v>16540</v>
          </cell>
          <cell r="AJ115">
            <v>310227.8783772742</v>
          </cell>
          <cell r="AK115">
            <v>1454162.7199570597</v>
          </cell>
        </row>
        <row r="116">
          <cell r="B116" t="str">
            <v>Iraq</v>
          </cell>
          <cell r="C116" t="str">
            <v>IRQ</v>
          </cell>
          <cell r="D116" t="str">
            <v>IRQ</v>
          </cell>
          <cell r="E116" t="str">
            <v/>
          </cell>
          <cell r="F116" t="str">
            <v>Iraq</v>
          </cell>
          <cell r="G116" t="str">
            <v/>
          </cell>
          <cell r="I116">
            <v>1927</v>
          </cell>
          <cell r="J116">
            <v>4142.2939660000002</v>
          </cell>
          <cell r="K116">
            <v>3.5284379892410889E-3</v>
          </cell>
          <cell r="L116">
            <v>4142.2939660000002</v>
          </cell>
          <cell r="M116">
            <v>3.5284379892410889E-3</v>
          </cell>
          <cell r="O116">
            <v>1850</v>
          </cell>
          <cell r="P116">
            <v>4281.2328420000003</v>
          </cell>
          <cell r="Q116">
            <v>3.0917574116840914E-3</v>
          </cell>
          <cell r="R116">
            <v>4281.2328420000003</v>
          </cell>
          <cell r="S116">
            <v>3.0917574116840914E-3</v>
          </cell>
          <cell r="U116">
            <v>1850</v>
          </cell>
          <cell r="V116">
            <v>8276.436287999999</v>
          </cell>
          <cell r="W116">
            <v>4.4475534999665238E-3</v>
          </cell>
          <cell r="X116">
            <v>8276.436287999999</v>
          </cell>
          <cell r="Y116">
            <v>4.4475534999665238E-3</v>
          </cell>
          <cell r="AA116">
            <v>1927</v>
          </cell>
          <cell r="AB116">
            <v>152.32377080000001</v>
          </cell>
          <cell r="AC116">
            <v>0.80435536325352841</v>
          </cell>
          <cell r="AD116">
            <v>152.32377080000001</v>
          </cell>
          <cell r="AE116">
            <v>3.2868873602611387E-3</v>
          </cell>
          <cell r="AG116">
            <v>4760</v>
          </cell>
          <cell r="AH116">
            <v>9750</v>
          </cell>
          <cell r="AJ116">
            <v>207082.18083885632</v>
          </cell>
          <cell r="AK116">
            <v>424377.51316351956</v>
          </cell>
        </row>
        <row r="117">
          <cell r="B117" t="str">
            <v>Ireland</v>
          </cell>
          <cell r="C117" t="str">
            <v>IRL</v>
          </cell>
          <cell r="D117" t="str">
            <v>IRL</v>
          </cell>
          <cell r="E117" t="str">
            <v/>
          </cell>
          <cell r="F117" t="str">
            <v>Ireland</v>
          </cell>
          <cell r="G117" t="str">
            <v/>
          </cell>
          <cell r="I117">
            <v>1850</v>
          </cell>
          <cell r="J117">
            <v>1589.1630759999998</v>
          </cell>
          <cell r="K117">
            <v>1.3536613805012658E-3</v>
          </cell>
          <cell r="L117">
            <v>1589.1630759999998</v>
          </cell>
          <cell r="M117">
            <v>1.3536613805012658E-3</v>
          </cell>
          <cell r="O117">
            <v>1850</v>
          </cell>
          <cell r="P117">
            <v>1362.9477119999997</v>
          </cell>
          <cell r="Q117">
            <v>9.8427341979029728E-4</v>
          </cell>
          <cell r="R117">
            <v>1362.9477119999997</v>
          </cell>
          <cell r="S117">
            <v>9.8427341979029728E-4</v>
          </cell>
          <cell r="U117">
            <v>1850</v>
          </cell>
          <cell r="V117">
            <v>2414.1797179999999</v>
          </cell>
          <cell r="W117">
            <v>1.2973208613841379E-3</v>
          </cell>
          <cell r="X117">
            <v>2414.1797179999999</v>
          </cell>
          <cell r="Y117">
            <v>1.2973208613841379E-3</v>
          </cell>
          <cell r="AA117">
            <v>1850</v>
          </cell>
          <cell r="AB117">
            <v>399.17686559999999</v>
          </cell>
          <cell r="AC117">
            <v>2.1078788362826746</v>
          </cell>
          <cell r="AD117">
            <v>399.17686559999999</v>
          </cell>
          <cell r="AE117">
            <v>8.6135564210264373E-3</v>
          </cell>
          <cell r="AG117">
            <v>76110</v>
          </cell>
          <cell r="AH117">
            <v>78650</v>
          </cell>
          <cell r="AJ117">
            <v>383083.77741186181</v>
          </cell>
          <cell r="AK117">
            <v>395851.49572182196</v>
          </cell>
        </row>
        <row r="118">
          <cell r="B118" t="str">
            <v>Israel</v>
          </cell>
          <cell r="C118" t="str">
            <v>ISR</v>
          </cell>
          <cell r="D118" t="str">
            <v>ISR</v>
          </cell>
          <cell r="E118" t="str">
            <v/>
          </cell>
          <cell r="F118" t="str">
            <v>Israel</v>
          </cell>
          <cell r="G118" t="str">
            <v/>
          </cell>
          <cell r="I118">
            <v>1930</v>
          </cell>
          <cell r="J118">
            <v>2108.9298739999995</v>
          </cell>
          <cell r="K118">
            <v>1.7964027529539706E-3</v>
          </cell>
          <cell r="L118">
            <v>2108.9298739999995</v>
          </cell>
          <cell r="M118">
            <v>1.7964027529539706E-3</v>
          </cell>
          <cell r="O118">
            <v>1850</v>
          </cell>
          <cell r="P118">
            <v>2124.6117940000004</v>
          </cell>
          <cell r="Q118">
            <v>1.5343207210337789E-3</v>
          </cell>
          <cell r="R118">
            <v>2124.6117940000004</v>
          </cell>
          <cell r="S118">
            <v>1.5343207210337789E-3</v>
          </cell>
          <cell r="U118">
            <v>1850</v>
          </cell>
          <cell r="V118">
            <v>2517.5037200000006</v>
          </cell>
          <cell r="W118">
            <v>1.3528446412737912E-3</v>
          </cell>
          <cell r="X118">
            <v>2517.5037200000006</v>
          </cell>
          <cell r="Y118">
            <v>1.3528446412737912E-3</v>
          </cell>
          <cell r="AA118">
            <v>1930</v>
          </cell>
          <cell r="AB118">
            <v>338.77795689999999</v>
          </cell>
          <cell r="AC118">
            <v>1.7889385560338797</v>
          </cell>
          <cell r="AD118">
            <v>338.77795689999999</v>
          </cell>
          <cell r="AE118">
            <v>7.3102509123920845E-3</v>
          </cell>
          <cell r="AG118">
            <v>49290</v>
          </cell>
          <cell r="AH118">
            <v>43780</v>
          </cell>
          <cell r="AJ118">
            <v>461515.0030396732</v>
          </cell>
          <cell r="AK118">
            <v>409929.03072625963</v>
          </cell>
        </row>
        <row r="119">
          <cell r="B119" t="str">
            <v>Italy</v>
          </cell>
          <cell r="C119" t="str">
            <v>ITA</v>
          </cell>
          <cell r="D119" t="str">
            <v>ITA</v>
          </cell>
          <cell r="E119" t="str">
            <v/>
          </cell>
          <cell r="F119" t="str">
            <v>Italy</v>
          </cell>
          <cell r="G119" t="str">
            <v/>
          </cell>
          <cell r="I119">
            <v>1860</v>
          </cell>
          <cell r="J119">
            <v>17771.428560000004</v>
          </cell>
          <cell r="K119">
            <v>1.5137840087853406E-2</v>
          </cell>
          <cell r="L119">
            <v>17771.428560000004</v>
          </cell>
          <cell r="M119">
            <v>1.5137840087853406E-2</v>
          </cell>
          <cell r="O119">
            <v>1850</v>
          </cell>
          <cell r="P119">
            <v>15819.469190000002</v>
          </cell>
          <cell r="Q119">
            <v>1.1424270279642648E-2</v>
          </cell>
          <cell r="R119">
            <v>15819.469190000002</v>
          </cell>
          <cell r="S119">
            <v>1.1424270279642648E-2</v>
          </cell>
          <cell r="U119">
            <v>1850</v>
          </cell>
          <cell r="V119">
            <v>20001.49404999999</v>
          </cell>
          <cell r="W119">
            <v>1.0748311443612126E-2</v>
          </cell>
          <cell r="X119">
            <v>20001.49404999999</v>
          </cell>
          <cell r="Y119">
            <v>1.0748311443612126E-2</v>
          </cell>
          <cell r="AA119">
            <v>1860</v>
          </cell>
          <cell r="AB119">
            <v>307.24720040000005</v>
          </cell>
          <cell r="AC119">
            <v>1.6224383902027959</v>
          </cell>
          <cell r="AD119">
            <v>307.24720040000005</v>
          </cell>
          <cell r="AE119">
            <v>6.6298709266878345E-3</v>
          </cell>
          <cell r="AG119">
            <v>35990</v>
          </cell>
          <cell r="AH119">
            <v>46940</v>
          </cell>
          <cell r="AJ119">
            <v>2127119.0459923819</v>
          </cell>
          <cell r="AK119">
            <v>2774739.7844148623</v>
          </cell>
        </row>
        <row r="120">
          <cell r="B120" t="str">
            <v>Jamaica</v>
          </cell>
          <cell r="C120" t="str">
            <v>JAM</v>
          </cell>
          <cell r="D120" t="str">
            <v>JAM</v>
          </cell>
          <cell r="E120" t="str">
            <v/>
          </cell>
          <cell r="F120" t="str">
            <v>Jamaica</v>
          </cell>
          <cell r="G120" t="str">
            <v/>
          </cell>
          <cell r="I120">
            <v>1950</v>
          </cell>
          <cell r="J120">
            <v>354.48736850000006</v>
          </cell>
          <cell r="K120">
            <v>3.0195507802873909E-4</v>
          </cell>
          <cell r="L120">
            <v>354.48736850000006</v>
          </cell>
          <cell r="M120">
            <v>3.0195507802873909E-4</v>
          </cell>
          <cell r="O120">
            <v>1850</v>
          </cell>
          <cell r="P120">
            <v>485.14561000000003</v>
          </cell>
          <cell r="Q120">
            <v>3.5035528101825668E-4</v>
          </cell>
          <cell r="R120">
            <v>485.14561000000003</v>
          </cell>
          <cell r="S120">
            <v>3.5035528101825668E-4</v>
          </cell>
          <cell r="U120">
            <v>1850</v>
          </cell>
          <cell r="V120">
            <v>470.87361449999997</v>
          </cell>
          <cell r="W120">
            <v>2.5303591054616031E-4</v>
          </cell>
          <cell r="X120">
            <v>470.87361449999997</v>
          </cell>
          <cell r="Y120">
            <v>2.5303591054616031E-4</v>
          </cell>
          <cell r="AA120">
            <v>1950</v>
          </cell>
          <cell r="AB120">
            <v>138.52001790000003</v>
          </cell>
          <cell r="AC120">
            <v>0.73146376780635591</v>
          </cell>
          <cell r="AD120">
            <v>138.52001790000003</v>
          </cell>
          <cell r="AE120">
            <v>2.9890258991583261E-3</v>
          </cell>
          <cell r="AG120">
            <v>5190</v>
          </cell>
          <cell r="AH120">
            <v>10240</v>
          </cell>
          <cell r="AJ120">
            <v>14682.425249216303</v>
          </cell>
          <cell r="AK120">
            <v>28959.861496103029</v>
          </cell>
        </row>
        <row r="121">
          <cell r="B121" t="str">
            <v>Japan</v>
          </cell>
          <cell r="C121" t="str">
            <v>JPN</v>
          </cell>
          <cell r="D121" t="str">
            <v>JPN</v>
          </cell>
          <cell r="E121" t="str">
            <v/>
          </cell>
          <cell r="F121" t="str">
            <v>Japan</v>
          </cell>
          <cell r="G121" t="str">
            <v/>
          </cell>
          <cell r="I121">
            <v>1868</v>
          </cell>
          <cell r="J121">
            <v>49329.807930000003</v>
          </cell>
          <cell r="K121">
            <v>4.2019511345848873E-2</v>
          </cell>
          <cell r="L121">
            <v>49329.807930000003</v>
          </cell>
          <cell r="M121">
            <v>4.2019511345848873E-2</v>
          </cell>
          <cell r="O121">
            <v>1850</v>
          </cell>
          <cell r="P121">
            <v>49191.492060000011</v>
          </cell>
          <cell r="Q121">
            <v>3.5524384162496377E-2</v>
          </cell>
          <cell r="R121">
            <v>49191.492060000011</v>
          </cell>
          <cell r="S121">
            <v>3.5524384162496377E-2</v>
          </cell>
          <cell r="U121">
            <v>1850</v>
          </cell>
          <cell r="V121">
            <v>51453.928189999999</v>
          </cell>
          <cell r="W121">
            <v>2.7650076729311822E-2</v>
          </cell>
          <cell r="X121">
            <v>51453.928189999999</v>
          </cell>
          <cell r="Y121">
            <v>2.7650076729311822E-2</v>
          </cell>
          <cell r="AA121">
            <v>1868</v>
          </cell>
          <cell r="AB121">
            <v>393.8964408999999</v>
          </cell>
          <cell r="AC121">
            <v>2.0799952176892367</v>
          </cell>
          <cell r="AD121">
            <v>393.8964408999999</v>
          </cell>
          <cell r="AE121">
            <v>8.4996138557125213E-3</v>
          </cell>
          <cell r="AG121">
            <v>42650</v>
          </cell>
          <cell r="AH121">
            <v>43850</v>
          </cell>
          <cell r="AJ121">
            <v>5360683.7139243539</v>
          </cell>
          <cell r="AK121">
            <v>5511499.1065170402</v>
          </cell>
        </row>
        <row r="122">
          <cell r="B122" t="str">
            <v>Jordan</v>
          </cell>
          <cell r="C122" t="str">
            <v>JOR</v>
          </cell>
          <cell r="D122" t="str">
            <v>JOR</v>
          </cell>
          <cell r="E122" t="str">
            <v/>
          </cell>
          <cell r="F122" t="str">
            <v>Jordan</v>
          </cell>
          <cell r="G122" t="str">
            <v/>
          </cell>
          <cell r="I122">
            <v>1950</v>
          </cell>
          <cell r="J122">
            <v>688.25750299999993</v>
          </cell>
          <cell r="K122">
            <v>5.8626305614675257E-4</v>
          </cell>
          <cell r="L122">
            <v>688.25750299999993</v>
          </cell>
          <cell r="M122">
            <v>5.8626305614675257E-4</v>
          </cell>
          <cell r="O122">
            <v>1850</v>
          </cell>
          <cell r="P122">
            <v>710.278143</v>
          </cell>
          <cell r="Q122">
            <v>5.1293816384711892E-4</v>
          </cell>
          <cell r="R122">
            <v>710.278143</v>
          </cell>
          <cell r="S122">
            <v>5.1293816384711892E-4</v>
          </cell>
          <cell r="U122">
            <v>1850</v>
          </cell>
          <cell r="V122">
            <v>889.00192349999986</v>
          </cell>
          <cell r="W122">
            <v>4.7772778992718524E-4</v>
          </cell>
          <cell r="X122">
            <v>889.00192349999986</v>
          </cell>
          <cell r="Y122">
            <v>4.7772778992718524E-4</v>
          </cell>
          <cell r="AA122">
            <v>1950</v>
          </cell>
          <cell r="AB122">
            <v>124.26389589999999</v>
          </cell>
          <cell r="AC122">
            <v>0.65618340854481483</v>
          </cell>
          <cell r="AD122">
            <v>124.26389589999999</v>
          </cell>
          <cell r="AE122">
            <v>2.6814030838745225E-3</v>
          </cell>
          <cell r="AG122">
            <v>4170</v>
          </cell>
          <cell r="AH122">
            <v>10080</v>
          </cell>
          <cell r="AJ122">
            <v>46535.038379397352</v>
          </cell>
          <cell r="AK122">
            <v>112353.05918603888</v>
          </cell>
        </row>
        <row r="123">
          <cell r="B123" t="str">
            <v>Kazakhstan</v>
          </cell>
          <cell r="C123" t="str">
            <v>KAZ</v>
          </cell>
          <cell r="D123" t="str">
            <v>KAZ</v>
          </cell>
          <cell r="E123" t="str">
            <v/>
          </cell>
          <cell r="F123" t="str">
            <v>Kazakhstan</v>
          </cell>
          <cell r="G123" t="str">
            <v/>
          </cell>
          <cell r="I123">
            <v>1830</v>
          </cell>
          <cell r="J123">
            <v>9940.5019440000015</v>
          </cell>
          <cell r="K123">
            <v>8.4673963217545573E-3</v>
          </cell>
          <cell r="L123">
            <v>9940.5019440000015</v>
          </cell>
          <cell r="M123">
            <v>8.4673963217545573E-3</v>
          </cell>
          <cell r="O123">
            <v>1850</v>
          </cell>
          <cell r="P123">
            <v>9042.858573999998</v>
          </cell>
          <cell r="Q123">
            <v>6.5304378553525831E-3</v>
          </cell>
          <cell r="R123">
            <v>9042.858573999998</v>
          </cell>
          <cell r="S123">
            <v>6.5304378553525831E-3</v>
          </cell>
          <cell r="U123">
            <v>1850</v>
          </cell>
          <cell r="V123">
            <v>14714.79716</v>
          </cell>
          <cell r="W123">
            <v>7.9073704349230511E-3</v>
          </cell>
          <cell r="X123">
            <v>14714.79716</v>
          </cell>
          <cell r="Y123">
            <v>7.9073704349230511E-3</v>
          </cell>
          <cell r="AA123">
            <v>1830</v>
          </cell>
          <cell r="AB123">
            <v>604.88589349999984</v>
          </cell>
          <cell r="AC123">
            <v>3.1941384462701827</v>
          </cell>
          <cell r="AD123">
            <v>604.88589349999984</v>
          </cell>
          <cell r="AE123">
            <v>1.3052406642137923E-2</v>
          </cell>
          <cell r="AG123">
            <v>8880</v>
          </cell>
          <cell r="AH123">
            <v>25160</v>
          </cell>
          <cell r="AJ123">
            <v>168692.84952336224</v>
          </cell>
          <cell r="AK123">
            <v>478155.78320973215</v>
          </cell>
        </row>
        <row r="124">
          <cell r="B124" t="str">
            <v>Kenya</v>
          </cell>
          <cell r="C124" t="str">
            <v>KEN</v>
          </cell>
          <cell r="D124" t="str">
            <v>KEN</v>
          </cell>
          <cell r="E124" t="str">
            <v/>
          </cell>
          <cell r="F124" t="str">
            <v>Kenya</v>
          </cell>
          <cell r="G124" t="str">
            <v/>
          </cell>
          <cell r="I124">
            <v>1950</v>
          </cell>
          <cell r="J124">
            <v>406.99607880000002</v>
          </cell>
          <cell r="K124">
            <v>3.4668240296253271E-4</v>
          </cell>
          <cell r="L124">
            <v>406.99607880000002</v>
          </cell>
          <cell r="M124">
            <v>3.4668240296253271E-4</v>
          </cell>
          <cell r="O124">
            <v>1850</v>
          </cell>
          <cell r="P124">
            <v>1938.1084040000001</v>
          </cell>
          <cell r="Q124">
            <v>1.3996344613471097E-3</v>
          </cell>
          <cell r="R124">
            <v>1938.1084040000001</v>
          </cell>
          <cell r="S124">
            <v>1.3996344613471097E-3</v>
          </cell>
          <cell r="U124">
            <v>1850</v>
          </cell>
          <cell r="V124">
            <v>3835.2162240000011</v>
          </cell>
          <cell r="W124">
            <v>2.0609509632679725E-3</v>
          </cell>
          <cell r="X124">
            <v>3835.2162240000011</v>
          </cell>
          <cell r="Y124">
            <v>2.0609509632679725E-3</v>
          </cell>
          <cell r="AA124">
            <v>1950</v>
          </cell>
          <cell r="AB124">
            <v>12.169991130000003</v>
          </cell>
          <cell r="AC124">
            <v>6.426441247319338E-2</v>
          </cell>
          <cell r="AD124">
            <v>12.169991130000003</v>
          </cell>
          <cell r="AE124">
            <v>2.6260766661435078E-4</v>
          </cell>
          <cell r="AG124">
            <v>2080</v>
          </cell>
          <cell r="AH124">
            <v>5130</v>
          </cell>
          <cell r="AJ124">
            <v>110400.88706833438</v>
          </cell>
          <cell r="AK124">
            <v>272076.38986525434</v>
          </cell>
        </row>
        <row r="125">
          <cell r="B125" t="str">
            <v>Kiribati</v>
          </cell>
          <cell r="C125" t="str">
            <v>KIR</v>
          </cell>
          <cell r="D125" t="str">
            <v>KIR</v>
          </cell>
          <cell r="E125" t="str">
            <v/>
          </cell>
          <cell r="F125" t="str">
            <v>Kiribati</v>
          </cell>
          <cell r="G125" t="str">
            <v/>
          </cell>
          <cell r="I125">
            <v>1961</v>
          </cell>
          <cell r="J125">
            <v>1.7679559999999999</v>
          </cell>
          <cell r="K125">
            <v>1.5059585738987405E-6</v>
          </cell>
          <cell r="L125">
            <v>1.7679559999999999</v>
          </cell>
          <cell r="M125">
            <v>1.5059585738987405E-6</v>
          </cell>
          <cell r="O125">
            <v>1961</v>
          </cell>
          <cell r="P125">
            <v>0</v>
          </cell>
          <cell r="Q125">
            <v>0</v>
          </cell>
          <cell r="R125">
            <v>0</v>
          </cell>
          <cell r="S125">
            <v>0</v>
          </cell>
          <cell r="U125">
            <v>1850</v>
          </cell>
          <cell r="V125">
            <v>2.8717178220000008</v>
          </cell>
          <cell r="W125">
            <v>1.5431905962558591E-6</v>
          </cell>
          <cell r="X125">
            <v>2.8717178220000008</v>
          </cell>
          <cell r="Y125">
            <v>1.5431905962558591E-6</v>
          </cell>
          <cell r="AA125">
            <v>1961</v>
          </cell>
          <cell r="AB125">
            <v>18.685384299999999</v>
          </cell>
          <cell r="AC125">
            <v>9.8669360646882531E-2</v>
          </cell>
          <cell r="AD125">
            <v>18.685384299999999</v>
          </cell>
          <cell r="AE125">
            <v>4.0319874668761762E-4</v>
          </cell>
          <cell r="AG125">
            <v>2750</v>
          </cell>
          <cell r="AH125">
            <v>3870</v>
          </cell>
          <cell r="AJ125">
            <v>354.93143710572446</v>
          </cell>
          <cell r="AK125">
            <v>498.15466834153409</v>
          </cell>
        </row>
        <row r="126">
          <cell r="B126" t="str">
            <v>Kosovo</v>
          </cell>
          <cell r="C126" t="str">
            <v>OWID_KOS</v>
          </cell>
          <cell r="D126" t="str">
            <v>XKX</v>
          </cell>
          <cell r="E126" t="str">
            <v>diff</v>
          </cell>
          <cell r="F126" t="e">
            <v>#N/A</v>
          </cell>
          <cell r="G126" t="str">
            <v/>
          </cell>
          <cell r="I126">
            <v>2008</v>
          </cell>
          <cell r="J126">
            <v>111.30610399999999</v>
          </cell>
          <cell r="K126">
            <v>9.4811398952273084E-5</v>
          </cell>
          <cell r="L126">
            <v>111.30610399999999</v>
          </cell>
          <cell r="M126">
            <v>9.4811398952273084E-5</v>
          </cell>
          <cell r="O126">
            <v>2008</v>
          </cell>
          <cell r="P126">
            <v>0</v>
          </cell>
          <cell r="Q126">
            <v>0</v>
          </cell>
          <cell r="R126">
            <v>0</v>
          </cell>
          <cell r="S126">
            <v>0</v>
          </cell>
          <cell r="U126">
            <v>0</v>
          </cell>
          <cell r="V126">
            <v>0</v>
          </cell>
          <cell r="W126">
            <v>0</v>
          </cell>
          <cell r="X126">
            <v>0</v>
          </cell>
          <cell r="Y126">
            <v>0</v>
          </cell>
          <cell r="AA126">
            <v>2008</v>
          </cell>
          <cell r="AB126">
            <v>63.469484400000006</v>
          </cell>
          <cell r="AC126">
            <v>0.3351546505968992</v>
          </cell>
          <cell r="AD126">
            <v>63.469484400000006</v>
          </cell>
          <cell r="AE126">
            <v>1.3695632988928838E-3</v>
          </cell>
          <cell r="AG126">
            <v>5130</v>
          </cell>
          <cell r="AH126">
            <v>13300</v>
          </cell>
          <cell r="AJ126">
            <v>9169.0929602070373</v>
          </cell>
          <cell r="AK126">
            <v>23761.889833835638</v>
          </cell>
        </row>
        <row r="127">
          <cell r="B127" t="str">
            <v>Kuwait</v>
          </cell>
          <cell r="C127" t="str">
            <v>KWT</v>
          </cell>
          <cell r="D127" t="str">
            <v>KWT</v>
          </cell>
          <cell r="E127" t="str">
            <v/>
          </cell>
          <cell r="F127" t="str">
            <v>Kuwait</v>
          </cell>
          <cell r="G127" t="str">
            <v/>
          </cell>
          <cell r="I127">
            <v>1946</v>
          </cell>
          <cell r="J127">
            <v>3046.3015059999998</v>
          </cell>
          <cell r="K127">
            <v>2.5948631479750322E-3</v>
          </cell>
          <cell r="L127">
            <v>3046.3015059999998</v>
          </cell>
          <cell r="M127">
            <v>2.5948631479750322E-3</v>
          </cell>
          <cell r="O127">
            <v>1850</v>
          </cell>
          <cell r="P127">
            <v>3046.3747859999999</v>
          </cell>
          <cell r="Q127">
            <v>2.1999858851365498E-3</v>
          </cell>
          <cell r="R127">
            <v>3046.3747859999999</v>
          </cell>
          <cell r="S127">
            <v>2.1999858851365498E-3</v>
          </cell>
          <cell r="U127">
            <v>1850</v>
          </cell>
          <cell r="V127">
            <v>4300.6426840000004</v>
          </cell>
          <cell r="W127">
            <v>2.3110597068284507E-3</v>
          </cell>
          <cell r="X127">
            <v>4300.6426840000004</v>
          </cell>
          <cell r="Y127">
            <v>2.3110597068284507E-3</v>
          </cell>
          <cell r="AA127">
            <v>1946</v>
          </cell>
          <cell r="AB127">
            <v>1382.4756259999995</v>
          </cell>
          <cell r="AC127">
            <v>7.3002505025983675</v>
          </cell>
          <cell r="AD127">
            <v>1382.4756259999995</v>
          </cell>
          <cell r="AE127">
            <v>2.9831467781445596E-2</v>
          </cell>
          <cell r="AG127">
            <v>34290</v>
          </cell>
          <cell r="AH127">
            <v>55930</v>
          </cell>
          <cell r="AJ127">
            <v>152275.52187050798</v>
          </cell>
          <cell r="AK127">
            <v>248383.77112592707</v>
          </cell>
        </row>
        <row r="128">
          <cell r="B128" t="str">
            <v>Kyrgyzstan</v>
          </cell>
          <cell r="C128" t="str">
            <v>KGZ</v>
          </cell>
          <cell r="D128" t="str">
            <v>KGZ</v>
          </cell>
          <cell r="E128" t="str">
            <v/>
          </cell>
          <cell r="F128" t="str">
            <v>Kyrgyzstan</v>
          </cell>
          <cell r="G128" t="str">
            <v/>
          </cell>
          <cell r="I128">
            <v>1830</v>
          </cell>
          <cell r="J128">
            <v>480.72134199999988</v>
          </cell>
          <cell r="K128">
            <v>4.0948215150207843E-4</v>
          </cell>
          <cell r="L128">
            <v>480.72134199999988</v>
          </cell>
          <cell r="M128">
            <v>4.0948215150207843E-4</v>
          </cell>
          <cell r="O128">
            <v>1850</v>
          </cell>
          <cell r="P128">
            <v>519.81622200000015</v>
          </cell>
          <cell r="Q128">
            <v>3.7539319079205632E-4</v>
          </cell>
          <cell r="R128">
            <v>519.81622200000015</v>
          </cell>
          <cell r="S128">
            <v>3.7539319079205632E-4</v>
          </cell>
          <cell r="U128">
            <v>1850</v>
          </cell>
          <cell r="V128">
            <v>935.78557499999999</v>
          </cell>
          <cell r="W128">
            <v>5.0286817471716116E-4</v>
          </cell>
          <cell r="X128">
            <v>935.78557499999999</v>
          </cell>
          <cell r="Y128">
            <v>5.0286817471716116E-4</v>
          </cell>
          <cell r="AA128">
            <v>1830</v>
          </cell>
          <cell r="AB128">
            <v>105.46735568</v>
          </cell>
          <cell r="AC128">
            <v>0.55692708199011753</v>
          </cell>
          <cell r="AD128">
            <v>105.46735568</v>
          </cell>
          <cell r="AE128">
            <v>2.2758057818823233E-3</v>
          </cell>
          <cell r="AG128">
            <v>1180</v>
          </cell>
          <cell r="AH128">
            <v>4860</v>
          </cell>
          <cell r="AJ128">
            <v>7893.9749835611228</v>
          </cell>
          <cell r="AK128">
            <v>32515.481593830656</v>
          </cell>
        </row>
        <row r="129">
          <cell r="B129" t="str">
            <v>Laos</v>
          </cell>
          <cell r="C129" t="str">
            <v>LAO</v>
          </cell>
          <cell r="D129" t="str">
            <v>LAO</v>
          </cell>
          <cell r="E129" t="str">
            <v/>
          </cell>
          <cell r="F129" t="str">
            <v>Lao People's Democratic Republic</v>
          </cell>
          <cell r="G129" t="str">
            <v>diff</v>
          </cell>
          <cell r="I129">
            <v>1955</v>
          </cell>
          <cell r="J129">
            <v>169.41825402999999</v>
          </cell>
          <cell r="K129">
            <v>1.4431177712082957E-4</v>
          </cell>
          <cell r="L129">
            <v>169.41825402999999</v>
          </cell>
          <cell r="M129">
            <v>1.4431177712082957E-4</v>
          </cell>
          <cell r="O129">
            <v>1850</v>
          </cell>
          <cell r="P129">
            <v>1979.9472259999998</v>
          </cell>
          <cell r="Q129">
            <v>1.4298490029963325E-3</v>
          </cell>
          <cell r="R129">
            <v>1979.9472259999998</v>
          </cell>
          <cell r="S129">
            <v>1.4298490029963325E-3</v>
          </cell>
          <cell r="U129">
            <v>1850</v>
          </cell>
          <cell r="V129">
            <v>1741.0300019999997</v>
          </cell>
          <cell r="W129">
            <v>9.3558674403968595E-4</v>
          </cell>
          <cell r="X129">
            <v>1741.0300019999997</v>
          </cell>
          <cell r="Y129">
            <v>9.3558674403968595E-4</v>
          </cell>
          <cell r="AA129">
            <v>1955</v>
          </cell>
          <cell r="AB129">
            <v>25.161903192000004</v>
          </cell>
          <cell r="AC129">
            <v>0.13286903072223102</v>
          </cell>
          <cell r="AD129">
            <v>25.161903192000004</v>
          </cell>
          <cell r="AE129">
            <v>5.4295098609716936E-4</v>
          </cell>
          <cell r="AG129">
            <v>2500</v>
          </cell>
          <cell r="AH129">
            <v>8100</v>
          </cell>
          <cell r="AJ129">
            <v>18582.571290829066</v>
          </cell>
          <cell r="AK129">
            <v>60142.410066482094</v>
          </cell>
        </row>
        <row r="130">
          <cell r="B130" t="str">
            <v>Latvia</v>
          </cell>
          <cell r="C130" t="str">
            <v>LVA</v>
          </cell>
          <cell r="D130" t="str">
            <v>LVA</v>
          </cell>
          <cell r="E130" t="str">
            <v/>
          </cell>
          <cell r="F130" t="str">
            <v>Latvia</v>
          </cell>
          <cell r="G130" t="str">
            <v/>
          </cell>
          <cell r="I130">
            <v>1830</v>
          </cell>
          <cell r="J130">
            <v>530.22047149999992</v>
          </cell>
          <cell r="K130">
            <v>4.5164589226884478E-4</v>
          </cell>
          <cell r="L130">
            <v>530.22047149999992</v>
          </cell>
          <cell r="M130">
            <v>4.5164589226884478E-4</v>
          </cell>
          <cell r="O130">
            <v>1850</v>
          </cell>
          <cell r="P130">
            <v>462.28991049999991</v>
          </cell>
          <cell r="Q130">
            <v>3.3384969000365105E-4</v>
          </cell>
          <cell r="R130">
            <v>462.28991049999991</v>
          </cell>
          <cell r="S130">
            <v>3.3384969000365105E-4</v>
          </cell>
          <cell r="U130">
            <v>1850</v>
          </cell>
          <cell r="V130">
            <v>734.41582049999988</v>
          </cell>
          <cell r="W130">
            <v>3.9465701652672001E-4</v>
          </cell>
          <cell r="X130">
            <v>734.41582049999988</v>
          </cell>
          <cell r="Y130">
            <v>3.9465701652672001E-4</v>
          </cell>
          <cell r="AA130">
            <v>1830</v>
          </cell>
          <cell r="AB130">
            <v>218.27139090000003</v>
          </cell>
          <cell r="AC130">
            <v>1.1525959670847539</v>
          </cell>
          <cell r="AD130">
            <v>218.27139090000003</v>
          </cell>
          <cell r="AE130">
            <v>4.7099246039399405E-3</v>
          </cell>
          <cell r="AG130">
            <v>19790</v>
          </cell>
          <cell r="AH130">
            <v>33590</v>
          </cell>
          <cell r="AJ130">
            <v>37294.655009477232</v>
          </cell>
          <cell r="AK130">
            <v>63298.144917415535</v>
          </cell>
        </row>
        <row r="131">
          <cell r="B131" t="str">
            <v>Lebanon</v>
          </cell>
          <cell r="C131" t="str">
            <v>LBN</v>
          </cell>
          <cell r="D131" t="str">
            <v>LBN</v>
          </cell>
          <cell r="E131" t="str">
            <v/>
          </cell>
          <cell r="F131" t="str">
            <v>Lebanon</v>
          </cell>
          <cell r="G131" t="str">
            <v/>
          </cell>
          <cell r="I131">
            <v>1931</v>
          </cell>
          <cell r="J131">
            <v>653.11400750000007</v>
          </cell>
          <cell r="K131">
            <v>5.5632755528304525E-4</v>
          </cell>
          <cell r="L131">
            <v>653.11400750000007</v>
          </cell>
          <cell r="M131">
            <v>5.5632755528304525E-4</v>
          </cell>
          <cell r="O131">
            <v>1850</v>
          </cell>
          <cell r="P131">
            <v>643.44104749999997</v>
          </cell>
          <cell r="Q131">
            <v>4.646707387819997E-4</v>
          </cell>
          <cell r="R131">
            <v>643.44104749999997</v>
          </cell>
          <cell r="S131">
            <v>4.646707387819997E-4</v>
          </cell>
          <cell r="U131">
            <v>1850</v>
          </cell>
          <cell r="V131">
            <v>797.0950009999998</v>
          </cell>
          <cell r="W131">
            <v>4.2833926803054602E-4</v>
          </cell>
          <cell r="X131">
            <v>797.0950009999998</v>
          </cell>
          <cell r="Y131">
            <v>4.2833926803054602E-4</v>
          </cell>
          <cell r="AA131">
            <v>1931</v>
          </cell>
          <cell r="AB131">
            <v>140.47804209999998</v>
          </cell>
          <cell r="AC131">
            <v>0.74180323917302826</v>
          </cell>
          <cell r="AD131">
            <v>140.47804209999998</v>
          </cell>
          <cell r="AE131">
            <v>3.0312767242282714E-3</v>
          </cell>
          <cell r="AG131">
            <v>5110</v>
          </cell>
          <cell r="AH131">
            <v>13700</v>
          </cell>
          <cell r="AJ131">
            <v>28593.81969385414</v>
          </cell>
          <cell r="AK131">
            <v>76630.236862556645</v>
          </cell>
        </row>
        <row r="132">
          <cell r="B132" t="str">
            <v>Lesotho</v>
          </cell>
          <cell r="C132" t="str">
            <v>LSO</v>
          </cell>
          <cell r="D132" t="str">
            <v>LSO</v>
          </cell>
          <cell r="E132" t="str">
            <v/>
          </cell>
          <cell r="F132" t="str">
            <v>Lesotho</v>
          </cell>
          <cell r="G132" t="str">
            <v/>
          </cell>
          <cell r="I132">
            <v>1990</v>
          </cell>
          <cell r="J132">
            <v>66.182961800000001</v>
          </cell>
          <cell r="K132">
            <v>5.637515796135358E-5</v>
          </cell>
          <cell r="L132">
            <v>66.182961800000001</v>
          </cell>
          <cell r="M132">
            <v>5.637515796135358E-5</v>
          </cell>
          <cell r="O132">
            <v>1850</v>
          </cell>
          <cell r="P132">
            <v>139.75608180000003</v>
          </cell>
          <cell r="Q132">
            <v>1.0092698007315675E-4</v>
          </cell>
          <cell r="R132">
            <v>139.75608180000003</v>
          </cell>
          <cell r="S132">
            <v>1.0092698007315675E-4</v>
          </cell>
          <cell r="U132">
            <v>1850</v>
          </cell>
          <cell r="V132">
            <v>198.03963039999999</v>
          </cell>
          <cell r="W132">
            <v>1.0642163132393787E-4</v>
          </cell>
          <cell r="X132">
            <v>198.03963039999999</v>
          </cell>
          <cell r="Y132">
            <v>1.0642163132393787E-4</v>
          </cell>
          <cell r="AA132">
            <v>1990</v>
          </cell>
          <cell r="AB132">
            <v>32.59906526000001</v>
          </cell>
          <cell r="AC132">
            <v>0.17214143820901776</v>
          </cell>
          <cell r="AD132">
            <v>32.59906526000001</v>
          </cell>
          <cell r="AE132">
            <v>7.0343226796892053E-4</v>
          </cell>
          <cell r="AG132">
            <v>1210</v>
          </cell>
          <cell r="AH132">
            <v>2870</v>
          </cell>
          <cell r="AJ132">
            <v>2750.4851770493769</v>
          </cell>
          <cell r="AK132">
            <v>6552.90526576517</v>
          </cell>
        </row>
        <row r="133">
          <cell r="B133" t="str">
            <v>Liberia</v>
          </cell>
          <cell r="C133" t="str">
            <v>LBR</v>
          </cell>
          <cell r="D133" t="str">
            <v>LBR</v>
          </cell>
          <cell r="E133" t="str">
            <v/>
          </cell>
          <cell r="F133" t="str">
            <v>Liberia</v>
          </cell>
          <cell r="G133" t="str">
            <v/>
          </cell>
          <cell r="I133">
            <v>1950</v>
          </cell>
          <cell r="J133">
            <v>34.014397100000004</v>
          </cell>
          <cell r="K133">
            <v>2.8973726127087703E-5</v>
          </cell>
          <cell r="L133">
            <v>34.014397100000004</v>
          </cell>
          <cell r="M133">
            <v>2.8973726127087703E-5</v>
          </cell>
          <cell r="O133">
            <v>1850</v>
          </cell>
          <cell r="P133">
            <v>582.25872000000004</v>
          </cell>
          <cell r="Q133">
            <v>4.2048699043351214E-4</v>
          </cell>
          <cell r="R133">
            <v>582.25872000000004</v>
          </cell>
          <cell r="S133">
            <v>4.2048699043351214E-4</v>
          </cell>
          <cell r="U133">
            <v>1850</v>
          </cell>
          <cell r="V133">
            <v>604.71312700000021</v>
          </cell>
          <cell r="W133">
            <v>3.2495797597862839E-4</v>
          </cell>
          <cell r="X133">
            <v>604.71312700000021</v>
          </cell>
          <cell r="Y133">
            <v>3.2495797597862839E-4</v>
          </cell>
          <cell r="AA133">
            <v>1950</v>
          </cell>
          <cell r="AB133">
            <v>11.81281682</v>
          </cell>
          <cell r="AC133">
            <v>6.2378330804153712E-2</v>
          </cell>
          <cell r="AD133">
            <v>11.81281682</v>
          </cell>
          <cell r="AE133">
            <v>2.5490045375595557E-4</v>
          </cell>
          <cell r="AG133">
            <v>630</v>
          </cell>
          <cell r="AH133">
            <v>1470</v>
          </cell>
          <cell r="AJ133">
            <v>3250.8876747909185</v>
          </cell>
          <cell r="AK133">
            <v>7629.5913535361615</v>
          </cell>
        </row>
        <row r="134">
          <cell r="B134" t="str">
            <v>Libya</v>
          </cell>
          <cell r="C134" t="str">
            <v>LBY</v>
          </cell>
          <cell r="D134" t="str">
            <v>LBY</v>
          </cell>
          <cell r="E134" t="str">
            <v/>
          </cell>
          <cell r="F134" t="str">
            <v>Libya</v>
          </cell>
          <cell r="G134" t="str">
            <v/>
          </cell>
          <cell r="I134">
            <v>1950</v>
          </cell>
          <cell r="J134">
            <v>1962.419778</v>
          </cell>
          <cell r="K134">
            <v>1.6716043217521043E-3</v>
          </cell>
          <cell r="L134">
            <v>1962.419778</v>
          </cell>
          <cell r="M134">
            <v>1.6716043217521043E-3</v>
          </cell>
          <cell r="O134">
            <v>1850</v>
          </cell>
          <cell r="P134">
            <v>1968.355458</v>
          </cell>
          <cell r="Q134">
            <v>1.4214778314316999E-3</v>
          </cell>
          <cell r="R134">
            <v>1968.355458</v>
          </cell>
          <cell r="S134">
            <v>1.4214778314316999E-3</v>
          </cell>
          <cell r="U134">
            <v>1850</v>
          </cell>
          <cell r="V134">
            <v>3625.8153059999991</v>
          </cell>
          <cell r="W134">
            <v>1.948424055147211E-3</v>
          </cell>
          <cell r="X134">
            <v>3625.8153059999991</v>
          </cell>
          <cell r="Y134">
            <v>1.948424055147211E-3</v>
          </cell>
          <cell r="AA134">
            <v>1950</v>
          </cell>
          <cell r="AB134">
            <v>385.148438</v>
          </cell>
          <cell r="AC134">
            <v>2.0338008317873064</v>
          </cell>
          <cell r="AD134">
            <v>385.148438</v>
          </cell>
          <cell r="AE134">
            <v>8.3108468628228099E-3</v>
          </cell>
          <cell r="AG134">
            <v>8700</v>
          </cell>
          <cell r="AH134">
            <v>24330</v>
          </cell>
          <cell r="AJ134">
            <v>58607.754958660327</v>
          </cell>
          <cell r="AK134">
            <v>163865.18582020199</v>
          </cell>
        </row>
        <row r="135">
          <cell r="B135" t="str">
            <v>Liechtenstein</v>
          </cell>
          <cell r="C135" t="str">
            <v>LIE</v>
          </cell>
          <cell r="D135" t="str">
            <v>LIE</v>
          </cell>
          <cell r="E135" t="str">
            <v/>
          </cell>
          <cell r="F135" t="str">
            <v>Liechtenstein</v>
          </cell>
          <cell r="G135" t="str">
            <v/>
          </cell>
          <cell r="I135">
            <v>1990</v>
          </cell>
          <cell r="J135">
            <v>6.2658889999999996</v>
          </cell>
          <cell r="K135">
            <v>5.337332638735243E-6</v>
          </cell>
          <cell r="L135">
            <v>6.2658889999999996</v>
          </cell>
          <cell r="M135">
            <v>5.337332638735243E-6</v>
          </cell>
          <cell r="O135">
            <v>1990</v>
          </cell>
          <cell r="P135">
            <v>0</v>
          </cell>
          <cell r="Q135">
            <v>0</v>
          </cell>
          <cell r="R135">
            <v>0</v>
          </cell>
          <cell r="S135">
            <v>0</v>
          </cell>
          <cell r="U135">
            <v>1850</v>
          </cell>
          <cell r="V135">
            <v>7.4850158789999979</v>
          </cell>
          <cell r="W135">
            <v>4.0222636182457678E-6</v>
          </cell>
          <cell r="X135">
            <v>7.4850158789999979</v>
          </cell>
          <cell r="Y135">
            <v>4.0222636182457678E-6</v>
          </cell>
          <cell r="AA135">
            <v>1990</v>
          </cell>
          <cell r="AB135">
            <v>184.99557599999997</v>
          </cell>
          <cell r="AC135">
            <v>0.97688090934376792</v>
          </cell>
          <cell r="AD135">
            <v>184.99557599999997</v>
          </cell>
          <cell r="AE135">
            <v>3.9918892321606624E-3</v>
          </cell>
          <cell r="AG135">
            <v>116600</v>
          </cell>
          <cell r="AH135" t="str">
            <v/>
          </cell>
          <cell r="AJ135">
            <v>4159.6946294607906</v>
          </cell>
          <cell r="AK135" t="e">
            <v>#VALUE!</v>
          </cell>
        </row>
        <row r="136">
          <cell r="B136" t="str">
            <v>Lithuania</v>
          </cell>
          <cell r="C136" t="str">
            <v>LTU</v>
          </cell>
          <cell r="D136" t="str">
            <v>LTU</v>
          </cell>
          <cell r="E136" t="str">
            <v/>
          </cell>
          <cell r="F136" t="str">
            <v>Lithuania</v>
          </cell>
          <cell r="G136" t="str">
            <v/>
          </cell>
          <cell r="I136">
            <v>1830</v>
          </cell>
          <cell r="J136">
            <v>907.71286699999996</v>
          </cell>
          <cell r="K136">
            <v>7.7319682995326646E-4</v>
          </cell>
          <cell r="L136">
            <v>907.71286699999996</v>
          </cell>
          <cell r="M136">
            <v>7.7319682995326646E-4</v>
          </cell>
          <cell r="O136">
            <v>1850</v>
          </cell>
          <cell r="P136">
            <v>932.11510700000008</v>
          </cell>
          <cell r="Q136">
            <v>6.7314110139911885E-4</v>
          </cell>
          <cell r="R136">
            <v>932.11510700000008</v>
          </cell>
          <cell r="S136">
            <v>6.7314110139911885E-4</v>
          </cell>
          <cell r="U136">
            <v>1850</v>
          </cell>
          <cell r="V136">
            <v>1455.7092839999996</v>
          </cell>
          <cell r="W136">
            <v>7.8226240083248281E-4</v>
          </cell>
          <cell r="X136">
            <v>1455.7092839999996</v>
          </cell>
          <cell r="Y136">
            <v>7.8226240083248281E-4</v>
          </cell>
          <cell r="AA136">
            <v>1830</v>
          </cell>
          <cell r="AB136">
            <v>261.1680963</v>
          </cell>
          <cell r="AC136">
            <v>1.3791147492366238</v>
          </cell>
          <cell r="AD136">
            <v>261.1680963</v>
          </cell>
          <cell r="AE136">
            <v>5.6355623953076002E-3</v>
          </cell>
          <cell r="AG136">
            <v>21740</v>
          </cell>
          <cell r="AH136">
            <v>41760</v>
          </cell>
          <cell r="AJ136">
            <v>60884.172443921845</v>
          </cell>
          <cell r="AK136">
            <v>116967.21486871413</v>
          </cell>
        </row>
        <row r="137">
          <cell r="B137" t="str">
            <v>Low-income countries</v>
          </cell>
          <cell r="D137" t="str">
            <v/>
          </cell>
          <cell r="E137" t="str">
            <v/>
          </cell>
          <cell r="F137" t="str">
            <v/>
          </cell>
          <cell r="G137" t="str">
            <v/>
          </cell>
          <cell r="I137" t="str">
            <v/>
          </cell>
          <cell r="J137" t="str">
            <v/>
          </cell>
          <cell r="K137" t="str">
            <v/>
          </cell>
          <cell r="L137" t="str">
            <v/>
          </cell>
          <cell r="M137" t="str">
            <v/>
          </cell>
          <cell r="O137" t="str">
            <v/>
          </cell>
          <cell r="P137" t="str">
            <v/>
          </cell>
          <cell r="Q137" t="str">
            <v/>
          </cell>
          <cell r="R137" t="str">
            <v/>
          </cell>
          <cell r="S137" t="str">
            <v/>
          </cell>
          <cell r="U137" t="str">
            <v/>
          </cell>
          <cell r="V137" t="str">
            <v/>
          </cell>
          <cell r="W137" t="str">
            <v/>
          </cell>
          <cell r="X137" t="str">
            <v/>
          </cell>
          <cell r="Y137" t="str">
            <v/>
          </cell>
          <cell r="AA137" t="str">
            <v/>
          </cell>
          <cell r="AB137" t="str">
            <v/>
          </cell>
          <cell r="AC137" t="str">
            <v/>
          </cell>
          <cell r="AD137" t="str">
            <v/>
          </cell>
          <cell r="AE137" t="str">
            <v/>
          </cell>
          <cell r="AG137" t="e">
            <v>#N/A</v>
          </cell>
          <cell r="AH137" t="e">
            <v>#N/A</v>
          </cell>
          <cell r="AJ137" t="e">
            <v>#N/A</v>
          </cell>
          <cell r="AK137" t="e">
            <v>#N/A</v>
          </cell>
        </row>
        <row r="138">
          <cell r="B138" t="str">
            <v>Lower-middle-income countries</v>
          </cell>
          <cell r="D138" t="str">
            <v/>
          </cell>
          <cell r="E138" t="str">
            <v/>
          </cell>
          <cell r="F138" t="str">
            <v/>
          </cell>
          <cell r="G138" t="str">
            <v/>
          </cell>
          <cell r="I138" t="str">
            <v/>
          </cell>
          <cell r="J138" t="str">
            <v/>
          </cell>
          <cell r="K138" t="str">
            <v/>
          </cell>
          <cell r="L138" t="str">
            <v/>
          </cell>
          <cell r="M138" t="str">
            <v/>
          </cell>
          <cell r="O138" t="str">
            <v/>
          </cell>
          <cell r="P138" t="str">
            <v/>
          </cell>
          <cell r="Q138" t="str">
            <v/>
          </cell>
          <cell r="R138" t="str">
            <v/>
          </cell>
          <cell r="S138" t="str">
            <v/>
          </cell>
          <cell r="U138" t="str">
            <v/>
          </cell>
          <cell r="V138" t="str">
            <v/>
          </cell>
          <cell r="W138" t="str">
            <v/>
          </cell>
          <cell r="X138" t="str">
            <v/>
          </cell>
          <cell r="Y138" t="str">
            <v/>
          </cell>
          <cell r="AA138" t="str">
            <v/>
          </cell>
          <cell r="AB138" t="str">
            <v/>
          </cell>
          <cell r="AC138" t="str">
            <v/>
          </cell>
          <cell r="AD138" t="str">
            <v/>
          </cell>
          <cell r="AE138" t="str">
            <v/>
          </cell>
          <cell r="AG138" t="e">
            <v>#N/A</v>
          </cell>
          <cell r="AH138" t="e">
            <v>#N/A</v>
          </cell>
          <cell r="AJ138" t="e">
            <v>#N/A</v>
          </cell>
          <cell r="AK138" t="e">
            <v>#N/A</v>
          </cell>
        </row>
        <row r="139">
          <cell r="B139" t="str">
            <v>Luxembourg</v>
          </cell>
          <cell r="C139" t="str">
            <v>LUX</v>
          </cell>
          <cell r="D139" t="str">
            <v>LUX</v>
          </cell>
          <cell r="E139" t="str">
            <v/>
          </cell>
          <cell r="F139" t="str">
            <v>Luxembourg</v>
          </cell>
          <cell r="G139" t="str">
            <v/>
          </cell>
          <cell r="I139">
            <v>1945</v>
          </cell>
          <cell r="J139">
            <v>432.33743149999992</v>
          </cell>
          <cell r="K139">
            <v>3.6826836289182785E-4</v>
          </cell>
          <cell r="L139">
            <v>432.33743149999992</v>
          </cell>
          <cell r="M139">
            <v>3.6826836289182785E-4</v>
          </cell>
          <cell r="O139">
            <v>1850</v>
          </cell>
          <cell r="P139">
            <v>431.05503149999993</v>
          </cell>
          <cell r="Q139">
            <v>3.112929470711194E-4</v>
          </cell>
          <cell r="R139">
            <v>431.05503149999993</v>
          </cell>
          <cell r="S139">
            <v>3.112929470711194E-4</v>
          </cell>
          <cell r="U139">
            <v>1850</v>
          </cell>
          <cell r="V139">
            <v>472.52261200000004</v>
          </cell>
          <cell r="W139">
            <v>2.5392204128496569E-4</v>
          </cell>
          <cell r="X139">
            <v>472.52261200000004</v>
          </cell>
          <cell r="Y139">
            <v>2.5392204128496569E-4</v>
          </cell>
          <cell r="AA139">
            <v>1945</v>
          </cell>
          <cell r="AB139">
            <v>979.54934800000012</v>
          </cell>
          <cell r="AC139">
            <v>5.1725726555825062</v>
          </cell>
          <cell r="AD139">
            <v>979.54934800000012</v>
          </cell>
          <cell r="AE139">
            <v>2.1137005431152576E-2</v>
          </cell>
          <cell r="AG139">
            <v>88190</v>
          </cell>
          <cell r="AH139">
            <v>84020</v>
          </cell>
          <cell r="AJ139">
            <v>56449.078923035035</v>
          </cell>
          <cell r="AK139">
            <v>52969.054562399368</v>
          </cell>
        </row>
        <row r="140">
          <cell r="B140" t="str">
            <v>Macao</v>
          </cell>
          <cell r="C140" t="str">
            <v>MAC</v>
          </cell>
          <cell r="D140" t="str">
            <v>MAC</v>
          </cell>
          <cell r="E140" t="str">
            <v/>
          </cell>
          <cell r="F140" t="str">
            <v>China, Macao Special Administrative Region</v>
          </cell>
          <cell r="G140" t="str">
            <v>diff</v>
          </cell>
          <cell r="I140">
            <v>1954</v>
          </cell>
          <cell r="J140">
            <v>54.034865000000011</v>
          </cell>
          <cell r="K140">
            <v>4.6027315293033874E-5</v>
          </cell>
          <cell r="L140">
            <v>54.034865000000011</v>
          </cell>
          <cell r="M140">
            <v>4.6027315293033874E-5</v>
          </cell>
          <cell r="O140">
            <v>1954</v>
          </cell>
          <cell r="P140">
            <v>0</v>
          </cell>
          <cell r="Q140">
            <v>0</v>
          </cell>
          <cell r="R140">
            <v>0</v>
          </cell>
          <cell r="S140">
            <v>0</v>
          </cell>
          <cell r="U140">
            <v>1850</v>
          </cell>
          <cell r="V140">
            <v>58.457035480000009</v>
          </cell>
          <cell r="W140">
            <v>3.1413374512856679E-5</v>
          </cell>
          <cell r="X140">
            <v>58.457035480000009</v>
          </cell>
          <cell r="Y140">
            <v>3.1413374512856679E-5</v>
          </cell>
          <cell r="AA140">
            <v>1954</v>
          </cell>
          <cell r="AB140">
            <v>121.23537329999996</v>
          </cell>
          <cell r="AC140">
            <v>0.64019110226687337</v>
          </cell>
          <cell r="AD140">
            <v>121.23537329999996</v>
          </cell>
          <cell r="AE140">
            <v>2.6160527278406283E-3</v>
          </cell>
          <cell r="AG140">
            <v>46450</v>
          </cell>
          <cell r="AH140">
            <v>72940</v>
          </cell>
          <cell r="AJ140">
            <v>31894.658124993002</v>
          </cell>
          <cell r="AK140">
            <v>50079.163675492971</v>
          </cell>
        </row>
        <row r="141">
          <cell r="B141" t="str">
            <v>Madagascar</v>
          </cell>
          <cell r="C141" t="str">
            <v>MDG</v>
          </cell>
          <cell r="D141" t="str">
            <v>MDG</v>
          </cell>
          <cell r="E141" t="str">
            <v/>
          </cell>
          <cell r="F141" t="str">
            <v>Madagascar</v>
          </cell>
          <cell r="G141" t="str">
            <v/>
          </cell>
          <cell r="I141">
            <v>1933</v>
          </cell>
          <cell r="J141">
            <v>82.183184999999995</v>
          </cell>
          <cell r="K141">
            <v>7.0004271645366943E-5</v>
          </cell>
          <cell r="L141">
            <v>82.183184999999995</v>
          </cell>
          <cell r="M141">
            <v>7.0004271645366943E-5</v>
          </cell>
          <cell r="O141">
            <v>1850</v>
          </cell>
          <cell r="P141">
            <v>2391.8954980000008</v>
          </cell>
          <cell r="Q141">
            <v>1.7273437130928449E-3</v>
          </cell>
          <cell r="R141">
            <v>2391.8954980000008</v>
          </cell>
          <cell r="S141">
            <v>1.7273437130928449E-3</v>
          </cell>
          <cell r="U141">
            <v>1850</v>
          </cell>
          <cell r="V141">
            <v>3371.0294399999998</v>
          </cell>
          <cell r="W141">
            <v>1.8115083911296815E-3</v>
          </cell>
          <cell r="X141">
            <v>3371.0294399999998</v>
          </cell>
          <cell r="Y141">
            <v>1.8115083911296815E-3</v>
          </cell>
          <cell r="AA141">
            <v>1933</v>
          </cell>
          <cell r="AB141">
            <v>4.6332586950000003</v>
          </cell>
          <cell r="AC141">
            <v>2.4466217328335035E-2</v>
          </cell>
          <cell r="AD141">
            <v>4.6332586950000003</v>
          </cell>
          <cell r="AE141">
            <v>9.9977825925876568E-5</v>
          </cell>
          <cell r="AG141">
            <v>490</v>
          </cell>
          <cell r="AH141">
            <v>1570</v>
          </cell>
          <cell r="AJ141">
            <v>14049.545934275271</v>
          </cell>
          <cell r="AK141">
            <v>45529.381517824637</v>
          </cell>
        </row>
        <row r="142">
          <cell r="B142" t="str">
            <v>Malawi</v>
          </cell>
          <cell r="C142" t="str">
            <v>MWI</v>
          </cell>
          <cell r="D142" t="str">
            <v>MWI</v>
          </cell>
          <cell r="E142" t="str">
            <v/>
          </cell>
          <cell r="F142" t="str">
            <v>Malawi</v>
          </cell>
          <cell r="G142" t="str">
            <v/>
          </cell>
          <cell r="I142">
            <v>1950</v>
          </cell>
          <cell r="J142">
            <v>39.61864894</v>
          </cell>
          <cell r="K142">
            <v>3.3747471123420069E-5</v>
          </cell>
          <cell r="L142">
            <v>39.61864894</v>
          </cell>
          <cell r="M142">
            <v>3.3747471123420069E-5</v>
          </cell>
          <cell r="O142">
            <v>1850</v>
          </cell>
          <cell r="P142">
            <v>510.809056</v>
          </cell>
          <cell r="Q142">
            <v>3.6888852887187907E-4</v>
          </cell>
          <cell r="R142">
            <v>510.809056</v>
          </cell>
          <cell r="S142">
            <v>3.6888852887187907E-4</v>
          </cell>
          <cell r="U142">
            <v>1850</v>
          </cell>
          <cell r="V142">
            <v>924.20844599999975</v>
          </cell>
          <cell r="W142">
            <v>4.9664691005544073E-4</v>
          </cell>
          <cell r="X142">
            <v>924.20844599999975</v>
          </cell>
          <cell r="Y142">
            <v>4.9664691005544073E-4</v>
          </cell>
          <cell r="AA142">
            <v>1950</v>
          </cell>
          <cell r="AB142">
            <v>3.3420960839999996</v>
          </cell>
          <cell r="AC142">
            <v>1.7648151011201294E-2</v>
          </cell>
          <cell r="AD142">
            <v>3.3420960839999996</v>
          </cell>
          <cell r="AE142">
            <v>7.2116737378443677E-5</v>
          </cell>
          <cell r="AG142">
            <v>620</v>
          </cell>
          <cell r="AH142">
            <v>1610</v>
          </cell>
          <cell r="AJ142">
            <v>12317.14288233152</v>
          </cell>
          <cell r="AK142">
            <v>31993.461474202795</v>
          </cell>
        </row>
        <row r="143">
          <cell r="B143" t="str">
            <v>Malaysia</v>
          </cell>
          <cell r="C143" t="str">
            <v>MYS</v>
          </cell>
          <cell r="D143" t="str">
            <v>MYS</v>
          </cell>
          <cell r="E143" t="str">
            <v/>
          </cell>
          <cell r="F143" t="str">
            <v>Malaysia</v>
          </cell>
          <cell r="G143" t="str">
            <v/>
          </cell>
          <cell r="I143">
            <v>1890</v>
          </cell>
          <cell r="J143">
            <v>5931.9714720000002</v>
          </cell>
          <cell r="K143">
            <v>5.0528991096956792E-3</v>
          </cell>
          <cell r="L143">
            <v>5931.9714720000002</v>
          </cell>
          <cell r="M143">
            <v>5.0528991096956792E-3</v>
          </cell>
          <cell r="O143">
            <v>1850</v>
          </cell>
          <cell r="P143">
            <v>12480.308870000001</v>
          </cell>
          <cell r="Q143">
            <v>9.0128448680458877E-3</v>
          </cell>
          <cell r="R143">
            <v>12480.308870000001</v>
          </cell>
          <cell r="S143">
            <v>9.0128448680458877E-3</v>
          </cell>
          <cell r="U143">
            <v>1850</v>
          </cell>
          <cell r="V143">
            <v>13140.671039999996</v>
          </cell>
          <cell r="W143">
            <v>7.0614737360569571E-3</v>
          </cell>
          <cell r="X143">
            <v>13140.671039999996</v>
          </cell>
          <cell r="Y143">
            <v>7.0614737360569571E-3</v>
          </cell>
          <cell r="AA143">
            <v>1890</v>
          </cell>
          <cell r="AB143">
            <v>231.83995899999996</v>
          </cell>
          <cell r="AC143">
            <v>1.2242456542319795</v>
          </cell>
          <cell r="AD143">
            <v>231.83995899999996</v>
          </cell>
          <cell r="AE143">
            <v>5.0027111778968673E-3</v>
          </cell>
          <cell r="AG143">
            <v>10710</v>
          </cell>
          <cell r="AH143">
            <v>28150</v>
          </cell>
          <cell r="AJ143">
            <v>359707.77719651762</v>
          </cell>
          <cell r="AK143">
            <v>945159.49715690129</v>
          </cell>
        </row>
        <row r="144">
          <cell r="B144" t="str">
            <v>Maldives</v>
          </cell>
          <cell r="C144" t="str">
            <v>MDV</v>
          </cell>
          <cell r="D144" t="str">
            <v>MDV</v>
          </cell>
          <cell r="E144" t="str">
            <v/>
          </cell>
          <cell r="F144" t="str">
            <v>Maldives</v>
          </cell>
          <cell r="G144" t="str">
            <v/>
          </cell>
          <cell r="I144">
            <v>1971</v>
          </cell>
          <cell r="J144">
            <v>27.383421970000004</v>
          </cell>
          <cell r="K144">
            <v>2.3325410303428733E-5</v>
          </cell>
          <cell r="L144">
            <v>27.383421970000004</v>
          </cell>
          <cell r="M144">
            <v>2.3325410303428733E-5</v>
          </cell>
          <cell r="O144">
            <v>1971</v>
          </cell>
          <cell r="P144">
            <v>0</v>
          </cell>
          <cell r="Q144">
            <v>0</v>
          </cell>
          <cell r="R144">
            <v>0</v>
          </cell>
          <cell r="S144">
            <v>0</v>
          </cell>
          <cell r="U144">
            <v>1850</v>
          </cell>
          <cell r="V144">
            <v>32.241458727999998</v>
          </cell>
          <cell r="W144">
            <v>1.732576771208302E-5</v>
          </cell>
          <cell r="X144">
            <v>32.241458727999998</v>
          </cell>
          <cell r="Y144">
            <v>1.732576771208302E-5</v>
          </cell>
          <cell r="AA144">
            <v>1971</v>
          </cell>
          <cell r="AB144">
            <v>73.434603549999991</v>
          </cell>
          <cell r="AC144">
            <v>0.38777609629553028</v>
          </cell>
          <cell r="AD144">
            <v>73.434603549999991</v>
          </cell>
          <cell r="AE144">
            <v>1.5845935860608481E-3</v>
          </cell>
          <cell r="AG144">
            <v>9600</v>
          </cell>
          <cell r="AH144">
            <v>18770</v>
          </cell>
          <cell r="AJ144">
            <v>5006.5109890001186</v>
          </cell>
          <cell r="AK144">
            <v>9788.4976194450355</v>
          </cell>
        </row>
        <row r="145">
          <cell r="B145" t="str">
            <v>Mali</v>
          </cell>
          <cell r="C145" t="str">
            <v>MLI</v>
          </cell>
          <cell r="D145" t="str">
            <v>MLI</v>
          </cell>
          <cell r="E145" t="str">
            <v/>
          </cell>
          <cell r="F145" t="str">
            <v>Mali</v>
          </cell>
          <cell r="G145" t="str">
            <v/>
          </cell>
          <cell r="I145">
            <v>1959</v>
          </cell>
          <cell r="J145">
            <v>63.748436769999998</v>
          </cell>
          <cell r="K145">
            <v>5.4301410740099438E-5</v>
          </cell>
          <cell r="L145">
            <v>63.748436769999998</v>
          </cell>
          <cell r="M145">
            <v>5.4301410740099438E-5</v>
          </cell>
          <cell r="O145">
            <v>1850</v>
          </cell>
          <cell r="P145">
            <v>1167.0887567999998</v>
          </cell>
          <cell r="Q145">
            <v>8.4283089640224045E-4</v>
          </cell>
          <cell r="R145">
            <v>1167.0887567999998</v>
          </cell>
          <cell r="S145">
            <v>8.4283089640224045E-4</v>
          </cell>
          <cell r="U145">
            <v>1850</v>
          </cell>
          <cell r="V145">
            <v>1603.587094</v>
          </cell>
          <cell r="W145">
            <v>8.6172830240493581E-4</v>
          </cell>
          <cell r="X145">
            <v>1603.587094</v>
          </cell>
          <cell r="Y145">
            <v>8.6172830240493581E-4</v>
          </cell>
          <cell r="AA145">
            <v>1959</v>
          </cell>
          <cell r="AB145">
            <v>4.3417641900000001</v>
          </cell>
          <cell r="AC145">
            <v>2.2926962048451412E-2</v>
          </cell>
          <cell r="AD145">
            <v>4.3417641900000001</v>
          </cell>
          <cell r="AE145">
            <v>9.3687871317753922E-5</v>
          </cell>
          <cell r="AG145">
            <v>820</v>
          </cell>
          <cell r="AH145">
            <v>2220</v>
          </cell>
          <cell r="AJ145">
            <v>17916.693604809243</v>
          </cell>
          <cell r="AK145">
            <v>48658.878149694923</v>
          </cell>
        </row>
        <row r="146">
          <cell r="B146" t="str">
            <v>Malta</v>
          </cell>
          <cell r="C146" t="str">
            <v>MLT</v>
          </cell>
          <cell r="D146" t="str">
            <v>MLT</v>
          </cell>
          <cell r="E146" t="str">
            <v/>
          </cell>
          <cell r="F146" t="str">
            <v>Malta</v>
          </cell>
          <cell r="G146" t="str">
            <v/>
          </cell>
          <cell r="I146">
            <v>1950</v>
          </cell>
          <cell r="J146">
            <v>91.190132899999966</v>
          </cell>
          <cell r="K146">
            <v>7.7676459423040267E-5</v>
          </cell>
          <cell r="L146">
            <v>91.190132899999966</v>
          </cell>
          <cell r="M146">
            <v>7.7676459423040267E-5</v>
          </cell>
          <cell r="O146">
            <v>1850</v>
          </cell>
          <cell r="P146">
            <v>88.881812899999986</v>
          </cell>
          <cell r="Q146">
            <v>6.4187353021686835E-5</v>
          </cell>
          <cell r="R146">
            <v>88.881812899999986</v>
          </cell>
          <cell r="S146">
            <v>6.4187353021686835E-5</v>
          </cell>
          <cell r="U146">
            <v>1850</v>
          </cell>
          <cell r="V146">
            <v>97.903602100000001</v>
          </cell>
          <cell r="W146">
            <v>5.2610990168620869E-5</v>
          </cell>
          <cell r="X146">
            <v>97.903602100000001</v>
          </cell>
          <cell r="Y146">
            <v>5.2610990168620869E-5</v>
          </cell>
          <cell r="AA146">
            <v>1950</v>
          </cell>
          <cell r="AB146">
            <v>228.15758470000003</v>
          </cell>
          <cell r="AC146">
            <v>1.2048006424511137</v>
          </cell>
          <cell r="AD146">
            <v>228.15758470000003</v>
          </cell>
          <cell r="AE146">
            <v>4.923251816571628E-3</v>
          </cell>
          <cell r="AG146">
            <v>30760</v>
          </cell>
          <cell r="AH146">
            <v>45670</v>
          </cell>
          <cell r="AJ146">
            <v>15947.714545734641</v>
          </cell>
          <cell r="AK146">
            <v>23683.517792758248</v>
          </cell>
        </row>
        <row r="147">
          <cell r="B147" t="str">
            <v>Marshall Islands</v>
          </cell>
          <cell r="C147" t="str">
            <v>MHL</v>
          </cell>
          <cell r="D147" t="str">
            <v>MHL</v>
          </cell>
          <cell r="E147" t="str">
            <v/>
          </cell>
          <cell r="F147" t="str">
            <v>Marshall Islands</v>
          </cell>
          <cell r="G147" t="str">
            <v/>
          </cell>
          <cell r="I147">
            <v>1992</v>
          </cell>
          <cell r="J147">
            <v>3.5746040099999989</v>
          </cell>
          <cell r="K147">
            <v>3.0448753007158085E-6</v>
          </cell>
          <cell r="L147">
            <v>3.5746040099999989</v>
          </cell>
          <cell r="M147">
            <v>3.0448753007158085E-6</v>
          </cell>
          <cell r="O147">
            <v>1992</v>
          </cell>
          <cell r="P147">
            <v>0</v>
          </cell>
          <cell r="Q147">
            <v>0</v>
          </cell>
          <cell r="R147">
            <v>0</v>
          </cell>
          <cell r="S147">
            <v>0</v>
          </cell>
          <cell r="U147">
            <v>0</v>
          </cell>
          <cell r="V147">
            <v>0</v>
          </cell>
          <cell r="W147">
            <v>0</v>
          </cell>
          <cell r="X147">
            <v>0</v>
          </cell>
          <cell r="Y147">
            <v>0</v>
          </cell>
          <cell r="AA147">
            <v>1992</v>
          </cell>
          <cell r="AB147">
            <v>70.834954300000007</v>
          </cell>
          <cell r="AC147">
            <v>0.37404848302917398</v>
          </cell>
          <cell r="AD147">
            <v>70.834954300000007</v>
          </cell>
          <cell r="AE147">
            <v>1.5284975859680163E-3</v>
          </cell>
          <cell r="AG147">
            <v>6780</v>
          </cell>
          <cell r="AH147">
            <v>7410</v>
          </cell>
          <cell r="AJ147">
            <v>285.07601680380003</v>
          </cell>
          <cell r="AK147">
            <v>311.66670426626382</v>
          </cell>
        </row>
        <row r="148">
          <cell r="B148" t="str">
            <v>Martinique</v>
          </cell>
          <cell r="C148" t="str">
            <v>MTQ</v>
          </cell>
          <cell r="D148" t="str">
            <v>MTQ</v>
          </cell>
          <cell r="E148" t="str">
            <v/>
          </cell>
          <cell r="F148" t="str">
            <v>Martinique</v>
          </cell>
          <cell r="G148" t="str">
            <v/>
          </cell>
          <cell r="I148">
            <v>1950</v>
          </cell>
          <cell r="J148">
            <v>79.958350199999998</v>
          </cell>
          <cell r="K148">
            <v>6.810914018136655E-5</v>
          </cell>
          <cell r="L148">
            <v>79.958350199999998</v>
          </cell>
          <cell r="M148">
            <v>6.810914018136655E-5</v>
          </cell>
          <cell r="O148">
            <v>1950</v>
          </cell>
          <cell r="P148">
            <v>83.14602990000003</v>
          </cell>
          <cell r="Q148">
            <v>6.0045170090618522E-5</v>
          </cell>
          <cell r="R148">
            <v>83.14602990000003</v>
          </cell>
          <cell r="S148">
            <v>6.0045170090618522E-5</v>
          </cell>
          <cell r="U148">
            <v>0</v>
          </cell>
          <cell r="V148">
            <v>0</v>
          </cell>
          <cell r="W148">
            <v>0</v>
          </cell>
          <cell r="X148">
            <v>0</v>
          </cell>
          <cell r="Y148">
            <v>0</v>
          </cell>
          <cell r="AA148">
            <v>1950</v>
          </cell>
          <cell r="AB148">
            <v>205.92178089999996</v>
          </cell>
          <cell r="AC148">
            <v>1.0873830657403405</v>
          </cell>
          <cell r="AD148">
            <v>205.92178089999996</v>
          </cell>
          <cell r="AE148">
            <v>4.4434410682450982E-3</v>
          </cell>
          <cell r="AG148" t="e">
            <v>#N/A</v>
          </cell>
          <cell r="AH148" t="e">
            <v>#N/A</v>
          </cell>
          <cell r="AJ148" t="e">
            <v>#N/A</v>
          </cell>
          <cell r="AK148" t="e">
            <v>#N/A</v>
          </cell>
        </row>
        <row r="149">
          <cell r="B149" t="str">
            <v>Mauritania</v>
          </cell>
          <cell r="C149" t="str">
            <v>MRT</v>
          </cell>
          <cell r="D149" t="str">
            <v>MRT</v>
          </cell>
          <cell r="E149" t="str">
            <v/>
          </cell>
          <cell r="F149" t="str">
            <v>Mauritania</v>
          </cell>
          <cell r="G149" t="str">
            <v/>
          </cell>
          <cell r="I149">
            <v>1959</v>
          </cell>
          <cell r="J149">
            <v>74.9340002</v>
          </cell>
          <cell r="K149">
            <v>6.382936005065734E-5</v>
          </cell>
          <cell r="L149">
            <v>74.9340002</v>
          </cell>
          <cell r="M149">
            <v>6.382936005065734E-5</v>
          </cell>
          <cell r="O149">
            <v>1959</v>
          </cell>
          <cell r="P149">
            <v>110.07176006000003</v>
          </cell>
          <cell r="Q149">
            <v>7.9489995648925743E-5</v>
          </cell>
          <cell r="R149">
            <v>110.07176006000003</v>
          </cell>
          <cell r="S149">
            <v>7.9489995648925743E-5</v>
          </cell>
          <cell r="U149">
            <v>1850</v>
          </cell>
          <cell r="V149">
            <v>482.09898450000003</v>
          </cell>
          <cell r="W149">
            <v>2.5906814856438876E-4</v>
          </cell>
          <cell r="X149">
            <v>482.09898450000003</v>
          </cell>
          <cell r="Y149">
            <v>2.5906814856438876E-4</v>
          </cell>
          <cell r="AA149">
            <v>1959</v>
          </cell>
          <cell r="AB149">
            <v>26.168448929999997</v>
          </cell>
          <cell r="AC149">
            <v>0.13818415953284391</v>
          </cell>
          <cell r="AD149">
            <v>26.168448929999997</v>
          </cell>
          <cell r="AE149">
            <v>5.6467052761312092E-4</v>
          </cell>
          <cell r="AG149">
            <v>1950</v>
          </cell>
          <cell r="AH149">
            <v>5750</v>
          </cell>
          <cell r="AJ149">
            <v>9020.8863831552972</v>
          </cell>
          <cell r="AK149">
            <v>26515.180326828147</v>
          </cell>
        </row>
        <row r="150">
          <cell r="B150" t="str">
            <v>Mauritius</v>
          </cell>
          <cell r="C150" t="str">
            <v>MUS</v>
          </cell>
          <cell r="D150" t="str">
            <v>MUS</v>
          </cell>
          <cell r="E150" t="str">
            <v/>
          </cell>
          <cell r="F150" t="str">
            <v>Mauritius</v>
          </cell>
          <cell r="G150" t="str">
            <v/>
          </cell>
          <cell r="I150">
            <v>1950</v>
          </cell>
          <cell r="J150">
            <v>109.85405903000003</v>
          </cell>
          <cell r="K150">
            <v>9.3574535833361753E-5</v>
          </cell>
          <cell r="L150">
            <v>109.85405903000003</v>
          </cell>
          <cell r="M150">
            <v>9.3574535833361753E-5</v>
          </cell>
          <cell r="O150">
            <v>1850</v>
          </cell>
          <cell r="P150">
            <v>114.39741903000002</v>
          </cell>
          <cell r="Q150">
            <v>8.2613836064638247E-5</v>
          </cell>
          <cell r="R150">
            <v>114.39741903000002</v>
          </cell>
          <cell r="S150">
            <v>8.2613836064638247E-5</v>
          </cell>
          <cell r="U150">
            <v>1850</v>
          </cell>
          <cell r="V150">
            <v>151.26024199999995</v>
          </cell>
          <cell r="W150">
            <v>8.1283537419152936E-5</v>
          </cell>
          <cell r="X150">
            <v>151.26024199999995</v>
          </cell>
          <cell r="Y150">
            <v>8.1283537419152936E-5</v>
          </cell>
          <cell r="AA150">
            <v>1950</v>
          </cell>
          <cell r="AB150">
            <v>89.109568730000007</v>
          </cell>
          <cell r="AC150">
            <v>0.47054874724243895</v>
          </cell>
          <cell r="AD150">
            <v>89.109568730000007</v>
          </cell>
          <cell r="AE150">
            <v>1.9228326189582371E-3</v>
          </cell>
          <cell r="AG150">
            <v>9920</v>
          </cell>
          <cell r="AH150">
            <v>23380</v>
          </cell>
          <cell r="AJ150">
            <v>12563.724879850381</v>
          </cell>
          <cell r="AK150">
            <v>29596.775564272401</v>
          </cell>
        </row>
        <row r="151">
          <cell r="B151" t="str">
            <v>Mayotte</v>
          </cell>
          <cell r="C151" t="str">
            <v>MYT</v>
          </cell>
          <cell r="D151" t="str">
            <v>MYT</v>
          </cell>
          <cell r="E151" t="str">
            <v/>
          </cell>
          <cell r="F151" t="str">
            <v>Mayotte</v>
          </cell>
          <cell r="G151" t="str">
            <v/>
          </cell>
          <cell r="I151">
            <v>1990</v>
          </cell>
          <cell r="J151">
            <v>6.7795140199999997</v>
          </cell>
          <cell r="K151">
            <v>5.7748423972574647E-6</v>
          </cell>
          <cell r="L151">
            <v>6.7795140199999997</v>
          </cell>
          <cell r="M151">
            <v>5.7748423972574647E-6</v>
          </cell>
          <cell r="O151">
            <v>1990</v>
          </cell>
          <cell r="P151">
            <v>6.9993540199999984</v>
          </cell>
          <cell r="Q151">
            <v>5.0546899612744382E-6</v>
          </cell>
          <cell r="R151">
            <v>6.9993540199999984</v>
          </cell>
          <cell r="S151">
            <v>5.0546899612744382E-6</v>
          </cell>
          <cell r="U151">
            <v>0</v>
          </cell>
          <cell r="V151">
            <v>0</v>
          </cell>
          <cell r="W151">
            <v>0</v>
          </cell>
          <cell r="X151">
            <v>0</v>
          </cell>
          <cell r="Y151">
            <v>0</v>
          </cell>
          <cell r="AA151">
            <v>1990</v>
          </cell>
          <cell r="AB151">
            <v>34.263841470000003</v>
          </cell>
          <cell r="AC151">
            <v>0.18093239490669935</v>
          </cell>
          <cell r="AD151">
            <v>34.263841470000003</v>
          </cell>
          <cell r="AE151">
            <v>7.3935530121300302E-4</v>
          </cell>
          <cell r="AG151" t="e">
            <v>#N/A</v>
          </cell>
          <cell r="AH151" t="e">
            <v>#N/A</v>
          </cell>
          <cell r="AJ151" t="e">
            <v>#N/A</v>
          </cell>
          <cell r="AK151" t="e">
            <v>#N/A</v>
          </cell>
        </row>
        <row r="152">
          <cell r="B152" t="str">
            <v>Mexico</v>
          </cell>
          <cell r="C152" t="str">
            <v>MEX</v>
          </cell>
          <cell r="D152" t="str">
            <v>MEX</v>
          </cell>
          <cell r="E152" t="str">
            <v/>
          </cell>
          <cell r="F152" t="str">
            <v>Mexico</v>
          </cell>
          <cell r="G152" t="str">
            <v/>
          </cell>
          <cell r="I152">
            <v>1891</v>
          </cell>
          <cell r="J152">
            <v>16745.203509999999</v>
          </cell>
          <cell r="K152">
            <v>1.4263693665206479E-2</v>
          </cell>
          <cell r="L152">
            <v>16745.203509999999</v>
          </cell>
          <cell r="M152">
            <v>1.4263693665206479E-2</v>
          </cell>
          <cell r="O152">
            <v>1850</v>
          </cell>
          <cell r="P152">
            <v>22417.185420000002</v>
          </cell>
          <cell r="Q152">
            <v>1.6188911402212763E-2</v>
          </cell>
          <cell r="R152">
            <v>22417.185420000002</v>
          </cell>
          <cell r="S152">
            <v>1.6188911402212763E-2</v>
          </cell>
          <cell r="U152">
            <v>1850</v>
          </cell>
          <cell r="V152">
            <v>29578.199530000005</v>
          </cell>
          <cell r="W152">
            <v>1.5894597658305532E-2</v>
          </cell>
          <cell r="X152">
            <v>29578.199530000005</v>
          </cell>
          <cell r="Y152">
            <v>1.5894597658305532E-2</v>
          </cell>
          <cell r="AA152">
            <v>1891</v>
          </cell>
          <cell r="AB152">
            <v>171.83898839999998</v>
          </cell>
          <cell r="AC152">
            <v>0.9074067114389005</v>
          </cell>
          <cell r="AD152">
            <v>171.83898839999998</v>
          </cell>
          <cell r="AE152">
            <v>3.7079924952331889E-3</v>
          </cell>
          <cell r="AG152">
            <v>9590</v>
          </cell>
          <cell r="AH152">
            <v>19060</v>
          </cell>
          <cell r="AJ152">
            <v>1214990.8177508013</v>
          </cell>
          <cell r="AK152">
            <v>2415367.7683701906</v>
          </cell>
        </row>
        <row r="153">
          <cell r="B153" t="str">
            <v>Micronesia (country)</v>
          </cell>
          <cell r="C153" t="str">
            <v>FSM</v>
          </cell>
          <cell r="D153" t="str">
            <v>FSM</v>
          </cell>
          <cell r="E153" t="str">
            <v/>
          </cell>
          <cell r="F153" t="str">
            <v>Micronesia (Federated States of)</v>
          </cell>
          <cell r="G153" t="str">
            <v>diff</v>
          </cell>
          <cell r="I153">
            <v>1992</v>
          </cell>
          <cell r="J153">
            <v>4.4466359999999989</v>
          </cell>
          <cell r="K153">
            <v>3.787678884093721E-6</v>
          </cell>
          <cell r="L153">
            <v>4.4466359999999989</v>
          </cell>
          <cell r="M153">
            <v>3.787678884093721E-6</v>
          </cell>
          <cell r="O153">
            <v>1992</v>
          </cell>
          <cell r="P153">
            <v>0</v>
          </cell>
          <cell r="Q153">
            <v>0</v>
          </cell>
          <cell r="R153">
            <v>0</v>
          </cell>
          <cell r="S153">
            <v>0</v>
          </cell>
          <cell r="U153">
            <v>1850</v>
          </cell>
          <cell r="V153">
            <v>1.5126331429999997</v>
          </cell>
          <cell r="W153">
            <v>8.1285188397683146E-7</v>
          </cell>
          <cell r="X153">
            <v>1.5126331429999997</v>
          </cell>
          <cell r="Y153">
            <v>8.1285188397683146E-7</v>
          </cell>
          <cell r="AA153">
            <v>1992</v>
          </cell>
          <cell r="AB153">
            <v>40.396962670000015</v>
          </cell>
          <cell r="AC153">
            <v>0.21331873162088952</v>
          </cell>
          <cell r="AD153">
            <v>40.396962670000015</v>
          </cell>
          <cell r="AE153">
            <v>8.7169760370036818E-4</v>
          </cell>
          <cell r="AG153">
            <v>3980</v>
          </cell>
          <cell r="AH153">
            <v>4010</v>
          </cell>
          <cell r="AJ153">
            <v>450.74689180135442</v>
          </cell>
          <cell r="AK153">
            <v>453.94820523296573</v>
          </cell>
        </row>
        <row r="154">
          <cell r="B154" t="str">
            <v>Middle East (GCP)</v>
          </cell>
          <cell r="D154" t="str">
            <v/>
          </cell>
          <cell r="E154" t="str">
            <v/>
          </cell>
          <cell r="F154" t="str">
            <v/>
          </cell>
          <cell r="G154" t="str">
            <v/>
          </cell>
          <cell r="I154" t="str">
            <v/>
          </cell>
          <cell r="J154" t="str">
            <v/>
          </cell>
          <cell r="K154" t="str">
            <v/>
          </cell>
          <cell r="L154" t="str">
            <v/>
          </cell>
          <cell r="M154" t="str">
            <v/>
          </cell>
          <cell r="O154" t="str">
            <v/>
          </cell>
          <cell r="P154" t="str">
            <v/>
          </cell>
          <cell r="Q154" t="str">
            <v/>
          </cell>
          <cell r="R154" t="str">
            <v/>
          </cell>
          <cell r="S154" t="str">
            <v/>
          </cell>
          <cell r="U154" t="str">
            <v/>
          </cell>
          <cell r="V154" t="str">
            <v/>
          </cell>
          <cell r="W154" t="str">
            <v/>
          </cell>
          <cell r="X154" t="str">
            <v/>
          </cell>
          <cell r="Y154" t="str">
            <v/>
          </cell>
          <cell r="AA154" t="str">
            <v/>
          </cell>
          <cell r="AB154" t="str">
            <v/>
          </cell>
          <cell r="AC154" t="str">
            <v/>
          </cell>
          <cell r="AD154" t="str">
            <v/>
          </cell>
          <cell r="AE154" t="str">
            <v/>
          </cell>
          <cell r="AG154" t="e">
            <v>#N/A</v>
          </cell>
          <cell r="AH154" t="e">
            <v>#N/A</v>
          </cell>
          <cell r="AJ154" t="e">
            <v>#N/A</v>
          </cell>
          <cell r="AK154" t="e">
            <v>#N/A</v>
          </cell>
        </row>
        <row r="155">
          <cell r="B155" t="str">
            <v>Moldova</v>
          </cell>
          <cell r="C155" t="str">
            <v>MDA</v>
          </cell>
          <cell r="D155" t="str">
            <v>MDA</v>
          </cell>
          <cell r="E155" t="str">
            <v/>
          </cell>
          <cell r="F155" t="str">
            <v>Republic of Moldova</v>
          </cell>
          <cell r="G155" t="str">
            <v>diff</v>
          </cell>
          <cell r="I155">
            <v>1830</v>
          </cell>
          <cell r="J155">
            <v>673.91941700000007</v>
          </cell>
          <cell r="K155">
            <v>5.740497637656089E-4</v>
          </cell>
          <cell r="L155">
            <v>673.91941700000007</v>
          </cell>
          <cell r="M155">
            <v>5.740497637656089E-4</v>
          </cell>
          <cell r="O155">
            <v>1850</v>
          </cell>
          <cell r="P155">
            <v>652.00869720000003</v>
          </cell>
          <cell r="Q155">
            <v>4.7085799732136794E-4</v>
          </cell>
          <cell r="R155">
            <v>652.00869720000003</v>
          </cell>
          <cell r="S155">
            <v>4.7085799732136794E-4</v>
          </cell>
          <cell r="U155">
            <v>1850</v>
          </cell>
          <cell r="V155">
            <v>887.01886650000006</v>
          </cell>
          <cell r="W155">
            <v>4.7666214382129183E-4</v>
          </cell>
          <cell r="X155">
            <v>887.01886650000006</v>
          </cell>
          <cell r="Y155">
            <v>4.7666214382129183E-4</v>
          </cell>
          <cell r="AA155">
            <v>1830</v>
          </cell>
          <cell r="AB155">
            <v>161.41646875000004</v>
          </cell>
          <cell r="AC155">
            <v>0.85236993329808042</v>
          </cell>
          <cell r="AD155">
            <v>161.41646875000004</v>
          </cell>
          <cell r="AE155">
            <v>3.4830922848475216E-3</v>
          </cell>
          <cell r="AG155">
            <v>5370</v>
          </cell>
          <cell r="AH155">
            <v>15810</v>
          </cell>
          <cell r="AJ155">
            <v>14049.626028364017</v>
          </cell>
          <cell r="AK155">
            <v>41357.957471053902</v>
          </cell>
        </row>
        <row r="156">
          <cell r="B156" t="str">
            <v>Mongolia</v>
          </cell>
          <cell r="C156" t="str">
            <v>MNG</v>
          </cell>
          <cell r="D156" t="str">
            <v>MNG</v>
          </cell>
          <cell r="E156" t="str">
            <v/>
          </cell>
          <cell r="F156" t="str">
            <v>Mongolia</v>
          </cell>
          <cell r="G156" t="str">
            <v/>
          </cell>
          <cell r="I156">
            <v>1950</v>
          </cell>
          <cell r="J156">
            <v>692.4736875000001</v>
          </cell>
          <cell r="K156">
            <v>5.8985443466347709E-4</v>
          </cell>
          <cell r="L156">
            <v>692.4736875000001</v>
          </cell>
          <cell r="M156">
            <v>5.8985443466347709E-4</v>
          </cell>
          <cell r="O156">
            <v>1850</v>
          </cell>
          <cell r="P156">
            <v>731.09224649999999</v>
          </cell>
          <cell r="Q156">
            <v>5.2796938525894539E-4</v>
          </cell>
          <cell r="R156">
            <v>731.09224649999999</v>
          </cell>
          <cell r="S156">
            <v>5.2796938525894539E-4</v>
          </cell>
          <cell r="U156">
            <v>1850</v>
          </cell>
          <cell r="V156">
            <v>2022.193301</v>
          </cell>
          <cell r="W156">
            <v>1.0866769924286778E-3</v>
          </cell>
          <cell r="X156">
            <v>2022.193301</v>
          </cell>
          <cell r="Y156">
            <v>1.0866769924286778E-3</v>
          </cell>
          <cell r="AA156">
            <v>1950</v>
          </cell>
          <cell r="AB156">
            <v>260.53459570000007</v>
          </cell>
          <cell r="AC156">
            <v>1.3757695090120805</v>
          </cell>
          <cell r="AD156">
            <v>260.53459570000007</v>
          </cell>
          <cell r="AE156">
            <v>5.6218925320687787E-3</v>
          </cell>
          <cell r="AG156">
            <v>3730</v>
          </cell>
          <cell r="AH156">
            <v>10950</v>
          </cell>
          <cell r="AJ156">
            <v>12474.522249635937</v>
          </cell>
          <cell r="AK156">
            <v>36649.450183376364</v>
          </cell>
        </row>
        <row r="157">
          <cell r="B157" t="str">
            <v>Montenegro</v>
          </cell>
          <cell r="C157" t="str">
            <v>MNE</v>
          </cell>
          <cell r="D157" t="str">
            <v>MNE</v>
          </cell>
          <cell r="E157" t="str">
            <v/>
          </cell>
          <cell r="F157" t="str">
            <v>Montenegro</v>
          </cell>
          <cell r="G157" t="str">
            <v/>
          </cell>
          <cell r="I157">
            <v>1885</v>
          </cell>
          <cell r="J157">
            <v>80.202788999999996</v>
          </cell>
          <cell r="K157">
            <v>6.8317355038893281E-5</v>
          </cell>
          <cell r="L157">
            <v>80.202788999999996</v>
          </cell>
          <cell r="M157">
            <v>6.8317355038893281E-5</v>
          </cell>
          <cell r="O157">
            <v>1850</v>
          </cell>
          <cell r="P157">
            <v>22.97110871000001</v>
          </cell>
          <cell r="Q157">
            <v>1.6588935530907877E-5</v>
          </cell>
          <cell r="R157">
            <v>22.97110871000001</v>
          </cell>
          <cell r="S157">
            <v>1.6588935530907877E-5</v>
          </cell>
          <cell r="U157">
            <v>1850</v>
          </cell>
          <cell r="V157">
            <v>107.21895809999998</v>
          </cell>
          <cell r="W157">
            <v>5.761683359440839E-5</v>
          </cell>
          <cell r="X157">
            <v>107.21895809999998</v>
          </cell>
          <cell r="Y157">
            <v>5.761683359440839E-5</v>
          </cell>
          <cell r="AA157">
            <v>1885</v>
          </cell>
          <cell r="AB157">
            <v>128.50107830000002</v>
          </cell>
          <cell r="AC157">
            <v>0.67855811979719327</v>
          </cell>
          <cell r="AD157">
            <v>128.50107830000002</v>
          </cell>
          <cell r="AE157">
            <v>2.7728342584084514E-3</v>
          </cell>
          <cell r="AG157">
            <v>9340</v>
          </cell>
          <cell r="AH157">
            <v>23930</v>
          </cell>
          <cell r="AJ157">
            <v>5780.6569442550744</v>
          </cell>
          <cell r="AK157">
            <v>14818.020979659463</v>
          </cell>
        </row>
        <row r="158">
          <cell r="B158" t="str">
            <v>Montserrat</v>
          </cell>
          <cell r="C158" t="str">
            <v>MSR</v>
          </cell>
          <cell r="D158" t="str">
            <v>MSR</v>
          </cell>
          <cell r="E158" t="str">
            <v/>
          </cell>
          <cell r="F158" t="str">
            <v>Montserrat</v>
          </cell>
          <cell r="G158" t="str">
            <v/>
          </cell>
          <cell r="I158">
            <v>1962</v>
          </cell>
          <cell r="J158">
            <v>1.4134479999999996</v>
          </cell>
          <cell r="K158">
            <v>1.2039859217989739E-6</v>
          </cell>
          <cell r="L158">
            <v>1.4134479999999996</v>
          </cell>
          <cell r="M158">
            <v>1.2039859217989739E-6</v>
          </cell>
          <cell r="O158">
            <v>1850</v>
          </cell>
          <cell r="P158">
            <v>0.82720799999999994</v>
          </cell>
          <cell r="Q158">
            <v>5.9738083850856656E-7</v>
          </cell>
          <cell r="R158">
            <v>0.82720799999999994</v>
          </cell>
          <cell r="S158">
            <v>5.9738083850856656E-7</v>
          </cell>
          <cell r="U158">
            <v>0</v>
          </cell>
          <cell r="V158">
            <v>0</v>
          </cell>
          <cell r="W158">
            <v>0</v>
          </cell>
          <cell r="X158">
            <v>0</v>
          </cell>
          <cell r="Y158">
            <v>0</v>
          </cell>
          <cell r="AA158">
            <v>1962</v>
          </cell>
          <cell r="AB158">
            <v>235.08068869999997</v>
          </cell>
          <cell r="AC158">
            <v>1.2413585336030697</v>
          </cell>
          <cell r="AD158">
            <v>235.08068869999997</v>
          </cell>
          <cell r="AE158">
            <v>5.0726406014727768E-3</v>
          </cell>
          <cell r="AG158" t="e">
            <v>#N/A</v>
          </cell>
          <cell r="AH158" t="e">
            <v>#N/A</v>
          </cell>
          <cell r="AJ158" t="e">
            <v>#N/A</v>
          </cell>
          <cell r="AK158" t="e">
            <v>#N/A</v>
          </cell>
        </row>
        <row r="159">
          <cell r="B159" t="str">
            <v>Morocco</v>
          </cell>
          <cell r="C159" t="str">
            <v>MAR</v>
          </cell>
          <cell r="D159" t="str">
            <v>MAR</v>
          </cell>
          <cell r="E159" t="str">
            <v/>
          </cell>
          <cell r="F159" t="str">
            <v>Morocco</v>
          </cell>
          <cell r="G159" t="str">
            <v/>
          </cell>
          <cell r="I159">
            <v>1928</v>
          </cell>
          <cell r="J159">
            <v>1629.6358049999994</v>
          </cell>
          <cell r="K159">
            <v>1.3881363636154551E-3</v>
          </cell>
          <cell r="L159">
            <v>1629.6358049999994</v>
          </cell>
          <cell r="M159">
            <v>1.3881363636154551E-3</v>
          </cell>
          <cell r="O159">
            <v>1850</v>
          </cell>
          <cell r="P159">
            <v>2030.8804539999999</v>
          </cell>
          <cell r="Q159">
            <v>1.466631208258598E-3</v>
          </cell>
          <cell r="R159">
            <v>2030.8804539999999</v>
          </cell>
          <cell r="S159">
            <v>1.466631208258598E-3</v>
          </cell>
          <cell r="U159">
            <v>1850</v>
          </cell>
          <cell r="V159">
            <v>3174.7981460000001</v>
          </cell>
          <cell r="W159">
            <v>1.7060585153542758E-3</v>
          </cell>
          <cell r="X159">
            <v>3174.7981460000001</v>
          </cell>
          <cell r="Y159">
            <v>1.7060585153542758E-3</v>
          </cell>
          <cell r="AA159">
            <v>1928</v>
          </cell>
          <cell r="AB159">
            <v>54.480117670000013</v>
          </cell>
          <cell r="AC159">
            <v>0.28768572763396838</v>
          </cell>
          <cell r="AD159">
            <v>54.480117670000013</v>
          </cell>
          <cell r="AE159">
            <v>1.1755880859211408E-3</v>
          </cell>
          <cell r="AG159">
            <v>3620</v>
          </cell>
          <cell r="AH159">
            <v>8730</v>
          </cell>
          <cell r="AJ159">
            <v>136408.10561502018</v>
          </cell>
          <cell r="AK159">
            <v>328707.00170230988</v>
          </cell>
        </row>
        <row r="160">
          <cell r="B160" t="str">
            <v>Mozambique</v>
          </cell>
          <cell r="C160" t="str">
            <v>MOZ</v>
          </cell>
          <cell r="D160" t="str">
            <v>MOZ</v>
          </cell>
          <cell r="E160" t="str">
            <v/>
          </cell>
          <cell r="F160" t="str">
            <v>Mozambique</v>
          </cell>
          <cell r="G160" t="str">
            <v/>
          </cell>
          <cell r="I160">
            <v>1927</v>
          </cell>
          <cell r="J160">
            <v>118.72690556000001</v>
          </cell>
          <cell r="K160">
            <v>1.0113249502846682E-4</v>
          </cell>
          <cell r="L160">
            <v>118.72690556000001</v>
          </cell>
          <cell r="M160">
            <v>1.0113249502846682E-4</v>
          </cell>
          <cell r="O160">
            <v>1850</v>
          </cell>
          <cell r="P160">
            <v>1631.2627479999999</v>
          </cell>
          <cell r="Q160">
            <v>1.178041203939068E-3</v>
          </cell>
          <cell r="R160">
            <v>1631.2627479999999</v>
          </cell>
          <cell r="S160">
            <v>1.178041203939068E-3</v>
          </cell>
          <cell r="U160">
            <v>1850</v>
          </cell>
          <cell r="V160">
            <v>2783.671382</v>
          </cell>
          <cell r="W160">
            <v>1.4958766027983895E-3</v>
          </cell>
          <cell r="X160">
            <v>2783.671382</v>
          </cell>
          <cell r="Y160">
            <v>1.4958766027983895E-3</v>
          </cell>
          <cell r="AA160">
            <v>1927</v>
          </cell>
          <cell r="AB160">
            <v>5.7670458950000008</v>
          </cell>
          <cell r="AC160">
            <v>3.0453252774730384E-2</v>
          </cell>
          <cell r="AD160">
            <v>5.7670458950000008</v>
          </cell>
          <cell r="AE160">
            <v>1.2444302132731466E-4</v>
          </cell>
          <cell r="AG160">
            <v>480</v>
          </cell>
          <cell r="AH160">
            <v>1320</v>
          </cell>
          <cell r="AJ160">
            <v>15350.288816303359</v>
          </cell>
          <cell r="AK160">
            <v>42330.443585644338</v>
          </cell>
        </row>
        <row r="161">
          <cell r="B161" t="str">
            <v>Myanmar</v>
          </cell>
          <cell r="C161" t="str">
            <v>MMR</v>
          </cell>
          <cell r="D161" t="str">
            <v>MMR</v>
          </cell>
          <cell r="E161" t="str">
            <v/>
          </cell>
          <cell r="F161" t="str">
            <v>Myanmar</v>
          </cell>
          <cell r="G161" t="str">
            <v/>
          </cell>
          <cell r="I161">
            <v>1928</v>
          </cell>
          <cell r="J161">
            <v>508.92454949999996</v>
          </cell>
          <cell r="K161">
            <v>4.3350586145078212E-4</v>
          </cell>
          <cell r="L161">
            <v>508.92454949999996</v>
          </cell>
          <cell r="M161">
            <v>4.3350586145078212E-4</v>
          </cell>
          <cell r="O161">
            <v>1850</v>
          </cell>
          <cell r="P161">
            <v>4294.9723619999995</v>
          </cell>
          <cell r="Q161">
            <v>3.1016796150214682E-3</v>
          </cell>
          <cell r="R161">
            <v>4294.9723619999995</v>
          </cell>
          <cell r="S161">
            <v>3.1016796150214682E-3</v>
          </cell>
          <cell r="U161">
            <v>1850</v>
          </cell>
          <cell r="V161">
            <v>8711.9059300000008</v>
          </cell>
          <cell r="W161">
            <v>4.681564185605995E-3</v>
          </cell>
          <cell r="X161">
            <v>8711.9059300000008</v>
          </cell>
          <cell r="Y161">
            <v>4.681564185605995E-3</v>
          </cell>
          <cell r="AA161">
            <v>1928</v>
          </cell>
          <cell r="AB161">
            <v>10.750291880999997</v>
          </cell>
          <cell r="AC161">
            <v>5.6767600261004102E-2</v>
          </cell>
          <cell r="AD161">
            <v>10.750291880999997</v>
          </cell>
          <cell r="AE161">
            <v>2.3197297649078967E-4</v>
          </cell>
          <cell r="AG161">
            <v>1170</v>
          </cell>
          <cell r="AH161">
            <v>4310</v>
          </cell>
          <cell r="AJ161">
            <v>62771.310677164067</v>
          </cell>
          <cell r="AK161">
            <v>232005.89493193629</v>
          </cell>
        </row>
        <row r="162">
          <cell r="B162" t="str">
            <v>Namibia</v>
          </cell>
          <cell r="C162" t="str">
            <v>NAM</v>
          </cell>
          <cell r="D162" t="str">
            <v>NAM</v>
          </cell>
          <cell r="E162" t="str">
            <v/>
          </cell>
          <cell r="F162" t="str">
            <v>Namibia</v>
          </cell>
          <cell r="G162" t="str">
            <v/>
          </cell>
          <cell r="I162">
            <v>1991</v>
          </cell>
          <cell r="J162">
            <v>78.960965899999991</v>
          </cell>
          <cell r="K162">
            <v>6.7259560532293271E-5</v>
          </cell>
          <cell r="L162">
            <v>78.960965899999991</v>
          </cell>
          <cell r="M162">
            <v>6.7259560532293271E-5</v>
          </cell>
          <cell r="O162">
            <v>1850</v>
          </cell>
          <cell r="P162">
            <v>189.39392600000002</v>
          </cell>
          <cell r="Q162">
            <v>1.3677370422228682E-4</v>
          </cell>
          <cell r="R162">
            <v>189.39392600000002</v>
          </cell>
          <cell r="S162">
            <v>1.3677370422228682E-4</v>
          </cell>
          <cell r="U162">
            <v>1850</v>
          </cell>
          <cell r="V162">
            <v>612.0532280000001</v>
          </cell>
          <cell r="W162">
            <v>3.2890236590161858E-4</v>
          </cell>
          <cell r="X162">
            <v>612.0532280000001</v>
          </cell>
          <cell r="Y162">
            <v>3.2890236590161858E-4</v>
          </cell>
          <cell r="AA162">
            <v>1991</v>
          </cell>
          <cell r="AB162">
            <v>38.396845689999992</v>
          </cell>
          <cell r="AC162">
            <v>0.20275698665128908</v>
          </cell>
          <cell r="AD162">
            <v>38.396845689999992</v>
          </cell>
          <cell r="AE162">
            <v>8.2853848817901216E-4</v>
          </cell>
          <cell r="AG162">
            <v>4650</v>
          </cell>
          <cell r="AH162">
            <v>9850</v>
          </cell>
          <cell r="AJ162">
            <v>11772.429011882094</v>
          </cell>
          <cell r="AK162">
            <v>24911.848755956988</v>
          </cell>
        </row>
        <row r="163">
          <cell r="B163" t="str">
            <v>Nauru</v>
          </cell>
          <cell r="C163" t="str">
            <v>NRU</v>
          </cell>
          <cell r="D163" t="str">
            <v>NRU</v>
          </cell>
          <cell r="E163" t="str">
            <v/>
          </cell>
          <cell r="F163" t="str">
            <v>Nauru</v>
          </cell>
          <cell r="G163" t="str">
            <v/>
          </cell>
          <cell r="I163">
            <v>1964</v>
          </cell>
          <cell r="J163">
            <v>3.8145929999999981</v>
          </cell>
          <cell r="K163">
            <v>3.2492997757207286E-6</v>
          </cell>
          <cell r="L163">
            <v>3.8145929999999981</v>
          </cell>
          <cell r="M163">
            <v>3.2492997757207286E-6</v>
          </cell>
          <cell r="O163">
            <v>1964</v>
          </cell>
          <cell r="P163">
            <v>0</v>
          </cell>
          <cell r="Q163">
            <v>0</v>
          </cell>
          <cell r="R163">
            <v>0</v>
          </cell>
          <cell r="S163">
            <v>0</v>
          </cell>
          <cell r="U163">
            <v>1850</v>
          </cell>
          <cell r="V163">
            <v>3.9740761769999993</v>
          </cell>
          <cell r="W163">
            <v>2.1355708900673569E-6</v>
          </cell>
          <cell r="X163">
            <v>3.9740761769999993</v>
          </cell>
          <cell r="Y163">
            <v>2.1355708900673569E-6</v>
          </cell>
          <cell r="AA163">
            <v>1964</v>
          </cell>
          <cell r="AB163">
            <v>401.24908040000008</v>
          </cell>
          <cell r="AC163">
            <v>2.1188212983779828</v>
          </cell>
          <cell r="AD163">
            <v>401.24908040000008</v>
          </cell>
          <cell r="AE163">
            <v>8.6582712846231986E-3</v>
          </cell>
          <cell r="AG163">
            <v>16920</v>
          </cell>
          <cell r="AH163">
            <v>21820</v>
          </cell>
          <cell r="AJ163">
            <v>211.71874916184458</v>
          </cell>
          <cell r="AK163">
            <v>273.04142350816761</v>
          </cell>
        </row>
        <row r="164">
          <cell r="B164" t="str">
            <v>Nepal</v>
          </cell>
          <cell r="C164" t="str">
            <v>NPL</v>
          </cell>
          <cell r="D164" t="str">
            <v>NPL</v>
          </cell>
          <cell r="E164" t="str">
            <v/>
          </cell>
          <cell r="F164" t="str">
            <v>Nepal</v>
          </cell>
          <cell r="G164" t="str">
            <v/>
          </cell>
          <cell r="I164">
            <v>1950</v>
          </cell>
          <cell r="J164">
            <v>169.73456203000001</v>
          </cell>
          <cell r="K164">
            <v>1.4458121071792858E-4</v>
          </cell>
          <cell r="L164">
            <v>169.73456203000001</v>
          </cell>
          <cell r="M164">
            <v>1.4458121071792858E-4</v>
          </cell>
          <cell r="O164">
            <v>1850</v>
          </cell>
          <cell r="P164">
            <v>883.04208400000016</v>
          </cell>
          <cell r="Q164">
            <v>6.3770227147014083E-4</v>
          </cell>
          <cell r="R164">
            <v>883.04208400000016</v>
          </cell>
          <cell r="S164">
            <v>6.3770227147014083E-4</v>
          </cell>
          <cell r="U164">
            <v>1850</v>
          </cell>
          <cell r="V164">
            <v>1869.562782</v>
          </cell>
          <cell r="W164">
            <v>1.004657101818948E-3</v>
          </cell>
          <cell r="X164">
            <v>1869.562782</v>
          </cell>
          <cell r="Y164">
            <v>1.004657101818948E-3</v>
          </cell>
          <cell r="AA164">
            <v>1950</v>
          </cell>
          <cell r="AB164">
            <v>6.414977457</v>
          </cell>
          <cell r="AC164">
            <v>3.3874696612279709E-2</v>
          </cell>
          <cell r="AD164">
            <v>6.414977457</v>
          </cell>
          <cell r="AE164">
            <v>1.384242801306324E-4</v>
          </cell>
          <cell r="AG164">
            <v>1220</v>
          </cell>
          <cell r="AH164">
            <v>4230</v>
          </cell>
          <cell r="AJ164">
            <v>36590.881233359825</v>
          </cell>
          <cell r="AK164">
            <v>127128.41374895065</v>
          </cell>
        </row>
        <row r="165">
          <cell r="B165" t="str">
            <v>Netherlands</v>
          </cell>
          <cell r="C165" t="str">
            <v>NLD</v>
          </cell>
          <cell r="D165" t="str">
            <v>NLD</v>
          </cell>
          <cell r="E165" t="str">
            <v/>
          </cell>
          <cell r="F165" t="str">
            <v>Netherlands (Kingdom of the)</v>
          </cell>
          <cell r="G165" t="str">
            <v>diff</v>
          </cell>
          <cell r="I165">
            <v>1846</v>
          </cell>
          <cell r="J165">
            <v>7075.9713299999994</v>
          </cell>
          <cell r="K165">
            <v>6.027367023316855E-3</v>
          </cell>
          <cell r="L165">
            <v>7075.9713299999994</v>
          </cell>
          <cell r="M165">
            <v>6.027367023316855E-3</v>
          </cell>
          <cell r="O165">
            <v>1850</v>
          </cell>
          <cell r="P165">
            <v>7148.811670000001</v>
          </cell>
          <cell r="Q165">
            <v>5.1626230763779203E-3</v>
          </cell>
          <cell r="R165">
            <v>7148.811670000001</v>
          </cell>
          <cell r="S165">
            <v>5.1626230763779203E-3</v>
          </cell>
          <cell r="U165">
            <v>1850</v>
          </cell>
          <cell r="V165">
            <v>9289.6114400000042</v>
          </cell>
          <cell r="W165">
            <v>4.9920089318158823E-3</v>
          </cell>
          <cell r="X165">
            <v>9289.6114400000042</v>
          </cell>
          <cell r="Y165">
            <v>4.9920089318158823E-3</v>
          </cell>
          <cell r="AA165">
            <v>1846</v>
          </cell>
          <cell r="AB165">
            <v>449.15181550000011</v>
          </cell>
          <cell r="AC165">
            <v>2.3717747388675092</v>
          </cell>
          <cell r="AD165">
            <v>449.15181550000011</v>
          </cell>
          <cell r="AE165">
            <v>9.6919306648709444E-3</v>
          </cell>
          <cell r="AG165">
            <v>55200</v>
          </cell>
          <cell r="AH165">
            <v>63360</v>
          </cell>
          <cell r="AJ165">
            <v>967837.41910759849</v>
          </cell>
          <cell r="AK165">
            <v>1110806.3959253123</v>
          </cell>
        </row>
        <row r="166">
          <cell r="B166" t="str">
            <v>New Caledonia</v>
          </cell>
          <cell r="C166" t="str">
            <v>NCL</v>
          </cell>
          <cell r="D166" t="str">
            <v>NCL</v>
          </cell>
          <cell r="E166" t="str">
            <v/>
          </cell>
          <cell r="F166" t="str">
            <v>New Caledonia</v>
          </cell>
          <cell r="G166" t="str">
            <v/>
          </cell>
          <cell r="I166">
            <v>1950</v>
          </cell>
          <cell r="J166">
            <v>116.88456509999997</v>
          </cell>
          <cell r="K166">
            <v>9.9563175197103592E-5</v>
          </cell>
          <cell r="L166">
            <v>116.88456509999997</v>
          </cell>
          <cell r="M166">
            <v>9.9563175197103592E-5</v>
          </cell>
          <cell r="O166">
            <v>1850</v>
          </cell>
          <cell r="P166">
            <v>121.20808500000001</v>
          </cell>
          <cell r="Q166">
            <v>8.7532262080779714E-5</v>
          </cell>
          <cell r="R166">
            <v>121.20808500000001</v>
          </cell>
          <cell r="S166">
            <v>8.7532262080779714E-5</v>
          </cell>
          <cell r="U166">
            <v>0</v>
          </cell>
          <cell r="V166">
            <v>0</v>
          </cell>
          <cell r="W166">
            <v>0</v>
          </cell>
          <cell r="X166">
            <v>0</v>
          </cell>
          <cell r="Y166">
            <v>0</v>
          </cell>
          <cell r="AA166">
            <v>1950</v>
          </cell>
          <cell r="AB166">
            <v>504.83297299999998</v>
          </cell>
          <cell r="AC166">
            <v>2.6658026337395113</v>
          </cell>
          <cell r="AD166">
            <v>504.83297299999998</v>
          </cell>
          <cell r="AE166">
            <v>1.0893435143326642E-2</v>
          </cell>
          <cell r="AG166">
            <v>13210</v>
          </cell>
          <cell r="AH166" t="str">
            <v/>
          </cell>
          <cell r="AJ166">
            <v>2817.7602641817275</v>
          </cell>
          <cell r="AK166" t="e">
            <v>#VALUE!</v>
          </cell>
        </row>
        <row r="167">
          <cell r="B167" t="str">
            <v>New Zealand</v>
          </cell>
          <cell r="C167" t="str">
            <v>NZL</v>
          </cell>
          <cell r="D167" t="str">
            <v>NZL</v>
          </cell>
          <cell r="E167" t="str">
            <v/>
          </cell>
          <cell r="F167" t="str">
            <v>New Zealand</v>
          </cell>
          <cell r="G167" t="str">
            <v/>
          </cell>
          <cell r="I167">
            <v>1878</v>
          </cell>
          <cell r="J167">
            <v>1290.4031270000003</v>
          </cell>
          <cell r="K167">
            <v>1.0991753487594692E-3</v>
          </cell>
          <cell r="L167">
            <v>1290.4031270000003</v>
          </cell>
          <cell r="M167">
            <v>1.0991753487594692E-3</v>
          </cell>
          <cell r="O167">
            <v>1850</v>
          </cell>
          <cell r="P167">
            <v>1279.0080859999998</v>
          </cell>
          <cell r="Q167">
            <v>9.2365514220597085E-4</v>
          </cell>
          <cell r="R167">
            <v>1279.0080859999998</v>
          </cell>
          <cell r="S167">
            <v>9.2365514220597085E-4</v>
          </cell>
          <cell r="U167">
            <v>1850</v>
          </cell>
          <cell r="V167">
            <v>3021.5712799999997</v>
          </cell>
          <cell r="W167">
            <v>1.6237181625196522E-3</v>
          </cell>
          <cell r="X167">
            <v>3021.5712799999997</v>
          </cell>
          <cell r="Y167">
            <v>1.6237181625196522E-3</v>
          </cell>
          <cell r="AA167">
            <v>1878</v>
          </cell>
          <cell r="AB167">
            <v>325.76865550000008</v>
          </cell>
          <cell r="AC167">
            <v>1.7202421122791434</v>
          </cell>
          <cell r="AD167">
            <v>325.76865550000008</v>
          </cell>
          <cell r="AE167">
            <v>7.0295323606328133E-3</v>
          </cell>
          <cell r="AG167">
            <v>45230</v>
          </cell>
          <cell r="AH167">
            <v>46290</v>
          </cell>
          <cell r="AJ167">
            <v>231716.71509942977</v>
          </cell>
          <cell r="AK167">
            <v>237127.46926230032</v>
          </cell>
        </row>
        <row r="168">
          <cell r="B168" t="str">
            <v>Nicaragua</v>
          </cell>
          <cell r="C168" t="str">
            <v>NIC</v>
          </cell>
          <cell r="D168" t="str">
            <v>NIC</v>
          </cell>
          <cell r="E168" t="str">
            <v/>
          </cell>
          <cell r="F168" t="str">
            <v>Nicaragua</v>
          </cell>
          <cell r="G168" t="str">
            <v/>
          </cell>
          <cell r="I168">
            <v>1943</v>
          </cell>
          <cell r="J168">
            <v>151.01262389999999</v>
          </cell>
          <cell r="K168">
            <v>1.2863371923800754E-4</v>
          </cell>
          <cell r="L168">
            <v>151.01262389999999</v>
          </cell>
          <cell r="M168">
            <v>1.2863371923800754E-4</v>
          </cell>
          <cell r="O168">
            <v>1850</v>
          </cell>
          <cell r="P168">
            <v>1517.4281369999997</v>
          </cell>
          <cell r="Q168">
            <v>1.0958338082532469E-3</v>
          </cell>
          <cell r="R168">
            <v>1517.4281369999997</v>
          </cell>
          <cell r="S168">
            <v>1.0958338082532469E-3</v>
          </cell>
          <cell r="U168">
            <v>1850</v>
          </cell>
          <cell r="V168">
            <v>1969.6219579999999</v>
          </cell>
          <cell r="W168">
            <v>1.0584264444365912E-3</v>
          </cell>
          <cell r="X168">
            <v>1969.6219579999999</v>
          </cell>
          <cell r="Y168">
            <v>1.0584264444365912E-3</v>
          </cell>
          <cell r="AA168">
            <v>1943</v>
          </cell>
          <cell r="AB168">
            <v>28.989648639999999</v>
          </cell>
          <cell r="AC168">
            <v>0.1530816840992972</v>
          </cell>
          <cell r="AD168">
            <v>28.989648639999999</v>
          </cell>
          <cell r="AE168">
            <v>6.2554720903237719E-4</v>
          </cell>
          <cell r="AG168">
            <v>1950</v>
          </cell>
          <cell r="AH168">
            <v>5800</v>
          </cell>
          <cell r="AJ168">
            <v>13360.115681005314</v>
          </cell>
          <cell r="AK168">
            <v>39715.419042356436</v>
          </cell>
        </row>
        <row r="169">
          <cell r="B169" t="str">
            <v>Niger</v>
          </cell>
          <cell r="C169" t="str">
            <v>NER</v>
          </cell>
          <cell r="D169" t="str">
            <v>NER</v>
          </cell>
          <cell r="E169" t="str">
            <v/>
          </cell>
          <cell r="F169" t="str">
            <v>Niger</v>
          </cell>
          <cell r="G169" t="str">
            <v/>
          </cell>
          <cell r="I169">
            <v>1958</v>
          </cell>
          <cell r="J169">
            <v>47.65972106000001</v>
          </cell>
          <cell r="K169">
            <v>4.0596918452681736E-5</v>
          </cell>
          <cell r="L169">
            <v>47.65972106000001</v>
          </cell>
          <cell r="M169">
            <v>4.0596918452681736E-5</v>
          </cell>
          <cell r="O169">
            <v>1850</v>
          </cell>
          <cell r="P169">
            <v>1055.8459610599998</v>
          </cell>
          <cell r="Q169">
            <v>7.6249521952629338E-4</v>
          </cell>
          <cell r="R169">
            <v>1055.8459610599998</v>
          </cell>
          <cell r="S169">
            <v>7.6249521952629338E-4</v>
          </cell>
          <cell r="U169">
            <v>1850</v>
          </cell>
          <cell r="V169">
            <v>1487.4119500000002</v>
          </cell>
          <cell r="W169">
            <v>7.9929863457127285E-4</v>
          </cell>
          <cell r="X169">
            <v>1487.4119500000002</v>
          </cell>
          <cell r="Y169">
            <v>7.9929863457127285E-4</v>
          </cell>
          <cell r="AA169">
            <v>1958</v>
          </cell>
          <cell r="AB169">
            <v>3.686517941</v>
          </cell>
          <cell r="AC169">
            <v>1.9466892540804304E-2</v>
          </cell>
          <cell r="AD169">
            <v>3.686517941</v>
          </cell>
          <cell r="AE169">
            <v>7.9548774035790993E-5</v>
          </cell>
          <cell r="AG169">
            <v>590</v>
          </cell>
          <cell r="AH169">
            <v>1330</v>
          </cell>
          <cell r="AJ169">
            <v>14825.070479575703</v>
          </cell>
          <cell r="AK169">
            <v>33521.833447971301</v>
          </cell>
        </row>
        <row r="170">
          <cell r="B170" t="str">
            <v>Nigeria</v>
          </cell>
          <cell r="C170" t="str">
            <v>NGA</v>
          </cell>
          <cell r="D170" t="str">
            <v>NGA</v>
          </cell>
          <cell r="E170" t="str">
            <v/>
          </cell>
          <cell r="F170" t="str">
            <v>Nigeria</v>
          </cell>
          <cell r="G170" t="str">
            <v/>
          </cell>
          <cell r="I170">
            <v>1915</v>
          </cell>
          <cell r="J170">
            <v>3463.2716720000003</v>
          </cell>
          <cell r="K170">
            <v>2.9500415554397437E-3</v>
          </cell>
          <cell r="L170">
            <v>3463.2716720000003</v>
          </cell>
          <cell r="M170">
            <v>2.9500415554397437E-3</v>
          </cell>
          <cell r="O170">
            <v>1850</v>
          </cell>
          <cell r="P170">
            <v>7027.6841840000016</v>
          </cell>
          <cell r="Q170">
            <v>5.075149020090851E-3</v>
          </cell>
          <cell r="R170">
            <v>7027.6841840000016</v>
          </cell>
          <cell r="S170">
            <v>5.075149020090851E-3</v>
          </cell>
          <cell r="U170">
            <v>1850</v>
          </cell>
          <cell r="V170">
            <v>18315.151680000003</v>
          </cell>
          <cell r="W170">
            <v>9.8421124892735697E-3</v>
          </cell>
          <cell r="X170">
            <v>18315.151680000003</v>
          </cell>
          <cell r="Y170">
            <v>9.8421124892735697E-3</v>
          </cell>
          <cell r="AA170">
            <v>1915</v>
          </cell>
          <cell r="AB170">
            <v>26.951832770000003</v>
          </cell>
          <cell r="AC170">
            <v>0.14232086774247385</v>
          </cell>
          <cell r="AD170">
            <v>26.951832770000003</v>
          </cell>
          <cell r="AE170">
            <v>5.8157461571706941E-4</v>
          </cell>
          <cell r="AG170">
            <v>2080</v>
          </cell>
          <cell r="AH170">
            <v>5200</v>
          </cell>
          <cell r="AJ170">
            <v>444027.94183096348</v>
          </cell>
          <cell r="AK170">
            <v>1109692.7835973359</v>
          </cell>
        </row>
        <row r="171">
          <cell r="B171" t="str">
            <v>Niue</v>
          </cell>
          <cell r="C171" t="str">
            <v>NIU</v>
          </cell>
          <cell r="D171" t="str">
            <v>NIU</v>
          </cell>
          <cell r="E171" t="str">
            <v/>
          </cell>
          <cell r="F171" t="str">
            <v>Niue</v>
          </cell>
          <cell r="G171" t="str">
            <v/>
          </cell>
          <cell r="I171">
            <v>1970</v>
          </cell>
          <cell r="J171">
            <v>0.269011</v>
          </cell>
          <cell r="K171">
            <v>2.2914564724635349E-7</v>
          </cell>
          <cell r="L171">
            <v>0.269011</v>
          </cell>
          <cell r="M171">
            <v>2.2914564724635349E-7</v>
          </cell>
          <cell r="O171">
            <v>1970</v>
          </cell>
          <cell r="P171">
            <v>0</v>
          </cell>
          <cell r="Q171">
            <v>0</v>
          </cell>
          <cell r="R171">
            <v>0</v>
          </cell>
          <cell r="S171">
            <v>0</v>
          </cell>
          <cell r="U171">
            <v>1850</v>
          </cell>
          <cell r="V171">
            <v>0.42877650599999995</v>
          </cell>
          <cell r="W171">
            <v>2.3041395881083322E-7</v>
          </cell>
          <cell r="X171">
            <v>0.42877650599999995</v>
          </cell>
          <cell r="Y171">
            <v>2.3041395881083322E-7</v>
          </cell>
          <cell r="AA171">
            <v>1970</v>
          </cell>
          <cell r="AB171">
            <v>125.58539400000001</v>
          </cell>
          <cell r="AC171">
            <v>0.66316166334169746</v>
          </cell>
          <cell r="AD171">
            <v>125.58539400000001</v>
          </cell>
          <cell r="AE171">
            <v>2.7099187605721686E-3</v>
          </cell>
          <cell r="AG171" t="e">
            <v>#N/A</v>
          </cell>
          <cell r="AH171" t="e">
            <v>#N/A</v>
          </cell>
          <cell r="AJ171" t="e">
            <v>#N/A</v>
          </cell>
          <cell r="AK171" t="e">
            <v>#N/A</v>
          </cell>
        </row>
        <row r="172">
          <cell r="B172" t="str">
            <v>Non-OECD (GCP)</v>
          </cell>
          <cell r="D172" t="str">
            <v/>
          </cell>
          <cell r="E172" t="str">
            <v/>
          </cell>
          <cell r="F172" t="str">
            <v/>
          </cell>
          <cell r="G172" t="str">
            <v/>
          </cell>
          <cell r="I172" t="str">
            <v/>
          </cell>
          <cell r="J172" t="str">
            <v/>
          </cell>
          <cell r="K172" t="str">
            <v/>
          </cell>
          <cell r="L172" t="str">
            <v/>
          </cell>
          <cell r="M172" t="str">
            <v/>
          </cell>
          <cell r="O172" t="str">
            <v/>
          </cell>
          <cell r="P172" t="str">
            <v/>
          </cell>
          <cell r="Q172" t="str">
            <v/>
          </cell>
          <cell r="R172" t="str">
            <v/>
          </cell>
          <cell r="S172" t="str">
            <v/>
          </cell>
          <cell r="U172" t="str">
            <v/>
          </cell>
          <cell r="V172" t="str">
            <v/>
          </cell>
          <cell r="W172" t="str">
            <v/>
          </cell>
          <cell r="X172" t="str">
            <v/>
          </cell>
          <cell r="Y172" t="str">
            <v/>
          </cell>
          <cell r="AA172" t="str">
            <v/>
          </cell>
          <cell r="AB172" t="str">
            <v/>
          </cell>
          <cell r="AC172" t="str">
            <v/>
          </cell>
          <cell r="AD172" t="str">
            <v/>
          </cell>
          <cell r="AE172" t="str">
            <v/>
          </cell>
          <cell r="AG172" t="e">
            <v>#N/A</v>
          </cell>
          <cell r="AH172" t="e">
            <v>#N/A</v>
          </cell>
          <cell r="AJ172" t="e">
            <v>#N/A</v>
          </cell>
          <cell r="AK172" t="e">
            <v>#N/A</v>
          </cell>
        </row>
        <row r="173">
          <cell r="B173" t="str">
            <v>North America</v>
          </cell>
          <cell r="D173" t="str">
            <v/>
          </cell>
          <cell r="E173" t="str">
            <v/>
          </cell>
          <cell r="F173" t="str">
            <v/>
          </cell>
          <cell r="G173" t="str">
            <v/>
          </cell>
          <cell r="I173" t="str">
            <v/>
          </cell>
          <cell r="J173" t="str">
            <v/>
          </cell>
          <cell r="K173" t="str">
            <v/>
          </cell>
          <cell r="L173" t="str">
            <v/>
          </cell>
          <cell r="M173" t="str">
            <v/>
          </cell>
          <cell r="O173" t="str">
            <v/>
          </cell>
          <cell r="P173" t="str">
            <v/>
          </cell>
          <cell r="Q173" t="str">
            <v/>
          </cell>
          <cell r="R173" t="str">
            <v/>
          </cell>
          <cell r="S173" t="str">
            <v/>
          </cell>
          <cell r="U173" t="str">
            <v/>
          </cell>
          <cell r="V173" t="str">
            <v/>
          </cell>
          <cell r="W173" t="str">
            <v/>
          </cell>
          <cell r="X173" t="str">
            <v/>
          </cell>
          <cell r="Y173" t="str">
            <v/>
          </cell>
          <cell r="AA173" t="str">
            <v/>
          </cell>
          <cell r="AB173" t="str">
            <v/>
          </cell>
          <cell r="AC173" t="str">
            <v/>
          </cell>
          <cell r="AD173" t="str">
            <v/>
          </cell>
          <cell r="AE173" t="str">
            <v/>
          </cell>
          <cell r="AG173" t="e">
            <v>#N/A</v>
          </cell>
          <cell r="AH173" t="e">
            <v>#N/A</v>
          </cell>
          <cell r="AJ173" t="e">
            <v>#N/A</v>
          </cell>
          <cell r="AK173" t="e">
            <v>#N/A</v>
          </cell>
        </row>
        <row r="174">
          <cell r="B174" t="str">
            <v>North America (GCP)</v>
          </cell>
          <cell r="D174" t="str">
            <v/>
          </cell>
          <cell r="E174" t="str">
            <v/>
          </cell>
          <cell r="F174" t="str">
            <v/>
          </cell>
          <cell r="G174" t="str">
            <v/>
          </cell>
          <cell r="I174" t="str">
            <v/>
          </cell>
          <cell r="J174" t="str">
            <v/>
          </cell>
          <cell r="K174" t="str">
            <v/>
          </cell>
          <cell r="L174" t="str">
            <v/>
          </cell>
          <cell r="M174" t="str">
            <v/>
          </cell>
          <cell r="O174" t="str">
            <v/>
          </cell>
          <cell r="P174" t="str">
            <v/>
          </cell>
          <cell r="Q174" t="str">
            <v/>
          </cell>
          <cell r="R174" t="str">
            <v/>
          </cell>
          <cell r="S174" t="str">
            <v/>
          </cell>
          <cell r="U174" t="str">
            <v/>
          </cell>
          <cell r="V174" t="str">
            <v/>
          </cell>
          <cell r="W174" t="str">
            <v/>
          </cell>
          <cell r="X174" t="str">
            <v/>
          </cell>
          <cell r="Y174" t="str">
            <v/>
          </cell>
          <cell r="AA174" t="str">
            <v/>
          </cell>
          <cell r="AB174" t="str">
            <v/>
          </cell>
          <cell r="AC174" t="str">
            <v/>
          </cell>
          <cell r="AD174" t="str">
            <v/>
          </cell>
          <cell r="AE174" t="str">
            <v/>
          </cell>
          <cell r="AG174" t="e">
            <v>#N/A</v>
          </cell>
          <cell r="AH174" t="e">
            <v>#N/A</v>
          </cell>
          <cell r="AJ174" t="e">
            <v>#N/A</v>
          </cell>
          <cell r="AK174" t="e">
            <v>#N/A</v>
          </cell>
        </row>
        <row r="175">
          <cell r="B175" t="str">
            <v>North America (excl. USA)</v>
          </cell>
          <cell r="D175" t="str">
            <v/>
          </cell>
          <cell r="E175" t="str">
            <v/>
          </cell>
          <cell r="F175" t="str">
            <v/>
          </cell>
          <cell r="G175" t="str">
            <v/>
          </cell>
          <cell r="I175" t="str">
            <v/>
          </cell>
          <cell r="J175" t="str">
            <v/>
          </cell>
          <cell r="K175" t="str">
            <v/>
          </cell>
          <cell r="L175" t="str">
            <v/>
          </cell>
          <cell r="M175" t="str">
            <v/>
          </cell>
          <cell r="O175" t="str">
            <v/>
          </cell>
          <cell r="P175" t="str">
            <v/>
          </cell>
          <cell r="Q175" t="str">
            <v/>
          </cell>
          <cell r="R175" t="str">
            <v/>
          </cell>
          <cell r="S175" t="str">
            <v/>
          </cell>
          <cell r="U175" t="str">
            <v/>
          </cell>
          <cell r="V175" t="str">
            <v/>
          </cell>
          <cell r="W175" t="str">
            <v/>
          </cell>
          <cell r="X175" t="str">
            <v/>
          </cell>
          <cell r="Y175" t="str">
            <v/>
          </cell>
          <cell r="AA175" t="str">
            <v/>
          </cell>
          <cell r="AB175" t="str">
            <v/>
          </cell>
          <cell r="AC175" t="str">
            <v/>
          </cell>
          <cell r="AD175" t="str">
            <v/>
          </cell>
          <cell r="AE175" t="str">
            <v/>
          </cell>
          <cell r="AG175" t="e">
            <v>#N/A</v>
          </cell>
          <cell r="AH175" t="e">
            <v>#N/A</v>
          </cell>
          <cell r="AJ175" t="e">
            <v>#N/A</v>
          </cell>
          <cell r="AK175" t="e">
            <v>#N/A</v>
          </cell>
        </row>
        <row r="176">
          <cell r="B176" t="str">
            <v>North Korea</v>
          </cell>
          <cell r="C176" t="str">
            <v>PRK</v>
          </cell>
          <cell r="D176" t="str">
            <v>PRK</v>
          </cell>
          <cell r="E176" t="str">
            <v/>
          </cell>
          <cell r="F176" t="str">
            <v>Democratic People's Republic of Korea</v>
          </cell>
          <cell r="G176" t="str">
            <v>diff</v>
          </cell>
          <cell r="I176">
            <v>1905</v>
          </cell>
          <cell r="J176">
            <v>3617.1813860000002</v>
          </cell>
          <cell r="K176">
            <v>3.0811430383978055E-3</v>
          </cell>
          <cell r="L176">
            <v>3617.1813860000002</v>
          </cell>
          <cell r="M176">
            <v>3.0811430383978055E-3</v>
          </cell>
          <cell r="O176">
            <v>1850</v>
          </cell>
          <cell r="P176">
            <v>4037.6253900000002</v>
          </cell>
          <cell r="Q176">
            <v>2.9158325851075888E-3</v>
          </cell>
          <cell r="R176">
            <v>4037.6253900000002</v>
          </cell>
          <cell r="S176">
            <v>2.9158325851075888E-3</v>
          </cell>
          <cell r="U176">
            <v>1850</v>
          </cell>
          <cell r="V176">
            <v>5095.9403140000013</v>
          </cell>
          <cell r="W176">
            <v>2.7384331118469932E-3</v>
          </cell>
          <cell r="X176">
            <v>5095.9403140000013</v>
          </cell>
          <cell r="Y176">
            <v>2.7384331118469932E-3</v>
          </cell>
          <cell r="AA176">
            <v>1905</v>
          </cell>
          <cell r="AB176">
            <v>169.46977593999995</v>
          </cell>
          <cell r="AC176">
            <v>0.89489593430359538</v>
          </cell>
          <cell r="AD176">
            <v>169.46977593999995</v>
          </cell>
          <cell r="AE176">
            <v>3.6568689283227292E-3</v>
          </cell>
          <cell r="AG176" t="str">
            <v/>
          </cell>
          <cell r="AH176" t="str">
            <v/>
          </cell>
          <cell r="AJ176" t="e">
            <v>#VALUE!</v>
          </cell>
          <cell r="AK176" t="e">
            <v>#VALUE!</v>
          </cell>
        </row>
        <row r="177">
          <cell r="B177" t="str">
            <v>North Macedonia</v>
          </cell>
          <cell r="C177" t="str">
            <v>MKD</v>
          </cell>
          <cell r="D177" t="str">
            <v>MKD</v>
          </cell>
          <cell r="E177" t="str">
            <v/>
          </cell>
          <cell r="F177" t="str">
            <v>North Macedonia</v>
          </cell>
          <cell r="G177" t="str">
            <v/>
          </cell>
          <cell r="I177">
            <v>1885</v>
          </cell>
          <cell r="J177">
            <v>456.2738129999999</v>
          </cell>
          <cell r="K177">
            <v>3.8865755750302643E-4</v>
          </cell>
          <cell r="L177">
            <v>456.2738129999999</v>
          </cell>
          <cell r="M177">
            <v>3.8865755750302643E-4</v>
          </cell>
          <cell r="O177">
            <v>1850</v>
          </cell>
          <cell r="P177">
            <v>421.09941300000003</v>
          </cell>
          <cell r="Q177">
            <v>3.0410334575270697E-4</v>
          </cell>
          <cell r="R177">
            <v>421.09941300000003</v>
          </cell>
          <cell r="S177">
            <v>3.0410334575270697E-4</v>
          </cell>
          <cell r="U177">
            <v>1850</v>
          </cell>
          <cell r="V177">
            <v>540.21295850000001</v>
          </cell>
          <cell r="W177">
            <v>2.9029717026729393E-4</v>
          </cell>
          <cell r="X177">
            <v>540.21295850000001</v>
          </cell>
          <cell r="Y177">
            <v>2.9029717026729393E-4</v>
          </cell>
          <cell r="AA177">
            <v>1885</v>
          </cell>
          <cell r="AB177">
            <v>224.47546629999999</v>
          </cell>
          <cell r="AC177">
            <v>1.1853569819664789</v>
          </cell>
          <cell r="AD177">
            <v>224.47546629999999</v>
          </cell>
          <cell r="AE177">
            <v>4.843797977132241E-3</v>
          </cell>
          <cell r="AG177">
            <v>6190</v>
          </cell>
          <cell r="AH177">
            <v>17530</v>
          </cell>
          <cell r="AJ177">
            <v>12778.445478627553</v>
          </cell>
          <cell r="AK177">
            <v>36193.251219338112</v>
          </cell>
        </row>
        <row r="178">
          <cell r="B178" t="str">
            <v>Norway</v>
          </cell>
          <cell r="C178" t="str">
            <v>NOR</v>
          </cell>
          <cell r="D178" t="str">
            <v>NOR</v>
          </cell>
          <cell r="E178" t="str">
            <v/>
          </cell>
          <cell r="F178" t="str">
            <v>Norway</v>
          </cell>
          <cell r="G178" t="str">
            <v/>
          </cell>
          <cell r="I178">
            <v>1829</v>
          </cell>
          <cell r="J178">
            <v>1714.6522219999999</v>
          </cell>
          <cell r="K178">
            <v>1.4605540041581504E-3</v>
          </cell>
          <cell r="L178">
            <v>1714.6522219999999</v>
          </cell>
          <cell r="M178">
            <v>1.4605540041581504E-3</v>
          </cell>
          <cell r="O178">
            <v>1850</v>
          </cell>
          <cell r="P178">
            <v>1937.3135020000004</v>
          </cell>
          <cell r="Q178">
            <v>1.399060410777855E-3</v>
          </cell>
          <cell r="R178">
            <v>1937.3135020000004</v>
          </cell>
          <cell r="S178">
            <v>1.399060410777855E-3</v>
          </cell>
          <cell r="U178">
            <v>1850</v>
          </cell>
          <cell r="V178">
            <v>2926.7817060000002</v>
          </cell>
          <cell r="W178">
            <v>1.5727805745368527E-3</v>
          </cell>
          <cell r="X178">
            <v>2926.7817060000002</v>
          </cell>
          <cell r="Y178">
            <v>1.5727805745368527E-3</v>
          </cell>
          <cell r="AA178">
            <v>1829</v>
          </cell>
          <cell r="AB178">
            <v>372.85041450000006</v>
          </cell>
          <cell r="AC178">
            <v>1.9688603362383159</v>
          </cell>
          <cell r="AD178">
            <v>372.85041450000006</v>
          </cell>
          <cell r="AE178">
            <v>8.045476475876322E-3</v>
          </cell>
          <cell r="AG178">
            <v>83880</v>
          </cell>
          <cell r="AH178">
            <v>84260</v>
          </cell>
          <cell r="AJ178">
            <v>453625.12199013366</v>
          </cell>
          <cell r="AK178">
            <v>455697.48270555143</v>
          </cell>
        </row>
        <row r="179">
          <cell r="B179" t="str">
            <v>OECD (GCP)</v>
          </cell>
          <cell r="D179" t="str">
            <v/>
          </cell>
          <cell r="E179" t="str">
            <v/>
          </cell>
          <cell r="F179" t="str">
            <v/>
          </cell>
          <cell r="G179" t="str">
            <v/>
          </cell>
          <cell r="I179" t="str">
            <v/>
          </cell>
          <cell r="J179" t="str">
            <v/>
          </cell>
          <cell r="K179" t="str">
            <v/>
          </cell>
          <cell r="L179" t="str">
            <v/>
          </cell>
          <cell r="M179" t="str">
            <v/>
          </cell>
          <cell r="O179" t="str">
            <v/>
          </cell>
          <cell r="P179" t="str">
            <v/>
          </cell>
          <cell r="Q179" t="str">
            <v/>
          </cell>
          <cell r="R179" t="str">
            <v/>
          </cell>
          <cell r="S179" t="str">
            <v/>
          </cell>
          <cell r="U179" t="str">
            <v/>
          </cell>
          <cell r="V179" t="str">
            <v/>
          </cell>
          <cell r="W179" t="str">
            <v/>
          </cell>
          <cell r="X179" t="str">
            <v/>
          </cell>
          <cell r="Y179" t="str">
            <v/>
          </cell>
          <cell r="AA179" t="str">
            <v/>
          </cell>
          <cell r="AB179" t="str">
            <v/>
          </cell>
          <cell r="AC179" t="str">
            <v/>
          </cell>
          <cell r="AD179" t="str">
            <v/>
          </cell>
          <cell r="AE179" t="str">
            <v/>
          </cell>
          <cell r="AG179" t="e">
            <v>#N/A</v>
          </cell>
          <cell r="AH179" t="e">
            <v>#N/A</v>
          </cell>
          <cell r="AJ179" t="e">
            <v>#N/A</v>
          </cell>
          <cell r="AK179" t="e">
            <v>#N/A</v>
          </cell>
        </row>
        <row r="180">
          <cell r="B180" t="str">
            <v>Oceania</v>
          </cell>
          <cell r="D180" t="str">
            <v/>
          </cell>
          <cell r="E180" t="str">
            <v/>
          </cell>
          <cell r="F180" t="str">
            <v/>
          </cell>
          <cell r="G180" t="str">
            <v/>
          </cell>
          <cell r="I180" t="str">
            <v/>
          </cell>
          <cell r="J180" t="str">
            <v/>
          </cell>
          <cell r="K180" t="str">
            <v/>
          </cell>
          <cell r="L180" t="str">
            <v/>
          </cell>
          <cell r="M180" t="str">
            <v/>
          </cell>
          <cell r="O180" t="str">
            <v/>
          </cell>
          <cell r="P180" t="str">
            <v/>
          </cell>
          <cell r="Q180" t="str">
            <v/>
          </cell>
          <cell r="R180" t="str">
            <v/>
          </cell>
          <cell r="S180" t="str">
            <v/>
          </cell>
          <cell r="U180" t="str">
            <v/>
          </cell>
          <cell r="V180" t="str">
            <v/>
          </cell>
          <cell r="W180" t="str">
            <v/>
          </cell>
          <cell r="X180" t="str">
            <v/>
          </cell>
          <cell r="Y180" t="str">
            <v/>
          </cell>
          <cell r="AA180" t="str">
            <v/>
          </cell>
          <cell r="AB180" t="str">
            <v/>
          </cell>
          <cell r="AC180" t="str">
            <v/>
          </cell>
          <cell r="AD180" t="str">
            <v/>
          </cell>
          <cell r="AE180" t="str">
            <v/>
          </cell>
          <cell r="AG180" t="e">
            <v>#N/A</v>
          </cell>
          <cell r="AH180" t="e">
            <v>#N/A</v>
          </cell>
          <cell r="AJ180" t="e">
            <v>#N/A</v>
          </cell>
          <cell r="AK180" t="e">
            <v>#N/A</v>
          </cell>
        </row>
        <row r="181">
          <cell r="B181" t="str">
            <v>Oceania (GCP)</v>
          </cell>
          <cell r="D181" t="str">
            <v/>
          </cell>
          <cell r="E181" t="str">
            <v/>
          </cell>
          <cell r="F181" t="str">
            <v/>
          </cell>
          <cell r="G181" t="str">
            <v/>
          </cell>
          <cell r="I181" t="str">
            <v/>
          </cell>
          <cell r="J181" t="str">
            <v/>
          </cell>
          <cell r="K181" t="str">
            <v/>
          </cell>
          <cell r="L181" t="str">
            <v/>
          </cell>
          <cell r="M181" t="str">
            <v/>
          </cell>
          <cell r="O181" t="str">
            <v/>
          </cell>
          <cell r="P181" t="str">
            <v/>
          </cell>
          <cell r="Q181" t="str">
            <v/>
          </cell>
          <cell r="R181" t="str">
            <v/>
          </cell>
          <cell r="S181" t="str">
            <v/>
          </cell>
          <cell r="U181" t="str">
            <v/>
          </cell>
          <cell r="V181" t="str">
            <v/>
          </cell>
          <cell r="W181" t="str">
            <v/>
          </cell>
          <cell r="X181" t="str">
            <v/>
          </cell>
          <cell r="Y181" t="str">
            <v/>
          </cell>
          <cell r="AA181" t="str">
            <v/>
          </cell>
          <cell r="AB181" t="str">
            <v/>
          </cell>
          <cell r="AC181" t="str">
            <v/>
          </cell>
          <cell r="AD181" t="str">
            <v/>
          </cell>
          <cell r="AE181" t="str">
            <v/>
          </cell>
          <cell r="AG181" t="e">
            <v>#N/A</v>
          </cell>
          <cell r="AH181" t="e">
            <v>#N/A</v>
          </cell>
          <cell r="AJ181" t="e">
            <v>#N/A</v>
          </cell>
          <cell r="AK181" t="e">
            <v>#N/A</v>
          </cell>
        </row>
        <row r="182">
          <cell r="B182" t="str">
            <v>Oman</v>
          </cell>
          <cell r="C182" t="str">
            <v>OMN</v>
          </cell>
          <cell r="D182" t="str">
            <v>OMN</v>
          </cell>
          <cell r="E182" t="str">
            <v/>
          </cell>
          <cell r="F182" t="str">
            <v>Oman</v>
          </cell>
          <cell r="G182" t="str">
            <v/>
          </cell>
          <cell r="I182">
            <v>1964</v>
          </cell>
          <cell r="J182">
            <v>1362.8491775</v>
          </cell>
          <cell r="K182">
            <v>1.1608854540423922E-3</v>
          </cell>
          <cell r="L182">
            <v>1362.8491775</v>
          </cell>
          <cell r="M182">
            <v>1.1608854540423922E-3</v>
          </cell>
          <cell r="O182">
            <v>1850</v>
          </cell>
          <cell r="P182">
            <v>1367.9054975000001</v>
          </cell>
          <cell r="Q182">
            <v>9.8785375999389281E-4</v>
          </cell>
          <cell r="R182">
            <v>1367.9054975000001</v>
          </cell>
          <cell r="S182">
            <v>9.8785375999389281E-4</v>
          </cell>
          <cell r="U182">
            <v>1850</v>
          </cell>
          <cell r="V182">
            <v>2465.123787</v>
          </cell>
          <cell r="W182">
            <v>1.3246969523125487E-3</v>
          </cell>
          <cell r="X182">
            <v>2465.123787</v>
          </cell>
          <cell r="Y182">
            <v>1.3246969523125487E-3</v>
          </cell>
          <cell r="AA182">
            <v>1964</v>
          </cell>
          <cell r="AB182">
            <v>464.51289069999996</v>
          </cell>
          <cell r="AC182">
            <v>2.4528898738038922</v>
          </cell>
          <cell r="AD182">
            <v>464.51289069999996</v>
          </cell>
          <cell r="AE182">
            <v>1.0023396486979521E-2</v>
          </cell>
          <cell r="AG182">
            <v>17950</v>
          </cell>
          <cell r="AH182">
            <v>35120</v>
          </cell>
          <cell r="AJ182">
            <v>81164.632275703727</v>
          </cell>
          <cell r="AK182">
            <v>158741.58449104321</v>
          </cell>
        </row>
        <row r="183">
          <cell r="B183" t="str">
            <v>Pakistan</v>
          </cell>
          <cell r="C183" t="str">
            <v>PAK</v>
          </cell>
          <cell r="D183" t="str">
            <v>PAK</v>
          </cell>
          <cell r="E183" t="str">
            <v/>
          </cell>
          <cell r="F183" t="str">
            <v>Pakistan</v>
          </cell>
          <cell r="G183" t="str">
            <v/>
          </cell>
          <cell r="I183">
            <v>1946</v>
          </cell>
          <cell r="J183">
            <v>4832.8662040000008</v>
          </cell>
          <cell r="K183">
            <v>4.1166727545364603E-3</v>
          </cell>
          <cell r="L183">
            <v>4832.8662040000008</v>
          </cell>
          <cell r="M183">
            <v>4.1166727545364603E-3</v>
          </cell>
          <cell r="O183">
            <v>1850</v>
          </cell>
          <cell r="P183">
            <v>5489.8580499999998</v>
          </cell>
          <cell r="Q183">
            <v>3.9645844880634665E-3</v>
          </cell>
          <cell r="R183">
            <v>5489.8580499999998</v>
          </cell>
          <cell r="S183">
            <v>3.9645844880634665E-3</v>
          </cell>
          <cell r="U183">
            <v>1850</v>
          </cell>
          <cell r="V183">
            <v>13008.854420000001</v>
          </cell>
          <cell r="W183">
            <v>6.9906387233492828E-3</v>
          </cell>
          <cell r="X183">
            <v>13008.854420000001</v>
          </cell>
          <cell r="Y183">
            <v>6.9906387233492828E-3</v>
          </cell>
          <cell r="AA183">
            <v>1946</v>
          </cell>
          <cell r="AB183">
            <v>29.235531239999997</v>
          </cell>
          <cell r="AC183">
            <v>0.15438008281278756</v>
          </cell>
          <cell r="AD183">
            <v>29.235531239999997</v>
          </cell>
          <cell r="AE183">
            <v>6.308529364694249E-4</v>
          </cell>
          <cell r="AG183">
            <v>1470</v>
          </cell>
          <cell r="AH183">
            <v>5680</v>
          </cell>
          <cell r="AJ183">
            <v>340808.73436844215</v>
          </cell>
          <cell r="AK183">
            <v>1313296.0581681114</v>
          </cell>
        </row>
        <row r="184">
          <cell r="B184" t="str">
            <v>Palau</v>
          </cell>
          <cell r="C184" t="str">
            <v>PLW</v>
          </cell>
          <cell r="D184" t="str">
            <v>PLW</v>
          </cell>
          <cell r="E184" t="str">
            <v/>
          </cell>
          <cell r="F184" t="str">
            <v>Palau</v>
          </cell>
          <cell r="G184" t="str">
            <v/>
          </cell>
          <cell r="I184">
            <v>1955</v>
          </cell>
          <cell r="J184">
            <v>8.659506979999998</v>
          </cell>
          <cell r="K184">
            <v>7.3762349188933365E-6</v>
          </cell>
          <cell r="L184">
            <v>8.659506979999998</v>
          </cell>
          <cell r="M184">
            <v>7.3762349188933365E-6</v>
          </cell>
          <cell r="O184">
            <v>1955</v>
          </cell>
          <cell r="P184">
            <v>0</v>
          </cell>
          <cell r="Q184">
            <v>0</v>
          </cell>
          <cell r="R184">
            <v>0</v>
          </cell>
          <cell r="S184">
            <v>0</v>
          </cell>
          <cell r="U184">
            <v>1850</v>
          </cell>
          <cell r="V184">
            <v>11.83239212</v>
          </cell>
          <cell r="W184">
            <v>6.3584367903107728E-6</v>
          </cell>
          <cell r="X184">
            <v>11.83239212</v>
          </cell>
          <cell r="Y184">
            <v>6.3584367903107728E-6</v>
          </cell>
          <cell r="AA184">
            <v>1955</v>
          </cell>
          <cell r="AB184">
            <v>511.74805750000002</v>
          </cell>
          <cell r="AC184">
            <v>2.7023181774114802</v>
          </cell>
          <cell r="AD184">
            <v>511.74805750000002</v>
          </cell>
          <cell r="AE184">
            <v>1.104265088108586E-2</v>
          </cell>
          <cell r="AG184">
            <v>12790</v>
          </cell>
          <cell r="AH184">
            <v>15490</v>
          </cell>
          <cell r="AJ184">
            <v>230.43825868914305</v>
          </cell>
          <cell r="AK184">
            <v>279.23214145156959</v>
          </cell>
        </row>
        <row r="185">
          <cell r="B185" t="str">
            <v>Palestine</v>
          </cell>
          <cell r="C185" t="str">
            <v>PSE</v>
          </cell>
          <cell r="D185" t="str">
            <v>PSE</v>
          </cell>
          <cell r="E185" t="str">
            <v/>
          </cell>
          <cell r="F185" t="str">
            <v>State of Palestine</v>
          </cell>
          <cell r="G185" t="str">
            <v>diff</v>
          </cell>
          <cell r="I185">
            <v>1990</v>
          </cell>
          <cell r="J185">
            <v>62.938044040000001</v>
          </cell>
          <cell r="K185">
            <v>5.3611111954400752E-5</v>
          </cell>
          <cell r="L185">
            <v>62.938044040000001</v>
          </cell>
          <cell r="M185">
            <v>5.3611111954400752E-5</v>
          </cell>
          <cell r="O185">
            <v>1850</v>
          </cell>
          <cell r="P185">
            <v>61.14268397</v>
          </cell>
          <cell r="Q185">
            <v>4.4155119170345182E-5</v>
          </cell>
          <cell r="R185">
            <v>61.14268397</v>
          </cell>
          <cell r="S185">
            <v>4.4155119170345182E-5</v>
          </cell>
          <cell r="U185">
            <v>0</v>
          </cell>
          <cell r="V185">
            <v>0</v>
          </cell>
          <cell r="W185">
            <v>0</v>
          </cell>
          <cell r="X185">
            <v>0</v>
          </cell>
          <cell r="Y185">
            <v>0</v>
          </cell>
          <cell r="AA185">
            <v>1990</v>
          </cell>
          <cell r="AB185">
            <v>16.720077820000004</v>
          </cell>
          <cell r="AC185">
            <v>8.8291434737337568E-2</v>
          </cell>
          <cell r="AD185">
            <v>16.720077820000004</v>
          </cell>
          <cell r="AE185">
            <v>3.6079078242685301E-4</v>
          </cell>
          <cell r="AG185">
            <v>4220</v>
          </cell>
          <cell r="AH185">
            <v>7370</v>
          </cell>
          <cell r="AJ185">
            <v>20770.130066818914</v>
          </cell>
          <cell r="AK185">
            <v>36267.433157149477</v>
          </cell>
        </row>
        <row r="186">
          <cell r="B186" t="str">
            <v>Panama</v>
          </cell>
          <cell r="C186" t="str">
            <v>PAN</v>
          </cell>
          <cell r="D186" t="str">
            <v>PAN</v>
          </cell>
          <cell r="E186" t="str">
            <v/>
          </cell>
          <cell r="F186" t="str">
            <v>Panama</v>
          </cell>
          <cell r="G186" t="str">
            <v/>
          </cell>
          <cell r="I186">
            <v>1948</v>
          </cell>
          <cell r="J186">
            <v>274.79780800000003</v>
          </cell>
          <cell r="K186">
            <v>2.3407489498956986E-4</v>
          </cell>
          <cell r="L186">
            <v>274.79780800000003</v>
          </cell>
          <cell r="M186">
            <v>2.3407489498956986E-4</v>
          </cell>
          <cell r="O186">
            <v>1850</v>
          </cell>
          <cell r="P186">
            <v>755.62452500000018</v>
          </cell>
          <cell r="Q186">
            <v>5.4568574329810337E-4</v>
          </cell>
          <cell r="R186">
            <v>755.62452500000018</v>
          </cell>
          <cell r="S186">
            <v>5.4568574329810337E-4</v>
          </cell>
          <cell r="U186">
            <v>1850</v>
          </cell>
          <cell r="V186">
            <v>867.08553399999983</v>
          </cell>
          <cell r="W186">
            <v>4.6595046071984478E-4</v>
          </cell>
          <cell r="X186">
            <v>867.08553399999983</v>
          </cell>
          <cell r="Y186">
            <v>4.6595046071984478E-4</v>
          </cell>
          <cell r="AA186">
            <v>1948</v>
          </cell>
          <cell r="AB186">
            <v>84.670583600000015</v>
          </cell>
          <cell r="AC186">
            <v>0.44710840383467093</v>
          </cell>
          <cell r="AD186">
            <v>84.670583600000015</v>
          </cell>
          <cell r="AE186">
            <v>1.8270468854541652E-3</v>
          </cell>
          <cell r="AG186">
            <v>13920</v>
          </cell>
          <cell r="AH186">
            <v>29720</v>
          </cell>
          <cell r="AJ186">
            <v>60572.51845990726</v>
          </cell>
          <cell r="AK186">
            <v>129329.75998509768</v>
          </cell>
        </row>
        <row r="187">
          <cell r="B187" t="str">
            <v>Papua New Guinea</v>
          </cell>
          <cell r="C187" t="str">
            <v>PNG</v>
          </cell>
          <cell r="D187" t="str">
            <v>PNG</v>
          </cell>
          <cell r="E187" t="str">
            <v/>
          </cell>
          <cell r="F187" t="str">
            <v>Papua New Guinea</v>
          </cell>
          <cell r="G187" t="str">
            <v/>
          </cell>
          <cell r="I187">
            <v>1950</v>
          </cell>
          <cell r="J187">
            <v>166.78804280000003</v>
          </cell>
          <cell r="K187">
            <v>1.4207134288322229E-4</v>
          </cell>
          <cell r="L187">
            <v>166.78804280000003</v>
          </cell>
          <cell r="M187">
            <v>1.4207134288322229E-4</v>
          </cell>
          <cell r="O187">
            <v>1950</v>
          </cell>
          <cell r="P187">
            <v>1575.4494860000002</v>
          </cell>
          <cell r="Q187">
            <v>1.1377348079014836E-3</v>
          </cell>
          <cell r="R187">
            <v>1575.4494860000002</v>
          </cell>
          <cell r="S187">
            <v>1.1377348079014836E-3</v>
          </cell>
          <cell r="U187">
            <v>1850</v>
          </cell>
          <cell r="V187">
            <v>1754.4197520000002</v>
          </cell>
          <cell r="W187">
            <v>9.427820666887013E-4</v>
          </cell>
          <cell r="X187">
            <v>1754.4197520000002</v>
          </cell>
          <cell r="Y187">
            <v>9.427820666887013E-4</v>
          </cell>
          <cell r="AA187">
            <v>1950</v>
          </cell>
          <cell r="AB187">
            <v>27.139466270000003</v>
          </cell>
          <cell r="AC187">
            <v>0.14331167837733658</v>
          </cell>
          <cell r="AD187">
            <v>27.139466270000003</v>
          </cell>
          <cell r="AE187">
            <v>5.8562342685319424E-4</v>
          </cell>
          <cell r="AG187">
            <v>2460</v>
          </cell>
          <cell r="AH187">
            <v>3870</v>
          </cell>
          <cell r="AJ187">
            <v>24523.151107656871</v>
          </cell>
          <cell r="AK187">
            <v>38541.617367140803</v>
          </cell>
        </row>
        <row r="188">
          <cell r="B188" t="str">
            <v>Paraguay</v>
          </cell>
          <cell r="C188" t="str">
            <v>PRY</v>
          </cell>
          <cell r="D188" t="str">
            <v>PRY</v>
          </cell>
          <cell r="E188" t="str">
            <v/>
          </cell>
          <cell r="F188" t="str">
            <v>Paraguay</v>
          </cell>
          <cell r="G188" t="str">
            <v/>
          </cell>
          <cell r="I188">
            <v>1950</v>
          </cell>
          <cell r="J188">
            <v>172.02966569999998</v>
          </cell>
          <cell r="K188">
            <v>1.4653619774804863E-4</v>
          </cell>
          <cell r="L188">
            <v>172.02966569999998</v>
          </cell>
          <cell r="M188">
            <v>1.4653619774804863E-4</v>
          </cell>
          <cell r="O188">
            <v>1850</v>
          </cell>
          <cell r="P188">
            <v>3295.6995719999995</v>
          </cell>
          <cell r="Q188">
            <v>2.3800395714181728E-3</v>
          </cell>
          <cell r="R188">
            <v>3295.6995719999995</v>
          </cell>
          <cell r="S188">
            <v>2.3800395714181728E-3</v>
          </cell>
          <cell r="U188">
            <v>1850</v>
          </cell>
          <cell r="V188">
            <v>4315.3905480000012</v>
          </cell>
          <cell r="W188">
            <v>2.3189848465707012E-3</v>
          </cell>
          <cell r="X188">
            <v>4315.3905480000012</v>
          </cell>
          <cell r="Y188">
            <v>2.3189848465707012E-3</v>
          </cell>
          <cell r="AA188">
            <v>1950</v>
          </cell>
          <cell r="AB188">
            <v>32.64236769</v>
          </cell>
          <cell r="AC188">
            <v>0.17237009944573398</v>
          </cell>
          <cell r="AD188">
            <v>32.64236769</v>
          </cell>
          <cell r="AE188">
            <v>7.0436666060565763E-4</v>
          </cell>
          <cell r="AG188">
            <v>5740</v>
          </cell>
          <cell r="AH188">
            <v>14600</v>
          </cell>
          <cell r="AJ188">
            <v>38513.121535852908</v>
          </cell>
          <cell r="AK188">
            <v>97881.468647865346</v>
          </cell>
        </row>
        <row r="189">
          <cell r="B189" t="str">
            <v>Peru</v>
          </cell>
          <cell r="C189" t="str">
            <v>PER</v>
          </cell>
          <cell r="D189" t="str">
            <v>PER</v>
          </cell>
          <cell r="E189" t="str">
            <v/>
          </cell>
          <cell r="F189" t="str">
            <v>Peru</v>
          </cell>
          <cell r="G189" t="str">
            <v/>
          </cell>
          <cell r="I189">
            <v>1884</v>
          </cell>
          <cell r="J189">
            <v>1442.9671679999997</v>
          </cell>
          <cell r="K189">
            <v>1.229130577064126E-3</v>
          </cell>
          <cell r="L189">
            <v>1442.9671679999997</v>
          </cell>
          <cell r="M189">
            <v>1.229130577064126E-3</v>
          </cell>
          <cell r="O189">
            <v>1850</v>
          </cell>
          <cell r="P189">
            <v>3760.9601180000004</v>
          </cell>
          <cell r="Q189">
            <v>2.7160345510296295E-3</v>
          </cell>
          <cell r="R189">
            <v>3760.9601180000004</v>
          </cell>
          <cell r="S189">
            <v>2.7160345510296295E-3</v>
          </cell>
          <cell r="U189">
            <v>1850</v>
          </cell>
          <cell r="V189">
            <v>5475.3315519999987</v>
          </cell>
          <cell r="W189">
            <v>2.9423086410853474E-3</v>
          </cell>
          <cell r="X189">
            <v>5475.3315519999987</v>
          </cell>
          <cell r="Y189">
            <v>2.9423086410853474E-3</v>
          </cell>
          <cell r="AA189">
            <v>1884</v>
          </cell>
          <cell r="AB189">
            <v>54.675879500000001</v>
          </cell>
          <cell r="AC189">
            <v>0.28871946043255808</v>
          </cell>
          <cell r="AD189">
            <v>54.675879500000001</v>
          </cell>
          <cell r="AE189">
            <v>1.1798122925651148E-3</v>
          </cell>
          <cell r="AG189">
            <v>6460</v>
          </cell>
          <cell r="AH189">
            <v>12780</v>
          </cell>
          <cell r="AJ189">
            <v>217752.4596412582</v>
          </cell>
          <cell r="AK189">
            <v>430829.46871755261</v>
          </cell>
        </row>
        <row r="190">
          <cell r="B190" t="str">
            <v>Philippines</v>
          </cell>
          <cell r="C190" t="str">
            <v>PHL</v>
          </cell>
          <cell r="D190" t="str">
            <v>PHL</v>
          </cell>
          <cell r="E190" t="str">
            <v/>
          </cell>
          <cell r="F190" t="str">
            <v>Philippines</v>
          </cell>
          <cell r="G190" t="str">
            <v/>
          </cell>
          <cell r="I190">
            <v>1907</v>
          </cell>
          <cell r="J190">
            <v>3050.1364680000006</v>
          </cell>
          <cell r="K190">
            <v>2.5981297982222537E-3</v>
          </cell>
          <cell r="L190">
            <v>3050.1364680000006</v>
          </cell>
          <cell r="M190">
            <v>2.5981297982222537E-3</v>
          </cell>
          <cell r="O190">
            <v>1850</v>
          </cell>
          <cell r="P190">
            <v>5530.7743859999991</v>
          </cell>
          <cell r="Q190">
            <v>3.9941328424173634E-3</v>
          </cell>
          <cell r="R190">
            <v>5530.7743859999991</v>
          </cell>
          <cell r="S190">
            <v>3.9941328424173634E-3</v>
          </cell>
          <cell r="U190">
            <v>1850</v>
          </cell>
          <cell r="V190">
            <v>9794.1032400000004</v>
          </cell>
          <cell r="W190">
            <v>5.2631104292136946E-3</v>
          </cell>
          <cell r="X190">
            <v>9794.1032400000004</v>
          </cell>
          <cell r="Y190">
            <v>5.2631104292136946E-3</v>
          </cell>
          <cell r="AA190">
            <v>1907</v>
          </cell>
          <cell r="AB190">
            <v>36.914082910000005</v>
          </cell>
          <cell r="AC190">
            <v>0.19492716345126035</v>
          </cell>
          <cell r="AD190">
            <v>36.914082910000005</v>
          </cell>
          <cell r="AE190">
            <v>7.9654299453904228E-4</v>
          </cell>
          <cell r="AG190">
            <v>3550</v>
          </cell>
          <cell r="AH190">
            <v>9210</v>
          </cell>
          <cell r="AJ190">
            <v>404238.05607050058</v>
          </cell>
          <cell r="AK190">
            <v>1048915.2241716378</v>
          </cell>
        </row>
        <row r="191">
          <cell r="B191" t="str">
            <v>Poland</v>
          </cell>
          <cell r="C191" t="str">
            <v>POL</v>
          </cell>
          <cell r="D191" t="str">
            <v>POL</v>
          </cell>
          <cell r="E191" t="str">
            <v/>
          </cell>
          <cell r="F191" t="str">
            <v>Poland</v>
          </cell>
          <cell r="G191" t="str">
            <v/>
          </cell>
          <cell r="I191">
            <v>1800</v>
          </cell>
          <cell r="J191">
            <v>15552.092119999999</v>
          </cell>
          <cell r="K191">
            <v>1.3247392169362271E-2</v>
          </cell>
          <cell r="L191">
            <v>15552.092119999999</v>
          </cell>
          <cell r="M191">
            <v>1.3247392169362271E-2</v>
          </cell>
          <cell r="O191">
            <v>1850</v>
          </cell>
          <cell r="P191">
            <v>13772.010959999996</v>
          </cell>
          <cell r="Q191">
            <v>9.9456671783081964E-3</v>
          </cell>
          <cell r="R191">
            <v>13772.010959999996</v>
          </cell>
          <cell r="S191">
            <v>9.9456671783081964E-3</v>
          </cell>
          <cell r="U191">
            <v>1850</v>
          </cell>
          <cell r="V191">
            <v>19578.872440000006</v>
          </cell>
          <cell r="W191">
            <v>1.0521204974679092E-2</v>
          </cell>
          <cell r="X191">
            <v>19578.872440000006</v>
          </cell>
          <cell r="Y191">
            <v>1.0521204974679092E-2</v>
          </cell>
          <cell r="AA191">
            <v>1800</v>
          </cell>
          <cell r="AB191">
            <v>410.20737129999992</v>
          </cell>
          <cell r="AC191">
            <v>2.1661261234434095</v>
          </cell>
          <cell r="AD191">
            <v>410.20737129999992</v>
          </cell>
          <cell r="AE191">
            <v>8.8515759341477492E-3</v>
          </cell>
          <cell r="AG191">
            <v>16850</v>
          </cell>
          <cell r="AH191">
            <v>36340</v>
          </cell>
          <cell r="AJ191">
            <v>636064.19661575893</v>
          </cell>
          <cell r="AK191">
            <v>1371766.3168104349</v>
          </cell>
        </row>
        <row r="192">
          <cell r="B192" t="str">
            <v>Portugal</v>
          </cell>
          <cell r="C192" t="str">
            <v>PRT</v>
          </cell>
          <cell r="D192" t="str">
            <v>PRT</v>
          </cell>
          <cell r="E192" t="str">
            <v/>
          </cell>
          <cell r="F192" t="str">
            <v>Portugal</v>
          </cell>
          <cell r="G192" t="str">
            <v/>
          </cell>
          <cell r="I192">
            <v>1870</v>
          </cell>
          <cell r="J192">
            <v>2095.9788559999997</v>
          </cell>
          <cell r="K192">
            <v>1.7853709758069056E-3</v>
          </cell>
          <cell r="L192">
            <v>2095.9788559999997</v>
          </cell>
          <cell r="M192">
            <v>1.7853709758069056E-3</v>
          </cell>
          <cell r="O192">
            <v>1850</v>
          </cell>
          <cell r="P192">
            <v>1944.8755019999999</v>
          </cell>
          <cell r="Q192">
            <v>1.4045214240910743E-3</v>
          </cell>
          <cell r="R192">
            <v>1944.8755019999999</v>
          </cell>
          <cell r="S192">
            <v>1.4045214240910743E-3</v>
          </cell>
          <cell r="U192">
            <v>1850</v>
          </cell>
          <cell r="V192">
            <v>2716.763113999999</v>
          </cell>
          <cell r="W192">
            <v>1.4599217435854257E-3</v>
          </cell>
          <cell r="X192">
            <v>2716.763113999999</v>
          </cell>
          <cell r="Y192">
            <v>1.4599217435854257E-3</v>
          </cell>
          <cell r="AA192">
            <v>1870</v>
          </cell>
          <cell r="AB192">
            <v>204.17246099999997</v>
          </cell>
          <cell r="AC192">
            <v>1.0781456707085526</v>
          </cell>
          <cell r="AD192">
            <v>204.17246099999997</v>
          </cell>
          <cell r="AE192">
            <v>4.4056937262631777E-3</v>
          </cell>
          <cell r="AG192">
            <v>23890</v>
          </cell>
          <cell r="AH192">
            <v>35630</v>
          </cell>
          <cell r="AJ192">
            <v>246714.16734124988</v>
          </cell>
          <cell r="AK192">
            <v>367895.40885533014</v>
          </cell>
        </row>
        <row r="193">
          <cell r="B193" t="str">
            <v>Qatar</v>
          </cell>
          <cell r="C193" t="str">
            <v>QAT</v>
          </cell>
          <cell r="D193" t="str">
            <v>QAT</v>
          </cell>
          <cell r="E193" t="str">
            <v/>
          </cell>
          <cell r="F193" t="str">
            <v>Qatar</v>
          </cell>
          <cell r="G193" t="str">
            <v/>
          </cell>
          <cell r="I193">
            <v>1949</v>
          </cell>
          <cell r="J193">
            <v>2012.7135409999996</v>
          </cell>
          <cell r="K193">
            <v>1.7144449374707537E-3</v>
          </cell>
          <cell r="L193">
            <v>2012.7135409999996</v>
          </cell>
          <cell r="M193">
            <v>1.7144449374707537E-3</v>
          </cell>
          <cell r="O193">
            <v>1850</v>
          </cell>
          <cell r="P193">
            <v>2013.7028209999996</v>
          </cell>
          <cell r="Q193">
            <v>1.4542261193267543E-3</v>
          </cell>
          <cell r="R193">
            <v>2013.7028209999996</v>
          </cell>
          <cell r="S193">
            <v>1.4542261193267543E-3</v>
          </cell>
          <cell r="U193">
            <v>1850</v>
          </cell>
          <cell r="V193">
            <v>3789.098508</v>
          </cell>
          <cell r="W193">
            <v>2.0361684358529237E-3</v>
          </cell>
          <cell r="X193">
            <v>3789.098508</v>
          </cell>
          <cell r="Y193">
            <v>2.0361684358529237E-3</v>
          </cell>
          <cell r="AA193">
            <v>1949</v>
          </cell>
          <cell r="AB193">
            <v>1957.6251309999998</v>
          </cell>
          <cell r="AC193">
            <v>10.337364057427475</v>
          </cell>
          <cell r="AD193">
            <v>1957.6251309999998</v>
          </cell>
          <cell r="AE193">
            <v>4.2242213841081296E-2</v>
          </cell>
          <cell r="AG193">
            <v>62310</v>
          </cell>
          <cell r="AH193">
            <v>100450</v>
          </cell>
          <cell r="AJ193">
            <v>167493.78896455735</v>
          </cell>
          <cell r="AK193">
            <v>270031.52429651906</v>
          </cell>
        </row>
        <row r="194">
          <cell r="B194" t="str">
            <v>Reunion</v>
          </cell>
          <cell r="C194" t="str">
            <v>REU</v>
          </cell>
          <cell r="D194" t="str">
            <v>REU</v>
          </cell>
          <cell r="E194" t="str">
            <v/>
          </cell>
          <cell r="F194" t="str">
            <v>Réunion</v>
          </cell>
          <cell r="G194" t="str">
            <v>diff</v>
          </cell>
          <cell r="I194">
            <v>1950</v>
          </cell>
          <cell r="J194">
            <v>121.72776119999999</v>
          </cell>
          <cell r="K194">
            <v>1.0368864703682583E-4</v>
          </cell>
          <cell r="L194">
            <v>121.72776119999999</v>
          </cell>
          <cell r="M194">
            <v>1.0368864703682583E-4</v>
          </cell>
          <cell r="O194">
            <v>1950</v>
          </cell>
          <cell r="P194">
            <v>133.92888140000002</v>
          </cell>
          <cell r="Q194">
            <v>9.6718778676277772E-5</v>
          </cell>
          <cell r="R194">
            <v>133.92888140000002</v>
          </cell>
          <cell r="S194">
            <v>9.6718778676277772E-5</v>
          </cell>
          <cell r="U194">
            <v>0</v>
          </cell>
          <cell r="V194">
            <v>0</v>
          </cell>
          <cell r="W194">
            <v>0</v>
          </cell>
          <cell r="X194">
            <v>0</v>
          </cell>
          <cell r="Y194">
            <v>0</v>
          </cell>
          <cell r="AA194">
            <v>1950</v>
          </cell>
          <cell r="AB194">
            <v>148.94233639999996</v>
          </cell>
          <cell r="AC194">
            <v>0.7864994837618029</v>
          </cell>
          <cell r="AD194">
            <v>148.94233639999996</v>
          </cell>
          <cell r="AE194">
            <v>3.2139217690698237E-3</v>
          </cell>
          <cell r="AG194" t="e">
            <v>#N/A</v>
          </cell>
          <cell r="AH194" t="e">
            <v>#N/A</v>
          </cell>
          <cell r="AJ194" t="e">
            <v>#N/A</v>
          </cell>
          <cell r="AK194" t="e">
            <v>#N/A</v>
          </cell>
        </row>
        <row r="195">
          <cell r="B195" t="str">
            <v>Romania</v>
          </cell>
          <cell r="C195" t="str">
            <v>ROU</v>
          </cell>
          <cell r="D195" t="str">
            <v>ROU</v>
          </cell>
          <cell r="E195" t="str">
            <v/>
          </cell>
          <cell r="F195" t="str">
            <v>Romania</v>
          </cell>
          <cell r="G195" t="str">
            <v/>
          </cell>
          <cell r="I195">
            <v>1858</v>
          </cell>
          <cell r="J195">
            <v>5430.1809659999999</v>
          </cell>
          <cell r="K195">
            <v>4.6254700815910833E-3</v>
          </cell>
          <cell r="L195">
            <v>5430.1809659999999</v>
          </cell>
          <cell r="M195">
            <v>4.6254700815910833E-3</v>
          </cell>
          <cell r="O195">
            <v>1850</v>
          </cell>
          <cell r="P195">
            <v>5300.072322</v>
          </cell>
          <cell r="Q195">
            <v>3.8275278380678207E-3</v>
          </cell>
          <cell r="R195">
            <v>5300.072322</v>
          </cell>
          <cell r="S195">
            <v>3.8275278380678207E-3</v>
          </cell>
          <cell r="U195">
            <v>1850</v>
          </cell>
          <cell r="V195">
            <v>7146.8490760000004</v>
          </cell>
          <cell r="W195">
            <v>3.840541087446395E-3</v>
          </cell>
          <cell r="X195">
            <v>7146.8490760000004</v>
          </cell>
          <cell r="Y195">
            <v>3.840541087446395E-3</v>
          </cell>
          <cell r="AA195">
            <v>1858</v>
          </cell>
          <cell r="AB195">
            <v>249.96688979999996</v>
          </cell>
          <cell r="AC195">
            <v>1.3199660656407126</v>
          </cell>
          <cell r="AD195">
            <v>249.96688979999996</v>
          </cell>
          <cell r="AE195">
            <v>5.3938594498568497E-3</v>
          </cell>
          <cell r="AG195">
            <v>14160</v>
          </cell>
          <cell r="AH195">
            <v>35500</v>
          </cell>
          <cell r="AJ195">
            <v>270676.86296128941</v>
          </cell>
          <cell r="AK195">
            <v>678753.31587002438</v>
          </cell>
        </row>
        <row r="196">
          <cell r="B196" t="str">
            <v>Russia</v>
          </cell>
          <cell r="C196" t="str">
            <v>RUS</v>
          </cell>
          <cell r="D196" t="str">
            <v>RUS</v>
          </cell>
          <cell r="E196" t="str">
            <v/>
          </cell>
          <cell r="F196" t="str">
            <v>Russian Federation</v>
          </cell>
          <cell r="G196" t="str">
            <v>diff</v>
          </cell>
          <cell r="I196">
            <v>1830</v>
          </cell>
          <cell r="J196">
            <v>78194.25079999998</v>
          </cell>
          <cell r="K196">
            <v>6.660646668913052E-2</v>
          </cell>
          <cell r="L196">
            <v>78194.25079999998</v>
          </cell>
          <cell r="M196">
            <v>6.660646668913052E-2</v>
          </cell>
          <cell r="O196">
            <v>1850</v>
          </cell>
          <cell r="P196">
            <v>86056.974799999996</v>
          </cell>
          <cell r="Q196">
            <v>6.2147353223777554E-2</v>
          </cell>
          <cell r="R196">
            <v>86056.974799999996</v>
          </cell>
          <cell r="S196">
            <v>6.2147353223777554E-2</v>
          </cell>
          <cell r="U196">
            <v>1850</v>
          </cell>
          <cell r="V196">
            <v>101133.1635</v>
          </cell>
          <cell r="W196">
            <v>5.4346477111080947E-2</v>
          </cell>
          <cell r="X196">
            <v>101133.1635</v>
          </cell>
          <cell r="Y196">
            <v>5.4346477111080947E-2</v>
          </cell>
          <cell r="AA196">
            <v>1830</v>
          </cell>
          <cell r="AB196">
            <v>540.57926899999995</v>
          </cell>
          <cell r="AC196">
            <v>2.8545632241125021</v>
          </cell>
          <cell r="AD196">
            <v>540.57926899999995</v>
          </cell>
          <cell r="AE196">
            <v>1.1664779286669981E-2</v>
          </cell>
          <cell r="AG196">
            <v>11610</v>
          </cell>
          <cell r="AH196">
            <v>32170</v>
          </cell>
          <cell r="AJ196">
            <v>1693604.2203115413</v>
          </cell>
          <cell r="AK196">
            <v>4692328.7083105491</v>
          </cell>
        </row>
        <row r="197">
          <cell r="B197" t="str">
            <v>Rwanda</v>
          </cell>
          <cell r="C197" t="str">
            <v>RWA</v>
          </cell>
          <cell r="D197" t="str">
            <v>RWA</v>
          </cell>
          <cell r="E197" t="str">
            <v/>
          </cell>
          <cell r="F197" t="str">
            <v>Rwanda</v>
          </cell>
          <cell r="G197" t="str">
            <v/>
          </cell>
          <cell r="I197">
            <v>1950</v>
          </cell>
          <cell r="J197">
            <v>29.84033088</v>
          </cell>
          <cell r="K197">
            <v>2.5418224286527128E-5</v>
          </cell>
          <cell r="L197">
            <v>29.84033088</v>
          </cell>
          <cell r="M197">
            <v>2.5418224286527128E-5</v>
          </cell>
          <cell r="O197">
            <v>1850</v>
          </cell>
          <cell r="P197">
            <v>214.54257099999995</v>
          </cell>
          <cell r="Q197">
            <v>1.5493518070396279E-4</v>
          </cell>
          <cell r="R197">
            <v>214.54257099999995</v>
          </cell>
          <cell r="S197">
            <v>1.5493518070396279E-4</v>
          </cell>
          <cell r="U197">
            <v>1850</v>
          </cell>
          <cell r="V197">
            <v>438.04555950000008</v>
          </cell>
          <cell r="W197">
            <v>2.353949204108245E-4</v>
          </cell>
          <cell r="X197">
            <v>438.04555950000008</v>
          </cell>
          <cell r="Y197">
            <v>2.353949204108245E-4</v>
          </cell>
          <cell r="AA197">
            <v>1950</v>
          </cell>
          <cell r="AB197">
            <v>3.4139761370000001</v>
          </cell>
          <cell r="AC197">
            <v>1.8027718204409845E-2</v>
          </cell>
          <cell r="AD197">
            <v>3.4139761370000001</v>
          </cell>
          <cell r="AE197">
            <v>7.3667786413139725E-5</v>
          </cell>
          <cell r="AG197">
            <v>840</v>
          </cell>
          <cell r="AH197">
            <v>2410</v>
          </cell>
          <cell r="AJ197">
            <v>11258.051110916489</v>
          </cell>
          <cell r="AK197">
            <v>32436.037307584567</v>
          </cell>
        </row>
        <row r="198">
          <cell r="B198" t="str">
            <v>Saint Helena</v>
          </cell>
          <cell r="C198" t="str">
            <v>SHN</v>
          </cell>
          <cell r="D198" t="str">
            <v>SHN</v>
          </cell>
          <cell r="E198" t="str">
            <v/>
          </cell>
          <cell r="F198" t="str">
            <v>Saint Helena</v>
          </cell>
          <cell r="G198" t="str">
            <v/>
          </cell>
          <cell r="I198">
            <v>1968</v>
          </cell>
          <cell r="J198">
            <v>0.39636199999999999</v>
          </cell>
          <cell r="K198">
            <v>3.3762421251866713E-7</v>
          </cell>
          <cell r="L198">
            <v>0.39636199999999999</v>
          </cell>
          <cell r="M198">
            <v>3.3762421251866713E-7</v>
          </cell>
          <cell r="O198">
            <v>1968</v>
          </cell>
          <cell r="P198">
            <v>0</v>
          </cell>
          <cell r="Q198">
            <v>0</v>
          </cell>
          <cell r="R198">
            <v>0</v>
          </cell>
          <cell r="S198">
            <v>0</v>
          </cell>
          <cell r="U198">
            <v>1850</v>
          </cell>
          <cell r="V198">
            <v>0.56248649929999994</v>
          </cell>
          <cell r="W198">
            <v>3.0226642380765138E-7</v>
          </cell>
          <cell r="X198">
            <v>0.56248649929999994</v>
          </cell>
          <cell r="Y198">
            <v>3.0226642380765138E-7</v>
          </cell>
          <cell r="AA198">
            <v>1968</v>
          </cell>
          <cell r="AB198">
            <v>68.065976880000008</v>
          </cell>
          <cell r="AC198">
            <v>0.35942672158768979</v>
          </cell>
          <cell r="AD198">
            <v>68.065976880000008</v>
          </cell>
          <cell r="AE198">
            <v>1.4687477725617E-3</v>
          </cell>
          <cell r="AG198" t="e">
            <v>#N/A</v>
          </cell>
          <cell r="AH198" t="e">
            <v>#N/A</v>
          </cell>
          <cell r="AJ198" t="e">
            <v>#N/A</v>
          </cell>
          <cell r="AK198" t="e">
            <v>#N/A</v>
          </cell>
        </row>
        <row r="199">
          <cell r="B199" t="str">
            <v>Saint Kitts and Nevis</v>
          </cell>
          <cell r="C199" t="str">
            <v>KNA</v>
          </cell>
          <cell r="D199" t="str">
            <v>KNA</v>
          </cell>
          <cell r="E199" t="str">
            <v/>
          </cell>
          <cell r="F199" t="str">
            <v>Saint Kitts and Nevis</v>
          </cell>
          <cell r="G199" t="str">
            <v/>
          </cell>
          <cell r="I199">
            <v>1981</v>
          </cell>
          <cell r="J199">
            <v>6.5945129900000001</v>
          </cell>
          <cell r="K199">
            <v>5.6172570912268861E-6</v>
          </cell>
          <cell r="L199">
            <v>6.5945129900000001</v>
          </cell>
          <cell r="M199">
            <v>5.6172570912268861E-6</v>
          </cell>
          <cell r="O199">
            <v>1850</v>
          </cell>
          <cell r="P199">
            <v>2.7106729879999993</v>
          </cell>
          <cell r="Q199">
            <v>1.957553725899606E-6</v>
          </cell>
          <cell r="R199">
            <v>2.7106729879999993</v>
          </cell>
          <cell r="S199">
            <v>1.957553725899606E-6</v>
          </cell>
          <cell r="U199">
            <v>1850</v>
          </cell>
          <cell r="V199">
            <v>4.9895916865999999</v>
          </cell>
          <cell r="W199">
            <v>2.6812839725857749E-6</v>
          </cell>
          <cell r="X199">
            <v>4.9895916865999999</v>
          </cell>
          <cell r="Y199">
            <v>2.6812839725857749E-6</v>
          </cell>
          <cell r="AA199">
            <v>1981</v>
          </cell>
          <cell r="AB199">
            <v>143.8572394</v>
          </cell>
          <cell r="AC199">
            <v>0.7596473055158689</v>
          </cell>
          <cell r="AD199">
            <v>143.8572394</v>
          </cell>
          <cell r="AE199">
            <v>3.1041940426143957E-3</v>
          </cell>
          <cell r="AG199">
            <v>18820</v>
          </cell>
          <cell r="AH199">
            <v>28420</v>
          </cell>
          <cell r="AJ199">
            <v>896.15809881244934</v>
          </cell>
          <cell r="AK199">
            <v>1353.1062474657883</v>
          </cell>
        </row>
        <row r="200">
          <cell r="B200" t="str">
            <v>Saint Lucia</v>
          </cell>
          <cell r="C200" t="str">
            <v>LCA</v>
          </cell>
          <cell r="D200" t="str">
            <v>LCA</v>
          </cell>
          <cell r="E200" t="str">
            <v/>
          </cell>
          <cell r="F200" t="str">
            <v>Saint Lucia</v>
          </cell>
          <cell r="G200" t="str">
            <v/>
          </cell>
          <cell r="I200">
            <v>1950</v>
          </cell>
          <cell r="J200">
            <v>13.798653949999997</v>
          </cell>
          <cell r="K200">
            <v>1.175379999517195E-5</v>
          </cell>
          <cell r="L200">
            <v>13.798653949999997</v>
          </cell>
          <cell r="M200">
            <v>1.175379999517195E-5</v>
          </cell>
          <cell r="O200">
            <v>1850</v>
          </cell>
          <cell r="P200">
            <v>11.160573939999999</v>
          </cell>
          <cell r="Q200">
            <v>8.0597782160158701E-6</v>
          </cell>
          <cell r="R200">
            <v>11.160573939999999</v>
          </cell>
          <cell r="S200">
            <v>8.0597782160158701E-6</v>
          </cell>
          <cell r="U200">
            <v>1850</v>
          </cell>
          <cell r="V200">
            <v>17.36855379</v>
          </cell>
          <cell r="W200">
            <v>9.3334340421459598E-6</v>
          </cell>
          <cell r="X200">
            <v>17.36855379</v>
          </cell>
          <cell r="Y200">
            <v>9.3334340421459598E-6</v>
          </cell>
          <cell r="AA200">
            <v>1950</v>
          </cell>
          <cell r="AB200">
            <v>85.109677870000013</v>
          </cell>
          <cell r="AC200">
            <v>0.44942706906461799</v>
          </cell>
          <cell r="AD200">
            <v>85.109677870000013</v>
          </cell>
          <cell r="AE200">
            <v>1.8365217914287624E-3</v>
          </cell>
          <cell r="AG200">
            <v>9520</v>
          </cell>
          <cell r="AH200">
            <v>13810</v>
          </cell>
          <cell r="AJ200">
            <v>1709.9952027585994</v>
          </cell>
          <cell r="AK200">
            <v>2481.0728133112839</v>
          </cell>
        </row>
        <row r="201">
          <cell r="B201" t="str">
            <v>Saint Pierre and Miquelon</v>
          </cell>
          <cell r="C201" t="str">
            <v>SPM</v>
          </cell>
          <cell r="D201" t="str">
            <v>SPM</v>
          </cell>
          <cell r="E201" t="str">
            <v/>
          </cell>
          <cell r="F201" t="str">
            <v>Saint Pierre and Miquelon</v>
          </cell>
          <cell r="G201" t="str">
            <v/>
          </cell>
          <cell r="I201">
            <v>1950</v>
          </cell>
          <cell r="J201">
            <v>2.6391749999999976</v>
          </cell>
          <cell r="K201">
            <v>2.248069646116309E-6</v>
          </cell>
          <cell r="L201">
            <v>2.6391749999999976</v>
          </cell>
          <cell r="M201">
            <v>2.248069646116309E-6</v>
          </cell>
          <cell r="O201">
            <v>1850</v>
          </cell>
          <cell r="P201">
            <v>2.7490949999999974</v>
          </cell>
          <cell r="Q201">
            <v>1.9853007662398169E-6</v>
          </cell>
          <cell r="R201">
            <v>2.7490949999999974</v>
          </cell>
          <cell r="S201">
            <v>1.9853007662398169E-6</v>
          </cell>
          <cell r="U201">
            <v>0</v>
          </cell>
          <cell r="V201">
            <v>0</v>
          </cell>
          <cell r="W201">
            <v>0</v>
          </cell>
          <cell r="X201">
            <v>0</v>
          </cell>
          <cell r="Y201">
            <v>0</v>
          </cell>
          <cell r="AA201">
            <v>1950</v>
          </cell>
          <cell r="AB201">
            <v>426.28224200000017</v>
          </cell>
          <cell r="AC201">
            <v>2.2510105009325216</v>
          </cell>
          <cell r="AD201">
            <v>426.28224200000017</v>
          </cell>
          <cell r="AE201">
            <v>9.1984442465862359E-3</v>
          </cell>
          <cell r="AG201" t="e">
            <v>#N/A</v>
          </cell>
          <cell r="AH201" t="e">
            <v>#N/A</v>
          </cell>
          <cell r="AJ201" t="e">
            <v>#N/A</v>
          </cell>
          <cell r="AK201" t="e">
            <v>#N/A</v>
          </cell>
        </row>
        <row r="202">
          <cell r="B202" t="str">
            <v>Saint Vincent and the Grenadines</v>
          </cell>
          <cell r="C202" t="str">
            <v>VCT</v>
          </cell>
          <cell r="D202" t="str">
            <v>VCT</v>
          </cell>
          <cell r="E202" t="str">
            <v/>
          </cell>
          <cell r="F202" t="str">
            <v>Saint Vincent and the Grenadines</v>
          </cell>
          <cell r="G202" t="str">
            <v/>
          </cell>
          <cell r="I202">
            <v>1950</v>
          </cell>
          <cell r="J202">
            <v>6.6071149900000004</v>
          </cell>
          <cell r="K202">
            <v>5.6279915721462484E-6</v>
          </cell>
          <cell r="L202">
            <v>6.6071149900000004</v>
          </cell>
          <cell r="M202">
            <v>5.6279915721462484E-6</v>
          </cell>
          <cell r="O202">
            <v>1850</v>
          </cell>
          <cell r="P202">
            <v>7.3399150099999995</v>
          </cell>
          <cell r="Q202">
            <v>5.3006312599194082E-6</v>
          </cell>
          <cell r="R202">
            <v>7.3399150099999995</v>
          </cell>
          <cell r="S202">
            <v>5.3006312599194082E-6</v>
          </cell>
          <cell r="U202">
            <v>1850</v>
          </cell>
          <cell r="V202">
            <v>9.4622978500000006</v>
          </cell>
          <cell r="W202">
            <v>5.0848063654535592E-6</v>
          </cell>
          <cell r="X202">
            <v>9.4622978500000006</v>
          </cell>
          <cell r="Y202">
            <v>5.0848063654535592E-6</v>
          </cell>
          <cell r="AA202">
            <v>1950</v>
          </cell>
          <cell r="AB202">
            <v>60.163080470000011</v>
          </cell>
          <cell r="AC202">
            <v>0.31769497427579513</v>
          </cell>
          <cell r="AD202">
            <v>60.163080470000011</v>
          </cell>
          <cell r="AE202">
            <v>1.2982167373657009E-3</v>
          </cell>
          <cell r="AG202">
            <v>8720</v>
          </cell>
          <cell r="AH202">
            <v>14970</v>
          </cell>
          <cell r="AJ202">
            <v>909.57034002697571</v>
          </cell>
          <cell r="AK202">
            <v>1561.4149744070978</v>
          </cell>
        </row>
        <row r="203">
          <cell r="B203" t="str">
            <v>Samoa</v>
          </cell>
          <cell r="C203" t="str">
            <v>WSM</v>
          </cell>
          <cell r="D203" t="str">
            <v>WSM</v>
          </cell>
          <cell r="E203" t="str">
            <v/>
          </cell>
          <cell r="F203" t="str">
            <v>Samoa</v>
          </cell>
          <cell r="G203" t="str">
            <v/>
          </cell>
          <cell r="I203">
            <v>1950</v>
          </cell>
          <cell r="J203">
            <v>6.3510409999999995</v>
          </cell>
          <cell r="K203">
            <v>5.4098657699243826E-6</v>
          </cell>
          <cell r="L203">
            <v>6.3510409999999995</v>
          </cell>
          <cell r="M203">
            <v>5.4098657699243826E-6</v>
          </cell>
          <cell r="O203">
            <v>1850</v>
          </cell>
          <cell r="P203">
            <v>-0.13423899999999916</v>
          </cell>
          <cell r="Q203">
            <v>-9.6942735539974201E-8</v>
          </cell>
          <cell r="R203">
            <v>-0.13423899999999916</v>
          </cell>
          <cell r="S203">
            <v>-9.6942735539974201E-8</v>
          </cell>
          <cell r="U203">
            <v>1850</v>
          </cell>
          <cell r="V203">
            <v>14.6993915283</v>
          </cell>
          <cell r="W203">
            <v>7.8990918269809015E-6</v>
          </cell>
          <cell r="X203">
            <v>14.6993915283</v>
          </cell>
          <cell r="Y203">
            <v>7.8990918269809015E-6</v>
          </cell>
          <cell r="AA203">
            <v>1950</v>
          </cell>
          <cell r="AB203">
            <v>33.489319440000003</v>
          </cell>
          <cell r="AC203">
            <v>0.17684248204860387</v>
          </cell>
          <cell r="AD203">
            <v>33.489319440000003</v>
          </cell>
          <cell r="AE203">
            <v>7.2264243586519486E-4</v>
          </cell>
          <cell r="AG203">
            <v>3810</v>
          </cell>
          <cell r="AH203">
            <v>5970</v>
          </cell>
          <cell r="AJ203">
            <v>834.05643059475619</v>
          </cell>
          <cell r="AK203">
            <v>1305.7792611386642</v>
          </cell>
        </row>
        <row r="204">
          <cell r="B204" t="str">
            <v>Sao Tome and Principe</v>
          </cell>
          <cell r="C204" t="str">
            <v>STP</v>
          </cell>
          <cell r="D204" t="str">
            <v>STP</v>
          </cell>
          <cell r="E204" t="str">
            <v/>
          </cell>
          <cell r="F204" t="str">
            <v>Sao Tome and Principe</v>
          </cell>
          <cell r="G204" t="str">
            <v/>
          </cell>
          <cell r="I204">
            <v>1951</v>
          </cell>
          <cell r="J204">
            <v>3.1655920099999992</v>
          </cell>
          <cell r="K204">
            <v>2.6964757205070978E-6</v>
          </cell>
          <cell r="L204">
            <v>3.1655920099999992</v>
          </cell>
          <cell r="M204">
            <v>2.6964757205070978E-6</v>
          </cell>
          <cell r="O204">
            <v>1850</v>
          </cell>
          <cell r="P204">
            <v>7.5990319800000004</v>
          </cell>
          <cell r="Q204">
            <v>5.4877565208095348E-6</v>
          </cell>
          <cell r="R204">
            <v>7.5990319800000004</v>
          </cell>
          <cell r="S204">
            <v>5.4877565208095348E-6</v>
          </cell>
          <cell r="U204">
            <v>1850</v>
          </cell>
          <cell r="V204">
            <v>8.5750438199999994</v>
          </cell>
          <cell r="W204">
            <v>4.6080178505455942E-6</v>
          </cell>
          <cell r="X204">
            <v>8.5750438199999994</v>
          </cell>
          <cell r="Y204">
            <v>4.6080178505455942E-6</v>
          </cell>
          <cell r="AA204">
            <v>1951</v>
          </cell>
          <cell r="AB204">
            <v>20.180783160000004</v>
          </cell>
          <cell r="AC204">
            <v>0.10656590947131733</v>
          </cell>
          <cell r="AD204">
            <v>20.180783160000004</v>
          </cell>
          <cell r="AE204">
            <v>4.3546690539763644E-4</v>
          </cell>
          <cell r="AG204">
            <v>2260</v>
          </cell>
          <cell r="AH204">
            <v>4500</v>
          </cell>
          <cell r="AJ204">
            <v>504.35884621468483</v>
          </cell>
          <cell r="AK204">
            <v>1003.9419976629119</v>
          </cell>
        </row>
        <row r="205">
          <cell r="B205" t="str">
            <v>Saudi Arabia</v>
          </cell>
          <cell r="C205" t="str">
            <v>SAU</v>
          </cell>
          <cell r="D205" t="str">
            <v>SAU</v>
          </cell>
          <cell r="E205" t="str">
            <v/>
          </cell>
          <cell r="F205" t="str">
            <v>Saudi Arabia</v>
          </cell>
          <cell r="G205" t="str">
            <v/>
          </cell>
          <cell r="I205">
            <v>1936</v>
          </cell>
          <cell r="J205">
            <v>15654.452860000001</v>
          </cell>
          <cell r="K205">
            <v>1.3334583838178475E-2</v>
          </cell>
          <cell r="L205">
            <v>15654.452860000001</v>
          </cell>
          <cell r="M205">
            <v>1.3334583838178475E-2</v>
          </cell>
          <cell r="O205">
            <v>1850</v>
          </cell>
          <cell r="P205">
            <v>15807.461390000002</v>
          </cell>
          <cell r="Q205">
            <v>1.1415598664241633E-2</v>
          </cell>
          <cell r="R205">
            <v>15807.461390000002</v>
          </cell>
          <cell r="S205">
            <v>1.1415598664241633E-2</v>
          </cell>
          <cell r="U205">
            <v>1850</v>
          </cell>
          <cell r="V205">
            <v>19569.44184</v>
          </cell>
          <cell r="W205">
            <v>1.0516137201959373E-2</v>
          </cell>
          <cell r="X205">
            <v>19569.44184</v>
          </cell>
          <cell r="Y205">
            <v>1.0516137201959373E-2</v>
          </cell>
          <cell r="AA205">
            <v>1936</v>
          </cell>
          <cell r="AB205">
            <v>674.56284000000005</v>
          </cell>
          <cell r="AC205">
            <v>3.5620719954336355</v>
          </cell>
          <cell r="AD205">
            <v>674.56284000000005</v>
          </cell>
          <cell r="AE205">
            <v>1.455591639343698E-2</v>
          </cell>
          <cell r="AG205">
            <v>21540</v>
          </cell>
          <cell r="AH205">
            <v>46130</v>
          </cell>
          <cell r="AJ205">
            <v>775462.62962396559</v>
          </cell>
          <cell r="AK205">
            <v>1660549.0682797416</v>
          </cell>
        </row>
        <row r="206">
          <cell r="B206" t="str">
            <v>Senegal</v>
          </cell>
          <cell r="C206" t="str">
            <v>SEN</v>
          </cell>
          <cell r="D206" t="str">
            <v>SEN</v>
          </cell>
          <cell r="E206" t="str">
            <v/>
          </cell>
          <cell r="F206" t="str">
            <v>Senegal</v>
          </cell>
          <cell r="G206" t="str">
            <v/>
          </cell>
          <cell r="I206">
            <v>1958</v>
          </cell>
          <cell r="J206">
            <v>234.31080999999998</v>
          </cell>
          <cell r="K206">
            <v>1.9958775743098738E-4</v>
          </cell>
          <cell r="L206">
            <v>234.31080999999998</v>
          </cell>
          <cell r="M206">
            <v>1.9958775743098738E-4</v>
          </cell>
          <cell r="O206">
            <v>1850</v>
          </cell>
          <cell r="P206">
            <v>323.785686</v>
          </cell>
          <cell r="Q206">
            <v>2.3382675771964421E-4</v>
          </cell>
          <cell r="R206">
            <v>323.785686</v>
          </cell>
          <cell r="S206">
            <v>2.3382675771964421E-4</v>
          </cell>
          <cell r="U206">
            <v>1850</v>
          </cell>
          <cell r="V206">
            <v>915.00798299999974</v>
          </cell>
          <cell r="W206">
            <v>4.9170280730480493E-4</v>
          </cell>
          <cell r="X206">
            <v>915.00798299999974</v>
          </cell>
          <cell r="Y206">
            <v>4.9170280730480493E-4</v>
          </cell>
          <cell r="AA206">
            <v>1958</v>
          </cell>
          <cell r="AB206">
            <v>21.685285749999995</v>
          </cell>
          <cell r="AC206">
            <v>0.11451053112123855</v>
          </cell>
          <cell r="AD206">
            <v>21.685285749999995</v>
          </cell>
          <cell r="AE206">
            <v>4.679315070850778E-4</v>
          </cell>
          <cell r="AG206">
            <v>1570</v>
          </cell>
          <cell r="AH206">
            <v>3760</v>
          </cell>
          <cell r="AJ206">
            <v>26463.407071670525</v>
          </cell>
          <cell r="AK206">
            <v>63438.206524796551</v>
          </cell>
        </row>
        <row r="207">
          <cell r="B207" t="str">
            <v>Serbia</v>
          </cell>
          <cell r="C207" t="str">
            <v>SRB</v>
          </cell>
          <cell r="D207" t="str">
            <v>SRB</v>
          </cell>
          <cell r="E207" t="str">
            <v/>
          </cell>
          <cell r="F207" t="str">
            <v>Serbia</v>
          </cell>
          <cell r="G207" t="str">
            <v/>
          </cell>
          <cell r="I207">
            <v>1885</v>
          </cell>
          <cell r="J207">
            <v>2063.4629479999999</v>
          </cell>
          <cell r="K207">
            <v>1.7576736742673296E-3</v>
          </cell>
          <cell r="L207">
            <v>2063.4629479999999</v>
          </cell>
          <cell r="M207">
            <v>1.7576736742673296E-3</v>
          </cell>
          <cell r="O207">
            <v>1850</v>
          </cell>
          <cell r="P207">
            <v>1678.193348</v>
          </cell>
          <cell r="Q207">
            <v>1.2119328505137024E-3</v>
          </cell>
          <cell r="R207">
            <v>1678.193348</v>
          </cell>
          <cell r="S207">
            <v>1.2119328505137024E-3</v>
          </cell>
          <cell r="U207">
            <v>1850</v>
          </cell>
          <cell r="V207">
            <v>2508.1751500000005</v>
          </cell>
          <cell r="W207">
            <v>1.3478316969690862E-3</v>
          </cell>
          <cell r="X207">
            <v>2508.1751500000005</v>
          </cell>
          <cell r="Y207">
            <v>1.3478316969690862E-3</v>
          </cell>
          <cell r="AA207">
            <v>1885</v>
          </cell>
          <cell r="AB207">
            <v>264.96118469999999</v>
          </cell>
          <cell r="AC207">
            <v>1.3991443938666841</v>
          </cell>
          <cell r="AD207">
            <v>264.96118469999999</v>
          </cell>
          <cell r="AE207">
            <v>5.7174107782148407E-3</v>
          </cell>
          <cell r="AG207">
            <v>8460</v>
          </cell>
          <cell r="AH207">
            <v>20810</v>
          </cell>
          <cell r="AJ207">
            <v>57797.661395342824</v>
          </cell>
          <cell r="AK207">
            <v>142235.97449966994</v>
          </cell>
        </row>
        <row r="208">
          <cell r="B208" t="str">
            <v>Seychelles</v>
          </cell>
          <cell r="C208" t="str">
            <v>SYC</v>
          </cell>
          <cell r="D208" t="str">
            <v>SYC</v>
          </cell>
          <cell r="E208" t="str">
            <v/>
          </cell>
          <cell r="F208" t="str">
            <v>Seychelles</v>
          </cell>
          <cell r="G208" t="str">
            <v/>
          </cell>
          <cell r="I208">
            <v>1963</v>
          </cell>
          <cell r="J208">
            <v>13.542279000000001</v>
          </cell>
          <cell r="K208">
            <v>1.1535417832897915E-5</v>
          </cell>
          <cell r="L208">
            <v>13.542279000000001</v>
          </cell>
          <cell r="M208">
            <v>1.1535417832897915E-5</v>
          </cell>
          <cell r="O208">
            <v>1963</v>
          </cell>
          <cell r="P208">
            <v>0</v>
          </cell>
          <cell r="Q208">
            <v>0</v>
          </cell>
          <cell r="R208">
            <v>0</v>
          </cell>
          <cell r="S208">
            <v>0</v>
          </cell>
          <cell r="U208">
            <v>1850</v>
          </cell>
          <cell r="V208">
            <v>16.650881900000002</v>
          </cell>
          <cell r="W208">
            <v>8.9477748024530271E-6</v>
          </cell>
          <cell r="X208">
            <v>16.650881900000002</v>
          </cell>
          <cell r="Y208">
            <v>8.9477748024530271E-6</v>
          </cell>
          <cell r="AA208">
            <v>1963</v>
          </cell>
          <cell r="AB208">
            <v>156.18430090000004</v>
          </cell>
          <cell r="AC208">
            <v>0.82474113807139227</v>
          </cell>
          <cell r="AD208">
            <v>156.18430090000004</v>
          </cell>
          <cell r="AE208">
            <v>3.3701910201098602E-3</v>
          </cell>
          <cell r="AG208">
            <v>14540</v>
          </cell>
          <cell r="AH208">
            <v>29800</v>
          </cell>
          <cell r="AJ208">
            <v>1443.3687598191623</v>
          </cell>
          <cell r="AK208">
            <v>2958.2336766903663</v>
          </cell>
        </row>
        <row r="209">
          <cell r="B209" t="str">
            <v>Sierra Leone</v>
          </cell>
          <cell r="C209" t="str">
            <v>SLE</v>
          </cell>
          <cell r="D209" t="str">
            <v>SLE</v>
          </cell>
          <cell r="E209" t="str">
            <v/>
          </cell>
          <cell r="F209" t="str">
            <v>Sierra Leone</v>
          </cell>
          <cell r="G209" t="str">
            <v/>
          </cell>
          <cell r="I209">
            <v>1950</v>
          </cell>
          <cell r="J209">
            <v>26.804931819999997</v>
          </cell>
          <cell r="K209">
            <v>2.2832647926249394E-5</v>
          </cell>
          <cell r="L209">
            <v>26.804931819999997</v>
          </cell>
          <cell r="M209">
            <v>2.2832647926249394E-5</v>
          </cell>
          <cell r="O209">
            <v>1950</v>
          </cell>
          <cell r="P209">
            <v>1095.6303600000001</v>
          </cell>
          <cell r="Q209">
            <v>7.9122612831626724E-4</v>
          </cell>
          <cell r="R209">
            <v>1095.6303600000001</v>
          </cell>
          <cell r="S209">
            <v>7.9122612831626724E-4</v>
          </cell>
          <cell r="U209">
            <v>1850</v>
          </cell>
          <cell r="V209">
            <v>897.76169100000004</v>
          </cell>
          <cell r="W209">
            <v>4.8243507374449757E-4</v>
          </cell>
          <cell r="X209">
            <v>897.76169100000004</v>
          </cell>
          <cell r="Y209">
            <v>4.8243507374449757E-4</v>
          </cell>
          <cell r="AA209">
            <v>1950</v>
          </cell>
          <cell r="AB209">
            <v>5.043853400999998</v>
          </cell>
          <cell r="AC209">
            <v>2.663438879730581E-2</v>
          </cell>
          <cell r="AD209">
            <v>5.043853400999998</v>
          </cell>
          <cell r="AE209">
            <v>1.0883775988269488E-4</v>
          </cell>
          <cell r="AG209">
            <v>500</v>
          </cell>
          <cell r="AH209">
            <v>1750</v>
          </cell>
          <cell r="AJ209">
            <v>4218.8832836056272</v>
          </cell>
          <cell r="AK209">
            <v>14765.824018594247</v>
          </cell>
        </row>
        <row r="210">
          <cell r="B210" t="str">
            <v>Singapore</v>
          </cell>
          <cell r="C210" t="str">
            <v>SGP</v>
          </cell>
          <cell r="D210" t="str">
            <v>SGP</v>
          </cell>
          <cell r="E210" t="str">
            <v/>
          </cell>
          <cell r="F210" t="str">
            <v>Singapore</v>
          </cell>
          <cell r="G210" t="str">
            <v/>
          </cell>
          <cell r="I210">
            <v>1950</v>
          </cell>
          <cell r="J210">
            <v>1830.2158479999998</v>
          </cell>
          <cell r="K210">
            <v>1.5589919932288779E-3</v>
          </cell>
          <cell r="L210">
            <v>1830.2158479999998</v>
          </cell>
          <cell r="M210">
            <v>1.5589919932288779E-3</v>
          </cell>
          <cell r="O210">
            <v>1950</v>
          </cell>
          <cell r="P210">
            <v>1851.3204859999996</v>
          </cell>
          <cell r="Q210">
            <v>1.3369592463742697E-3</v>
          </cell>
          <cell r="R210">
            <v>1851.3204859999996</v>
          </cell>
          <cell r="S210">
            <v>1.3369592463742697E-3</v>
          </cell>
          <cell r="U210">
            <v>1850</v>
          </cell>
          <cell r="V210">
            <v>2062.2367279999999</v>
          </cell>
          <cell r="W210">
            <v>1.1081953461871334E-3</v>
          </cell>
          <cell r="X210">
            <v>2062.2367279999999</v>
          </cell>
          <cell r="Y210">
            <v>1.1081953461871334E-3</v>
          </cell>
          <cell r="AA210">
            <v>1950</v>
          </cell>
          <cell r="AB210">
            <v>475.66058669999995</v>
          </cell>
          <cell r="AC210">
            <v>2.511755991799967</v>
          </cell>
          <cell r="AD210">
            <v>475.66058669999995</v>
          </cell>
          <cell r="AE210">
            <v>1.0263944767041096E-2</v>
          </cell>
          <cell r="AG210">
            <v>64010</v>
          </cell>
          <cell r="AH210">
            <v>102450</v>
          </cell>
          <cell r="AJ210">
            <v>349100.86189816764</v>
          </cell>
          <cell r="AK210">
            <v>558723.35350643739</v>
          </cell>
        </row>
        <row r="211">
          <cell r="B211" t="str">
            <v>Sint Maarten (Dutch part)</v>
          </cell>
          <cell r="C211" t="str">
            <v>SXM</v>
          </cell>
          <cell r="D211" t="str">
            <v>SXM</v>
          </cell>
          <cell r="E211" t="str">
            <v/>
          </cell>
          <cell r="F211" t="str">
            <v>Sint Maarten (Dutch part)</v>
          </cell>
          <cell r="G211" t="str">
            <v/>
          </cell>
          <cell r="I211">
            <v>1926</v>
          </cell>
          <cell r="J211">
            <v>27.931559029999992</v>
          </cell>
          <cell r="K211">
            <v>2.3792317684143317E-5</v>
          </cell>
          <cell r="L211">
            <v>27.931559029999992</v>
          </cell>
          <cell r="M211">
            <v>2.3792317684143317E-5</v>
          </cell>
          <cell r="O211">
            <v>1850</v>
          </cell>
          <cell r="P211">
            <v>27.931559029999992</v>
          </cell>
          <cell r="Q211">
            <v>2.0171200174796329E-5</v>
          </cell>
          <cell r="R211">
            <v>27.931559029999992</v>
          </cell>
          <cell r="S211">
            <v>2.0171200174796329E-5</v>
          </cell>
          <cell r="U211">
            <v>0</v>
          </cell>
          <cell r="V211">
            <v>0</v>
          </cell>
          <cell r="W211">
            <v>0</v>
          </cell>
          <cell r="X211">
            <v>0</v>
          </cell>
          <cell r="Y211">
            <v>0</v>
          </cell>
          <cell r="AA211">
            <v>1950</v>
          </cell>
          <cell r="AB211">
            <v>1135.2236113000001</v>
          </cell>
          <cell r="AC211">
            <v>5.9946205076561423</v>
          </cell>
          <cell r="AD211">
            <v>1135.2236113000001</v>
          </cell>
          <cell r="AE211">
            <v>2.4496190709138974E-2</v>
          </cell>
          <cell r="AG211">
            <v>27510</v>
          </cell>
          <cell r="AH211">
            <v>35180</v>
          </cell>
          <cell r="AJ211">
            <v>1125.138143849777</v>
          </cell>
          <cell r="AK211">
            <v>1438.6434333733635</v>
          </cell>
        </row>
        <row r="212">
          <cell r="B212" t="str">
            <v>Slovakia</v>
          </cell>
          <cell r="C212" t="str">
            <v>SVK</v>
          </cell>
          <cell r="D212" t="str">
            <v>SVK</v>
          </cell>
          <cell r="E212" t="str">
            <v/>
          </cell>
          <cell r="F212" t="str">
            <v>Slovakia</v>
          </cell>
          <cell r="G212" t="str">
            <v/>
          </cell>
          <cell r="I212">
            <v>1860</v>
          </cell>
          <cell r="J212">
            <v>1955.3463679999998</v>
          </cell>
          <cell r="K212">
            <v>1.6655791364894612E-3</v>
          </cell>
          <cell r="L212">
            <v>1955.3463679999998</v>
          </cell>
          <cell r="M212">
            <v>1.6655791364894612E-3</v>
          </cell>
          <cell r="O212">
            <v>1850</v>
          </cell>
          <cell r="P212">
            <v>2015.8023680000003</v>
          </cell>
          <cell r="Q212">
            <v>1.4557423391255819E-3</v>
          </cell>
          <cell r="R212">
            <v>2015.8023680000003</v>
          </cell>
          <cell r="S212">
            <v>1.4557423391255819E-3</v>
          </cell>
          <cell r="U212">
            <v>1850</v>
          </cell>
          <cell r="V212">
            <v>2360.1064819999992</v>
          </cell>
          <cell r="W212">
            <v>1.2682632329970253E-3</v>
          </cell>
          <cell r="X212">
            <v>2360.1064819999992</v>
          </cell>
          <cell r="Y212">
            <v>1.2682632329970253E-3</v>
          </cell>
          <cell r="AA212">
            <v>1860</v>
          </cell>
          <cell r="AB212">
            <v>370.13872750000002</v>
          </cell>
          <cell r="AC212">
            <v>1.9545411005047235</v>
          </cell>
          <cell r="AD212">
            <v>370.13872750000002</v>
          </cell>
          <cell r="AE212">
            <v>7.9869628920904573E-3</v>
          </cell>
          <cell r="AG212">
            <v>20640</v>
          </cell>
          <cell r="AH212">
            <v>32850</v>
          </cell>
          <cell r="AJ212">
            <v>112424.24084911701</v>
          </cell>
          <cell r="AK212">
            <v>178969.18052466353</v>
          </cell>
        </row>
        <row r="213">
          <cell r="B213" t="str">
            <v>Slovenia</v>
          </cell>
          <cell r="C213" t="str">
            <v>SVN</v>
          </cell>
          <cell r="D213" t="str">
            <v>SVN</v>
          </cell>
          <cell r="E213" t="str">
            <v/>
          </cell>
          <cell r="F213" t="str">
            <v>Slovenia</v>
          </cell>
          <cell r="G213" t="str">
            <v/>
          </cell>
          <cell r="I213">
            <v>1885</v>
          </cell>
          <cell r="J213">
            <v>654.59917199999995</v>
          </cell>
          <cell r="K213">
            <v>5.5759262987337718E-4</v>
          </cell>
          <cell r="L213">
            <v>654.59917199999995</v>
          </cell>
          <cell r="M213">
            <v>5.5759262987337718E-4</v>
          </cell>
          <cell r="O213">
            <v>1850</v>
          </cell>
          <cell r="P213">
            <v>696.3687739999998</v>
          </cell>
          <cell r="Q213">
            <v>5.0289330147109605E-4</v>
          </cell>
          <cell r="R213">
            <v>696.3687739999998</v>
          </cell>
          <cell r="S213">
            <v>5.0289330147109605E-4</v>
          </cell>
          <cell r="U213">
            <v>1850</v>
          </cell>
          <cell r="V213">
            <v>889.29273399999988</v>
          </cell>
          <cell r="W213">
            <v>4.7788406434434927E-4</v>
          </cell>
          <cell r="X213">
            <v>889.29273399999988</v>
          </cell>
          <cell r="Y213">
            <v>4.7788406434434927E-4</v>
          </cell>
          <cell r="AA213">
            <v>1885</v>
          </cell>
          <cell r="AB213">
            <v>326.23692420000003</v>
          </cell>
          <cell r="AC213">
            <v>1.7227148349429176</v>
          </cell>
          <cell r="AD213">
            <v>326.23692420000003</v>
          </cell>
          <cell r="AE213">
            <v>7.0396368010832572E-3</v>
          </cell>
          <cell r="AG213">
            <v>28280</v>
          </cell>
          <cell r="AH213">
            <v>43250</v>
          </cell>
          <cell r="AJ213">
            <v>59607.786664752413</v>
          </cell>
          <cell r="AK213">
            <v>91181.539344776786</v>
          </cell>
        </row>
        <row r="214">
          <cell r="B214" t="str">
            <v>Solomon Islands</v>
          </cell>
          <cell r="C214" t="str">
            <v>SLB</v>
          </cell>
          <cell r="D214" t="str">
            <v>SLB</v>
          </cell>
          <cell r="E214" t="str">
            <v/>
          </cell>
          <cell r="F214" t="str">
            <v>Solomon Islands</v>
          </cell>
          <cell r="G214" t="str">
            <v/>
          </cell>
          <cell r="I214">
            <v>1952</v>
          </cell>
          <cell r="J214">
            <v>9.9228570200000004</v>
          </cell>
          <cell r="K214">
            <v>8.4523662392278483E-6</v>
          </cell>
          <cell r="L214">
            <v>9.9228570200000004</v>
          </cell>
          <cell r="M214">
            <v>8.4523662392278483E-6</v>
          </cell>
          <cell r="O214">
            <v>1850</v>
          </cell>
          <cell r="P214">
            <v>143.43901680000002</v>
          </cell>
          <cell r="Q214">
            <v>1.0358666759851015E-4</v>
          </cell>
          <cell r="R214">
            <v>143.43901680000002</v>
          </cell>
          <cell r="S214">
            <v>1.0358666759851015E-4</v>
          </cell>
          <cell r="U214">
            <v>1850</v>
          </cell>
          <cell r="V214">
            <v>95.092679709999999</v>
          </cell>
          <cell r="W214">
            <v>5.1100469543710718E-5</v>
          </cell>
          <cell r="X214">
            <v>95.092679709999999</v>
          </cell>
          <cell r="Y214">
            <v>5.1100469543710718E-5</v>
          </cell>
          <cell r="AA214">
            <v>1952</v>
          </cell>
          <cell r="AB214">
            <v>22.566150239999999</v>
          </cell>
          <cell r="AC214">
            <v>0.11916199210536413</v>
          </cell>
          <cell r="AD214">
            <v>22.566150239999999</v>
          </cell>
          <cell r="AE214">
            <v>4.8693906147450662E-4</v>
          </cell>
          <cell r="AG214">
            <v>2320</v>
          </cell>
          <cell r="AH214">
            <v>2680</v>
          </cell>
          <cell r="AJ214">
            <v>1640.9551549624955</v>
          </cell>
          <cell r="AK214">
            <v>1895.5384814820352</v>
          </cell>
        </row>
        <row r="215">
          <cell r="B215" t="str">
            <v>Somalia</v>
          </cell>
          <cell r="C215" t="str">
            <v>SOM</v>
          </cell>
          <cell r="D215" t="str">
            <v>SOM</v>
          </cell>
          <cell r="E215" t="str">
            <v/>
          </cell>
          <cell r="F215" t="str">
            <v>Somalia</v>
          </cell>
          <cell r="G215" t="str">
            <v/>
          </cell>
          <cell r="I215">
            <v>1950</v>
          </cell>
          <cell r="J215">
            <v>27.970696060000009</v>
          </cell>
          <cell r="K215">
            <v>2.3825654908534341E-5</v>
          </cell>
          <cell r="L215">
            <v>27.970696060000009</v>
          </cell>
          <cell r="M215">
            <v>2.3825654908534341E-5</v>
          </cell>
          <cell r="O215">
            <v>1850</v>
          </cell>
          <cell r="P215">
            <v>687.27085700000021</v>
          </cell>
          <cell r="Q215">
            <v>4.9632310233600416E-4</v>
          </cell>
          <cell r="R215">
            <v>687.27085700000021</v>
          </cell>
          <cell r="S215">
            <v>4.9632310233600416E-4</v>
          </cell>
          <cell r="U215">
            <v>1850</v>
          </cell>
          <cell r="V215">
            <v>1696.9922639999995</v>
          </cell>
          <cell r="W215">
            <v>9.1192194569447455E-4</v>
          </cell>
          <cell r="X215">
            <v>1696.9922639999995</v>
          </cell>
          <cell r="Y215">
            <v>9.1192194569447455E-4</v>
          </cell>
          <cell r="AA215">
            <v>1950</v>
          </cell>
          <cell r="AB215">
            <v>3.2822567659999997</v>
          </cell>
          <cell r="AC215">
            <v>1.7332165685247605E-2</v>
          </cell>
          <cell r="AD215">
            <v>3.2822567659999997</v>
          </cell>
          <cell r="AE215">
            <v>7.0825506883374778E-5</v>
          </cell>
          <cell r="AG215">
            <v>430</v>
          </cell>
          <cell r="AH215">
            <v>1240</v>
          </cell>
          <cell r="AJ215">
            <v>7409.5032228557675</v>
          </cell>
          <cell r="AK215">
            <v>21194.331672267086</v>
          </cell>
        </row>
        <row r="216">
          <cell r="B216" t="str">
            <v>South Africa</v>
          </cell>
          <cell r="C216" t="str">
            <v>ZAF</v>
          </cell>
          <cell r="D216" t="str">
            <v>ZAF</v>
          </cell>
          <cell r="E216" t="str">
            <v/>
          </cell>
          <cell r="F216" t="str">
            <v>South Africa</v>
          </cell>
          <cell r="G216" t="str">
            <v/>
          </cell>
          <cell r="I216">
            <v>1884</v>
          </cell>
          <cell r="J216">
            <v>16415.538929999999</v>
          </cell>
          <cell r="K216">
            <v>1.3982882830116845E-2</v>
          </cell>
          <cell r="L216">
            <v>16415.538929999999</v>
          </cell>
          <cell r="M216">
            <v>1.3982882830116845E-2</v>
          </cell>
          <cell r="O216">
            <v>1850</v>
          </cell>
          <cell r="P216">
            <v>18319.206749999998</v>
          </cell>
          <cell r="Q216">
            <v>1.3229493778018095E-2</v>
          </cell>
          <cell r="R216">
            <v>18319.206749999998</v>
          </cell>
          <cell r="S216">
            <v>1.3229493778018095E-2</v>
          </cell>
          <cell r="U216">
            <v>1850</v>
          </cell>
          <cell r="V216">
            <v>21528.955370000003</v>
          </cell>
          <cell r="W216">
            <v>1.1569131625564036E-2</v>
          </cell>
          <cell r="X216">
            <v>21528.955370000003</v>
          </cell>
          <cell r="Y216">
            <v>1.1569131625564036E-2</v>
          </cell>
          <cell r="AA216">
            <v>1884</v>
          </cell>
          <cell r="AB216">
            <v>362.26106939999988</v>
          </cell>
          <cell r="AC216">
            <v>1.9129426256945614</v>
          </cell>
          <cell r="AD216">
            <v>362.26106939999988</v>
          </cell>
          <cell r="AE216">
            <v>7.816976456609245E-3</v>
          </cell>
          <cell r="AG216">
            <v>6530</v>
          </cell>
          <cell r="AH216">
            <v>14340</v>
          </cell>
          <cell r="AJ216">
            <v>387775.52145420096</v>
          </cell>
          <cell r="AK216">
            <v>851942.10765880882</v>
          </cell>
        </row>
        <row r="217">
          <cell r="B217" t="str">
            <v>South America</v>
          </cell>
          <cell r="D217" t="str">
            <v/>
          </cell>
          <cell r="E217" t="str">
            <v/>
          </cell>
          <cell r="F217" t="str">
            <v/>
          </cell>
          <cell r="G217" t="str">
            <v/>
          </cell>
          <cell r="I217" t="str">
            <v/>
          </cell>
          <cell r="J217" t="str">
            <v/>
          </cell>
          <cell r="K217" t="str">
            <v/>
          </cell>
          <cell r="L217" t="str">
            <v/>
          </cell>
          <cell r="M217" t="str">
            <v/>
          </cell>
          <cell r="O217" t="str">
            <v/>
          </cell>
          <cell r="P217" t="str">
            <v/>
          </cell>
          <cell r="Q217" t="str">
            <v/>
          </cell>
          <cell r="R217" t="str">
            <v/>
          </cell>
          <cell r="S217" t="str">
            <v/>
          </cell>
          <cell r="U217" t="str">
            <v/>
          </cell>
          <cell r="V217" t="str">
            <v/>
          </cell>
          <cell r="W217" t="str">
            <v/>
          </cell>
          <cell r="X217" t="str">
            <v/>
          </cell>
          <cell r="Y217" t="str">
            <v/>
          </cell>
          <cell r="AA217" t="str">
            <v/>
          </cell>
          <cell r="AB217" t="str">
            <v/>
          </cell>
          <cell r="AC217" t="str">
            <v/>
          </cell>
          <cell r="AD217" t="str">
            <v/>
          </cell>
          <cell r="AE217" t="str">
            <v/>
          </cell>
          <cell r="AG217" t="e">
            <v>#N/A</v>
          </cell>
          <cell r="AH217" t="e">
            <v>#N/A</v>
          </cell>
          <cell r="AJ217" t="e">
            <v>#N/A</v>
          </cell>
          <cell r="AK217" t="e">
            <v>#N/A</v>
          </cell>
        </row>
        <row r="218">
          <cell r="B218" t="str">
            <v>South America (GCP)</v>
          </cell>
          <cell r="D218" t="str">
            <v/>
          </cell>
          <cell r="E218" t="str">
            <v/>
          </cell>
          <cell r="F218" t="str">
            <v/>
          </cell>
          <cell r="G218" t="str">
            <v/>
          </cell>
          <cell r="I218" t="str">
            <v/>
          </cell>
          <cell r="J218" t="str">
            <v/>
          </cell>
          <cell r="K218" t="str">
            <v/>
          </cell>
          <cell r="L218" t="str">
            <v/>
          </cell>
          <cell r="M218" t="str">
            <v/>
          </cell>
          <cell r="O218" t="str">
            <v/>
          </cell>
          <cell r="P218" t="str">
            <v/>
          </cell>
          <cell r="Q218" t="str">
            <v/>
          </cell>
          <cell r="R218" t="str">
            <v/>
          </cell>
          <cell r="S218" t="str">
            <v/>
          </cell>
          <cell r="U218" t="str">
            <v/>
          </cell>
          <cell r="V218" t="str">
            <v/>
          </cell>
          <cell r="W218" t="str">
            <v/>
          </cell>
          <cell r="X218" t="str">
            <v/>
          </cell>
          <cell r="Y218" t="str">
            <v/>
          </cell>
          <cell r="AA218" t="str">
            <v/>
          </cell>
          <cell r="AB218" t="str">
            <v/>
          </cell>
          <cell r="AC218" t="str">
            <v/>
          </cell>
          <cell r="AD218" t="str">
            <v/>
          </cell>
          <cell r="AE218" t="str">
            <v/>
          </cell>
          <cell r="AG218" t="e">
            <v>#N/A</v>
          </cell>
          <cell r="AH218" t="e">
            <v>#N/A</v>
          </cell>
          <cell r="AJ218" t="e">
            <v>#N/A</v>
          </cell>
          <cell r="AK218" t="e">
            <v>#N/A</v>
          </cell>
        </row>
        <row r="219">
          <cell r="B219" t="str">
            <v>South Korea</v>
          </cell>
          <cell r="C219" t="str">
            <v>KOR</v>
          </cell>
          <cell r="D219" t="str">
            <v>KOR</v>
          </cell>
          <cell r="E219" t="str">
            <v/>
          </cell>
          <cell r="F219" t="str">
            <v>Republic of Korea</v>
          </cell>
          <cell r="G219" t="str">
            <v>diff</v>
          </cell>
          <cell r="I219">
            <v>1905</v>
          </cell>
          <cell r="J219">
            <v>17881.662940000002</v>
          </cell>
          <cell r="K219">
            <v>1.5231738584026053E-2</v>
          </cell>
          <cell r="L219">
            <v>17881.662940000002</v>
          </cell>
          <cell r="M219">
            <v>1.5231738584026053E-2</v>
          </cell>
          <cell r="O219">
            <v>1850</v>
          </cell>
          <cell r="P219">
            <v>17647.276910000004</v>
          </cell>
          <cell r="Q219">
            <v>1.2744249424435776E-2</v>
          </cell>
          <cell r="R219">
            <v>17647.276910000004</v>
          </cell>
          <cell r="S219">
            <v>1.2744249424435776E-2</v>
          </cell>
          <cell r="U219">
            <v>1850</v>
          </cell>
          <cell r="V219">
            <v>19465.48691</v>
          </cell>
          <cell r="W219">
            <v>1.0460274376865121E-2</v>
          </cell>
          <cell r="X219">
            <v>19465.48691</v>
          </cell>
          <cell r="Y219">
            <v>1.0460274376865121E-2</v>
          </cell>
          <cell r="AA219">
            <v>1905</v>
          </cell>
          <cell r="AB219">
            <v>375.26062629999996</v>
          </cell>
          <cell r="AC219">
            <v>1.9815876129970584</v>
          </cell>
          <cell r="AD219">
            <v>375.26062629999996</v>
          </cell>
          <cell r="AE219">
            <v>8.0974847386665969E-3</v>
          </cell>
          <cell r="AG219">
            <v>35110</v>
          </cell>
          <cell r="AH219">
            <v>47400</v>
          </cell>
          <cell r="AJ219">
            <v>1816733.0801575615</v>
          </cell>
          <cell r="AK219">
            <v>2452559.2870322596</v>
          </cell>
        </row>
        <row r="220">
          <cell r="B220" t="str">
            <v>South Sudan</v>
          </cell>
          <cell r="C220" t="str">
            <v>SSD</v>
          </cell>
          <cell r="D220" t="str">
            <v>SSD</v>
          </cell>
          <cell r="E220" t="str">
            <v/>
          </cell>
          <cell r="F220" t="str">
            <v>South Sudan</v>
          </cell>
          <cell r="G220" t="str">
            <v/>
          </cell>
          <cell r="I220">
            <v>1950</v>
          </cell>
          <cell r="J220">
            <v>34.497367019999999</v>
          </cell>
          <cell r="K220">
            <v>2.9385123634694893E-5</v>
          </cell>
          <cell r="L220">
            <v>34.497367019999999</v>
          </cell>
          <cell r="M220">
            <v>2.9385123634694893E-5</v>
          </cell>
          <cell r="O220">
            <v>1850</v>
          </cell>
          <cell r="P220">
            <v>1057.852556</v>
          </cell>
          <cell r="Q220">
            <v>7.6394431258124975E-4</v>
          </cell>
          <cell r="R220">
            <v>1057.852556</v>
          </cell>
          <cell r="S220">
            <v>7.6394431258124975E-4</v>
          </cell>
          <cell r="U220">
            <v>1850</v>
          </cell>
          <cell r="V220">
            <v>2431.9023939999997</v>
          </cell>
          <cell r="W220">
            <v>1.306844592000763E-3</v>
          </cell>
          <cell r="X220">
            <v>2431.9023939999997</v>
          </cell>
          <cell r="Y220">
            <v>1.306844592000763E-3</v>
          </cell>
          <cell r="AA220">
            <v>1950</v>
          </cell>
          <cell r="AB220">
            <v>4.3614454160000005</v>
          </cell>
          <cell r="AC220">
            <v>2.303089001455521E-2</v>
          </cell>
          <cell r="AD220">
            <v>4.3614454160000005</v>
          </cell>
          <cell r="AE220">
            <v>9.4112558631060921E-5</v>
          </cell>
          <cell r="AG220">
            <v>1040</v>
          </cell>
          <cell r="AH220">
            <v>1040</v>
          </cell>
          <cell r="AJ220">
            <v>11669.229567334709</v>
          </cell>
          <cell r="AK220">
            <v>11604.302036860125</v>
          </cell>
        </row>
        <row r="221">
          <cell r="B221" t="str">
            <v>Spain</v>
          </cell>
          <cell r="C221" t="str">
            <v>ESP</v>
          </cell>
          <cell r="D221" t="str">
            <v>ESP</v>
          </cell>
          <cell r="E221" t="str">
            <v/>
          </cell>
          <cell r="F221" t="str">
            <v>Spain</v>
          </cell>
          <cell r="G221" t="str">
            <v/>
          </cell>
          <cell r="I221">
            <v>1830</v>
          </cell>
          <cell r="J221">
            <v>11338.593939999999</v>
          </cell>
          <cell r="K221">
            <v>9.6583018807590813E-3</v>
          </cell>
          <cell r="L221">
            <v>11338.593939999999</v>
          </cell>
          <cell r="M221">
            <v>9.6583018807590813E-3</v>
          </cell>
          <cell r="O221">
            <v>1850</v>
          </cell>
          <cell r="P221">
            <v>10545.631069999999</v>
          </cell>
          <cell r="Q221">
            <v>7.6156878695546855E-3</v>
          </cell>
          <cell r="R221">
            <v>10545.631069999999</v>
          </cell>
          <cell r="S221">
            <v>7.6156878695546855E-3</v>
          </cell>
          <cell r="U221">
            <v>1850</v>
          </cell>
          <cell r="V221">
            <v>13679.92016</v>
          </cell>
          <cell r="W221">
            <v>7.3512529631969319E-3</v>
          </cell>
          <cell r="X221">
            <v>13679.92016</v>
          </cell>
          <cell r="Y221">
            <v>7.3512529631969319E-3</v>
          </cell>
          <cell r="AA221">
            <v>1830</v>
          </cell>
          <cell r="AB221">
            <v>268.65904240000003</v>
          </cell>
          <cell r="AC221">
            <v>1.4186711667263761</v>
          </cell>
          <cell r="AD221">
            <v>268.65904240000003</v>
          </cell>
          <cell r="AE221">
            <v>5.7972042449228904E-3</v>
          </cell>
          <cell r="AG221">
            <v>29690</v>
          </cell>
          <cell r="AH221">
            <v>40810</v>
          </cell>
          <cell r="AJ221">
            <v>1407935.6368035895</v>
          </cell>
          <cell r="AK221">
            <v>1935050.7881816889</v>
          </cell>
        </row>
        <row r="222">
          <cell r="B222" t="str">
            <v>Sri Lanka</v>
          </cell>
          <cell r="C222" t="str">
            <v>LKA</v>
          </cell>
          <cell r="D222" t="str">
            <v>LKA</v>
          </cell>
          <cell r="E222" t="str">
            <v/>
          </cell>
          <cell r="F222" t="str">
            <v>Sri Lanka</v>
          </cell>
          <cell r="G222" t="str">
            <v/>
          </cell>
          <cell r="I222">
            <v>1950</v>
          </cell>
          <cell r="J222">
            <v>445.93759300000022</v>
          </cell>
          <cell r="K222">
            <v>3.7985308548522554E-4</v>
          </cell>
          <cell r="L222">
            <v>445.93759300000022</v>
          </cell>
          <cell r="M222">
            <v>3.7985308548522554E-4</v>
          </cell>
          <cell r="O222">
            <v>1850</v>
          </cell>
          <cell r="P222">
            <v>1132.0215920000001</v>
          </cell>
          <cell r="Q222">
            <v>8.1750660999260468E-4</v>
          </cell>
          <cell r="R222">
            <v>1132.0215920000001</v>
          </cell>
          <cell r="S222">
            <v>8.1750660999260468E-4</v>
          </cell>
          <cell r="U222">
            <v>1850</v>
          </cell>
          <cell r="V222">
            <v>1473.1981860000005</v>
          </cell>
          <cell r="W222">
            <v>7.9166050704559444E-4</v>
          </cell>
          <cell r="X222">
            <v>1473.1981860000005</v>
          </cell>
          <cell r="Y222">
            <v>7.9166050704559444E-4</v>
          </cell>
          <cell r="AA222">
            <v>1950</v>
          </cell>
          <cell r="AB222">
            <v>22.553109669999998</v>
          </cell>
          <cell r="AC222">
            <v>0.11909313054577764</v>
          </cell>
          <cell r="AD222">
            <v>22.553109669999998</v>
          </cell>
          <cell r="AE222">
            <v>4.8665766819965206E-4</v>
          </cell>
          <cell r="AG222">
            <v>4030</v>
          </cell>
          <cell r="AH222">
            <v>14370</v>
          </cell>
          <cell r="AJ222">
            <v>89243.749877029317</v>
          </cell>
          <cell r="AK222">
            <v>318346.97412781836</v>
          </cell>
        </row>
        <row r="223">
          <cell r="B223" t="str">
            <v>Sudan</v>
          </cell>
          <cell r="C223" t="str">
            <v>SDN</v>
          </cell>
          <cell r="D223" t="str">
            <v>SDN</v>
          </cell>
          <cell r="E223" t="str">
            <v/>
          </cell>
          <cell r="F223" t="str">
            <v>Sudan</v>
          </cell>
          <cell r="G223" t="str">
            <v/>
          </cell>
          <cell r="I223">
            <v>1950</v>
          </cell>
          <cell r="J223">
            <v>405.88335399999994</v>
          </cell>
          <cell r="K223">
            <v>3.4573457538483856E-4</v>
          </cell>
          <cell r="L223">
            <v>405.88335399999994</v>
          </cell>
          <cell r="M223">
            <v>3.4573457538483856E-4</v>
          </cell>
          <cell r="O223">
            <v>1850</v>
          </cell>
          <cell r="P223">
            <v>2163.6140590000005</v>
          </cell>
          <cell r="Q223">
            <v>1.562486799903221E-3</v>
          </cell>
          <cell r="R223">
            <v>2163.6140590000005</v>
          </cell>
          <cell r="S223">
            <v>1.562486799903221E-3</v>
          </cell>
          <cell r="U223">
            <v>1850</v>
          </cell>
          <cell r="V223">
            <v>4976.3868839999996</v>
          </cell>
          <cell r="W223">
            <v>2.6741880361251572E-3</v>
          </cell>
          <cell r="X223">
            <v>4976.3868839999996</v>
          </cell>
          <cell r="Y223">
            <v>2.6741880361251572E-3</v>
          </cell>
          <cell r="AA223">
            <v>1950</v>
          </cell>
          <cell r="AB223">
            <v>12.944166879999999</v>
          </cell>
          <cell r="AC223">
            <v>6.8352496777716917E-2</v>
          </cell>
          <cell r="AD223">
            <v>12.944166879999999</v>
          </cell>
          <cell r="AE223">
            <v>2.7931305982994254E-4</v>
          </cell>
          <cell r="AG223">
            <v>650</v>
          </cell>
          <cell r="AH223">
            <v>3910</v>
          </cell>
          <cell r="AJ223">
            <v>29894.006157522628</v>
          </cell>
          <cell r="AK223">
            <v>178370.22533295988</v>
          </cell>
        </row>
        <row r="224">
          <cell r="B224" t="str">
            <v>Suriname</v>
          </cell>
          <cell r="C224" t="str">
            <v>SUR</v>
          </cell>
          <cell r="D224" t="str">
            <v>SUR</v>
          </cell>
          <cell r="E224" t="str">
            <v/>
          </cell>
          <cell r="F224" t="str">
            <v>Suriname</v>
          </cell>
          <cell r="G224" t="str">
            <v/>
          </cell>
          <cell r="I224">
            <v>1950</v>
          </cell>
          <cell r="J224">
            <v>88.441308899999967</v>
          </cell>
          <cell r="K224">
            <v>7.5334989911955921E-5</v>
          </cell>
          <cell r="L224">
            <v>88.441308899999967</v>
          </cell>
          <cell r="M224">
            <v>7.5334989911955921E-5</v>
          </cell>
          <cell r="O224">
            <v>1850</v>
          </cell>
          <cell r="P224">
            <v>226.90386899999999</v>
          </cell>
          <cell r="Q224">
            <v>1.6386208006215842E-4</v>
          </cell>
          <cell r="R224">
            <v>226.90386899999999</v>
          </cell>
          <cell r="S224">
            <v>1.6386208006215842E-4</v>
          </cell>
          <cell r="U224">
            <v>1850</v>
          </cell>
          <cell r="V224">
            <v>241.97299979999991</v>
          </cell>
          <cell r="W224">
            <v>1.3003034454796118E-4</v>
          </cell>
          <cell r="X224">
            <v>241.97299979999991</v>
          </cell>
          <cell r="Y224">
            <v>1.3003034454796118E-4</v>
          </cell>
          <cell r="AA224">
            <v>1950</v>
          </cell>
          <cell r="AB224">
            <v>186.12045939999999</v>
          </cell>
          <cell r="AC224">
            <v>0.98282092770776242</v>
          </cell>
          <cell r="AD224">
            <v>186.12045939999999</v>
          </cell>
          <cell r="AE224">
            <v>4.0161622987333265E-3</v>
          </cell>
          <cell r="AG224">
            <v>4410</v>
          </cell>
          <cell r="AH224">
            <v>14090</v>
          </cell>
          <cell r="AJ224">
            <v>2702.729573996789</v>
          </cell>
          <cell r="AK224">
            <v>8634.5661840662106</v>
          </cell>
        </row>
        <row r="225">
          <cell r="B225" t="str">
            <v>Sweden</v>
          </cell>
          <cell r="C225" t="str">
            <v>SWE</v>
          </cell>
          <cell r="D225" t="str">
            <v>SWE</v>
          </cell>
          <cell r="E225" t="str">
            <v/>
          </cell>
          <cell r="F225" t="str">
            <v>Sweden</v>
          </cell>
          <cell r="G225" t="str">
            <v/>
          </cell>
          <cell r="I225">
            <v>1834</v>
          </cell>
          <cell r="J225">
            <v>2353.3252299999999</v>
          </cell>
          <cell r="K225">
            <v>2.0045806045459989E-3</v>
          </cell>
          <cell r="L225">
            <v>2353.3252299999999</v>
          </cell>
          <cell r="M225">
            <v>2.0045806045459989E-3</v>
          </cell>
          <cell r="O225">
            <v>1850</v>
          </cell>
          <cell r="P225">
            <v>2375.7855499999991</v>
          </cell>
          <cell r="Q225">
            <v>1.7157096691225611E-3</v>
          </cell>
          <cell r="R225">
            <v>2375.7855499999991</v>
          </cell>
          <cell r="S225">
            <v>1.7157096691225611E-3</v>
          </cell>
          <cell r="U225">
            <v>1850</v>
          </cell>
          <cell r="V225">
            <v>3432.0630679999995</v>
          </cell>
          <cell r="W225">
            <v>1.8443063631530545E-3</v>
          </cell>
          <cell r="X225">
            <v>3432.0630679999995</v>
          </cell>
          <cell r="Y225">
            <v>1.8443063631530545E-3</v>
          </cell>
          <cell r="AA225">
            <v>1834</v>
          </cell>
          <cell r="AB225">
            <v>263.9809874</v>
          </cell>
          <cell r="AC225">
            <v>1.3939683996593399</v>
          </cell>
          <cell r="AD225">
            <v>263.9809874</v>
          </cell>
          <cell r="AE225">
            <v>5.6962597910838672E-3</v>
          </cell>
          <cell r="AG225">
            <v>59540</v>
          </cell>
          <cell r="AH225">
            <v>61000</v>
          </cell>
          <cell r="AJ225">
            <v>620153.6696041337</v>
          </cell>
          <cell r="AK225">
            <v>635374.59175824991</v>
          </cell>
        </row>
        <row r="226">
          <cell r="B226" t="str">
            <v>Switzerland</v>
          </cell>
          <cell r="C226" t="str">
            <v>CHE</v>
          </cell>
          <cell r="D226" t="str">
            <v>CHE</v>
          </cell>
          <cell r="E226" t="str">
            <v/>
          </cell>
          <cell r="F226" t="str">
            <v>Switzerland</v>
          </cell>
          <cell r="G226" t="str">
            <v/>
          </cell>
          <cell r="I226">
            <v>1858</v>
          </cell>
          <cell r="J226">
            <v>1793.8605580000003</v>
          </cell>
          <cell r="K226">
            <v>1.5280242764519477E-3</v>
          </cell>
          <cell r="L226">
            <v>1793.8605580000003</v>
          </cell>
          <cell r="M226">
            <v>1.5280242764519477E-3</v>
          </cell>
          <cell r="O226">
            <v>1850</v>
          </cell>
          <cell r="P226">
            <v>1785.3600760000002</v>
          </cell>
          <cell r="Q226">
            <v>1.2893249330768058E-3</v>
          </cell>
          <cell r="R226">
            <v>1785.3600760000002</v>
          </cell>
          <cell r="S226">
            <v>1.2893249330768058E-3</v>
          </cell>
          <cell r="U226">
            <v>1850</v>
          </cell>
          <cell r="V226">
            <v>2148.3021920000001</v>
          </cell>
          <cell r="W226">
            <v>1.1544448118169766E-3</v>
          </cell>
          <cell r="X226">
            <v>2148.3021920000001</v>
          </cell>
          <cell r="Y226">
            <v>1.1544448118169766E-3</v>
          </cell>
          <cell r="AA226">
            <v>1858</v>
          </cell>
          <cell r="AB226">
            <v>248.00718829999997</v>
          </cell>
          <cell r="AC226">
            <v>1.3096177371846724</v>
          </cell>
          <cell r="AD226">
            <v>248.00718829999997</v>
          </cell>
          <cell r="AE226">
            <v>5.3515724315116161E-3</v>
          </cell>
          <cell r="AG226">
            <v>90600</v>
          </cell>
          <cell r="AH226">
            <v>75680</v>
          </cell>
          <cell r="AJ226">
            <v>788512.43485883612</v>
          </cell>
          <cell r="AK226">
            <v>658659.85023063049</v>
          </cell>
        </row>
        <row r="227">
          <cell r="B227" t="str">
            <v>Syria</v>
          </cell>
          <cell r="C227" t="str">
            <v>SYR</v>
          </cell>
          <cell r="D227" t="str">
            <v>SYR</v>
          </cell>
          <cell r="E227" t="str">
            <v/>
          </cell>
          <cell r="F227" t="str">
            <v>Syrian Arab Republic</v>
          </cell>
          <cell r="G227" t="str">
            <v>diff</v>
          </cell>
          <cell r="I227">
            <v>1931</v>
          </cell>
          <cell r="J227">
            <v>1735.9555459999997</v>
          </cell>
          <cell r="K227">
            <v>1.4787003400569749E-3</v>
          </cell>
          <cell r="L227">
            <v>1735.9555459999997</v>
          </cell>
          <cell r="M227">
            <v>1.4787003400569749E-3</v>
          </cell>
          <cell r="O227">
            <v>1850</v>
          </cell>
          <cell r="P227">
            <v>1696.091226</v>
          </cell>
          <cell r="Q227">
            <v>1.2248580753267651E-3</v>
          </cell>
          <cell r="R227">
            <v>1696.091226</v>
          </cell>
          <cell r="S227">
            <v>1.2248580753267651E-3</v>
          </cell>
          <cell r="U227">
            <v>1850</v>
          </cell>
          <cell r="V227">
            <v>2829.3969959999999</v>
          </cell>
          <cell r="W227">
            <v>1.5204484242330183E-3</v>
          </cell>
          <cell r="X227">
            <v>2829.3969959999999</v>
          </cell>
          <cell r="Y227">
            <v>1.5204484242330183E-3</v>
          </cell>
          <cell r="AA227">
            <v>1931</v>
          </cell>
          <cell r="AB227">
            <v>111.90513159999998</v>
          </cell>
          <cell r="AC227">
            <v>0.59092216733681246</v>
          </cell>
          <cell r="AD227">
            <v>111.90513159999998</v>
          </cell>
          <cell r="AE227">
            <v>2.4147220139878476E-3</v>
          </cell>
          <cell r="AG227">
            <v>760</v>
          </cell>
          <cell r="AH227" t="str">
            <v/>
          </cell>
          <cell r="AJ227">
            <v>15714.124567010738</v>
          </cell>
          <cell r="AK227" t="e">
            <v>#VALUE!</v>
          </cell>
        </row>
        <row r="228">
          <cell r="B228" t="str">
            <v>Taiwan</v>
          </cell>
          <cell r="C228" t="str">
            <v>TWN</v>
          </cell>
          <cell r="D228" t="str">
            <v>TWN</v>
          </cell>
          <cell r="E228" t="str">
            <v/>
          </cell>
          <cell r="F228" t="e">
            <v>#N/A</v>
          </cell>
          <cell r="G228" t="str">
            <v/>
          </cell>
          <cell r="I228">
            <v>1896</v>
          </cell>
          <cell r="J228">
            <v>8505.7187200000026</v>
          </cell>
          <cell r="K228">
            <v>7.2452368913904115E-3</v>
          </cell>
          <cell r="L228">
            <v>8505.7187200000026</v>
          </cell>
          <cell r="M228">
            <v>7.2452368913904115E-3</v>
          </cell>
          <cell r="O228">
            <v>1850</v>
          </cell>
          <cell r="P228">
            <v>8654.1473699999988</v>
          </cell>
          <cell r="Q228">
            <v>6.249724147333326E-3</v>
          </cell>
          <cell r="R228">
            <v>8654.1473699999988</v>
          </cell>
          <cell r="S228">
            <v>6.249724147333326E-3</v>
          </cell>
          <cell r="U228">
            <v>1850</v>
          </cell>
          <cell r="V228">
            <v>9449.3302339999991</v>
          </cell>
          <cell r="W228">
            <v>5.0778378872438435E-3</v>
          </cell>
          <cell r="X228">
            <v>9449.3302339999991</v>
          </cell>
          <cell r="Y228">
            <v>5.0778378872438435E-3</v>
          </cell>
          <cell r="AA228">
            <v>1896</v>
          </cell>
          <cell r="AB228">
            <v>381.75251229999992</v>
          </cell>
          <cell r="AC228">
            <v>2.0158684300639274</v>
          </cell>
          <cell r="AD228">
            <v>381.75251229999992</v>
          </cell>
          <cell r="AE228">
            <v>8.237568574075798E-3</v>
          </cell>
          <cell r="AG228">
            <v>32312.46702</v>
          </cell>
          <cell r="AH228">
            <v>64043.98114744074</v>
          </cell>
          <cell r="AJ228">
            <v>758317.86195379053</v>
          </cell>
          <cell r="AK228">
            <v>1503001.7616629549</v>
          </cell>
        </row>
        <row r="229">
          <cell r="B229" t="str">
            <v>Tajikistan</v>
          </cell>
          <cell r="C229" t="str">
            <v>TJK</v>
          </cell>
          <cell r="D229" t="str">
            <v>TJK</v>
          </cell>
          <cell r="E229" t="str">
            <v/>
          </cell>
          <cell r="F229" t="str">
            <v>Tajikistan</v>
          </cell>
          <cell r="G229" t="str">
            <v/>
          </cell>
          <cell r="I229">
            <v>1830</v>
          </cell>
          <cell r="J229">
            <v>277.40735099999995</v>
          </cell>
          <cell r="K229">
            <v>2.3629772386925201E-4</v>
          </cell>
          <cell r="L229">
            <v>277.40735099999995</v>
          </cell>
          <cell r="M229">
            <v>2.3629772386925201E-4</v>
          </cell>
          <cell r="O229">
            <v>1850</v>
          </cell>
          <cell r="P229">
            <v>265.97567099999998</v>
          </cell>
          <cell r="Q229">
            <v>1.9207837613376399E-4</v>
          </cell>
          <cell r="R229">
            <v>265.97567099999998</v>
          </cell>
          <cell r="S229">
            <v>1.9207837613376399E-4</v>
          </cell>
          <cell r="U229">
            <v>1850</v>
          </cell>
          <cell r="V229">
            <v>621.6468235000001</v>
          </cell>
          <cell r="W229">
            <v>3.3405772839805348E-4</v>
          </cell>
          <cell r="X229">
            <v>621.6468235000001</v>
          </cell>
          <cell r="Y229">
            <v>3.3405772839805348E-4</v>
          </cell>
          <cell r="AA229">
            <v>1830</v>
          </cell>
          <cell r="AB229">
            <v>49.129807609999993</v>
          </cell>
          <cell r="AC229">
            <v>0.25943307495062029</v>
          </cell>
          <cell r="AD229">
            <v>49.129807609999993</v>
          </cell>
          <cell r="AE229">
            <v>1.0601375136478073E-3</v>
          </cell>
          <cell r="AG229">
            <v>1150</v>
          </cell>
          <cell r="AH229">
            <v>5180</v>
          </cell>
          <cell r="AJ229">
            <v>11224.533778228471</v>
          </cell>
          <cell r="AK229">
            <v>50515.32342678545</v>
          </cell>
        </row>
        <row r="230">
          <cell r="B230" t="str">
            <v>Tanzania</v>
          </cell>
          <cell r="C230" t="str">
            <v>TZA</v>
          </cell>
          <cell r="D230" t="str">
            <v>TZA</v>
          </cell>
          <cell r="E230" t="str">
            <v/>
          </cell>
          <cell r="F230" t="str">
            <v>United Republic of Tanzania</v>
          </cell>
          <cell r="G230" t="str">
            <v>diff</v>
          </cell>
          <cell r="I230">
            <v>1950</v>
          </cell>
          <cell r="J230">
            <v>220.2007399</v>
          </cell>
          <cell r="K230">
            <v>1.8756869075432393E-4</v>
          </cell>
          <cell r="L230">
            <v>220.2007399</v>
          </cell>
          <cell r="M230">
            <v>1.8756869075432393E-4</v>
          </cell>
          <cell r="O230">
            <v>1850</v>
          </cell>
          <cell r="P230">
            <v>4288.9628079999993</v>
          </cell>
          <cell r="Q230">
            <v>3.0973397241988664E-3</v>
          </cell>
          <cell r="R230">
            <v>4288.9628079999993</v>
          </cell>
          <cell r="S230">
            <v>3.0973397241988664E-3</v>
          </cell>
          <cell r="U230">
            <v>1850</v>
          </cell>
          <cell r="V230">
            <v>7416.1032300000015</v>
          </cell>
          <cell r="W230">
            <v>3.9852316539332674E-3</v>
          </cell>
          <cell r="X230">
            <v>7416.1032300000015</v>
          </cell>
          <cell r="Y230">
            <v>3.9852316539332674E-3</v>
          </cell>
          <cell r="AA230">
            <v>1950</v>
          </cell>
          <cell r="AB230">
            <v>5.3910868650000001</v>
          </cell>
          <cell r="AC230">
            <v>2.8467977196559795E-2</v>
          </cell>
          <cell r="AD230">
            <v>5.3910868650000001</v>
          </cell>
          <cell r="AE230">
            <v>1.1633046622712907E-4</v>
          </cell>
          <cell r="AG230">
            <v>1100</v>
          </cell>
          <cell r="AH230">
            <v>2830</v>
          </cell>
          <cell r="AJ230">
            <v>67787.885979376035</v>
          </cell>
          <cell r="AK230">
            <v>174485.59532974972</v>
          </cell>
        </row>
        <row r="231">
          <cell r="B231" t="str">
            <v>Thailand</v>
          </cell>
          <cell r="C231" t="str">
            <v>THA</v>
          </cell>
          <cell r="D231" t="str">
            <v>THA</v>
          </cell>
          <cell r="E231" t="str">
            <v/>
          </cell>
          <cell r="F231" t="str">
            <v>Thailand</v>
          </cell>
          <cell r="G231" t="str">
            <v/>
          </cell>
          <cell r="I231">
            <v>1931</v>
          </cell>
          <cell r="J231">
            <v>7450.7760120000021</v>
          </cell>
          <cell r="K231">
            <v>6.346628545886023E-3</v>
          </cell>
          <cell r="L231">
            <v>7450.7760120000021</v>
          </cell>
          <cell r="M231">
            <v>6.346628545886023E-3</v>
          </cell>
          <cell r="O231">
            <v>1850</v>
          </cell>
          <cell r="P231">
            <v>12375.778389999999</v>
          </cell>
          <cell r="Q231">
            <v>8.9373565920716404E-3</v>
          </cell>
          <cell r="R231">
            <v>12375.778389999999</v>
          </cell>
          <cell r="S231">
            <v>8.9373565920716404E-3</v>
          </cell>
          <cell r="U231">
            <v>1850</v>
          </cell>
          <cell r="V231">
            <v>15773.462459999999</v>
          </cell>
          <cell r="W231">
            <v>8.4762711545642942E-3</v>
          </cell>
          <cell r="X231">
            <v>15773.462459999999</v>
          </cell>
          <cell r="Y231">
            <v>8.4762711545642942E-3</v>
          </cell>
          <cell r="AA231">
            <v>1931</v>
          </cell>
          <cell r="AB231">
            <v>114.87405032999999</v>
          </cell>
          <cell r="AC231">
            <v>0.60659973158694436</v>
          </cell>
          <cell r="AD231">
            <v>114.87405032999999</v>
          </cell>
          <cell r="AE231">
            <v>2.4787862200932255E-3</v>
          </cell>
          <cell r="AG231">
            <v>7090</v>
          </cell>
          <cell r="AH231">
            <v>18120</v>
          </cell>
          <cell r="AJ231">
            <v>507856.66711369512</v>
          </cell>
          <cell r="AK231">
            <v>1297090.8582654728</v>
          </cell>
        </row>
        <row r="232">
          <cell r="B232" t="str">
            <v>Togo</v>
          </cell>
          <cell r="C232" t="str">
            <v>TGO</v>
          </cell>
          <cell r="D232" t="str">
            <v>TGO</v>
          </cell>
          <cell r="E232" t="str">
            <v/>
          </cell>
          <cell r="F232" t="str">
            <v>Togo</v>
          </cell>
          <cell r="G232" t="str">
            <v/>
          </cell>
          <cell r="I232">
            <v>1950</v>
          </cell>
          <cell r="J232">
            <v>63.228068120000003</v>
          </cell>
          <cell r="K232">
            <v>5.3858156705465314E-5</v>
          </cell>
          <cell r="L232">
            <v>63.228068120000003</v>
          </cell>
          <cell r="M232">
            <v>5.3858156705465314E-5</v>
          </cell>
          <cell r="O232">
            <v>1850</v>
          </cell>
          <cell r="P232">
            <v>284.09398949999996</v>
          </cell>
          <cell r="Q232">
            <v>2.0516279540666181E-4</v>
          </cell>
          <cell r="R232">
            <v>284.09398949999996</v>
          </cell>
          <cell r="S232">
            <v>2.0516279540666181E-4</v>
          </cell>
          <cell r="U232">
            <v>1850</v>
          </cell>
          <cell r="V232">
            <v>428.52234950000008</v>
          </cell>
          <cell r="W232">
            <v>2.3027738135263993E-4</v>
          </cell>
          <cell r="X232">
            <v>428.52234950000008</v>
          </cell>
          <cell r="Y232">
            <v>2.3027738135263993E-4</v>
          </cell>
          <cell r="AA232">
            <v>1950</v>
          </cell>
          <cell r="AB232">
            <v>11.926815929999998</v>
          </cell>
          <cell r="AC232">
            <v>6.298031035766033E-2</v>
          </cell>
          <cell r="AD232">
            <v>11.926815929999998</v>
          </cell>
          <cell r="AE232">
            <v>2.573603602549353E-4</v>
          </cell>
          <cell r="AG232">
            <v>960</v>
          </cell>
          <cell r="AH232">
            <v>2340</v>
          </cell>
          <cell r="AJ232">
            <v>8303.9280508698557</v>
          </cell>
          <cell r="AK232">
            <v>20233.312944695568</v>
          </cell>
        </row>
        <row r="233">
          <cell r="B233" t="str">
            <v>Tonga</v>
          </cell>
          <cell r="C233" t="str">
            <v>TON</v>
          </cell>
          <cell r="D233" t="str">
            <v>TON</v>
          </cell>
          <cell r="E233" t="str">
            <v/>
          </cell>
          <cell r="F233" t="str">
            <v>Tonga</v>
          </cell>
          <cell r="G233" t="str">
            <v/>
          </cell>
          <cell r="I233">
            <v>1950</v>
          </cell>
          <cell r="J233">
            <v>4.1372490099999997</v>
          </cell>
          <cell r="K233">
            <v>3.5241406567604488E-6</v>
          </cell>
          <cell r="L233">
            <v>4.1372490099999997</v>
          </cell>
          <cell r="M233">
            <v>3.5241406567604488E-6</v>
          </cell>
          <cell r="O233">
            <v>1850</v>
          </cell>
          <cell r="P233">
            <v>4.2105290099999992</v>
          </cell>
          <cell r="Q233">
            <v>3.0406975640448889E-6</v>
          </cell>
          <cell r="R233">
            <v>4.2105290099999992</v>
          </cell>
          <cell r="S233">
            <v>3.0406975640448889E-6</v>
          </cell>
          <cell r="U233">
            <v>1850</v>
          </cell>
          <cell r="V233">
            <v>10.055224629999998</v>
          </cell>
          <cell r="W233">
            <v>5.4034306481579835E-6</v>
          </cell>
          <cell r="X233">
            <v>10.055224629999998</v>
          </cell>
          <cell r="Y233">
            <v>5.4034306481579835E-6</v>
          </cell>
          <cell r="AA233">
            <v>1950</v>
          </cell>
          <cell r="AB233">
            <v>40.046150250000011</v>
          </cell>
          <cell r="AC233">
            <v>0.21146624431676775</v>
          </cell>
          <cell r="AD233">
            <v>40.046150250000011</v>
          </cell>
          <cell r="AE233">
            <v>8.6412766958526128E-4</v>
          </cell>
          <cell r="AG233">
            <v>4930</v>
          </cell>
          <cell r="AH233">
            <v>7130</v>
          </cell>
          <cell r="AJ233">
            <v>522.26875893155602</v>
          </cell>
          <cell r="AK233">
            <v>755.37649847871535</v>
          </cell>
        </row>
        <row r="234">
          <cell r="B234" t="str">
            <v>Trinidad and Tobago</v>
          </cell>
          <cell r="C234" t="str">
            <v>TTO</v>
          </cell>
          <cell r="D234" t="str">
            <v>TTO</v>
          </cell>
          <cell r="E234" t="str">
            <v/>
          </cell>
          <cell r="F234" t="str">
            <v>Trinidad and Tobago</v>
          </cell>
          <cell r="G234" t="str">
            <v/>
          </cell>
          <cell r="I234">
            <v>1909</v>
          </cell>
          <cell r="J234">
            <v>1247.413012</v>
          </cell>
          <cell r="K234">
            <v>1.0625560368098825E-3</v>
          </cell>
          <cell r="L234">
            <v>1247.413012</v>
          </cell>
          <cell r="M234">
            <v>1.0625560368098825E-3</v>
          </cell>
          <cell r="O234">
            <v>1850</v>
          </cell>
          <cell r="P234">
            <v>1217.9178119999999</v>
          </cell>
          <cell r="Q234">
            <v>8.7953787169258368E-4</v>
          </cell>
          <cell r="R234">
            <v>1217.9178119999999</v>
          </cell>
          <cell r="S234">
            <v>8.7953787169258368E-4</v>
          </cell>
          <cell r="U234">
            <v>1850</v>
          </cell>
          <cell r="V234">
            <v>1742.9147440000002</v>
          </cell>
          <cell r="W234">
            <v>9.3659955808028813E-4</v>
          </cell>
          <cell r="X234">
            <v>1742.9147440000002</v>
          </cell>
          <cell r="Y234">
            <v>9.3659955808028813E-4</v>
          </cell>
          <cell r="AA234">
            <v>1909</v>
          </cell>
          <cell r="AB234">
            <v>915.38971249999986</v>
          </cell>
          <cell r="AC234">
            <v>4.8337736181914446</v>
          </cell>
          <cell r="AD234">
            <v>915.38971249999986</v>
          </cell>
          <cell r="AE234">
            <v>1.9752549847783359E-2</v>
          </cell>
          <cell r="AG234">
            <v>15000</v>
          </cell>
          <cell r="AH234">
            <v>25210</v>
          </cell>
          <cell r="AJ234">
            <v>22888.439088317969</v>
          </cell>
          <cell r="AK234">
            <v>38469.138892819225</v>
          </cell>
        </row>
        <row r="235">
          <cell r="B235" t="str">
            <v>Tunisia</v>
          </cell>
          <cell r="C235" t="str">
            <v>TUN</v>
          </cell>
          <cell r="D235" t="str">
            <v>TUN</v>
          </cell>
          <cell r="E235" t="str">
            <v/>
          </cell>
          <cell r="F235" t="str">
            <v>Tunisia</v>
          </cell>
          <cell r="G235" t="str">
            <v/>
          </cell>
          <cell r="I235">
            <v>1916</v>
          </cell>
          <cell r="J235">
            <v>847.9477119999998</v>
          </cell>
          <cell r="K235">
            <v>7.2228840938587825E-4</v>
          </cell>
          <cell r="L235">
            <v>847.9477119999998</v>
          </cell>
          <cell r="M235">
            <v>7.2228840938587825E-4</v>
          </cell>
          <cell r="O235">
            <v>1850</v>
          </cell>
          <cell r="P235">
            <v>893.16147200000034</v>
          </cell>
          <cell r="Q235">
            <v>6.4501014142380854E-4</v>
          </cell>
          <cell r="R235">
            <v>893.16147200000034</v>
          </cell>
          <cell r="S235">
            <v>6.4501014142380854E-4</v>
          </cell>
          <cell r="U235">
            <v>1850</v>
          </cell>
          <cell r="V235">
            <v>1396.4117959999999</v>
          </cell>
          <cell r="W235">
            <v>7.5039738778622737E-4</v>
          </cell>
          <cell r="X235">
            <v>1396.4117959999999</v>
          </cell>
          <cell r="Y235">
            <v>7.5039738778622737E-4</v>
          </cell>
          <cell r="AA235">
            <v>1916</v>
          </cell>
          <cell r="AB235">
            <v>85.093371800000014</v>
          </cell>
          <cell r="AC235">
            <v>0.44934096382451527</v>
          </cell>
          <cell r="AD235">
            <v>85.093371800000014</v>
          </cell>
          <cell r="AE235">
            <v>1.8361699342294754E-3</v>
          </cell>
          <cell r="AG235">
            <v>3540</v>
          </cell>
          <cell r="AH235">
            <v>10910</v>
          </cell>
          <cell r="AJ235">
            <v>43393.753645028301</v>
          </cell>
          <cell r="AK235">
            <v>133809.56977465976</v>
          </cell>
        </row>
        <row r="236">
          <cell r="B236" t="str">
            <v>Turkey</v>
          </cell>
          <cell r="C236" t="str">
            <v>TUR</v>
          </cell>
          <cell r="D236" t="str">
            <v>TUR</v>
          </cell>
          <cell r="E236" t="str">
            <v/>
          </cell>
          <cell r="F236" t="str">
            <v>Türkiye</v>
          </cell>
          <cell r="G236" t="str">
            <v>diff</v>
          </cell>
          <cell r="I236">
            <v>1865</v>
          </cell>
          <cell r="J236">
            <v>10199.883968000002</v>
          </cell>
          <cell r="K236">
            <v>8.6883399328840268E-3</v>
          </cell>
          <cell r="L236">
            <v>10199.883968000002</v>
          </cell>
          <cell r="M236">
            <v>8.6883399328840268E-3</v>
          </cell>
          <cell r="O236">
            <v>1850</v>
          </cell>
          <cell r="P236">
            <v>10407.266380000001</v>
          </cell>
          <cell r="Q236">
            <v>7.5157657042320856E-3</v>
          </cell>
          <cell r="R236">
            <v>10407.266380000001</v>
          </cell>
          <cell r="S236">
            <v>7.5157657042320856E-3</v>
          </cell>
          <cell r="U236">
            <v>1850</v>
          </cell>
          <cell r="V236">
            <v>14353.72543</v>
          </cell>
          <cell r="W236">
            <v>7.713339359153297E-3</v>
          </cell>
          <cell r="X236">
            <v>14353.72543</v>
          </cell>
          <cell r="Y236">
            <v>7.713339359153297E-3</v>
          </cell>
          <cell r="AA236">
            <v>1865</v>
          </cell>
          <cell r="AB236">
            <v>150.30485229999999</v>
          </cell>
          <cell r="AC236">
            <v>0.79369433566132819</v>
          </cell>
          <cell r="AD236">
            <v>150.30485229999999</v>
          </cell>
          <cell r="AE236">
            <v>3.2433225399826258E-3</v>
          </cell>
          <cell r="AG236">
            <v>9900</v>
          </cell>
          <cell r="AH236">
            <v>30000</v>
          </cell>
          <cell r="AJ236">
            <v>839644.66977389762</v>
          </cell>
          <cell r="AK236">
            <v>2543673.5096490947</v>
          </cell>
        </row>
        <row r="237">
          <cell r="B237" t="str">
            <v>Turkmenistan</v>
          </cell>
          <cell r="C237" t="str">
            <v>TKM</v>
          </cell>
          <cell r="D237" t="str">
            <v>TKM</v>
          </cell>
          <cell r="E237" t="str">
            <v/>
          </cell>
          <cell r="F237" t="str">
            <v>Turkmenistan</v>
          </cell>
          <cell r="G237" t="str">
            <v/>
          </cell>
          <cell r="I237">
            <v>1830</v>
          </cell>
          <cell r="J237">
            <v>1959.3944140000003</v>
          </cell>
          <cell r="K237">
            <v>1.6690272933334309E-3</v>
          </cell>
          <cell r="L237">
            <v>1959.3944140000003</v>
          </cell>
          <cell r="M237">
            <v>1.6690272933334309E-3</v>
          </cell>
          <cell r="O237">
            <v>1850</v>
          </cell>
          <cell r="P237">
            <v>2014.6108979999999</v>
          </cell>
          <cell r="Q237">
            <v>1.4548819009435792E-3</v>
          </cell>
          <cell r="R237">
            <v>2014.6108979999999</v>
          </cell>
          <cell r="S237">
            <v>1.4548819009435792E-3</v>
          </cell>
          <cell r="U237">
            <v>1850</v>
          </cell>
          <cell r="V237">
            <v>3902.9955060000002</v>
          </cell>
          <cell r="W237">
            <v>2.0973738840027564E-3</v>
          </cell>
          <cell r="X237">
            <v>3902.9955060000002</v>
          </cell>
          <cell r="Y237">
            <v>2.0973738840027564E-3</v>
          </cell>
          <cell r="AA237">
            <v>1830</v>
          </cell>
          <cell r="AB237">
            <v>423.80543850000004</v>
          </cell>
          <cell r="AC237">
            <v>2.2379315824650554</v>
          </cell>
          <cell r="AD237">
            <v>423.80543850000004</v>
          </cell>
          <cell r="AE237">
            <v>9.1449990484057751E-3</v>
          </cell>
          <cell r="AG237">
            <v>6970</v>
          </cell>
          <cell r="AH237">
            <v>15050</v>
          </cell>
          <cell r="AJ237">
            <v>42916.721694140724</v>
          </cell>
          <cell r="AK237">
            <v>92705.238126726079</v>
          </cell>
        </row>
        <row r="238">
          <cell r="B238" t="str">
            <v>Turks and Caicos Islands</v>
          </cell>
          <cell r="C238" t="str">
            <v>TCA</v>
          </cell>
          <cell r="D238" t="str">
            <v>TCA</v>
          </cell>
          <cell r="E238" t="str">
            <v/>
          </cell>
          <cell r="F238" t="str">
            <v>Turks and Caicos Islands</v>
          </cell>
          <cell r="G238" t="str">
            <v/>
          </cell>
          <cell r="I238">
            <v>1990</v>
          </cell>
          <cell r="J238">
            <v>6.4363439800000002</v>
          </cell>
          <cell r="K238">
            <v>5.4825275070434701E-6</v>
          </cell>
          <cell r="L238">
            <v>6.4363439800000002</v>
          </cell>
          <cell r="M238">
            <v>5.4825275070434701E-6</v>
          </cell>
          <cell r="O238">
            <v>1850</v>
          </cell>
          <cell r="P238">
            <v>6.9126639800000005</v>
          </cell>
          <cell r="Q238">
            <v>4.9920854303879622E-6</v>
          </cell>
          <cell r="R238">
            <v>6.9126639800000005</v>
          </cell>
          <cell r="S238">
            <v>4.9920854303879622E-6</v>
          </cell>
          <cell r="U238">
            <v>1850</v>
          </cell>
          <cell r="V238">
            <v>7.3462859791999993</v>
          </cell>
          <cell r="W238">
            <v>3.9477135788405119E-6</v>
          </cell>
          <cell r="X238">
            <v>7.3462859791999993</v>
          </cell>
          <cell r="Y238">
            <v>3.9477135788405119E-6</v>
          </cell>
          <cell r="AA238">
            <v>1990</v>
          </cell>
          <cell r="AB238">
            <v>230.67794550000005</v>
          </cell>
          <cell r="AC238">
            <v>1.2181095680125467</v>
          </cell>
          <cell r="AD238">
            <v>230.67794550000005</v>
          </cell>
          <cell r="AE238">
            <v>4.9776369070490345E-3</v>
          </cell>
          <cell r="AG238">
            <v>21410</v>
          </cell>
          <cell r="AH238">
            <v>20550</v>
          </cell>
          <cell r="AJ238">
            <v>965.70802580892268</v>
          </cell>
          <cell r="AK238">
            <v>927.24165870225295</v>
          </cell>
        </row>
        <row r="239">
          <cell r="B239" t="str">
            <v>Tuvalu</v>
          </cell>
          <cell r="C239" t="str">
            <v>TUV</v>
          </cell>
          <cell r="D239" t="str">
            <v>TUV</v>
          </cell>
          <cell r="E239" t="str">
            <v/>
          </cell>
          <cell r="F239" t="str">
            <v>Tuvalu</v>
          </cell>
          <cell r="G239" t="str">
            <v/>
          </cell>
          <cell r="I239">
            <v>1990</v>
          </cell>
          <cell r="J239">
            <v>0.28681800000000002</v>
          </cell>
          <cell r="K239">
            <v>2.4431378736150055E-7</v>
          </cell>
          <cell r="L239">
            <v>0.28681800000000002</v>
          </cell>
          <cell r="M239">
            <v>2.4431378736150055E-7</v>
          </cell>
          <cell r="O239">
            <v>1990</v>
          </cell>
          <cell r="P239">
            <v>0</v>
          </cell>
          <cell r="Q239">
            <v>0</v>
          </cell>
          <cell r="R239">
            <v>0</v>
          </cell>
          <cell r="S239">
            <v>0</v>
          </cell>
          <cell r="U239">
            <v>1850</v>
          </cell>
          <cell r="V239">
            <v>0.67008742989999992</v>
          </cell>
          <cell r="W239">
            <v>3.6008852003807246E-7</v>
          </cell>
          <cell r="X239">
            <v>0.67008742989999992</v>
          </cell>
          <cell r="Y239">
            <v>3.6008852003807246E-7</v>
          </cell>
          <cell r="AA239">
            <v>1990</v>
          </cell>
          <cell r="AB239">
            <v>28.309963739999997</v>
          </cell>
          <cell r="AC239">
            <v>0.14949256474014438</v>
          </cell>
          <cell r="AD239">
            <v>28.309963739999997</v>
          </cell>
          <cell r="AE239">
            <v>6.108807673139427E-4</v>
          </cell>
          <cell r="AG239">
            <v>7200</v>
          </cell>
          <cell r="AH239">
            <v>7210</v>
          </cell>
          <cell r="AJ239">
            <v>80.66505347991594</v>
          </cell>
          <cell r="AK239">
            <v>80.75919251310853</v>
          </cell>
        </row>
        <row r="240">
          <cell r="B240" t="str">
            <v>Uganda</v>
          </cell>
          <cell r="C240" t="str">
            <v>UGA</v>
          </cell>
          <cell r="D240" t="str">
            <v>UGA</v>
          </cell>
          <cell r="E240" t="str">
            <v/>
          </cell>
          <cell r="F240" t="str">
            <v>Uganda</v>
          </cell>
          <cell r="G240" t="str">
            <v/>
          </cell>
          <cell r="I240">
            <v>1950</v>
          </cell>
          <cell r="J240">
            <v>93.347721059999998</v>
          </cell>
          <cell r="K240">
            <v>7.9514309679774294E-5</v>
          </cell>
          <cell r="L240">
            <v>93.347721059999998</v>
          </cell>
          <cell r="M240">
            <v>7.9514309679774294E-5</v>
          </cell>
          <cell r="O240">
            <v>1850</v>
          </cell>
          <cell r="P240">
            <v>1038.4398840000001</v>
          </cell>
          <cell r="Q240">
            <v>7.4992515624203193E-4</v>
          </cell>
          <cell r="R240">
            <v>1038.4398840000001</v>
          </cell>
          <cell r="S240">
            <v>7.4992515624203193E-4</v>
          </cell>
          <cell r="U240">
            <v>1850</v>
          </cell>
          <cell r="V240">
            <v>2409.4766000000009</v>
          </cell>
          <cell r="W240">
            <v>1.2947935213317558E-3</v>
          </cell>
          <cell r="X240">
            <v>2409.4766000000009</v>
          </cell>
          <cell r="Y240">
            <v>1.2947935213317558E-3</v>
          </cell>
          <cell r="AA240">
            <v>1950</v>
          </cell>
          <cell r="AB240">
            <v>3.1211876059999999</v>
          </cell>
          <cell r="AC240">
            <v>1.6481629737901293E-2</v>
          </cell>
          <cell r="AD240">
            <v>3.1211876059999999</v>
          </cell>
          <cell r="AE240">
            <v>6.7349908929415249E-5</v>
          </cell>
          <cell r="AG240">
            <v>760</v>
          </cell>
          <cell r="AH240">
            <v>2140</v>
          </cell>
          <cell r="AJ240">
            <v>34827.851694842037</v>
          </cell>
          <cell r="AK240">
            <v>97963.631678380378</v>
          </cell>
        </row>
        <row r="241">
          <cell r="B241" t="str">
            <v>Ukraine</v>
          </cell>
          <cell r="C241" t="str">
            <v>UKR</v>
          </cell>
          <cell r="D241" t="str">
            <v>UKR</v>
          </cell>
          <cell r="E241" t="str">
            <v/>
          </cell>
          <cell r="F241" t="str">
            <v>Ukraine</v>
          </cell>
          <cell r="G241" t="str">
            <v/>
          </cell>
          <cell r="I241">
            <v>1830</v>
          </cell>
          <cell r="J241">
            <v>18313.992750000005</v>
          </cell>
          <cell r="K241">
            <v>1.5600000454865327E-2</v>
          </cell>
          <cell r="L241">
            <v>18313.992750000005</v>
          </cell>
          <cell r="M241">
            <v>1.5600000454865327E-2</v>
          </cell>
          <cell r="O241">
            <v>1850</v>
          </cell>
          <cell r="P241">
            <v>18609.311090000007</v>
          </cell>
          <cell r="Q241">
            <v>1.3438997039451953E-2</v>
          </cell>
          <cell r="R241">
            <v>18609.311090000007</v>
          </cell>
          <cell r="S241">
            <v>1.3438997039451953E-2</v>
          </cell>
          <cell r="U241">
            <v>1850</v>
          </cell>
          <cell r="V241">
            <v>23935.510210000004</v>
          </cell>
          <cell r="W241">
            <v>1.2862355064862671E-2</v>
          </cell>
          <cell r="X241">
            <v>23935.510210000004</v>
          </cell>
          <cell r="Y241">
            <v>1.2862355064862671E-2</v>
          </cell>
          <cell r="AA241">
            <v>1830</v>
          </cell>
          <cell r="AB241">
            <v>372.72058559999994</v>
          </cell>
          <cell r="AC241">
            <v>1.968174766471549</v>
          </cell>
          <cell r="AD241">
            <v>372.72058559999994</v>
          </cell>
          <cell r="AE241">
            <v>8.0426749894887024E-3</v>
          </cell>
          <cell r="AG241">
            <v>4120</v>
          </cell>
          <cell r="AH241">
            <v>13860</v>
          </cell>
          <cell r="AJ241">
            <v>170654.88223354134</v>
          </cell>
          <cell r="AK241">
            <v>573525.55084031948</v>
          </cell>
        </row>
        <row r="242">
          <cell r="B242" t="str">
            <v>United Arab Emirates</v>
          </cell>
          <cell r="C242" t="str">
            <v>ARE</v>
          </cell>
          <cell r="D242" t="str">
            <v>ARE</v>
          </cell>
          <cell r="E242" t="str">
            <v/>
          </cell>
          <cell r="F242" t="str">
            <v>United Arab Emirates</v>
          </cell>
          <cell r="G242" t="str">
            <v/>
          </cell>
          <cell r="I242">
            <v>1959</v>
          </cell>
          <cell r="J242">
            <v>4802.7640360000005</v>
          </cell>
          <cell r="K242">
            <v>4.0910314953690706E-3</v>
          </cell>
          <cell r="L242">
            <v>4802.7640360000005</v>
          </cell>
          <cell r="M242">
            <v>4.0910314953690706E-3</v>
          </cell>
          <cell r="O242">
            <v>1850</v>
          </cell>
          <cell r="P242">
            <v>4804.3395459999992</v>
          </cell>
          <cell r="Q242">
            <v>3.4695268740985892E-3</v>
          </cell>
          <cell r="R242">
            <v>4804.3395459999992</v>
          </cell>
          <cell r="S242">
            <v>3.4695268740985892E-3</v>
          </cell>
          <cell r="U242">
            <v>1850</v>
          </cell>
          <cell r="V242">
            <v>6338.9678700000004</v>
          </cell>
          <cell r="W242">
            <v>3.4064055778778501E-3</v>
          </cell>
          <cell r="X242">
            <v>6338.9678700000004</v>
          </cell>
          <cell r="Y242">
            <v>3.4064055778778501E-3</v>
          </cell>
          <cell r="AA242">
            <v>1959</v>
          </cell>
          <cell r="AB242">
            <v>1174.5385659999999</v>
          </cell>
          <cell r="AC242">
            <v>6.202225627349085</v>
          </cell>
          <cell r="AD242">
            <v>1174.5385659999999</v>
          </cell>
          <cell r="AE242">
            <v>2.5344540424971168E-2</v>
          </cell>
          <cell r="AG242">
            <v>41770</v>
          </cell>
          <cell r="AH242">
            <v>71280</v>
          </cell>
          <cell r="AJ242">
            <v>387961.13674675766</v>
          </cell>
          <cell r="AK242">
            <v>661994.62821502157</v>
          </cell>
        </row>
        <row r="243">
          <cell r="B243" t="str">
            <v>United Kingdom</v>
          </cell>
          <cell r="C243" t="str">
            <v>GBR</v>
          </cell>
          <cell r="D243" t="str">
            <v>GBR</v>
          </cell>
          <cell r="E243" t="str">
            <v/>
          </cell>
          <cell r="F243" t="str">
            <v>United Kingdom of Great Britain and Northern Ireland</v>
          </cell>
          <cell r="G243" t="str">
            <v>diff</v>
          </cell>
          <cell r="I243">
            <v>1750</v>
          </cell>
          <cell r="J243">
            <v>22664.716329999999</v>
          </cell>
          <cell r="K243">
            <v>1.9305980398916206E-2</v>
          </cell>
          <cell r="L243">
            <v>22664.716329999999</v>
          </cell>
          <cell r="M243">
            <v>1.9305980398916206E-2</v>
          </cell>
          <cell r="O243">
            <v>1850</v>
          </cell>
          <cell r="P243">
            <v>22556.225379999996</v>
          </cell>
          <cell r="Q243">
            <v>1.6289321224036288E-2</v>
          </cell>
          <cell r="R243">
            <v>22556.225379999996</v>
          </cell>
          <cell r="S243">
            <v>1.6289321224036288E-2</v>
          </cell>
          <cell r="U243">
            <v>1850</v>
          </cell>
          <cell r="V243">
            <v>28720.091939999998</v>
          </cell>
          <cell r="W243">
            <v>1.5433471724093258E-2</v>
          </cell>
          <cell r="X243">
            <v>28720.091939999998</v>
          </cell>
          <cell r="Y243">
            <v>1.5433471724093258E-2</v>
          </cell>
          <cell r="AA243">
            <v>1750</v>
          </cell>
          <cell r="AB243">
            <v>380.61925009999999</v>
          </cell>
          <cell r="AC243">
            <v>2.0098841669134351</v>
          </cell>
          <cell r="AD243">
            <v>380.61925009999999</v>
          </cell>
          <cell r="AE243">
            <v>8.2131147072795757E-3</v>
          </cell>
          <cell r="AG243">
            <v>44480</v>
          </cell>
          <cell r="AH243">
            <v>50600</v>
          </cell>
          <cell r="AJ243">
            <v>2994731.5844298494</v>
          </cell>
          <cell r="AK243">
            <v>3406403.1113824118</v>
          </cell>
        </row>
        <row r="244">
          <cell r="B244" t="str">
            <v>United States</v>
          </cell>
          <cell r="C244" t="str">
            <v>USA</v>
          </cell>
          <cell r="D244" t="str">
            <v>USA</v>
          </cell>
          <cell r="E244" t="str">
            <v/>
          </cell>
          <cell r="F244" t="str">
            <v>United States of America</v>
          </cell>
          <cell r="G244" t="str">
            <v>diff</v>
          </cell>
          <cell r="I244">
            <v>1800</v>
          </cell>
          <cell r="J244">
            <v>230180.74920000005</v>
          </cell>
          <cell r="K244">
            <v>0.19606973974701619</v>
          </cell>
          <cell r="L244">
            <v>230180.74920000005</v>
          </cell>
          <cell r="M244">
            <v>0.19606973974701619</v>
          </cell>
          <cell r="O244">
            <v>1850</v>
          </cell>
          <cell r="P244">
            <v>235079.14809999999</v>
          </cell>
          <cell r="Q244">
            <v>0.16976598220502886</v>
          </cell>
          <cell r="R244">
            <v>235079.14809999999</v>
          </cell>
          <cell r="S244">
            <v>0.16976598220502886</v>
          </cell>
          <cell r="U244">
            <v>1850</v>
          </cell>
          <cell r="V244">
            <v>271578.36739999999</v>
          </cell>
          <cell r="W244">
            <v>0.14593954165953518</v>
          </cell>
          <cell r="X244">
            <v>271578.36739999999</v>
          </cell>
          <cell r="Y244">
            <v>0.14593954165953518</v>
          </cell>
          <cell r="AA244">
            <v>1800</v>
          </cell>
          <cell r="AB244">
            <v>829.64151900000013</v>
          </cell>
          <cell r="AC244">
            <v>4.3809748267172894</v>
          </cell>
          <cell r="AD244">
            <v>829.64151900000013</v>
          </cell>
          <cell r="AE244">
            <v>1.7902249977315765E-2</v>
          </cell>
          <cell r="AG244">
            <v>70930</v>
          </cell>
          <cell r="AH244">
            <v>70480</v>
          </cell>
          <cell r="AJ244">
            <v>23539918.435375243</v>
          </cell>
          <cell r="AK244">
            <v>23393116.832630999</v>
          </cell>
        </row>
        <row r="245">
          <cell r="B245" t="str">
            <v>Upper-middle-income countries</v>
          </cell>
          <cell r="D245" t="str">
            <v/>
          </cell>
          <cell r="E245" t="str">
            <v/>
          </cell>
          <cell r="F245" t="str">
            <v/>
          </cell>
          <cell r="G245" t="str">
            <v/>
          </cell>
          <cell r="I245" t="str">
            <v/>
          </cell>
          <cell r="J245" t="str">
            <v/>
          </cell>
          <cell r="K245" t="str">
            <v/>
          </cell>
          <cell r="L245" t="str">
            <v/>
          </cell>
          <cell r="M245" t="str">
            <v/>
          </cell>
          <cell r="O245" t="str">
            <v/>
          </cell>
          <cell r="P245" t="str">
            <v/>
          </cell>
          <cell r="Q245" t="str">
            <v/>
          </cell>
          <cell r="R245" t="str">
            <v/>
          </cell>
          <cell r="S245" t="str">
            <v/>
          </cell>
          <cell r="U245" t="str">
            <v/>
          </cell>
          <cell r="V245" t="str">
            <v/>
          </cell>
          <cell r="W245" t="str">
            <v/>
          </cell>
          <cell r="X245" t="str">
            <v/>
          </cell>
          <cell r="Y245" t="str">
            <v/>
          </cell>
          <cell r="AA245" t="str">
            <v/>
          </cell>
          <cell r="AB245" t="str">
            <v/>
          </cell>
          <cell r="AC245" t="str">
            <v/>
          </cell>
          <cell r="AD245" t="str">
            <v/>
          </cell>
          <cell r="AE245" t="str">
            <v/>
          </cell>
          <cell r="AG245" t="e">
            <v>#N/A</v>
          </cell>
          <cell r="AH245" t="e">
            <v>#N/A</v>
          </cell>
          <cell r="AJ245" t="e">
            <v>#N/A</v>
          </cell>
          <cell r="AK245" t="e">
            <v>#N/A</v>
          </cell>
        </row>
        <row r="246">
          <cell r="B246" t="str">
            <v>Uruguay</v>
          </cell>
          <cell r="C246" t="str">
            <v>URY</v>
          </cell>
          <cell r="D246" t="str">
            <v>URY</v>
          </cell>
          <cell r="E246" t="str">
            <v/>
          </cell>
          <cell r="F246" t="str">
            <v>Uruguay</v>
          </cell>
          <cell r="G246" t="str">
            <v/>
          </cell>
          <cell r="I246">
            <v>1932</v>
          </cell>
          <cell r="J246">
            <v>240.67464550000003</v>
          </cell>
          <cell r="K246">
            <v>2.0500852165481777E-4</v>
          </cell>
          <cell r="L246">
            <v>240.67464550000003</v>
          </cell>
          <cell r="M246">
            <v>2.0500852165481777E-4</v>
          </cell>
          <cell r="O246">
            <v>1850</v>
          </cell>
          <cell r="P246">
            <v>395.22216650000007</v>
          </cell>
          <cell r="Q246">
            <v>2.8541569861623964E-4</v>
          </cell>
          <cell r="R246">
            <v>395.22216650000007</v>
          </cell>
          <cell r="S246">
            <v>2.8541569861623964E-4</v>
          </cell>
          <cell r="U246">
            <v>1850</v>
          </cell>
          <cell r="V246">
            <v>1493.1697040000001</v>
          </cell>
          <cell r="W246">
            <v>8.0239271009648115E-4</v>
          </cell>
          <cell r="X246">
            <v>1493.1697040000001</v>
          </cell>
          <cell r="Y246">
            <v>8.0239271009648115E-4</v>
          </cell>
          <cell r="AA246">
            <v>1932</v>
          </cell>
          <cell r="AB246">
            <v>74.004119400000008</v>
          </cell>
          <cell r="AC246">
            <v>0.39078346097669275</v>
          </cell>
          <cell r="AD246">
            <v>74.004119400000008</v>
          </cell>
          <cell r="AE246">
            <v>1.5968827674473257E-3</v>
          </cell>
          <cell r="AG246">
            <v>16080</v>
          </cell>
          <cell r="AH246">
            <v>22950</v>
          </cell>
          <cell r="AJ246">
            <v>55109.23260446835</v>
          </cell>
          <cell r="AK246">
            <v>78647.491573745283</v>
          </cell>
        </row>
        <row r="247">
          <cell r="B247" t="str">
            <v>Uzbekistan</v>
          </cell>
          <cell r="C247" t="str">
            <v>UZB</v>
          </cell>
          <cell r="D247" t="str">
            <v>UZB</v>
          </cell>
          <cell r="E247" t="str">
            <v/>
          </cell>
          <cell r="F247" t="str">
            <v>Uzbekistan</v>
          </cell>
          <cell r="G247" t="str">
            <v/>
          </cell>
          <cell r="I247">
            <v>1830</v>
          </cell>
          <cell r="J247">
            <v>4694.2223059999997</v>
          </cell>
          <cell r="K247">
            <v>3.9985748115379666E-3</v>
          </cell>
          <cell r="L247">
            <v>4694.2223059999997</v>
          </cell>
          <cell r="M247">
            <v>3.9985748115379666E-3</v>
          </cell>
          <cell r="O247">
            <v>1850</v>
          </cell>
          <cell r="P247">
            <v>4645.0880660000003</v>
          </cell>
          <cell r="Q247">
            <v>3.3545209957026724E-3</v>
          </cell>
          <cell r="R247">
            <v>4645.0880660000003</v>
          </cell>
          <cell r="S247">
            <v>3.3545209957026724E-3</v>
          </cell>
          <cell r="U247">
            <v>1850</v>
          </cell>
          <cell r="V247">
            <v>7457.6672100000005</v>
          </cell>
          <cell r="W247">
            <v>4.0075671155122517E-3</v>
          </cell>
          <cell r="X247">
            <v>7457.6672100000005</v>
          </cell>
          <cell r="Y247">
            <v>4.0075671155122517E-3</v>
          </cell>
          <cell r="AA247">
            <v>1830</v>
          </cell>
          <cell r="AB247">
            <v>196.17330809999996</v>
          </cell>
          <cell r="AC247">
            <v>1.0359056348769289</v>
          </cell>
          <cell r="AD247">
            <v>196.17330809999996</v>
          </cell>
          <cell r="AE247">
            <v>4.2330856400680959E-3</v>
          </cell>
          <cell r="AG247">
            <v>1960</v>
          </cell>
          <cell r="AH247">
            <v>8520</v>
          </cell>
          <cell r="AJ247">
            <v>68578.8958798237</v>
          </cell>
          <cell r="AK247">
            <v>297529.09639892558</v>
          </cell>
        </row>
        <row r="248">
          <cell r="B248" t="str">
            <v>Vanuatu</v>
          </cell>
          <cell r="C248" t="str">
            <v>VUT</v>
          </cell>
          <cell r="D248" t="str">
            <v>VUT</v>
          </cell>
          <cell r="E248" t="str">
            <v/>
          </cell>
          <cell r="F248" t="str">
            <v>Vanuatu</v>
          </cell>
          <cell r="G248" t="str">
            <v/>
          </cell>
          <cell r="I248">
            <v>1962</v>
          </cell>
          <cell r="J248">
            <v>3.9577129999999991</v>
          </cell>
          <cell r="K248">
            <v>3.3712104969696676E-6</v>
          </cell>
          <cell r="L248">
            <v>3.9577129999999991</v>
          </cell>
          <cell r="M248">
            <v>3.3712104969696676E-6</v>
          </cell>
          <cell r="O248">
            <v>1850</v>
          </cell>
          <cell r="P248">
            <v>56.13307313</v>
          </cell>
          <cell r="Q248">
            <v>4.0537352509238415E-5</v>
          </cell>
          <cell r="R248">
            <v>56.13307313</v>
          </cell>
          <cell r="S248">
            <v>4.0537352509238415E-5</v>
          </cell>
          <cell r="U248">
            <v>1850</v>
          </cell>
          <cell r="V248">
            <v>61.488965620000002</v>
          </cell>
          <cell r="W248">
            <v>3.3042659272211665E-5</v>
          </cell>
          <cell r="X248">
            <v>61.488965620000002</v>
          </cell>
          <cell r="Y248">
            <v>3.3042659272211665E-5</v>
          </cell>
          <cell r="AA248">
            <v>1962</v>
          </cell>
          <cell r="AB248">
            <v>19.499685030000006</v>
          </cell>
          <cell r="AC248">
            <v>0.10296932746123327</v>
          </cell>
          <cell r="AD248">
            <v>19.499685030000006</v>
          </cell>
          <cell r="AE248">
            <v>4.2076996858444603E-4</v>
          </cell>
          <cell r="AG248">
            <v>3240</v>
          </cell>
          <cell r="AH248">
            <v>3360</v>
          </cell>
          <cell r="AJ248">
            <v>1035.2982000450074</v>
          </cell>
          <cell r="AK248">
            <v>1070.7323953458215</v>
          </cell>
        </row>
        <row r="249">
          <cell r="B249" t="str">
            <v>Venezuela</v>
          </cell>
          <cell r="C249" t="str">
            <v>VEN</v>
          </cell>
          <cell r="D249" t="str">
            <v>VEN</v>
          </cell>
          <cell r="E249" t="str">
            <v/>
          </cell>
          <cell r="F249" t="str">
            <v>Venezuela (Bolivarian Republic of)</v>
          </cell>
          <cell r="G249" t="str">
            <v>diff</v>
          </cell>
          <cell r="I249">
            <v>1904</v>
          </cell>
          <cell r="J249">
            <v>5795.5032840000022</v>
          </cell>
          <cell r="K249">
            <v>4.9366544532771809E-3</v>
          </cell>
          <cell r="L249">
            <v>5795.5032840000022</v>
          </cell>
          <cell r="M249">
            <v>4.9366544532771809E-3</v>
          </cell>
          <cell r="O249">
            <v>1850</v>
          </cell>
          <cell r="P249">
            <v>6640.6048880000008</v>
          </cell>
          <cell r="Q249">
            <v>4.7956138192540767E-3</v>
          </cell>
          <cell r="R249">
            <v>6640.6048880000008</v>
          </cell>
          <cell r="S249">
            <v>4.7956138192540767E-3</v>
          </cell>
          <cell r="U249">
            <v>1850</v>
          </cell>
          <cell r="V249">
            <v>10875.237270000001</v>
          </cell>
          <cell r="W249">
            <v>5.8440852922753625E-3</v>
          </cell>
          <cell r="X249">
            <v>10875.237270000001</v>
          </cell>
          <cell r="Y249">
            <v>5.8440852922753625E-3</v>
          </cell>
          <cell r="AA249">
            <v>1904</v>
          </cell>
          <cell r="AB249">
            <v>245.34519579999997</v>
          </cell>
          <cell r="AC249">
            <v>1.2955609164201245</v>
          </cell>
          <cell r="AD249">
            <v>245.34519579999997</v>
          </cell>
          <cell r="AE249">
            <v>5.294131170338741E-3</v>
          </cell>
          <cell r="AG249">
            <v>13010</v>
          </cell>
          <cell r="AH249">
            <v>16960</v>
          </cell>
          <cell r="AJ249">
            <v>392924.52982188005</v>
          </cell>
          <cell r="AK249">
            <v>493557.71763417794</v>
          </cell>
        </row>
        <row r="250">
          <cell r="B250" t="str">
            <v>Vietnam</v>
          </cell>
          <cell r="C250" t="str">
            <v>VNM</v>
          </cell>
          <cell r="D250" t="str">
            <v>VNM</v>
          </cell>
          <cell r="E250" t="str">
            <v/>
          </cell>
          <cell r="F250" t="str">
            <v>Viet Nam</v>
          </cell>
          <cell r="G250" t="str">
            <v>diff</v>
          </cell>
          <cell r="I250">
            <v>1892</v>
          </cell>
          <cell r="J250">
            <v>4117.0899599999993</v>
          </cell>
          <cell r="K250">
            <v>3.5069690222915176E-3</v>
          </cell>
          <cell r="L250">
            <v>4117.0899599999993</v>
          </cell>
          <cell r="M250">
            <v>3.5069690222915176E-3</v>
          </cell>
          <cell r="O250">
            <v>1850</v>
          </cell>
          <cell r="P250">
            <v>8971.9266339999976</v>
          </cell>
          <cell r="Q250">
            <v>6.4792132760518031E-3</v>
          </cell>
          <cell r="R250">
            <v>8971.9266339999976</v>
          </cell>
          <cell r="S250">
            <v>6.4792132760518031E-3</v>
          </cell>
          <cell r="U250">
            <v>1850</v>
          </cell>
          <cell r="V250">
            <v>11494.612424000001</v>
          </cell>
          <cell r="W250">
            <v>6.1769222813015511E-3</v>
          </cell>
          <cell r="X250">
            <v>11494.612424000001</v>
          </cell>
          <cell r="Y250">
            <v>6.1769222813015511E-3</v>
          </cell>
          <cell r="AA250">
            <v>1892</v>
          </cell>
          <cell r="AB250">
            <v>47.452577850000011</v>
          </cell>
          <cell r="AC250">
            <v>0.25057635648981119</v>
          </cell>
          <cell r="AD250">
            <v>47.452577850000011</v>
          </cell>
          <cell r="AE250">
            <v>1.0239457540199806E-3</v>
          </cell>
          <cell r="AG250">
            <v>3590</v>
          </cell>
          <cell r="AH250">
            <v>11080</v>
          </cell>
          <cell r="AJ250">
            <v>350209.12514945836</v>
          </cell>
          <cell r="AK250">
            <v>1079770.0881435061</v>
          </cell>
        </row>
        <row r="251">
          <cell r="B251" t="str">
            <v>Wallis and Futuna</v>
          </cell>
          <cell r="C251" t="str">
            <v>WLF</v>
          </cell>
          <cell r="D251" t="str">
            <v>WLF</v>
          </cell>
          <cell r="E251" t="str">
            <v/>
          </cell>
          <cell r="F251" t="str">
            <v>Wallis and Futuna Islands</v>
          </cell>
          <cell r="G251" t="str">
            <v>diff</v>
          </cell>
          <cell r="I251">
            <v>1990</v>
          </cell>
          <cell r="J251">
            <v>0.77303100000000002</v>
          </cell>
          <cell r="K251">
            <v>6.5847377555748985E-7</v>
          </cell>
          <cell r="L251">
            <v>0.77303100000000002</v>
          </cell>
          <cell r="M251">
            <v>6.5847377555748985E-7</v>
          </cell>
          <cell r="O251">
            <v>1990</v>
          </cell>
          <cell r="P251">
            <v>0</v>
          </cell>
          <cell r="Q251">
            <v>0</v>
          </cell>
          <cell r="R251">
            <v>0</v>
          </cell>
          <cell r="S251">
            <v>0</v>
          </cell>
          <cell r="U251">
            <v>0</v>
          </cell>
          <cell r="V251">
            <v>0</v>
          </cell>
          <cell r="W251">
            <v>0</v>
          </cell>
          <cell r="X251">
            <v>0</v>
          </cell>
          <cell r="Y251">
            <v>0</v>
          </cell>
          <cell r="AA251">
            <v>1990</v>
          </cell>
          <cell r="AB251">
            <v>57.7192322</v>
          </cell>
          <cell r="AC251">
            <v>0.304790077997109</v>
          </cell>
          <cell r="AD251">
            <v>57.7192322</v>
          </cell>
          <cell r="AE251">
            <v>1.2454826568812707E-3</v>
          </cell>
          <cell r="AG251" t="e">
            <v>#N/A</v>
          </cell>
          <cell r="AH251" t="e">
            <v>#N/A</v>
          </cell>
          <cell r="AJ251" t="e">
            <v>#N/A</v>
          </cell>
          <cell r="AK251" t="e">
            <v>#N/A</v>
          </cell>
        </row>
        <row r="252">
          <cell r="B252" t="str">
            <v>Yemen</v>
          </cell>
          <cell r="C252" t="str">
            <v>YEM</v>
          </cell>
          <cell r="D252" t="str">
            <v>YEM</v>
          </cell>
          <cell r="E252" t="str">
            <v/>
          </cell>
          <cell r="F252" t="str">
            <v>Yemen</v>
          </cell>
          <cell r="G252" t="str">
            <v/>
          </cell>
          <cell r="I252">
            <v>1950</v>
          </cell>
          <cell r="J252">
            <v>569.4127625000001</v>
          </cell>
          <cell r="K252">
            <v>4.8503018840640968E-4</v>
          </cell>
          <cell r="L252">
            <v>569.4127625000001</v>
          </cell>
          <cell r="M252">
            <v>4.8503018840640968E-4</v>
          </cell>
          <cell r="O252">
            <v>1850</v>
          </cell>
          <cell r="P252">
            <v>600.99644200000023</v>
          </cell>
          <cell r="Q252">
            <v>4.3401872136466916E-4</v>
          </cell>
          <cell r="R252">
            <v>600.99644200000023</v>
          </cell>
          <cell r="S252">
            <v>4.3401872136466916E-4</v>
          </cell>
          <cell r="U252">
            <v>1850</v>
          </cell>
          <cell r="V252">
            <v>1285.6825849999998</v>
          </cell>
          <cell r="W252">
            <v>6.9089423053415985E-4</v>
          </cell>
          <cell r="X252">
            <v>1285.6825849999998</v>
          </cell>
          <cell r="Y252">
            <v>6.9089423053415985E-4</v>
          </cell>
          <cell r="AA252">
            <v>1950</v>
          </cell>
          <cell r="AB252">
            <v>29.480644939999998</v>
          </cell>
          <cell r="AC252">
            <v>0.15567442130090697</v>
          </cell>
          <cell r="AD252">
            <v>29.480644939999998</v>
          </cell>
          <cell r="AE252">
            <v>6.361420723549504E-4</v>
          </cell>
          <cell r="AG252">
            <v>840</v>
          </cell>
          <cell r="AH252">
            <v>3280</v>
          </cell>
          <cell r="AJ252">
            <v>26001.537156859544</v>
          </cell>
          <cell r="AK252">
            <v>88588.684668562637</v>
          </cell>
        </row>
        <row r="253">
          <cell r="B253" t="str">
            <v>Zambia</v>
          </cell>
          <cell r="C253" t="str">
            <v>ZMB</v>
          </cell>
          <cell r="D253" t="str">
            <v>ZMB</v>
          </cell>
          <cell r="E253" t="str">
            <v/>
          </cell>
          <cell r="F253" t="str">
            <v>Zambia</v>
          </cell>
          <cell r="G253" t="str">
            <v/>
          </cell>
          <cell r="I253">
            <v>1950</v>
          </cell>
          <cell r="J253">
            <v>146.37119299999998</v>
          </cell>
          <cell r="K253">
            <v>1.2468011255378374E-4</v>
          </cell>
          <cell r="L253">
            <v>146.37119299999998</v>
          </cell>
          <cell r="M253">
            <v>1.2468011255378374E-4</v>
          </cell>
          <cell r="O253">
            <v>1850</v>
          </cell>
          <cell r="P253">
            <v>2863.0439899999988</v>
          </cell>
          <cell r="Q253">
            <v>2.0675907624601204E-3</v>
          </cell>
          <cell r="R253">
            <v>2863.0439899999988</v>
          </cell>
          <cell r="S253">
            <v>2.0675907624601204E-3</v>
          </cell>
          <cell r="U253">
            <v>1850</v>
          </cell>
          <cell r="V253">
            <v>3047.7058459999998</v>
          </cell>
          <cell r="W253">
            <v>1.637762236132825E-3</v>
          </cell>
          <cell r="X253">
            <v>3047.7058459999998</v>
          </cell>
          <cell r="Y253">
            <v>1.637762236132825E-3</v>
          </cell>
          <cell r="AA253">
            <v>1950</v>
          </cell>
          <cell r="AB253">
            <v>13.899185690000003</v>
          </cell>
          <cell r="AC253">
            <v>7.339553436664395E-2</v>
          </cell>
          <cell r="AD253">
            <v>13.899185690000003</v>
          </cell>
          <cell r="AE253">
            <v>2.9992073805977173E-4</v>
          </cell>
          <cell r="AG253">
            <v>1030</v>
          </cell>
          <cell r="AH253">
            <v>3250</v>
          </cell>
          <cell r="AJ253">
            <v>20149.114547290286</v>
          </cell>
          <cell r="AK253">
            <v>63236.207901991387</v>
          </cell>
        </row>
        <row r="254">
          <cell r="B254" t="str">
            <v>Zimbabwe</v>
          </cell>
          <cell r="C254" t="str">
            <v>ZWE</v>
          </cell>
          <cell r="D254" t="str">
            <v>ZWE</v>
          </cell>
          <cell r="E254" t="str">
            <v/>
          </cell>
          <cell r="F254" t="str">
            <v>Zimbabwe</v>
          </cell>
          <cell r="G254" t="str">
            <v/>
          </cell>
          <cell r="I254">
            <v>1903</v>
          </cell>
          <cell r="J254">
            <v>519.36255799999992</v>
          </cell>
          <cell r="K254">
            <v>4.4239703769894832E-4</v>
          </cell>
          <cell r="L254">
            <v>519.36255799999992</v>
          </cell>
          <cell r="M254">
            <v>4.4239703769894832E-4</v>
          </cell>
          <cell r="O254">
            <v>1850</v>
          </cell>
          <cell r="P254">
            <v>1547.5908759999998</v>
          </cell>
          <cell r="Q254">
            <v>1.1176162889782097E-3</v>
          </cell>
          <cell r="R254">
            <v>1547.5908759999998</v>
          </cell>
          <cell r="S254">
            <v>1.1176162889782097E-3</v>
          </cell>
          <cell r="U254">
            <v>1850</v>
          </cell>
          <cell r="V254">
            <v>1987.3053980000004</v>
          </cell>
          <cell r="W254">
            <v>1.0679290905908885E-3</v>
          </cell>
          <cell r="X254">
            <v>1987.3053980000004</v>
          </cell>
          <cell r="Y254">
            <v>1.0679290905908885E-3</v>
          </cell>
          <cell r="AA254">
            <v>1903</v>
          </cell>
          <cell r="AB254">
            <v>47.199990330000006</v>
          </cell>
          <cell r="AC254">
            <v>0.24924255201966272</v>
          </cell>
          <cell r="AD254">
            <v>47.199990330000006</v>
          </cell>
          <cell r="AE254">
            <v>1.0184953458368888E-3</v>
          </cell>
          <cell r="AG254">
            <v>1530</v>
          </cell>
          <cell r="AH254">
            <v>2270</v>
          </cell>
          <cell r="AJ254">
            <v>24393.250796495962</v>
          </cell>
          <cell r="AK254">
            <v>36248.33202997678</v>
          </cell>
        </row>
      </sheetData>
      <sheetData sheetId="31">
        <row r="6">
          <cell r="C6" t="str">
            <v>OWID Code</v>
          </cell>
          <cell r="D6" t="str">
            <v>ISO Code</v>
          </cell>
          <cell r="F6" t="str">
            <v>UN name</v>
          </cell>
          <cell r="H6" t="str">
            <v>WB name</v>
          </cell>
          <cell r="K6" t="str">
            <v>LIC</v>
          </cell>
          <cell r="L6" t="str">
            <v>LMIC</v>
          </cell>
          <cell r="M6" t="str">
            <v>UMIC</v>
          </cell>
          <cell r="N6" t="str">
            <v>HIC</v>
          </cell>
          <cell r="P6" t="str">
            <v>LDC</v>
          </cell>
          <cell r="Q6" t="str">
            <v>LLDC</v>
          </cell>
          <cell r="R6" t="str">
            <v>SIDS</v>
          </cell>
          <cell r="T6" t="str">
            <v>ECA</v>
          </cell>
          <cell r="U6" t="str">
            <v>N.Am</v>
          </cell>
          <cell r="V6" t="str">
            <v>LAC</v>
          </cell>
          <cell r="W6" t="str">
            <v>EAP</v>
          </cell>
          <cell r="X6" t="str">
            <v>SA</v>
          </cell>
          <cell r="Y6" t="str">
            <v>MENA</v>
          </cell>
          <cell r="Z6" t="str">
            <v>SSA</v>
          </cell>
          <cell r="AB6" t="str">
            <v>OECD</v>
          </cell>
          <cell r="AC6" t="str">
            <v>EU</v>
          </cell>
          <cell r="AD6" t="str">
            <v>BRICS</v>
          </cell>
          <cell r="AE6" t="str">
            <v>G7</v>
          </cell>
          <cell r="AF6" t="str">
            <v>G20</v>
          </cell>
          <cell r="AG6" t="str">
            <v>Annex II</v>
          </cell>
          <cell r="AI6" t="str">
            <v>none</v>
          </cell>
          <cell r="AJ6" t="str">
            <v>LICs</v>
          </cell>
          <cell r="AK6" t="str">
            <v>LIC/LMIC</v>
          </cell>
          <cell r="AL6" t="str">
            <v>LIC/LDC</v>
          </cell>
          <cell r="AM6" t="str">
            <v>LIC/LDC/SIDS</v>
          </cell>
          <cell r="AN6" t="str">
            <v>LIC/LMIC/LDC/SIDS</v>
          </cell>
        </row>
        <row r="7">
          <cell r="B7" t="str">
            <v>World</v>
          </cell>
          <cell r="C7" t="str">
            <v>OWID_WRL</v>
          </cell>
          <cell r="D7" t="e">
            <v>#N/A</v>
          </cell>
          <cell r="E7" t="str">
            <v/>
          </cell>
          <cell r="F7" t="e">
            <v>#N/A</v>
          </cell>
          <cell r="G7" t="str">
            <v/>
          </cell>
          <cell r="H7" t="e">
            <v>#N/A</v>
          </cell>
          <cell r="I7" t="str">
            <v/>
          </cell>
          <cell r="K7" t="str">
            <v/>
          </cell>
          <cell r="L7" t="str">
            <v/>
          </cell>
          <cell r="M7" t="str">
            <v/>
          </cell>
          <cell r="N7" t="str">
            <v/>
          </cell>
          <cell r="P7" t="str">
            <v/>
          </cell>
          <cell r="Q7" t="str">
            <v/>
          </cell>
          <cell r="R7" t="str">
            <v/>
          </cell>
          <cell r="T7" t="str">
            <v/>
          </cell>
          <cell r="U7" t="str">
            <v/>
          </cell>
          <cell r="V7" t="str">
            <v/>
          </cell>
          <cell r="W7" t="str">
            <v/>
          </cell>
          <cell r="X7" t="str">
            <v/>
          </cell>
          <cell r="Y7" t="str">
            <v/>
          </cell>
          <cell r="Z7" t="str">
            <v/>
          </cell>
          <cell r="AB7">
            <v>0</v>
          </cell>
          <cell r="AC7">
            <v>0</v>
          </cell>
          <cell r="AD7">
            <v>0</v>
          </cell>
          <cell r="AE7">
            <v>0</v>
          </cell>
          <cell r="AF7">
            <v>0</v>
          </cell>
          <cell r="AG7">
            <v>0</v>
          </cell>
        </row>
        <row r="8">
          <cell r="B8" t="str">
            <v>Afghanistan</v>
          </cell>
          <cell r="C8" t="str">
            <v>AFG</v>
          </cell>
          <cell r="D8" t="str">
            <v>AFG</v>
          </cell>
          <cell r="E8" t="str">
            <v/>
          </cell>
          <cell r="F8" t="str">
            <v>Afghanistan</v>
          </cell>
          <cell r="G8" t="str">
            <v/>
          </cell>
          <cell r="H8" t="str">
            <v>Afghanistan</v>
          </cell>
          <cell r="I8" t="str">
            <v/>
          </cell>
          <cell r="K8">
            <v>1</v>
          </cell>
          <cell r="L8">
            <v>0</v>
          </cell>
          <cell r="M8">
            <v>0</v>
          </cell>
          <cell r="N8">
            <v>0</v>
          </cell>
          <cell r="P8">
            <v>1</v>
          </cell>
          <cell r="Q8">
            <v>1</v>
          </cell>
          <cell r="R8">
            <v>0</v>
          </cell>
          <cell r="T8">
            <v>0</v>
          </cell>
          <cell r="U8">
            <v>0</v>
          </cell>
          <cell r="V8">
            <v>0</v>
          </cell>
          <cell r="W8">
            <v>0</v>
          </cell>
          <cell r="X8">
            <v>1</v>
          </cell>
          <cell r="Y8">
            <v>0</v>
          </cell>
          <cell r="Z8">
            <v>0</v>
          </cell>
          <cell r="AB8">
            <v>0</v>
          </cell>
          <cell r="AC8">
            <v>0</v>
          </cell>
          <cell r="AD8">
            <v>0</v>
          </cell>
          <cell r="AE8">
            <v>0</v>
          </cell>
          <cell r="AF8">
            <v>0</v>
          </cell>
          <cell r="AG8">
            <v>0</v>
          </cell>
          <cell r="AI8"/>
          <cell r="AJ8" t="str">
            <v>x</v>
          </cell>
          <cell r="AK8" t="str">
            <v>x</v>
          </cell>
          <cell r="AL8" t="str">
            <v>x</v>
          </cell>
          <cell r="AM8" t="str">
            <v>x</v>
          </cell>
          <cell r="AN8" t="str">
            <v>x</v>
          </cell>
        </row>
        <row r="9">
          <cell r="B9" t="str">
            <v>Africa</v>
          </cell>
          <cell r="D9" t="str">
            <v/>
          </cell>
          <cell r="E9" t="str">
            <v/>
          </cell>
          <cell r="F9" t="str">
            <v/>
          </cell>
          <cell r="G9" t="str">
            <v/>
          </cell>
          <cell r="H9" t="str">
            <v/>
          </cell>
          <cell r="I9" t="str">
            <v/>
          </cell>
          <cell r="K9" t="str">
            <v/>
          </cell>
          <cell r="L9" t="str">
            <v/>
          </cell>
          <cell r="M9" t="str">
            <v/>
          </cell>
          <cell r="N9" t="str">
            <v/>
          </cell>
          <cell r="P9" t="str">
            <v/>
          </cell>
          <cell r="Q9" t="str">
            <v/>
          </cell>
          <cell r="R9" t="str">
            <v/>
          </cell>
          <cell r="T9" t="str">
            <v/>
          </cell>
          <cell r="U9" t="str">
            <v/>
          </cell>
          <cell r="V9" t="str">
            <v/>
          </cell>
          <cell r="W9" t="str">
            <v/>
          </cell>
          <cell r="X9" t="str">
            <v/>
          </cell>
          <cell r="Y9" t="str">
            <v/>
          </cell>
          <cell r="Z9" t="str">
            <v/>
          </cell>
          <cell r="AB9">
            <v>0</v>
          </cell>
          <cell r="AC9">
            <v>0</v>
          </cell>
          <cell r="AD9">
            <v>0</v>
          </cell>
          <cell r="AE9">
            <v>0</v>
          </cell>
          <cell r="AF9">
            <v>0</v>
          </cell>
          <cell r="AG9">
            <v>0</v>
          </cell>
          <cell r="AI9"/>
          <cell r="AJ9" t="str">
            <v/>
          </cell>
          <cell r="AK9" t="str">
            <v/>
          </cell>
          <cell r="AL9" t="str">
            <v/>
          </cell>
          <cell r="AM9" t="str">
            <v/>
          </cell>
          <cell r="AN9" t="str">
            <v/>
          </cell>
        </row>
        <row r="10">
          <cell r="B10" t="str">
            <v>Africa (GCP)</v>
          </cell>
          <cell r="D10" t="str">
            <v/>
          </cell>
          <cell r="E10" t="str">
            <v/>
          </cell>
          <cell r="F10" t="str">
            <v/>
          </cell>
          <cell r="G10" t="str">
            <v/>
          </cell>
          <cell r="H10" t="str">
            <v/>
          </cell>
          <cell r="I10" t="str">
            <v/>
          </cell>
          <cell r="K10" t="str">
            <v/>
          </cell>
          <cell r="L10" t="str">
            <v/>
          </cell>
          <cell r="M10" t="str">
            <v/>
          </cell>
          <cell r="N10" t="str">
            <v/>
          </cell>
          <cell r="P10" t="str">
            <v/>
          </cell>
          <cell r="Q10" t="str">
            <v/>
          </cell>
          <cell r="R10" t="str">
            <v/>
          </cell>
          <cell r="T10" t="str">
            <v/>
          </cell>
          <cell r="U10" t="str">
            <v/>
          </cell>
          <cell r="V10" t="str">
            <v/>
          </cell>
          <cell r="W10" t="str">
            <v/>
          </cell>
          <cell r="X10" t="str">
            <v/>
          </cell>
          <cell r="Y10" t="str">
            <v/>
          </cell>
          <cell r="Z10" t="str">
            <v/>
          </cell>
          <cell r="AB10">
            <v>0</v>
          </cell>
          <cell r="AC10">
            <v>0</v>
          </cell>
          <cell r="AD10">
            <v>0</v>
          </cell>
          <cell r="AE10">
            <v>0</v>
          </cell>
          <cell r="AF10">
            <v>0</v>
          </cell>
          <cell r="AG10">
            <v>0</v>
          </cell>
          <cell r="AI10"/>
          <cell r="AJ10" t="str">
            <v/>
          </cell>
          <cell r="AK10" t="str">
            <v/>
          </cell>
          <cell r="AL10" t="str">
            <v/>
          </cell>
          <cell r="AM10" t="str">
            <v/>
          </cell>
          <cell r="AN10" t="str">
            <v/>
          </cell>
        </row>
        <row r="11">
          <cell r="B11" t="str">
            <v>Albania</v>
          </cell>
          <cell r="C11" t="str">
            <v>ALB</v>
          </cell>
          <cell r="D11" t="str">
            <v>ALB</v>
          </cell>
          <cell r="E11" t="str">
            <v/>
          </cell>
          <cell r="F11" t="str">
            <v>Albania</v>
          </cell>
          <cell r="G11" t="str">
            <v/>
          </cell>
          <cell r="H11" t="str">
            <v>Albania</v>
          </cell>
          <cell r="I11" t="str">
            <v/>
          </cell>
          <cell r="K11">
            <v>0</v>
          </cell>
          <cell r="L11">
            <v>0</v>
          </cell>
          <cell r="M11">
            <v>1</v>
          </cell>
          <cell r="N11">
            <v>0</v>
          </cell>
          <cell r="P11">
            <v>0</v>
          </cell>
          <cell r="Q11">
            <v>0</v>
          </cell>
          <cell r="R11">
            <v>0</v>
          </cell>
          <cell r="T11">
            <v>1</v>
          </cell>
          <cell r="U11">
            <v>0</v>
          </cell>
          <cell r="V11">
            <v>0</v>
          </cell>
          <cell r="W11">
            <v>0</v>
          </cell>
          <cell r="X11">
            <v>0</v>
          </cell>
          <cell r="Y11">
            <v>0</v>
          </cell>
          <cell r="Z11">
            <v>0</v>
          </cell>
          <cell r="AB11">
            <v>0</v>
          </cell>
          <cell r="AC11">
            <v>0</v>
          </cell>
          <cell r="AD11">
            <v>0</v>
          </cell>
          <cell r="AE11">
            <v>0</v>
          </cell>
          <cell r="AF11">
            <v>0</v>
          </cell>
          <cell r="AG11">
            <v>0</v>
          </cell>
          <cell r="AI11"/>
          <cell r="AJ11" t="str">
            <v/>
          </cell>
          <cell r="AK11" t="str">
            <v/>
          </cell>
          <cell r="AL11" t="str">
            <v/>
          </cell>
          <cell r="AM11" t="str">
            <v/>
          </cell>
          <cell r="AN11" t="str">
            <v/>
          </cell>
        </row>
        <row r="12">
          <cell r="B12" t="str">
            <v>Algeria</v>
          </cell>
          <cell r="C12" t="str">
            <v>DZA</v>
          </cell>
          <cell r="D12" t="str">
            <v>DZA</v>
          </cell>
          <cell r="E12" t="str">
            <v/>
          </cell>
          <cell r="F12" t="str">
            <v>Algeria</v>
          </cell>
          <cell r="G12" t="str">
            <v/>
          </cell>
          <cell r="H12" t="str">
            <v>Algeria</v>
          </cell>
          <cell r="I12" t="str">
            <v/>
          </cell>
          <cell r="K12">
            <v>0</v>
          </cell>
          <cell r="L12">
            <v>1</v>
          </cell>
          <cell r="M12">
            <v>0</v>
          </cell>
          <cell r="N12">
            <v>0</v>
          </cell>
          <cell r="P12">
            <v>0</v>
          </cell>
          <cell r="Q12">
            <v>0</v>
          </cell>
          <cell r="R12">
            <v>0</v>
          </cell>
          <cell r="T12">
            <v>0</v>
          </cell>
          <cell r="U12">
            <v>0</v>
          </cell>
          <cell r="V12">
            <v>0</v>
          </cell>
          <cell r="W12">
            <v>0</v>
          </cell>
          <cell r="X12">
            <v>0</v>
          </cell>
          <cell r="Y12">
            <v>1</v>
          </cell>
          <cell r="Z12">
            <v>0</v>
          </cell>
          <cell r="AB12">
            <v>0</v>
          </cell>
          <cell r="AC12">
            <v>0</v>
          </cell>
          <cell r="AD12">
            <v>0</v>
          </cell>
          <cell r="AE12">
            <v>0</v>
          </cell>
          <cell r="AF12">
            <v>0</v>
          </cell>
          <cell r="AG12">
            <v>0</v>
          </cell>
          <cell r="AI12"/>
          <cell r="AJ12" t="str">
            <v/>
          </cell>
          <cell r="AK12" t="str">
            <v>x</v>
          </cell>
          <cell r="AL12" t="str">
            <v/>
          </cell>
          <cell r="AM12" t="str">
            <v/>
          </cell>
          <cell r="AN12" t="str">
            <v>x</v>
          </cell>
        </row>
        <row r="13">
          <cell r="B13" t="str">
            <v>Andorra</v>
          </cell>
          <cell r="C13" t="str">
            <v>AND</v>
          </cell>
          <cell r="D13" t="str">
            <v>AND</v>
          </cell>
          <cell r="E13" t="str">
            <v/>
          </cell>
          <cell r="F13" t="str">
            <v>Andorra</v>
          </cell>
          <cell r="G13" t="str">
            <v/>
          </cell>
          <cell r="H13" t="str">
            <v>Andorra</v>
          </cell>
          <cell r="I13" t="str">
            <v/>
          </cell>
          <cell r="K13">
            <v>0</v>
          </cell>
          <cell r="L13">
            <v>0</v>
          </cell>
          <cell r="M13">
            <v>0</v>
          </cell>
          <cell r="N13">
            <v>1</v>
          </cell>
          <cell r="P13">
            <v>0</v>
          </cell>
          <cell r="Q13">
            <v>0</v>
          </cell>
          <cell r="R13">
            <v>0</v>
          </cell>
          <cell r="T13">
            <v>1</v>
          </cell>
          <cell r="U13">
            <v>0</v>
          </cell>
          <cell r="V13">
            <v>0</v>
          </cell>
          <cell r="W13">
            <v>0</v>
          </cell>
          <cell r="X13">
            <v>0</v>
          </cell>
          <cell r="Y13">
            <v>0</v>
          </cell>
          <cell r="Z13">
            <v>0</v>
          </cell>
          <cell r="AB13">
            <v>0</v>
          </cell>
          <cell r="AC13">
            <v>0</v>
          </cell>
          <cell r="AD13">
            <v>0</v>
          </cell>
          <cell r="AE13">
            <v>0</v>
          </cell>
          <cell r="AF13">
            <v>0</v>
          </cell>
          <cell r="AG13">
            <v>0</v>
          </cell>
          <cell r="AI13"/>
          <cell r="AJ13" t="str">
            <v/>
          </cell>
          <cell r="AK13" t="str">
            <v/>
          </cell>
          <cell r="AL13" t="str">
            <v/>
          </cell>
          <cell r="AM13" t="str">
            <v/>
          </cell>
          <cell r="AN13" t="str">
            <v/>
          </cell>
        </row>
        <row r="14">
          <cell r="B14" t="str">
            <v>Angola</v>
          </cell>
          <cell r="C14" t="str">
            <v>AGO</v>
          </cell>
          <cell r="D14" t="str">
            <v>AGO</v>
          </cell>
          <cell r="E14" t="str">
            <v/>
          </cell>
          <cell r="F14" t="str">
            <v>Angola</v>
          </cell>
          <cell r="G14" t="str">
            <v/>
          </cell>
          <cell r="H14" t="str">
            <v>Angola</v>
          </cell>
          <cell r="I14" t="str">
            <v/>
          </cell>
          <cell r="K14">
            <v>0</v>
          </cell>
          <cell r="L14">
            <v>1</v>
          </cell>
          <cell r="M14">
            <v>0</v>
          </cell>
          <cell r="N14">
            <v>0</v>
          </cell>
          <cell r="P14">
            <v>1</v>
          </cell>
          <cell r="Q14">
            <v>0</v>
          </cell>
          <cell r="R14">
            <v>0</v>
          </cell>
          <cell r="T14">
            <v>0</v>
          </cell>
          <cell r="U14">
            <v>0</v>
          </cell>
          <cell r="V14">
            <v>0</v>
          </cell>
          <cell r="W14">
            <v>0</v>
          </cell>
          <cell r="X14">
            <v>0</v>
          </cell>
          <cell r="Y14">
            <v>0</v>
          </cell>
          <cell r="Z14">
            <v>1</v>
          </cell>
          <cell r="AB14">
            <v>0</v>
          </cell>
          <cell r="AC14">
            <v>0</v>
          </cell>
          <cell r="AD14">
            <v>0</v>
          </cell>
          <cell r="AE14">
            <v>0</v>
          </cell>
          <cell r="AF14">
            <v>0</v>
          </cell>
          <cell r="AG14">
            <v>0</v>
          </cell>
          <cell r="AI14"/>
          <cell r="AJ14" t="str">
            <v/>
          </cell>
          <cell r="AK14" t="str">
            <v>x</v>
          </cell>
          <cell r="AL14" t="str">
            <v>x</v>
          </cell>
          <cell r="AM14" t="str">
            <v>x</v>
          </cell>
          <cell r="AN14" t="str">
            <v>x</v>
          </cell>
        </row>
        <row r="15">
          <cell r="B15" t="str">
            <v>Anguilla</v>
          </cell>
          <cell r="C15" t="str">
            <v>AIA</v>
          </cell>
          <cell r="D15" t="str">
            <v>AIA</v>
          </cell>
          <cell r="E15" t="str">
            <v/>
          </cell>
          <cell r="F15" t="str">
            <v>Anguilla</v>
          </cell>
          <cell r="G15" t="str">
            <v/>
          </cell>
          <cell r="H15" t="e">
            <v>#N/A</v>
          </cell>
          <cell r="I15" t="str">
            <v/>
          </cell>
          <cell r="K15" t="str">
            <v/>
          </cell>
          <cell r="L15" t="str">
            <v/>
          </cell>
          <cell r="M15" t="str">
            <v/>
          </cell>
          <cell r="N15" t="str">
            <v/>
          </cell>
          <cell r="P15">
            <v>0</v>
          </cell>
          <cell r="Q15">
            <v>0</v>
          </cell>
          <cell r="R15">
            <v>1</v>
          </cell>
          <cell r="T15" t="str">
            <v/>
          </cell>
          <cell r="U15" t="str">
            <v/>
          </cell>
          <cell r="V15" t="str">
            <v/>
          </cell>
          <cell r="W15" t="str">
            <v/>
          </cell>
          <cell r="X15" t="str">
            <v/>
          </cell>
          <cell r="Y15" t="str">
            <v/>
          </cell>
          <cell r="Z15" t="str">
            <v/>
          </cell>
          <cell r="AB15">
            <v>0</v>
          </cell>
          <cell r="AC15">
            <v>0</v>
          </cell>
          <cell r="AD15">
            <v>0</v>
          </cell>
          <cell r="AE15">
            <v>0</v>
          </cell>
          <cell r="AF15">
            <v>0</v>
          </cell>
          <cell r="AG15">
            <v>0</v>
          </cell>
          <cell r="AI15"/>
          <cell r="AJ15" t="str">
            <v/>
          </cell>
          <cell r="AK15" t="str">
            <v/>
          </cell>
          <cell r="AL15" t="str">
            <v/>
          </cell>
          <cell r="AM15" t="str">
            <v>x</v>
          </cell>
          <cell r="AN15" t="str">
            <v>x</v>
          </cell>
        </row>
        <row r="16">
          <cell r="B16" t="str">
            <v>Antigua and Barbuda</v>
          </cell>
          <cell r="C16" t="str">
            <v>ATG</v>
          </cell>
          <cell r="D16" t="str">
            <v>ATG</v>
          </cell>
          <cell r="E16" t="str">
            <v/>
          </cell>
          <cell r="F16" t="str">
            <v>Antigua and Barbuda</v>
          </cell>
          <cell r="G16" t="str">
            <v/>
          </cell>
          <cell r="H16" t="str">
            <v>Antigua and Barbuda</v>
          </cell>
          <cell r="I16" t="str">
            <v/>
          </cell>
          <cell r="K16">
            <v>0</v>
          </cell>
          <cell r="L16">
            <v>0</v>
          </cell>
          <cell r="M16">
            <v>0</v>
          </cell>
          <cell r="N16">
            <v>1</v>
          </cell>
          <cell r="P16">
            <v>0</v>
          </cell>
          <cell r="Q16">
            <v>0</v>
          </cell>
          <cell r="R16">
            <v>1</v>
          </cell>
          <cell r="T16">
            <v>0</v>
          </cell>
          <cell r="U16">
            <v>0</v>
          </cell>
          <cell r="V16">
            <v>1</v>
          </cell>
          <cell r="W16">
            <v>0</v>
          </cell>
          <cell r="X16">
            <v>0</v>
          </cell>
          <cell r="Y16">
            <v>0</v>
          </cell>
          <cell r="Z16">
            <v>0</v>
          </cell>
          <cell r="AB16">
            <v>0</v>
          </cell>
          <cell r="AC16">
            <v>0</v>
          </cell>
          <cell r="AD16">
            <v>0</v>
          </cell>
          <cell r="AE16">
            <v>0</v>
          </cell>
          <cell r="AF16">
            <v>0</v>
          </cell>
          <cell r="AG16">
            <v>0</v>
          </cell>
          <cell r="AI16"/>
          <cell r="AJ16" t="str">
            <v/>
          </cell>
          <cell r="AK16" t="str">
            <v/>
          </cell>
          <cell r="AL16" t="str">
            <v/>
          </cell>
          <cell r="AM16" t="str">
            <v>x</v>
          </cell>
          <cell r="AN16" t="str">
            <v>x</v>
          </cell>
        </row>
        <row r="17">
          <cell r="B17" t="str">
            <v>Argentina</v>
          </cell>
          <cell r="C17" t="str">
            <v>ARG</v>
          </cell>
          <cell r="D17" t="str">
            <v>ARG</v>
          </cell>
          <cell r="E17" t="str">
            <v/>
          </cell>
          <cell r="F17" t="str">
            <v>Argentina</v>
          </cell>
          <cell r="G17" t="str">
            <v/>
          </cell>
          <cell r="H17" t="str">
            <v>Argentina</v>
          </cell>
          <cell r="I17" t="str">
            <v/>
          </cell>
          <cell r="K17">
            <v>0</v>
          </cell>
          <cell r="L17">
            <v>0</v>
          </cell>
          <cell r="M17">
            <v>1</v>
          </cell>
          <cell r="N17">
            <v>0</v>
          </cell>
          <cell r="P17">
            <v>0</v>
          </cell>
          <cell r="Q17">
            <v>0</v>
          </cell>
          <cell r="R17">
            <v>0</v>
          </cell>
          <cell r="T17">
            <v>0</v>
          </cell>
          <cell r="U17">
            <v>0</v>
          </cell>
          <cell r="V17">
            <v>1</v>
          </cell>
          <cell r="W17">
            <v>0</v>
          </cell>
          <cell r="X17">
            <v>0</v>
          </cell>
          <cell r="Y17">
            <v>0</v>
          </cell>
          <cell r="Z17">
            <v>0</v>
          </cell>
          <cell r="AB17">
            <v>0</v>
          </cell>
          <cell r="AC17">
            <v>0</v>
          </cell>
          <cell r="AD17">
            <v>0</v>
          </cell>
          <cell r="AE17">
            <v>0</v>
          </cell>
          <cell r="AF17">
            <v>1</v>
          </cell>
          <cell r="AG17">
            <v>0</v>
          </cell>
          <cell r="AI17"/>
          <cell r="AJ17" t="str">
            <v/>
          </cell>
          <cell r="AK17" t="str">
            <v/>
          </cell>
          <cell r="AL17" t="str">
            <v/>
          </cell>
          <cell r="AM17" t="str">
            <v/>
          </cell>
          <cell r="AN17" t="str">
            <v/>
          </cell>
        </row>
        <row r="18">
          <cell r="B18" t="str">
            <v>Armenia</v>
          </cell>
          <cell r="C18" t="str">
            <v>ARM</v>
          </cell>
          <cell r="D18" t="str">
            <v>ARM</v>
          </cell>
          <cell r="E18" t="str">
            <v/>
          </cell>
          <cell r="F18" t="str">
            <v>Armenia</v>
          </cell>
          <cell r="G18" t="str">
            <v/>
          </cell>
          <cell r="H18" t="str">
            <v>Armenia</v>
          </cell>
          <cell r="I18" t="str">
            <v/>
          </cell>
          <cell r="K18">
            <v>0</v>
          </cell>
          <cell r="L18">
            <v>0</v>
          </cell>
          <cell r="M18">
            <v>1</v>
          </cell>
          <cell r="N18">
            <v>0</v>
          </cell>
          <cell r="P18">
            <v>0</v>
          </cell>
          <cell r="Q18">
            <v>1</v>
          </cell>
          <cell r="R18">
            <v>0</v>
          </cell>
          <cell r="T18">
            <v>1</v>
          </cell>
          <cell r="U18">
            <v>0</v>
          </cell>
          <cell r="V18">
            <v>0</v>
          </cell>
          <cell r="W18">
            <v>0</v>
          </cell>
          <cell r="X18">
            <v>0</v>
          </cell>
          <cell r="Y18">
            <v>0</v>
          </cell>
          <cell r="Z18">
            <v>0</v>
          </cell>
          <cell r="AB18">
            <v>0</v>
          </cell>
          <cell r="AC18">
            <v>0</v>
          </cell>
          <cell r="AD18">
            <v>0</v>
          </cell>
          <cell r="AE18">
            <v>0</v>
          </cell>
          <cell r="AF18">
            <v>0</v>
          </cell>
          <cell r="AG18">
            <v>0</v>
          </cell>
          <cell r="AI18"/>
          <cell r="AJ18" t="str">
            <v/>
          </cell>
          <cell r="AK18" t="str">
            <v/>
          </cell>
          <cell r="AL18" t="str">
            <v/>
          </cell>
          <cell r="AM18" t="str">
            <v/>
          </cell>
          <cell r="AN18" t="str">
            <v/>
          </cell>
        </row>
        <row r="19">
          <cell r="B19" t="str">
            <v>Aruba</v>
          </cell>
          <cell r="C19" t="str">
            <v>ABW</v>
          </cell>
          <cell r="D19" t="str">
            <v>ABW</v>
          </cell>
          <cell r="E19" t="str">
            <v/>
          </cell>
          <cell r="F19" t="str">
            <v>Aruba</v>
          </cell>
          <cell r="G19" t="str">
            <v/>
          </cell>
          <cell r="H19" t="str">
            <v>Aruba</v>
          </cell>
          <cell r="I19" t="str">
            <v/>
          </cell>
          <cell r="K19">
            <v>0</v>
          </cell>
          <cell r="L19">
            <v>0</v>
          </cell>
          <cell r="M19">
            <v>0</v>
          </cell>
          <cell r="N19">
            <v>1</v>
          </cell>
          <cell r="P19">
            <v>0</v>
          </cell>
          <cell r="Q19">
            <v>0</v>
          </cell>
          <cell r="R19">
            <v>1</v>
          </cell>
          <cell r="T19">
            <v>0</v>
          </cell>
          <cell r="U19">
            <v>0</v>
          </cell>
          <cell r="V19">
            <v>1</v>
          </cell>
          <cell r="W19">
            <v>0</v>
          </cell>
          <cell r="X19">
            <v>0</v>
          </cell>
          <cell r="Y19">
            <v>0</v>
          </cell>
          <cell r="Z19">
            <v>0</v>
          </cell>
          <cell r="AB19">
            <v>0</v>
          </cell>
          <cell r="AC19">
            <v>0</v>
          </cell>
          <cell r="AD19">
            <v>0</v>
          </cell>
          <cell r="AE19">
            <v>0</v>
          </cell>
          <cell r="AF19">
            <v>0</v>
          </cell>
          <cell r="AG19">
            <v>0</v>
          </cell>
          <cell r="AI19"/>
          <cell r="AJ19" t="str">
            <v/>
          </cell>
          <cell r="AK19" t="str">
            <v/>
          </cell>
          <cell r="AL19" t="str">
            <v/>
          </cell>
          <cell r="AM19" t="str">
            <v>x</v>
          </cell>
          <cell r="AN19" t="str">
            <v>x</v>
          </cell>
        </row>
        <row r="20">
          <cell r="B20" t="str">
            <v>Asia</v>
          </cell>
          <cell r="D20" t="str">
            <v/>
          </cell>
          <cell r="E20" t="str">
            <v/>
          </cell>
          <cell r="F20" t="str">
            <v/>
          </cell>
          <cell r="G20" t="str">
            <v/>
          </cell>
          <cell r="H20" t="str">
            <v/>
          </cell>
          <cell r="I20" t="str">
            <v/>
          </cell>
          <cell r="K20" t="str">
            <v/>
          </cell>
          <cell r="L20" t="str">
            <v/>
          </cell>
          <cell r="M20" t="str">
            <v/>
          </cell>
          <cell r="N20" t="str">
            <v/>
          </cell>
          <cell r="P20" t="str">
            <v/>
          </cell>
          <cell r="Q20" t="str">
            <v/>
          </cell>
          <cell r="R20" t="str">
            <v/>
          </cell>
          <cell r="T20" t="str">
            <v/>
          </cell>
          <cell r="U20" t="str">
            <v/>
          </cell>
          <cell r="V20" t="str">
            <v/>
          </cell>
          <cell r="W20" t="str">
            <v/>
          </cell>
          <cell r="X20" t="str">
            <v/>
          </cell>
          <cell r="Y20" t="str">
            <v/>
          </cell>
          <cell r="Z20" t="str">
            <v/>
          </cell>
          <cell r="AB20">
            <v>0</v>
          </cell>
          <cell r="AC20">
            <v>0</v>
          </cell>
          <cell r="AD20">
            <v>0</v>
          </cell>
          <cell r="AE20">
            <v>0</v>
          </cell>
          <cell r="AF20">
            <v>0</v>
          </cell>
          <cell r="AG20">
            <v>0</v>
          </cell>
          <cell r="AI20"/>
          <cell r="AJ20" t="str">
            <v/>
          </cell>
          <cell r="AK20" t="str">
            <v/>
          </cell>
          <cell r="AL20" t="str">
            <v/>
          </cell>
          <cell r="AM20" t="str">
            <v/>
          </cell>
          <cell r="AN20" t="str">
            <v/>
          </cell>
        </row>
        <row r="21">
          <cell r="B21" t="str">
            <v>Asia (GCP)</v>
          </cell>
          <cell r="D21" t="str">
            <v/>
          </cell>
          <cell r="E21" t="str">
            <v/>
          </cell>
          <cell r="F21" t="str">
            <v/>
          </cell>
          <cell r="G21" t="str">
            <v/>
          </cell>
          <cell r="H21" t="str">
            <v/>
          </cell>
          <cell r="I21" t="str">
            <v/>
          </cell>
          <cell r="K21" t="str">
            <v/>
          </cell>
          <cell r="L21" t="str">
            <v/>
          </cell>
          <cell r="M21" t="str">
            <v/>
          </cell>
          <cell r="N21" t="str">
            <v/>
          </cell>
          <cell r="P21" t="str">
            <v/>
          </cell>
          <cell r="Q21" t="str">
            <v/>
          </cell>
          <cell r="R21" t="str">
            <v/>
          </cell>
          <cell r="T21" t="str">
            <v/>
          </cell>
          <cell r="U21" t="str">
            <v/>
          </cell>
          <cell r="V21" t="str">
            <v/>
          </cell>
          <cell r="W21" t="str">
            <v/>
          </cell>
          <cell r="X21" t="str">
            <v/>
          </cell>
          <cell r="Y21" t="str">
            <v/>
          </cell>
          <cell r="Z21" t="str">
            <v/>
          </cell>
          <cell r="AB21">
            <v>0</v>
          </cell>
          <cell r="AC21">
            <v>0</v>
          </cell>
          <cell r="AD21">
            <v>0</v>
          </cell>
          <cell r="AE21">
            <v>0</v>
          </cell>
          <cell r="AF21">
            <v>0</v>
          </cell>
          <cell r="AG21">
            <v>0</v>
          </cell>
          <cell r="AI21"/>
          <cell r="AJ21" t="str">
            <v/>
          </cell>
          <cell r="AK21" t="str">
            <v/>
          </cell>
          <cell r="AL21" t="str">
            <v/>
          </cell>
          <cell r="AM21" t="str">
            <v/>
          </cell>
          <cell r="AN21" t="str">
            <v/>
          </cell>
        </row>
        <row r="22">
          <cell r="B22" t="str">
            <v>Asia (excl. China and India)</v>
          </cell>
          <cell r="D22" t="str">
            <v/>
          </cell>
          <cell r="E22" t="str">
            <v/>
          </cell>
          <cell r="F22" t="str">
            <v/>
          </cell>
          <cell r="G22" t="str">
            <v/>
          </cell>
          <cell r="H22" t="str">
            <v/>
          </cell>
          <cell r="I22" t="str">
            <v/>
          </cell>
          <cell r="K22" t="str">
            <v/>
          </cell>
          <cell r="L22" t="str">
            <v/>
          </cell>
          <cell r="M22" t="str">
            <v/>
          </cell>
          <cell r="N22" t="str">
            <v/>
          </cell>
          <cell r="P22" t="str">
            <v/>
          </cell>
          <cell r="Q22" t="str">
            <v/>
          </cell>
          <cell r="R22" t="str">
            <v/>
          </cell>
          <cell r="T22" t="str">
            <v/>
          </cell>
          <cell r="U22" t="str">
            <v/>
          </cell>
          <cell r="V22" t="str">
            <v/>
          </cell>
          <cell r="W22" t="str">
            <v/>
          </cell>
          <cell r="X22" t="str">
            <v/>
          </cell>
          <cell r="Y22" t="str">
            <v/>
          </cell>
          <cell r="Z22" t="str">
            <v/>
          </cell>
          <cell r="AB22">
            <v>0</v>
          </cell>
          <cell r="AC22">
            <v>0</v>
          </cell>
          <cell r="AD22">
            <v>0</v>
          </cell>
          <cell r="AE22">
            <v>0</v>
          </cell>
          <cell r="AF22">
            <v>0</v>
          </cell>
          <cell r="AG22">
            <v>0</v>
          </cell>
          <cell r="AI22"/>
          <cell r="AJ22" t="str">
            <v/>
          </cell>
          <cell r="AK22" t="str">
            <v/>
          </cell>
          <cell r="AL22" t="str">
            <v/>
          </cell>
          <cell r="AM22" t="str">
            <v/>
          </cell>
          <cell r="AN22" t="str">
            <v/>
          </cell>
        </row>
        <row r="23">
          <cell r="B23" t="str">
            <v>Australia</v>
          </cell>
          <cell r="C23" t="str">
            <v>AUS</v>
          </cell>
          <cell r="D23" t="str">
            <v>AUS</v>
          </cell>
          <cell r="E23" t="str">
            <v/>
          </cell>
          <cell r="F23" t="str">
            <v>Australia</v>
          </cell>
          <cell r="G23" t="str">
            <v/>
          </cell>
          <cell r="H23" t="str">
            <v>Australia</v>
          </cell>
          <cell r="I23" t="str">
            <v/>
          </cell>
          <cell r="K23">
            <v>0</v>
          </cell>
          <cell r="L23">
            <v>0</v>
          </cell>
          <cell r="M23">
            <v>0</v>
          </cell>
          <cell r="N23">
            <v>1</v>
          </cell>
          <cell r="P23">
            <v>0</v>
          </cell>
          <cell r="Q23">
            <v>0</v>
          </cell>
          <cell r="R23">
            <v>0</v>
          </cell>
          <cell r="T23">
            <v>0</v>
          </cell>
          <cell r="U23">
            <v>0</v>
          </cell>
          <cell r="V23">
            <v>0</v>
          </cell>
          <cell r="W23">
            <v>1</v>
          </cell>
          <cell r="X23">
            <v>0</v>
          </cell>
          <cell r="Y23">
            <v>0</v>
          </cell>
          <cell r="Z23">
            <v>0</v>
          </cell>
          <cell r="AB23">
            <v>1</v>
          </cell>
          <cell r="AC23">
            <v>0</v>
          </cell>
          <cell r="AD23">
            <v>0</v>
          </cell>
          <cell r="AE23">
            <v>0</v>
          </cell>
          <cell r="AF23">
            <v>1</v>
          </cell>
          <cell r="AG23">
            <v>1</v>
          </cell>
          <cell r="AI23"/>
          <cell r="AJ23" t="str">
            <v/>
          </cell>
          <cell r="AK23" t="str">
            <v/>
          </cell>
          <cell r="AL23" t="str">
            <v/>
          </cell>
          <cell r="AM23" t="str">
            <v/>
          </cell>
          <cell r="AN23" t="str">
            <v/>
          </cell>
        </row>
        <row r="24">
          <cell r="B24" t="str">
            <v>Austria</v>
          </cell>
          <cell r="C24" t="str">
            <v>AUT</v>
          </cell>
          <cell r="D24" t="str">
            <v>AUT</v>
          </cell>
          <cell r="E24" t="str">
            <v/>
          </cell>
          <cell r="F24" t="str">
            <v>Austria</v>
          </cell>
          <cell r="G24" t="str">
            <v/>
          </cell>
          <cell r="H24" t="str">
            <v>Austria</v>
          </cell>
          <cell r="I24" t="str">
            <v/>
          </cell>
          <cell r="K24">
            <v>0</v>
          </cell>
          <cell r="L24">
            <v>0</v>
          </cell>
          <cell r="M24">
            <v>0</v>
          </cell>
          <cell r="N24">
            <v>1</v>
          </cell>
          <cell r="P24">
            <v>0</v>
          </cell>
          <cell r="Q24">
            <v>0</v>
          </cell>
          <cell r="R24">
            <v>0</v>
          </cell>
          <cell r="T24">
            <v>1</v>
          </cell>
          <cell r="U24">
            <v>0</v>
          </cell>
          <cell r="V24">
            <v>0</v>
          </cell>
          <cell r="W24">
            <v>0</v>
          </cell>
          <cell r="X24">
            <v>0</v>
          </cell>
          <cell r="Y24">
            <v>0</v>
          </cell>
          <cell r="Z24">
            <v>0</v>
          </cell>
          <cell r="AB24">
            <v>1</v>
          </cell>
          <cell r="AC24">
            <v>1</v>
          </cell>
          <cell r="AD24">
            <v>0</v>
          </cell>
          <cell r="AE24">
            <v>0</v>
          </cell>
          <cell r="AF24">
            <v>0</v>
          </cell>
          <cell r="AG24">
            <v>1</v>
          </cell>
          <cell r="AI24"/>
          <cell r="AJ24" t="str">
            <v/>
          </cell>
          <cell r="AK24" t="str">
            <v/>
          </cell>
          <cell r="AL24" t="str">
            <v/>
          </cell>
          <cell r="AM24" t="str">
            <v/>
          </cell>
          <cell r="AN24" t="str">
            <v/>
          </cell>
        </row>
        <row r="25">
          <cell r="B25" t="str">
            <v>Azerbaijan</v>
          </cell>
          <cell r="C25" t="str">
            <v>AZE</v>
          </cell>
          <cell r="D25" t="str">
            <v>AZE</v>
          </cell>
          <cell r="E25" t="str">
            <v/>
          </cell>
          <cell r="F25" t="str">
            <v>Azerbaijan</v>
          </cell>
          <cell r="G25" t="str">
            <v/>
          </cell>
          <cell r="H25" t="str">
            <v>Azerbaijan</v>
          </cell>
          <cell r="I25" t="str">
            <v/>
          </cell>
          <cell r="K25">
            <v>0</v>
          </cell>
          <cell r="L25">
            <v>0</v>
          </cell>
          <cell r="M25">
            <v>1</v>
          </cell>
          <cell r="N25">
            <v>0</v>
          </cell>
          <cell r="P25">
            <v>0</v>
          </cell>
          <cell r="Q25">
            <v>1</v>
          </cell>
          <cell r="R25">
            <v>0</v>
          </cell>
          <cell r="T25">
            <v>1</v>
          </cell>
          <cell r="U25">
            <v>0</v>
          </cell>
          <cell r="V25">
            <v>0</v>
          </cell>
          <cell r="W25">
            <v>0</v>
          </cell>
          <cell r="X25">
            <v>0</v>
          </cell>
          <cell r="Y25">
            <v>0</v>
          </cell>
          <cell r="Z25">
            <v>0</v>
          </cell>
          <cell r="AB25">
            <v>0</v>
          </cell>
          <cell r="AC25">
            <v>0</v>
          </cell>
          <cell r="AD25">
            <v>0</v>
          </cell>
          <cell r="AE25">
            <v>0</v>
          </cell>
          <cell r="AF25">
            <v>0</v>
          </cell>
          <cell r="AG25">
            <v>0</v>
          </cell>
          <cell r="AI25"/>
          <cell r="AJ25" t="str">
            <v/>
          </cell>
          <cell r="AK25" t="str">
            <v/>
          </cell>
          <cell r="AL25" t="str">
            <v/>
          </cell>
          <cell r="AM25" t="str">
            <v/>
          </cell>
          <cell r="AN25" t="str">
            <v/>
          </cell>
        </row>
        <row r="26">
          <cell r="B26" t="str">
            <v>Bahamas</v>
          </cell>
          <cell r="C26" t="str">
            <v>BHS</v>
          </cell>
          <cell r="D26" t="str">
            <v>BHS</v>
          </cell>
          <cell r="E26" t="str">
            <v/>
          </cell>
          <cell r="F26" t="str">
            <v>Bahamas</v>
          </cell>
          <cell r="G26" t="str">
            <v/>
          </cell>
          <cell r="H26" t="str">
            <v>Bahamas, The</v>
          </cell>
          <cell r="I26" t="str">
            <v>diff</v>
          </cell>
          <cell r="K26">
            <v>0</v>
          </cell>
          <cell r="L26">
            <v>0</v>
          </cell>
          <cell r="M26">
            <v>0</v>
          </cell>
          <cell r="N26">
            <v>1</v>
          </cell>
          <cell r="P26">
            <v>0</v>
          </cell>
          <cell r="Q26">
            <v>0</v>
          </cell>
          <cell r="R26">
            <v>1</v>
          </cell>
          <cell r="T26">
            <v>0</v>
          </cell>
          <cell r="U26">
            <v>0</v>
          </cell>
          <cell r="V26">
            <v>1</v>
          </cell>
          <cell r="W26">
            <v>0</v>
          </cell>
          <cell r="X26">
            <v>0</v>
          </cell>
          <cell r="Y26">
            <v>0</v>
          </cell>
          <cell r="Z26">
            <v>0</v>
          </cell>
          <cell r="AB26">
            <v>0</v>
          </cell>
          <cell r="AC26">
            <v>0</v>
          </cell>
          <cell r="AD26">
            <v>0</v>
          </cell>
          <cell r="AE26">
            <v>0</v>
          </cell>
          <cell r="AF26">
            <v>0</v>
          </cell>
          <cell r="AG26">
            <v>0</v>
          </cell>
          <cell r="AI26"/>
          <cell r="AJ26" t="str">
            <v/>
          </cell>
          <cell r="AK26" t="str">
            <v/>
          </cell>
          <cell r="AL26" t="str">
            <v/>
          </cell>
          <cell r="AM26" t="str">
            <v>x</v>
          </cell>
          <cell r="AN26" t="str">
            <v>x</v>
          </cell>
        </row>
        <row r="27">
          <cell r="B27" t="str">
            <v>Bahrain</v>
          </cell>
          <cell r="C27" t="str">
            <v>BHR</v>
          </cell>
          <cell r="D27" t="str">
            <v>BHR</v>
          </cell>
          <cell r="E27" t="str">
            <v/>
          </cell>
          <cell r="F27" t="str">
            <v>Bahrain</v>
          </cell>
          <cell r="G27" t="str">
            <v/>
          </cell>
          <cell r="H27" t="str">
            <v>Bahrain</v>
          </cell>
          <cell r="I27" t="str">
            <v/>
          </cell>
          <cell r="K27">
            <v>0</v>
          </cell>
          <cell r="L27">
            <v>0</v>
          </cell>
          <cell r="M27">
            <v>0</v>
          </cell>
          <cell r="N27">
            <v>1</v>
          </cell>
          <cell r="P27">
            <v>0</v>
          </cell>
          <cell r="Q27">
            <v>0</v>
          </cell>
          <cell r="R27">
            <v>0</v>
          </cell>
          <cell r="T27">
            <v>0</v>
          </cell>
          <cell r="U27">
            <v>0</v>
          </cell>
          <cell r="V27">
            <v>0</v>
          </cell>
          <cell r="W27">
            <v>0</v>
          </cell>
          <cell r="X27">
            <v>0</v>
          </cell>
          <cell r="Y27">
            <v>1</v>
          </cell>
          <cell r="Z27">
            <v>0</v>
          </cell>
          <cell r="AB27">
            <v>0</v>
          </cell>
          <cell r="AC27">
            <v>0</v>
          </cell>
          <cell r="AD27">
            <v>0</v>
          </cell>
          <cell r="AE27">
            <v>0</v>
          </cell>
          <cell r="AF27">
            <v>0</v>
          </cell>
          <cell r="AG27">
            <v>0</v>
          </cell>
          <cell r="AI27"/>
          <cell r="AJ27" t="str">
            <v/>
          </cell>
          <cell r="AK27" t="str">
            <v/>
          </cell>
          <cell r="AL27" t="str">
            <v/>
          </cell>
          <cell r="AM27" t="str">
            <v/>
          </cell>
          <cell r="AN27" t="str">
            <v/>
          </cell>
        </row>
        <row r="28">
          <cell r="B28" t="str">
            <v>Bangladesh</v>
          </cell>
          <cell r="C28" t="str">
            <v>BGD</v>
          </cell>
          <cell r="D28" t="str">
            <v>BGD</v>
          </cell>
          <cell r="E28" t="str">
            <v/>
          </cell>
          <cell r="F28" t="str">
            <v>Bangladesh</v>
          </cell>
          <cell r="G28" t="str">
            <v/>
          </cell>
          <cell r="H28" t="str">
            <v>Bangladesh</v>
          </cell>
          <cell r="I28" t="str">
            <v/>
          </cell>
          <cell r="K28">
            <v>0</v>
          </cell>
          <cell r="L28">
            <v>1</v>
          </cell>
          <cell r="M28">
            <v>0</v>
          </cell>
          <cell r="N28">
            <v>0</v>
          </cell>
          <cell r="P28">
            <v>1</v>
          </cell>
          <cell r="Q28">
            <v>0</v>
          </cell>
          <cell r="R28">
            <v>0</v>
          </cell>
          <cell r="T28">
            <v>0</v>
          </cell>
          <cell r="U28">
            <v>0</v>
          </cell>
          <cell r="V28">
            <v>0</v>
          </cell>
          <cell r="W28">
            <v>0</v>
          </cell>
          <cell r="X28">
            <v>1</v>
          </cell>
          <cell r="Y28">
            <v>0</v>
          </cell>
          <cell r="Z28">
            <v>0</v>
          </cell>
          <cell r="AB28">
            <v>0</v>
          </cell>
          <cell r="AC28">
            <v>0</v>
          </cell>
          <cell r="AD28">
            <v>0</v>
          </cell>
          <cell r="AE28">
            <v>0</v>
          </cell>
          <cell r="AF28">
            <v>0</v>
          </cell>
          <cell r="AG28">
            <v>0</v>
          </cell>
          <cell r="AI28"/>
          <cell r="AJ28" t="str">
            <v/>
          </cell>
          <cell r="AK28" t="str">
            <v>x</v>
          </cell>
          <cell r="AL28" t="str">
            <v>x</v>
          </cell>
          <cell r="AM28" t="str">
            <v>x</v>
          </cell>
          <cell r="AN28" t="str">
            <v>x</v>
          </cell>
        </row>
        <row r="29">
          <cell r="B29" t="str">
            <v>Barbados</v>
          </cell>
          <cell r="C29" t="str">
            <v>BRB</v>
          </cell>
          <cell r="D29" t="str">
            <v>BRB</v>
          </cell>
          <cell r="E29" t="str">
            <v/>
          </cell>
          <cell r="F29" t="str">
            <v>Barbados</v>
          </cell>
          <cell r="G29" t="str">
            <v/>
          </cell>
          <cell r="H29" t="str">
            <v>Barbados</v>
          </cell>
          <cell r="I29" t="str">
            <v/>
          </cell>
          <cell r="K29">
            <v>0</v>
          </cell>
          <cell r="L29">
            <v>0</v>
          </cell>
          <cell r="M29">
            <v>0</v>
          </cell>
          <cell r="N29">
            <v>1</v>
          </cell>
          <cell r="P29">
            <v>0</v>
          </cell>
          <cell r="Q29">
            <v>0</v>
          </cell>
          <cell r="R29">
            <v>1</v>
          </cell>
          <cell r="T29">
            <v>0</v>
          </cell>
          <cell r="U29">
            <v>0</v>
          </cell>
          <cell r="V29">
            <v>1</v>
          </cell>
          <cell r="W29">
            <v>0</v>
          </cell>
          <cell r="X29">
            <v>0</v>
          </cell>
          <cell r="Y29">
            <v>0</v>
          </cell>
          <cell r="Z29">
            <v>0</v>
          </cell>
          <cell r="AB29">
            <v>0</v>
          </cell>
          <cell r="AC29">
            <v>0</v>
          </cell>
          <cell r="AD29">
            <v>0</v>
          </cell>
          <cell r="AE29">
            <v>0</v>
          </cell>
          <cell r="AF29">
            <v>0</v>
          </cell>
          <cell r="AG29">
            <v>0</v>
          </cell>
          <cell r="AI29"/>
          <cell r="AJ29" t="str">
            <v/>
          </cell>
          <cell r="AK29" t="str">
            <v/>
          </cell>
          <cell r="AL29" t="str">
            <v/>
          </cell>
          <cell r="AM29" t="str">
            <v>x</v>
          </cell>
          <cell r="AN29" t="str">
            <v>x</v>
          </cell>
        </row>
        <row r="30">
          <cell r="B30" t="str">
            <v>Belarus</v>
          </cell>
          <cell r="C30" t="str">
            <v>BLR</v>
          </cell>
          <cell r="D30" t="str">
            <v>BLR</v>
          </cell>
          <cell r="E30" t="str">
            <v/>
          </cell>
          <cell r="F30" t="str">
            <v>Belarus</v>
          </cell>
          <cell r="G30" t="str">
            <v/>
          </cell>
          <cell r="H30" t="str">
            <v>Belarus</v>
          </cell>
          <cell r="I30" t="str">
            <v/>
          </cell>
          <cell r="K30">
            <v>0</v>
          </cell>
          <cell r="L30">
            <v>0</v>
          </cell>
          <cell r="M30">
            <v>1</v>
          </cell>
          <cell r="N30">
            <v>0</v>
          </cell>
          <cell r="P30">
            <v>0</v>
          </cell>
          <cell r="Q30">
            <v>0</v>
          </cell>
          <cell r="R30">
            <v>0</v>
          </cell>
          <cell r="T30">
            <v>1</v>
          </cell>
          <cell r="U30">
            <v>0</v>
          </cell>
          <cell r="V30">
            <v>0</v>
          </cell>
          <cell r="W30">
            <v>0</v>
          </cell>
          <cell r="X30">
            <v>0</v>
          </cell>
          <cell r="Y30">
            <v>0</v>
          </cell>
          <cell r="Z30">
            <v>0</v>
          </cell>
          <cell r="AB30">
            <v>0</v>
          </cell>
          <cell r="AC30">
            <v>0</v>
          </cell>
          <cell r="AD30">
            <v>0</v>
          </cell>
          <cell r="AE30">
            <v>0</v>
          </cell>
          <cell r="AF30">
            <v>0</v>
          </cell>
          <cell r="AG30">
            <v>0</v>
          </cell>
          <cell r="AI30"/>
          <cell r="AJ30" t="str">
            <v/>
          </cell>
          <cell r="AK30" t="str">
            <v/>
          </cell>
          <cell r="AL30" t="str">
            <v/>
          </cell>
          <cell r="AM30" t="str">
            <v/>
          </cell>
          <cell r="AN30" t="str">
            <v/>
          </cell>
        </row>
        <row r="31">
          <cell r="B31" t="str">
            <v>Belgium</v>
          </cell>
          <cell r="C31" t="str">
            <v>BEL</v>
          </cell>
          <cell r="D31" t="str">
            <v>BEL</v>
          </cell>
          <cell r="E31" t="str">
            <v/>
          </cell>
          <cell r="F31" t="str">
            <v>Belgium</v>
          </cell>
          <cell r="G31" t="str">
            <v/>
          </cell>
          <cell r="H31" t="str">
            <v>Belgium</v>
          </cell>
          <cell r="I31" t="str">
            <v/>
          </cell>
          <cell r="K31">
            <v>0</v>
          </cell>
          <cell r="L31">
            <v>0</v>
          </cell>
          <cell r="M31">
            <v>0</v>
          </cell>
          <cell r="N31">
            <v>1</v>
          </cell>
          <cell r="P31">
            <v>0</v>
          </cell>
          <cell r="Q31">
            <v>0</v>
          </cell>
          <cell r="R31">
            <v>0</v>
          </cell>
          <cell r="T31">
            <v>1</v>
          </cell>
          <cell r="U31">
            <v>0</v>
          </cell>
          <cell r="V31">
            <v>0</v>
          </cell>
          <cell r="W31">
            <v>0</v>
          </cell>
          <cell r="X31">
            <v>0</v>
          </cell>
          <cell r="Y31">
            <v>0</v>
          </cell>
          <cell r="Z31">
            <v>0</v>
          </cell>
          <cell r="AB31">
            <v>1</v>
          </cell>
          <cell r="AC31">
            <v>1</v>
          </cell>
          <cell r="AD31">
            <v>0</v>
          </cell>
          <cell r="AE31">
            <v>0</v>
          </cell>
          <cell r="AF31">
            <v>0</v>
          </cell>
          <cell r="AG31">
            <v>1</v>
          </cell>
          <cell r="AI31"/>
          <cell r="AJ31" t="str">
            <v/>
          </cell>
          <cell r="AK31" t="str">
            <v/>
          </cell>
          <cell r="AL31" t="str">
            <v/>
          </cell>
          <cell r="AM31" t="str">
            <v/>
          </cell>
          <cell r="AN31" t="str">
            <v/>
          </cell>
        </row>
        <row r="32">
          <cell r="B32" t="str">
            <v>Belize</v>
          </cell>
          <cell r="C32" t="str">
            <v>BLZ</v>
          </cell>
          <cell r="D32" t="str">
            <v>BLZ</v>
          </cell>
          <cell r="E32" t="str">
            <v/>
          </cell>
          <cell r="F32" t="str">
            <v>Belize</v>
          </cell>
          <cell r="G32" t="str">
            <v/>
          </cell>
          <cell r="H32" t="str">
            <v>Belize</v>
          </cell>
          <cell r="I32" t="str">
            <v/>
          </cell>
          <cell r="K32">
            <v>0</v>
          </cell>
          <cell r="L32">
            <v>0</v>
          </cell>
          <cell r="M32">
            <v>1</v>
          </cell>
          <cell r="N32">
            <v>0</v>
          </cell>
          <cell r="P32">
            <v>0</v>
          </cell>
          <cell r="Q32">
            <v>0</v>
          </cell>
          <cell r="R32">
            <v>1</v>
          </cell>
          <cell r="T32">
            <v>0</v>
          </cell>
          <cell r="U32">
            <v>0</v>
          </cell>
          <cell r="V32">
            <v>1</v>
          </cell>
          <cell r="W32">
            <v>0</v>
          </cell>
          <cell r="X32">
            <v>0</v>
          </cell>
          <cell r="Y32">
            <v>0</v>
          </cell>
          <cell r="Z32">
            <v>0</v>
          </cell>
          <cell r="AB32">
            <v>0</v>
          </cell>
          <cell r="AC32">
            <v>0</v>
          </cell>
          <cell r="AD32">
            <v>0</v>
          </cell>
          <cell r="AE32">
            <v>0</v>
          </cell>
          <cell r="AF32">
            <v>0</v>
          </cell>
          <cell r="AG32">
            <v>0</v>
          </cell>
          <cell r="AI32"/>
          <cell r="AJ32" t="str">
            <v/>
          </cell>
          <cell r="AK32" t="str">
            <v/>
          </cell>
          <cell r="AL32" t="str">
            <v/>
          </cell>
          <cell r="AM32" t="str">
            <v>x</v>
          </cell>
          <cell r="AN32" t="str">
            <v>x</v>
          </cell>
        </row>
        <row r="33">
          <cell r="B33" t="str">
            <v>Benin</v>
          </cell>
          <cell r="C33" t="str">
            <v>BEN</v>
          </cell>
          <cell r="D33" t="str">
            <v>BEN</v>
          </cell>
          <cell r="E33" t="str">
            <v/>
          </cell>
          <cell r="F33" t="str">
            <v>Benin</v>
          </cell>
          <cell r="G33" t="str">
            <v/>
          </cell>
          <cell r="H33" t="str">
            <v>Benin</v>
          </cell>
          <cell r="I33" t="str">
            <v/>
          </cell>
          <cell r="K33">
            <v>0</v>
          </cell>
          <cell r="L33">
            <v>1</v>
          </cell>
          <cell r="M33">
            <v>0</v>
          </cell>
          <cell r="N33">
            <v>0</v>
          </cell>
          <cell r="P33">
            <v>1</v>
          </cell>
          <cell r="Q33">
            <v>0</v>
          </cell>
          <cell r="R33">
            <v>0</v>
          </cell>
          <cell r="T33">
            <v>0</v>
          </cell>
          <cell r="U33">
            <v>0</v>
          </cell>
          <cell r="V33">
            <v>0</v>
          </cell>
          <cell r="W33">
            <v>0</v>
          </cell>
          <cell r="X33">
            <v>0</v>
          </cell>
          <cell r="Y33">
            <v>0</v>
          </cell>
          <cell r="Z33">
            <v>1</v>
          </cell>
          <cell r="AB33">
            <v>0</v>
          </cell>
          <cell r="AC33">
            <v>0</v>
          </cell>
          <cell r="AD33">
            <v>0</v>
          </cell>
          <cell r="AE33">
            <v>0</v>
          </cell>
          <cell r="AF33">
            <v>0</v>
          </cell>
          <cell r="AG33">
            <v>0</v>
          </cell>
          <cell r="AI33"/>
          <cell r="AJ33" t="str">
            <v/>
          </cell>
          <cell r="AK33" t="str">
            <v>x</v>
          </cell>
          <cell r="AL33" t="str">
            <v>x</v>
          </cell>
          <cell r="AM33" t="str">
            <v>x</v>
          </cell>
          <cell r="AN33" t="str">
            <v>x</v>
          </cell>
        </row>
        <row r="34">
          <cell r="B34" t="str">
            <v>Bermuda</v>
          </cell>
          <cell r="C34" t="str">
            <v>BMU</v>
          </cell>
          <cell r="D34" t="str">
            <v>BMU</v>
          </cell>
          <cell r="E34" t="str">
            <v/>
          </cell>
          <cell r="F34" t="str">
            <v>Bermuda</v>
          </cell>
          <cell r="G34" t="str">
            <v/>
          </cell>
          <cell r="H34" t="str">
            <v>Bermuda</v>
          </cell>
          <cell r="I34" t="str">
            <v/>
          </cell>
          <cell r="K34">
            <v>0</v>
          </cell>
          <cell r="L34">
            <v>0</v>
          </cell>
          <cell r="M34">
            <v>0</v>
          </cell>
          <cell r="N34">
            <v>1</v>
          </cell>
          <cell r="P34">
            <v>0</v>
          </cell>
          <cell r="Q34">
            <v>0</v>
          </cell>
          <cell r="R34">
            <v>0</v>
          </cell>
          <cell r="T34">
            <v>0</v>
          </cell>
          <cell r="U34">
            <v>1</v>
          </cell>
          <cell r="V34">
            <v>0</v>
          </cell>
          <cell r="W34">
            <v>0</v>
          </cell>
          <cell r="X34">
            <v>0</v>
          </cell>
          <cell r="Y34">
            <v>0</v>
          </cell>
          <cell r="Z34">
            <v>0</v>
          </cell>
          <cell r="AB34">
            <v>0</v>
          </cell>
          <cell r="AC34">
            <v>0</v>
          </cell>
          <cell r="AD34">
            <v>0</v>
          </cell>
          <cell r="AE34">
            <v>0</v>
          </cell>
          <cell r="AF34">
            <v>0</v>
          </cell>
          <cell r="AG34">
            <v>0</v>
          </cell>
          <cell r="AI34"/>
          <cell r="AJ34" t="str">
            <v/>
          </cell>
          <cell r="AK34" t="str">
            <v/>
          </cell>
          <cell r="AL34" t="str">
            <v/>
          </cell>
          <cell r="AM34" t="str">
            <v/>
          </cell>
          <cell r="AN34" t="str">
            <v/>
          </cell>
        </row>
        <row r="35">
          <cell r="B35" t="str">
            <v>Bhutan</v>
          </cell>
          <cell r="C35" t="str">
            <v>BTN</v>
          </cell>
          <cell r="D35" t="str">
            <v>BTN</v>
          </cell>
          <cell r="E35" t="str">
            <v/>
          </cell>
          <cell r="F35" t="str">
            <v>Bhutan</v>
          </cell>
          <cell r="G35" t="str">
            <v/>
          </cell>
          <cell r="H35" t="str">
            <v>Bhutan</v>
          </cell>
          <cell r="I35" t="str">
            <v/>
          </cell>
          <cell r="K35">
            <v>0</v>
          </cell>
          <cell r="L35">
            <v>1</v>
          </cell>
          <cell r="M35">
            <v>0</v>
          </cell>
          <cell r="N35">
            <v>0</v>
          </cell>
          <cell r="P35">
            <v>1</v>
          </cell>
          <cell r="Q35">
            <v>1</v>
          </cell>
          <cell r="R35">
            <v>0</v>
          </cell>
          <cell r="T35">
            <v>0</v>
          </cell>
          <cell r="U35">
            <v>0</v>
          </cell>
          <cell r="V35">
            <v>0</v>
          </cell>
          <cell r="W35">
            <v>0</v>
          </cell>
          <cell r="X35">
            <v>1</v>
          </cell>
          <cell r="Y35">
            <v>0</v>
          </cell>
          <cell r="Z35">
            <v>0</v>
          </cell>
          <cell r="AB35">
            <v>0</v>
          </cell>
          <cell r="AC35">
            <v>0</v>
          </cell>
          <cell r="AD35">
            <v>0</v>
          </cell>
          <cell r="AE35">
            <v>0</v>
          </cell>
          <cell r="AF35">
            <v>0</v>
          </cell>
          <cell r="AG35">
            <v>0</v>
          </cell>
          <cell r="AI35"/>
          <cell r="AJ35" t="str">
            <v/>
          </cell>
          <cell r="AK35" t="str">
            <v>x</v>
          </cell>
          <cell r="AL35" t="str">
            <v>x</v>
          </cell>
          <cell r="AM35" t="str">
            <v>x</v>
          </cell>
          <cell r="AN35" t="str">
            <v>x</v>
          </cell>
        </row>
        <row r="36">
          <cell r="B36" t="str">
            <v>Bolivia</v>
          </cell>
          <cell r="C36" t="str">
            <v>BOL</v>
          </cell>
          <cell r="D36" t="str">
            <v>BOL</v>
          </cell>
          <cell r="E36" t="str">
            <v/>
          </cell>
          <cell r="F36" t="str">
            <v>Bolivia (Plurinational State of)</v>
          </cell>
          <cell r="G36" t="str">
            <v>diff</v>
          </cell>
          <cell r="H36" t="str">
            <v>Bolivia</v>
          </cell>
          <cell r="I36" t="str">
            <v/>
          </cell>
          <cell r="K36">
            <v>0</v>
          </cell>
          <cell r="L36">
            <v>1</v>
          </cell>
          <cell r="M36">
            <v>0</v>
          </cell>
          <cell r="N36">
            <v>0</v>
          </cell>
          <cell r="P36">
            <v>0</v>
          </cell>
          <cell r="Q36">
            <v>1</v>
          </cell>
          <cell r="R36">
            <v>0</v>
          </cell>
          <cell r="T36">
            <v>0</v>
          </cell>
          <cell r="U36">
            <v>0</v>
          </cell>
          <cell r="V36">
            <v>1</v>
          </cell>
          <cell r="W36">
            <v>0</v>
          </cell>
          <cell r="X36">
            <v>0</v>
          </cell>
          <cell r="Y36">
            <v>0</v>
          </cell>
          <cell r="Z36">
            <v>0</v>
          </cell>
          <cell r="AB36">
            <v>0</v>
          </cell>
          <cell r="AC36">
            <v>0</v>
          </cell>
          <cell r="AD36">
            <v>0</v>
          </cell>
          <cell r="AE36">
            <v>0</v>
          </cell>
          <cell r="AF36">
            <v>0</v>
          </cell>
          <cell r="AG36">
            <v>0</v>
          </cell>
          <cell r="AI36"/>
          <cell r="AJ36" t="str">
            <v/>
          </cell>
          <cell r="AK36" t="str">
            <v>x</v>
          </cell>
          <cell r="AL36" t="str">
            <v/>
          </cell>
          <cell r="AM36" t="str">
            <v/>
          </cell>
          <cell r="AN36" t="str">
            <v>x</v>
          </cell>
        </row>
        <row r="37">
          <cell r="B37" t="str">
            <v>Bonaire Sint Eustatius and Saba</v>
          </cell>
          <cell r="C37" t="str">
            <v>BES</v>
          </cell>
          <cell r="D37" t="str">
            <v>BES</v>
          </cell>
          <cell r="E37" t="str">
            <v/>
          </cell>
          <cell r="F37" t="str">
            <v>Bonaire, Sint Eustatius and Saba</v>
          </cell>
          <cell r="G37" t="str">
            <v>diff</v>
          </cell>
          <cell r="H37" t="e">
            <v>#N/A</v>
          </cell>
          <cell r="I37" t="str">
            <v/>
          </cell>
          <cell r="K37" t="str">
            <v/>
          </cell>
          <cell r="L37" t="str">
            <v/>
          </cell>
          <cell r="M37" t="str">
            <v/>
          </cell>
          <cell r="N37" t="str">
            <v/>
          </cell>
          <cell r="P37">
            <v>0</v>
          </cell>
          <cell r="Q37">
            <v>0</v>
          </cell>
          <cell r="R37">
            <v>1</v>
          </cell>
          <cell r="T37" t="str">
            <v/>
          </cell>
          <cell r="U37" t="str">
            <v/>
          </cell>
          <cell r="V37" t="str">
            <v/>
          </cell>
          <cell r="W37" t="str">
            <v/>
          </cell>
          <cell r="X37" t="str">
            <v/>
          </cell>
          <cell r="Y37" t="str">
            <v/>
          </cell>
          <cell r="Z37" t="str">
            <v/>
          </cell>
          <cell r="AB37">
            <v>0</v>
          </cell>
          <cell r="AC37">
            <v>0</v>
          </cell>
          <cell r="AD37">
            <v>0</v>
          </cell>
          <cell r="AE37">
            <v>0</v>
          </cell>
          <cell r="AF37">
            <v>0</v>
          </cell>
          <cell r="AG37">
            <v>0</v>
          </cell>
          <cell r="AI37"/>
          <cell r="AJ37" t="str">
            <v/>
          </cell>
          <cell r="AK37" t="str">
            <v/>
          </cell>
          <cell r="AL37" t="str">
            <v/>
          </cell>
          <cell r="AM37" t="str">
            <v>x</v>
          </cell>
          <cell r="AN37" t="str">
            <v>x</v>
          </cell>
        </row>
        <row r="38">
          <cell r="B38" t="str">
            <v>Bosnia and Herzegovina</v>
          </cell>
          <cell r="C38" t="str">
            <v>BIH</v>
          </cell>
          <cell r="D38" t="str">
            <v>BIH</v>
          </cell>
          <cell r="E38" t="str">
            <v/>
          </cell>
          <cell r="F38" t="str">
            <v>Bosnia and Herzegovina</v>
          </cell>
          <cell r="G38" t="str">
            <v/>
          </cell>
          <cell r="H38" t="str">
            <v>Bosnia and Herzegovina</v>
          </cell>
          <cell r="I38" t="str">
            <v/>
          </cell>
          <cell r="K38">
            <v>0</v>
          </cell>
          <cell r="L38">
            <v>0</v>
          </cell>
          <cell r="M38">
            <v>1</v>
          </cell>
          <cell r="N38">
            <v>0</v>
          </cell>
          <cell r="P38">
            <v>0</v>
          </cell>
          <cell r="Q38">
            <v>0</v>
          </cell>
          <cell r="R38">
            <v>0</v>
          </cell>
          <cell r="T38">
            <v>1</v>
          </cell>
          <cell r="U38">
            <v>0</v>
          </cell>
          <cell r="V38">
            <v>0</v>
          </cell>
          <cell r="W38">
            <v>0</v>
          </cell>
          <cell r="X38">
            <v>0</v>
          </cell>
          <cell r="Y38">
            <v>0</v>
          </cell>
          <cell r="Z38">
            <v>0</v>
          </cell>
          <cell r="AB38">
            <v>0</v>
          </cell>
          <cell r="AC38">
            <v>0</v>
          </cell>
          <cell r="AD38">
            <v>0</v>
          </cell>
          <cell r="AE38">
            <v>0</v>
          </cell>
          <cell r="AF38">
            <v>0</v>
          </cell>
          <cell r="AG38">
            <v>0</v>
          </cell>
          <cell r="AI38"/>
          <cell r="AJ38" t="str">
            <v/>
          </cell>
          <cell r="AK38" t="str">
            <v/>
          </cell>
          <cell r="AL38" t="str">
            <v/>
          </cell>
          <cell r="AM38" t="str">
            <v/>
          </cell>
          <cell r="AN38" t="str">
            <v/>
          </cell>
        </row>
        <row r="39">
          <cell r="B39" t="str">
            <v>Botswana</v>
          </cell>
          <cell r="C39" t="str">
            <v>BWA</v>
          </cell>
          <cell r="D39" t="str">
            <v>BWA</v>
          </cell>
          <cell r="E39" t="str">
            <v/>
          </cell>
          <cell r="F39" t="str">
            <v>Botswana</v>
          </cell>
          <cell r="G39" t="str">
            <v/>
          </cell>
          <cell r="H39" t="str">
            <v>Botswana</v>
          </cell>
          <cell r="I39" t="str">
            <v/>
          </cell>
          <cell r="K39">
            <v>0</v>
          </cell>
          <cell r="L39">
            <v>0</v>
          </cell>
          <cell r="M39">
            <v>1</v>
          </cell>
          <cell r="N39">
            <v>0</v>
          </cell>
          <cell r="P39">
            <v>0</v>
          </cell>
          <cell r="Q39">
            <v>1</v>
          </cell>
          <cell r="R39">
            <v>0</v>
          </cell>
          <cell r="T39">
            <v>0</v>
          </cell>
          <cell r="U39">
            <v>0</v>
          </cell>
          <cell r="V39">
            <v>0</v>
          </cell>
          <cell r="W39">
            <v>0</v>
          </cell>
          <cell r="X39">
            <v>0</v>
          </cell>
          <cell r="Y39">
            <v>0</v>
          </cell>
          <cell r="Z39">
            <v>1</v>
          </cell>
          <cell r="AB39">
            <v>0</v>
          </cell>
          <cell r="AC39">
            <v>0</v>
          </cell>
          <cell r="AD39">
            <v>0</v>
          </cell>
          <cell r="AE39">
            <v>0</v>
          </cell>
          <cell r="AF39">
            <v>0</v>
          </cell>
          <cell r="AG39">
            <v>0</v>
          </cell>
          <cell r="AI39"/>
          <cell r="AJ39" t="str">
            <v/>
          </cell>
          <cell r="AK39" t="str">
            <v/>
          </cell>
          <cell r="AL39" t="str">
            <v/>
          </cell>
          <cell r="AM39" t="str">
            <v/>
          </cell>
          <cell r="AN39" t="str">
            <v/>
          </cell>
        </row>
        <row r="40">
          <cell r="B40" t="str">
            <v>Brazil</v>
          </cell>
          <cell r="C40" t="str">
            <v>BRA</v>
          </cell>
          <cell r="D40" t="str">
            <v>BRA</v>
          </cell>
          <cell r="E40" t="str">
            <v/>
          </cell>
          <cell r="F40" t="str">
            <v>Brazil</v>
          </cell>
          <cell r="G40" t="str">
            <v/>
          </cell>
          <cell r="H40" t="str">
            <v>Brazil</v>
          </cell>
          <cell r="I40" t="str">
            <v/>
          </cell>
          <cell r="K40">
            <v>0</v>
          </cell>
          <cell r="L40">
            <v>0</v>
          </cell>
          <cell r="M40">
            <v>1</v>
          </cell>
          <cell r="N40">
            <v>0</v>
          </cell>
          <cell r="P40">
            <v>0</v>
          </cell>
          <cell r="Q40">
            <v>0</v>
          </cell>
          <cell r="R40">
            <v>0</v>
          </cell>
          <cell r="T40">
            <v>0</v>
          </cell>
          <cell r="U40">
            <v>0</v>
          </cell>
          <cell r="V40">
            <v>1</v>
          </cell>
          <cell r="W40">
            <v>0</v>
          </cell>
          <cell r="X40">
            <v>0</v>
          </cell>
          <cell r="Y40">
            <v>0</v>
          </cell>
          <cell r="Z40">
            <v>0</v>
          </cell>
          <cell r="AB40">
            <v>0</v>
          </cell>
          <cell r="AC40">
            <v>0</v>
          </cell>
          <cell r="AD40">
            <v>1</v>
          </cell>
          <cell r="AE40">
            <v>0</v>
          </cell>
          <cell r="AF40">
            <v>1</v>
          </cell>
          <cell r="AG40">
            <v>0</v>
          </cell>
          <cell r="AI40"/>
          <cell r="AJ40" t="str">
            <v/>
          </cell>
          <cell r="AK40" t="str">
            <v/>
          </cell>
          <cell r="AL40" t="str">
            <v/>
          </cell>
          <cell r="AM40" t="str">
            <v/>
          </cell>
          <cell r="AN40" t="str">
            <v/>
          </cell>
        </row>
        <row r="41">
          <cell r="B41" t="str">
            <v>British Virgin Islands</v>
          </cell>
          <cell r="C41" t="str">
            <v>VGB</v>
          </cell>
          <cell r="D41" t="str">
            <v>VGB</v>
          </cell>
          <cell r="E41" t="str">
            <v/>
          </cell>
          <cell r="F41" t="str">
            <v>British Virgin Islands</v>
          </cell>
          <cell r="G41" t="str">
            <v/>
          </cell>
          <cell r="H41" t="str">
            <v>British Virgin Islands</v>
          </cell>
          <cell r="I41" t="str">
            <v/>
          </cell>
          <cell r="K41">
            <v>0</v>
          </cell>
          <cell r="L41">
            <v>0</v>
          </cell>
          <cell r="M41">
            <v>0</v>
          </cell>
          <cell r="N41">
            <v>1</v>
          </cell>
          <cell r="P41">
            <v>0</v>
          </cell>
          <cell r="Q41">
            <v>0</v>
          </cell>
          <cell r="R41">
            <v>1</v>
          </cell>
          <cell r="T41">
            <v>0</v>
          </cell>
          <cell r="U41">
            <v>0</v>
          </cell>
          <cell r="V41">
            <v>1</v>
          </cell>
          <cell r="W41">
            <v>0</v>
          </cell>
          <cell r="X41">
            <v>0</v>
          </cell>
          <cell r="Y41">
            <v>0</v>
          </cell>
          <cell r="Z41">
            <v>0</v>
          </cell>
          <cell r="AB41">
            <v>0</v>
          </cell>
          <cell r="AC41">
            <v>0</v>
          </cell>
          <cell r="AD41">
            <v>0</v>
          </cell>
          <cell r="AE41">
            <v>0</v>
          </cell>
          <cell r="AF41">
            <v>0</v>
          </cell>
          <cell r="AG41">
            <v>0</v>
          </cell>
          <cell r="AI41"/>
          <cell r="AJ41" t="str">
            <v/>
          </cell>
          <cell r="AK41" t="str">
            <v/>
          </cell>
          <cell r="AL41" t="str">
            <v/>
          </cell>
          <cell r="AM41" t="str">
            <v>x</v>
          </cell>
          <cell r="AN41" t="str">
            <v>x</v>
          </cell>
        </row>
        <row r="42">
          <cell r="B42" t="str">
            <v>Brunei</v>
          </cell>
          <cell r="C42" t="str">
            <v>BRN</v>
          </cell>
          <cell r="D42" t="str">
            <v>BRN</v>
          </cell>
          <cell r="E42" t="str">
            <v/>
          </cell>
          <cell r="F42" t="str">
            <v>Brunei Darussalam</v>
          </cell>
          <cell r="G42" t="str">
            <v>diff</v>
          </cell>
          <cell r="H42" t="str">
            <v>Brunei Darussalam</v>
          </cell>
          <cell r="I42" t="str">
            <v>diff</v>
          </cell>
          <cell r="K42">
            <v>0</v>
          </cell>
          <cell r="L42">
            <v>0</v>
          </cell>
          <cell r="M42">
            <v>0</v>
          </cell>
          <cell r="N42">
            <v>1</v>
          </cell>
          <cell r="P42">
            <v>0</v>
          </cell>
          <cell r="Q42">
            <v>0</v>
          </cell>
          <cell r="R42">
            <v>0</v>
          </cell>
          <cell r="T42">
            <v>0</v>
          </cell>
          <cell r="U42">
            <v>0</v>
          </cell>
          <cell r="V42">
            <v>0</v>
          </cell>
          <cell r="W42">
            <v>1</v>
          </cell>
          <cell r="X42">
            <v>0</v>
          </cell>
          <cell r="Y42">
            <v>0</v>
          </cell>
          <cell r="Z42">
            <v>0</v>
          </cell>
          <cell r="AB42">
            <v>0</v>
          </cell>
          <cell r="AC42">
            <v>0</v>
          </cell>
          <cell r="AD42">
            <v>0</v>
          </cell>
          <cell r="AE42">
            <v>0</v>
          </cell>
          <cell r="AF42">
            <v>0</v>
          </cell>
          <cell r="AG42">
            <v>0</v>
          </cell>
          <cell r="AI42"/>
          <cell r="AJ42" t="str">
            <v/>
          </cell>
          <cell r="AK42" t="str">
            <v/>
          </cell>
          <cell r="AL42" t="str">
            <v/>
          </cell>
          <cell r="AM42" t="str">
            <v/>
          </cell>
          <cell r="AN42" t="str">
            <v/>
          </cell>
        </row>
        <row r="43">
          <cell r="B43" t="str">
            <v>Bulgaria</v>
          </cell>
          <cell r="C43" t="str">
            <v>BGR</v>
          </cell>
          <cell r="D43" t="str">
            <v>BGR</v>
          </cell>
          <cell r="E43" t="str">
            <v/>
          </cell>
          <cell r="F43" t="str">
            <v>Bulgaria</v>
          </cell>
          <cell r="G43" t="str">
            <v/>
          </cell>
          <cell r="H43" t="str">
            <v>Bulgaria</v>
          </cell>
          <cell r="I43" t="str">
            <v/>
          </cell>
          <cell r="K43">
            <v>0</v>
          </cell>
          <cell r="L43">
            <v>0</v>
          </cell>
          <cell r="M43">
            <v>1</v>
          </cell>
          <cell r="N43">
            <v>0</v>
          </cell>
          <cell r="P43">
            <v>0</v>
          </cell>
          <cell r="Q43">
            <v>0</v>
          </cell>
          <cell r="R43">
            <v>0</v>
          </cell>
          <cell r="T43">
            <v>1</v>
          </cell>
          <cell r="U43">
            <v>0</v>
          </cell>
          <cell r="V43">
            <v>0</v>
          </cell>
          <cell r="W43">
            <v>0</v>
          </cell>
          <cell r="X43">
            <v>0</v>
          </cell>
          <cell r="Y43">
            <v>0</v>
          </cell>
          <cell r="Z43">
            <v>0</v>
          </cell>
          <cell r="AB43">
            <v>0</v>
          </cell>
          <cell r="AC43">
            <v>1</v>
          </cell>
          <cell r="AD43">
            <v>0</v>
          </cell>
          <cell r="AE43">
            <v>0</v>
          </cell>
          <cell r="AF43">
            <v>0</v>
          </cell>
          <cell r="AG43">
            <v>0</v>
          </cell>
          <cell r="AI43"/>
          <cell r="AJ43" t="str">
            <v/>
          </cell>
          <cell r="AK43" t="str">
            <v/>
          </cell>
          <cell r="AL43" t="str">
            <v/>
          </cell>
          <cell r="AM43" t="str">
            <v/>
          </cell>
          <cell r="AN43" t="str">
            <v/>
          </cell>
        </row>
        <row r="44">
          <cell r="B44" t="str">
            <v>Burkina Faso</v>
          </cell>
          <cell r="C44" t="str">
            <v>BFA</v>
          </cell>
          <cell r="D44" t="str">
            <v>BFA</v>
          </cell>
          <cell r="E44" t="str">
            <v/>
          </cell>
          <cell r="F44" t="str">
            <v>Burkina Faso</v>
          </cell>
          <cell r="G44" t="str">
            <v/>
          </cell>
          <cell r="H44" t="str">
            <v>Burkina Faso</v>
          </cell>
          <cell r="I44" t="str">
            <v/>
          </cell>
          <cell r="K44">
            <v>1</v>
          </cell>
          <cell r="L44">
            <v>0</v>
          </cell>
          <cell r="M44">
            <v>0</v>
          </cell>
          <cell r="N44">
            <v>0</v>
          </cell>
          <cell r="P44">
            <v>1</v>
          </cell>
          <cell r="Q44">
            <v>1</v>
          </cell>
          <cell r="R44">
            <v>0</v>
          </cell>
          <cell r="T44">
            <v>0</v>
          </cell>
          <cell r="U44">
            <v>0</v>
          </cell>
          <cell r="V44">
            <v>0</v>
          </cell>
          <cell r="W44">
            <v>0</v>
          </cell>
          <cell r="X44">
            <v>0</v>
          </cell>
          <cell r="Y44">
            <v>0</v>
          </cell>
          <cell r="Z44">
            <v>1</v>
          </cell>
          <cell r="AB44">
            <v>0</v>
          </cell>
          <cell r="AC44">
            <v>0</v>
          </cell>
          <cell r="AD44">
            <v>0</v>
          </cell>
          <cell r="AE44">
            <v>0</v>
          </cell>
          <cell r="AF44">
            <v>0</v>
          </cell>
          <cell r="AG44">
            <v>0</v>
          </cell>
          <cell r="AI44"/>
          <cell r="AJ44" t="str">
            <v>x</v>
          </cell>
          <cell r="AK44" t="str">
            <v>x</v>
          </cell>
          <cell r="AL44" t="str">
            <v>x</v>
          </cell>
          <cell r="AM44" t="str">
            <v>x</v>
          </cell>
          <cell r="AN44" t="str">
            <v>x</v>
          </cell>
        </row>
        <row r="45">
          <cell r="B45" t="str">
            <v>Burundi</v>
          </cell>
          <cell r="C45" t="str">
            <v>BDI</v>
          </cell>
          <cell r="D45" t="str">
            <v>BDI</v>
          </cell>
          <cell r="E45" t="str">
            <v/>
          </cell>
          <cell r="F45" t="str">
            <v>Burundi</v>
          </cell>
          <cell r="G45" t="str">
            <v/>
          </cell>
          <cell r="H45" t="str">
            <v>Burundi</v>
          </cell>
          <cell r="I45" t="str">
            <v/>
          </cell>
          <cell r="K45">
            <v>1</v>
          </cell>
          <cell r="L45">
            <v>0</v>
          </cell>
          <cell r="M45">
            <v>0</v>
          </cell>
          <cell r="N45">
            <v>0</v>
          </cell>
          <cell r="P45">
            <v>1</v>
          </cell>
          <cell r="Q45">
            <v>1</v>
          </cell>
          <cell r="R45">
            <v>0</v>
          </cell>
          <cell r="T45">
            <v>0</v>
          </cell>
          <cell r="U45">
            <v>0</v>
          </cell>
          <cell r="V45">
            <v>0</v>
          </cell>
          <cell r="W45">
            <v>0</v>
          </cell>
          <cell r="X45">
            <v>0</v>
          </cell>
          <cell r="Y45">
            <v>0</v>
          </cell>
          <cell r="Z45">
            <v>1</v>
          </cell>
          <cell r="AB45">
            <v>0</v>
          </cell>
          <cell r="AC45">
            <v>0</v>
          </cell>
          <cell r="AD45">
            <v>0</v>
          </cell>
          <cell r="AE45">
            <v>0</v>
          </cell>
          <cell r="AF45">
            <v>0</v>
          </cell>
          <cell r="AG45">
            <v>0</v>
          </cell>
          <cell r="AI45"/>
          <cell r="AJ45" t="str">
            <v>x</v>
          </cell>
          <cell r="AK45" t="str">
            <v>x</v>
          </cell>
          <cell r="AL45" t="str">
            <v>x</v>
          </cell>
          <cell r="AM45" t="str">
            <v>x</v>
          </cell>
          <cell r="AN45" t="str">
            <v>x</v>
          </cell>
        </row>
        <row r="46">
          <cell r="B46" t="str">
            <v>Cambodia</v>
          </cell>
          <cell r="C46" t="str">
            <v>KHM</v>
          </cell>
          <cell r="D46" t="str">
            <v>KHM</v>
          </cell>
          <cell r="E46" t="str">
            <v/>
          </cell>
          <cell r="F46" t="str">
            <v>Cambodia</v>
          </cell>
          <cell r="G46" t="str">
            <v/>
          </cell>
          <cell r="H46" t="str">
            <v>Cambodia</v>
          </cell>
          <cell r="I46" t="str">
            <v/>
          </cell>
          <cell r="K46">
            <v>0</v>
          </cell>
          <cell r="L46">
            <v>1</v>
          </cell>
          <cell r="M46">
            <v>0</v>
          </cell>
          <cell r="N46">
            <v>0</v>
          </cell>
          <cell r="P46">
            <v>1</v>
          </cell>
          <cell r="Q46">
            <v>0</v>
          </cell>
          <cell r="R46">
            <v>0</v>
          </cell>
          <cell r="T46">
            <v>0</v>
          </cell>
          <cell r="U46">
            <v>0</v>
          </cell>
          <cell r="V46">
            <v>0</v>
          </cell>
          <cell r="W46">
            <v>1</v>
          </cell>
          <cell r="X46">
            <v>0</v>
          </cell>
          <cell r="Y46">
            <v>0</v>
          </cell>
          <cell r="Z46">
            <v>0</v>
          </cell>
          <cell r="AB46">
            <v>0</v>
          </cell>
          <cell r="AC46">
            <v>0</v>
          </cell>
          <cell r="AD46">
            <v>0</v>
          </cell>
          <cell r="AE46">
            <v>0</v>
          </cell>
          <cell r="AF46">
            <v>0</v>
          </cell>
          <cell r="AG46">
            <v>0</v>
          </cell>
          <cell r="AI46"/>
          <cell r="AJ46" t="str">
            <v/>
          </cell>
          <cell r="AK46" t="str">
            <v>x</v>
          </cell>
          <cell r="AL46" t="str">
            <v>x</v>
          </cell>
          <cell r="AM46" t="str">
            <v>x</v>
          </cell>
          <cell r="AN46" t="str">
            <v>x</v>
          </cell>
        </row>
        <row r="47">
          <cell r="B47" t="str">
            <v>Cameroon</v>
          </cell>
          <cell r="C47" t="str">
            <v>CMR</v>
          </cell>
          <cell r="D47" t="str">
            <v>CMR</v>
          </cell>
          <cell r="E47" t="str">
            <v/>
          </cell>
          <cell r="F47" t="str">
            <v>Cameroon</v>
          </cell>
          <cell r="G47" t="str">
            <v/>
          </cell>
          <cell r="H47" t="str">
            <v>Cameroon</v>
          </cell>
          <cell r="I47" t="str">
            <v/>
          </cell>
          <cell r="K47">
            <v>0</v>
          </cell>
          <cell r="L47">
            <v>1</v>
          </cell>
          <cell r="M47">
            <v>0</v>
          </cell>
          <cell r="N47">
            <v>0</v>
          </cell>
          <cell r="P47">
            <v>0</v>
          </cell>
          <cell r="Q47">
            <v>0</v>
          </cell>
          <cell r="R47">
            <v>0</v>
          </cell>
          <cell r="T47">
            <v>0</v>
          </cell>
          <cell r="U47">
            <v>0</v>
          </cell>
          <cell r="V47">
            <v>0</v>
          </cell>
          <cell r="W47">
            <v>0</v>
          </cell>
          <cell r="X47">
            <v>0</v>
          </cell>
          <cell r="Y47">
            <v>0</v>
          </cell>
          <cell r="Z47">
            <v>1</v>
          </cell>
          <cell r="AB47">
            <v>0</v>
          </cell>
          <cell r="AC47">
            <v>0</v>
          </cell>
          <cell r="AD47">
            <v>0</v>
          </cell>
          <cell r="AE47">
            <v>0</v>
          </cell>
          <cell r="AF47">
            <v>0</v>
          </cell>
          <cell r="AG47">
            <v>0</v>
          </cell>
          <cell r="AI47"/>
          <cell r="AJ47" t="str">
            <v/>
          </cell>
          <cell r="AK47" t="str">
            <v>x</v>
          </cell>
          <cell r="AL47" t="str">
            <v/>
          </cell>
          <cell r="AM47" t="str">
            <v/>
          </cell>
          <cell r="AN47" t="str">
            <v>x</v>
          </cell>
        </row>
        <row r="48">
          <cell r="B48" t="str">
            <v>Canada</v>
          </cell>
          <cell r="C48" t="str">
            <v>CAN</v>
          </cell>
          <cell r="D48" t="str">
            <v>CAN</v>
          </cell>
          <cell r="E48" t="str">
            <v/>
          </cell>
          <cell r="F48" t="str">
            <v>Canada</v>
          </cell>
          <cell r="G48" t="str">
            <v/>
          </cell>
          <cell r="H48" t="str">
            <v>Canada</v>
          </cell>
          <cell r="I48" t="str">
            <v/>
          </cell>
          <cell r="K48">
            <v>0</v>
          </cell>
          <cell r="L48">
            <v>0</v>
          </cell>
          <cell r="M48">
            <v>0</v>
          </cell>
          <cell r="N48">
            <v>1</v>
          </cell>
          <cell r="P48">
            <v>0</v>
          </cell>
          <cell r="Q48">
            <v>0</v>
          </cell>
          <cell r="R48">
            <v>0</v>
          </cell>
          <cell r="T48">
            <v>0</v>
          </cell>
          <cell r="U48">
            <v>1</v>
          </cell>
          <cell r="V48">
            <v>0</v>
          </cell>
          <cell r="W48">
            <v>0</v>
          </cell>
          <cell r="X48">
            <v>0</v>
          </cell>
          <cell r="Y48">
            <v>0</v>
          </cell>
          <cell r="Z48">
            <v>0</v>
          </cell>
          <cell r="AB48">
            <v>1</v>
          </cell>
          <cell r="AC48">
            <v>0</v>
          </cell>
          <cell r="AD48">
            <v>0</v>
          </cell>
          <cell r="AE48">
            <v>1</v>
          </cell>
          <cell r="AF48">
            <v>1</v>
          </cell>
          <cell r="AG48">
            <v>1</v>
          </cell>
          <cell r="AI48"/>
          <cell r="AJ48" t="str">
            <v/>
          </cell>
          <cell r="AK48" t="str">
            <v/>
          </cell>
          <cell r="AL48" t="str">
            <v/>
          </cell>
          <cell r="AM48" t="str">
            <v/>
          </cell>
          <cell r="AN48" t="str">
            <v/>
          </cell>
        </row>
        <row r="49">
          <cell r="B49" t="str">
            <v>Cape Verde</v>
          </cell>
          <cell r="C49" t="str">
            <v>CPV</v>
          </cell>
          <cell r="D49" t="str">
            <v>CPV</v>
          </cell>
          <cell r="E49" t="str">
            <v/>
          </cell>
          <cell r="F49" t="str">
            <v>Cabo Verde</v>
          </cell>
          <cell r="G49" t="str">
            <v>diff</v>
          </cell>
          <cell r="H49" t="str">
            <v>Cabo Verde</v>
          </cell>
          <cell r="I49" t="str">
            <v>diff</v>
          </cell>
          <cell r="K49">
            <v>0</v>
          </cell>
          <cell r="L49">
            <v>1</v>
          </cell>
          <cell r="M49">
            <v>0</v>
          </cell>
          <cell r="N49">
            <v>0</v>
          </cell>
          <cell r="P49">
            <v>0</v>
          </cell>
          <cell r="Q49">
            <v>0</v>
          </cell>
          <cell r="R49">
            <v>1</v>
          </cell>
          <cell r="T49">
            <v>0</v>
          </cell>
          <cell r="U49">
            <v>0</v>
          </cell>
          <cell r="V49">
            <v>0</v>
          </cell>
          <cell r="W49">
            <v>0</v>
          </cell>
          <cell r="X49">
            <v>0</v>
          </cell>
          <cell r="Y49">
            <v>0</v>
          </cell>
          <cell r="Z49">
            <v>1</v>
          </cell>
          <cell r="AB49">
            <v>0</v>
          </cell>
          <cell r="AC49">
            <v>0</v>
          </cell>
          <cell r="AD49">
            <v>0</v>
          </cell>
          <cell r="AE49">
            <v>0</v>
          </cell>
          <cell r="AF49">
            <v>0</v>
          </cell>
          <cell r="AG49">
            <v>0</v>
          </cell>
          <cell r="AI49"/>
          <cell r="AJ49" t="str">
            <v/>
          </cell>
          <cell r="AK49" t="str">
            <v>x</v>
          </cell>
          <cell r="AL49" t="str">
            <v/>
          </cell>
          <cell r="AM49" t="str">
            <v>x</v>
          </cell>
          <cell r="AN49" t="str">
            <v>x</v>
          </cell>
        </row>
        <row r="50">
          <cell r="B50" t="str">
            <v>Central African Republic</v>
          </cell>
          <cell r="C50" t="str">
            <v>CAF</v>
          </cell>
          <cell r="D50" t="str">
            <v>CAF</v>
          </cell>
          <cell r="E50" t="str">
            <v/>
          </cell>
          <cell r="F50" t="str">
            <v>Central African Republic</v>
          </cell>
          <cell r="G50" t="str">
            <v/>
          </cell>
          <cell r="H50" t="str">
            <v>Central African Republic</v>
          </cell>
          <cell r="I50" t="str">
            <v/>
          </cell>
          <cell r="K50">
            <v>1</v>
          </cell>
          <cell r="L50">
            <v>0</v>
          </cell>
          <cell r="M50">
            <v>0</v>
          </cell>
          <cell r="N50">
            <v>0</v>
          </cell>
          <cell r="P50">
            <v>1</v>
          </cell>
          <cell r="Q50">
            <v>1</v>
          </cell>
          <cell r="R50">
            <v>0</v>
          </cell>
          <cell r="T50">
            <v>0</v>
          </cell>
          <cell r="U50">
            <v>0</v>
          </cell>
          <cell r="V50">
            <v>0</v>
          </cell>
          <cell r="W50">
            <v>0</v>
          </cell>
          <cell r="X50">
            <v>0</v>
          </cell>
          <cell r="Y50">
            <v>0</v>
          </cell>
          <cell r="Z50">
            <v>1</v>
          </cell>
          <cell r="AB50">
            <v>0</v>
          </cell>
          <cell r="AC50">
            <v>0</v>
          </cell>
          <cell r="AD50">
            <v>0</v>
          </cell>
          <cell r="AE50">
            <v>0</v>
          </cell>
          <cell r="AF50">
            <v>0</v>
          </cell>
          <cell r="AG50">
            <v>0</v>
          </cell>
          <cell r="AI50"/>
          <cell r="AJ50" t="str">
            <v>x</v>
          </cell>
          <cell r="AK50" t="str">
            <v>x</v>
          </cell>
          <cell r="AL50" t="str">
            <v>x</v>
          </cell>
          <cell r="AM50" t="str">
            <v>x</v>
          </cell>
          <cell r="AN50" t="str">
            <v>x</v>
          </cell>
        </row>
        <row r="51">
          <cell r="B51" t="str">
            <v>Central America (GCP)</v>
          </cell>
          <cell r="D51" t="str">
            <v/>
          </cell>
          <cell r="E51" t="str">
            <v/>
          </cell>
          <cell r="F51" t="str">
            <v/>
          </cell>
          <cell r="G51" t="str">
            <v/>
          </cell>
          <cell r="H51" t="str">
            <v/>
          </cell>
          <cell r="I51" t="str">
            <v/>
          </cell>
          <cell r="K51" t="str">
            <v/>
          </cell>
          <cell r="L51" t="str">
            <v/>
          </cell>
          <cell r="M51" t="str">
            <v/>
          </cell>
          <cell r="N51" t="str">
            <v/>
          </cell>
          <cell r="P51" t="str">
            <v/>
          </cell>
          <cell r="Q51" t="str">
            <v/>
          </cell>
          <cell r="R51" t="str">
            <v/>
          </cell>
          <cell r="T51" t="str">
            <v/>
          </cell>
          <cell r="U51" t="str">
            <v/>
          </cell>
          <cell r="V51" t="str">
            <v/>
          </cell>
          <cell r="W51" t="str">
            <v/>
          </cell>
          <cell r="X51" t="str">
            <v/>
          </cell>
          <cell r="Y51" t="str">
            <v/>
          </cell>
          <cell r="Z51" t="str">
            <v/>
          </cell>
          <cell r="AB51">
            <v>0</v>
          </cell>
          <cell r="AC51">
            <v>0</v>
          </cell>
          <cell r="AD51">
            <v>0</v>
          </cell>
          <cell r="AE51">
            <v>0</v>
          </cell>
          <cell r="AF51">
            <v>0</v>
          </cell>
          <cell r="AG51">
            <v>0</v>
          </cell>
          <cell r="AI51"/>
          <cell r="AJ51" t="str">
            <v/>
          </cell>
          <cell r="AK51" t="str">
            <v/>
          </cell>
          <cell r="AL51" t="str">
            <v/>
          </cell>
          <cell r="AM51" t="str">
            <v/>
          </cell>
          <cell r="AN51" t="str">
            <v/>
          </cell>
        </row>
        <row r="52">
          <cell r="B52" t="str">
            <v>Chad</v>
          </cell>
          <cell r="C52" t="str">
            <v>TCD</v>
          </cell>
          <cell r="D52" t="str">
            <v>TCD</v>
          </cell>
          <cell r="E52" t="str">
            <v/>
          </cell>
          <cell r="F52" t="str">
            <v>Chad</v>
          </cell>
          <cell r="G52" t="str">
            <v/>
          </cell>
          <cell r="H52" t="str">
            <v>Chad</v>
          </cell>
          <cell r="I52" t="str">
            <v/>
          </cell>
          <cell r="K52">
            <v>1</v>
          </cell>
          <cell r="L52">
            <v>0</v>
          </cell>
          <cell r="M52">
            <v>0</v>
          </cell>
          <cell r="N52">
            <v>0</v>
          </cell>
          <cell r="P52">
            <v>1</v>
          </cell>
          <cell r="Q52">
            <v>1</v>
          </cell>
          <cell r="R52">
            <v>0</v>
          </cell>
          <cell r="T52">
            <v>0</v>
          </cell>
          <cell r="U52">
            <v>0</v>
          </cell>
          <cell r="V52">
            <v>0</v>
          </cell>
          <cell r="W52">
            <v>0</v>
          </cell>
          <cell r="X52">
            <v>0</v>
          </cell>
          <cell r="Y52">
            <v>0</v>
          </cell>
          <cell r="Z52">
            <v>1</v>
          </cell>
          <cell r="AB52">
            <v>0</v>
          </cell>
          <cell r="AC52">
            <v>0</v>
          </cell>
          <cell r="AD52">
            <v>0</v>
          </cell>
          <cell r="AE52">
            <v>0</v>
          </cell>
          <cell r="AF52">
            <v>0</v>
          </cell>
          <cell r="AG52">
            <v>0</v>
          </cell>
          <cell r="AI52"/>
          <cell r="AJ52" t="str">
            <v>x</v>
          </cell>
          <cell r="AK52" t="str">
            <v>x</v>
          </cell>
          <cell r="AL52" t="str">
            <v>x</v>
          </cell>
          <cell r="AM52" t="str">
            <v>x</v>
          </cell>
          <cell r="AN52" t="str">
            <v>x</v>
          </cell>
        </row>
        <row r="53">
          <cell r="B53" t="str">
            <v>Chile</v>
          </cell>
          <cell r="C53" t="str">
            <v>CHL</v>
          </cell>
          <cell r="D53" t="str">
            <v>CHL</v>
          </cell>
          <cell r="E53" t="str">
            <v/>
          </cell>
          <cell r="F53" t="str">
            <v>Chile</v>
          </cell>
          <cell r="G53" t="str">
            <v/>
          </cell>
          <cell r="H53" t="str">
            <v>Chile</v>
          </cell>
          <cell r="I53" t="str">
            <v/>
          </cell>
          <cell r="K53">
            <v>0</v>
          </cell>
          <cell r="L53">
            <v>0</v>
          </cell>
          <cell r="M53">
            <v>0</v>
          </cell>
          <cell r="N53">
            <v>1</v>
          </cell>
          <cell r="P53">
            <v>0</v>
          </cell>
          <cell r="Q53">
            <v>0</v>
          </cell>
          <cell r="R53">
            <v>0</v>
          </cell>
          <cell r="T53">
            <v>0</v>
          </cell>
          <cell r="U53">
            <v>0</v>
          </cell>
          <cell r="V53">
            <v>1</v>
          </cell>
          <cell r="W53">
            <v>0</v>
          </cell>
          <cell r="X53">
            <v>0</v>
          </cell>
          <cell r="Y53">
            <v>0</v>
          </cell>
          <cell r="Z53">
            <v>0</v>
          </cell>
          <cell r="AB53">
            <v>1</v>
          </cell>
          <cell r="AC53">
            <v>0</v>
          </cell>
          <cell r="AD53">
            <v>0</v>
          </cell>
          <cell r="AE53">
            <v>0</v>
          </cell>
          <cell r="AF53">
            <v>0</v>
          </cell>
          <cell r="AG53">
            <v>0</v>
          </cell>
          <cell r="AI53"/>
          <cell r="AJ53" t="str">
            <v/>
          </cell>
          <cell r="AK53" t="str">
            <v/>
          </cell>
          <cell r="AL53" t="str">
            <v/>
          </cell>
          <cell r="AM53" t="str">
            <v/>
          </cell>
          <cell r="AN53" t="str">
            <v/>
          </cell>
        </row>
        <row r="54">
          <cell r="B54" t="str">
            <v>China</v>
          </cell>
          <cell r="C54" t="str">
            <v>CHN</v>
          </cell>
          <cell r="D54" t="str">
            <v>CHN</v>
          </cell>
          <cell r="E54" t="str">
            <v/>
          </cell>
          <cell r="F54" t="str">
            <v>China</v>
          </cell>
          <cell r="G54" t="str">
            <v/>
          </cell>
          <cell r="H54" t="str">
            <v>China</v>
          </cell>
          <cell r="I54" t="str">
            <v/>
          </cell>
          <cell r="K54">
            <v>0</v>
          </cell>
          <cell r="L54">
            <v>0</v>
          </cell>
          <cell r="M54">
            <v>1</v>
          </cell>
          <cell r="N54">
            <v>0</v>
          </cell>
          <cell r="P54">
            <v>0</v>
          </cell>
          <cell r="Q54">
            <v>0</v>
          </cell>
          <cell r="R54">
            <v>0</v>
          </cell>
          <cell r="T54">
            <v>0</v>
          </cell>
          <cell r="U54">
            <v>0</v>
          </cell>
          <cell r="V54">
            <v>0</v>
          </cell>
          <cell r="W54">
            <v>1</v>
          </cell>
          <cell r="X54">
            <v>0</v>
          </cell>
          <cell r="Y54">
            <v>0</v>
          </cell>
          <cell r="Z54">
            <v>0</v>
          </cell>
          <cell r="AB54">
            <v>0</v>
          </cell>
          <cell r="AC54">
            <v>0</v>
          </cell>
          <cell r="AD54">
            <v>1</v>
          </cell>
          <cell r="AE54">
            <v>0</v>
          </cell>
          <cell r="AF54">
            <v>1</v>
          </cell>
          <cell r="AG54">
            <v>0</v>
          </cell>
          <cell r="AI54"/>
          <cell r="AJ54" t="str">
            <v/>
          </cell>
          <cell r="AK54" t="str">
            <v/>
          </cell>
          <cell r="AL54" t="str">
            <v/>
          </cell>
          <cell r="AM54" t="str">
            <v/>
          </cell>
          <cell r="AN54" t="str">
            <v/>
          </cell>
        </row>
        <row r="55">
          <cell r="B55" t="str">
            <v>Colombia</v>
          </cell>
          <cell r="C55" t="str">
            <v>COL</v>
          </cell>
          <cell r="D55" t="str">
            <v>COL</v>
          </cell>
          <cell r="E55" t="str">
            <v/>
          </cell>
          <cell r="F55" t="str">
            <v>Colombia</v>
          </cell>
          <cell r="G55" t="str">
            <v/>
          </cell>
          <cell r="H55" t="str">
            <v>Colombia</v>
          </cell>
          <cell r="I55" t="str">
            <v/>
          </cell>
          <cell r="K55">
            <v>0</v>
          </cell>
          <cell r="L55">
            <v>0</v>
          </cell>
          <cell r="M55">
            <v>1</v>
          </cell>
          <cell r="N55">
            <v>0</v>
          </cell>
          <cell r="P55">
            <v>0</v>
          </cell>
          <cell r="Q55">
            <v>0</v>
          </cell>
          <cell r="R55">
            <v>0</v>
          </cell>
          <cell r="T55">
            <v>0</v>
          </cell>
          <cell r="U55">
            <v>0</v>
          </cell>
          <cell r="V55">
            <v>1</v>
          </cell>
          <cell r="W55">
            <v>0</v>
          </cell>
          <cell r="X55">
            <v>0</v>
          </cell>
          <cell r="Y55">
            <v>0</v>
          </cell>
          <cell r="Z55">
            <v>0</v>
          </cell>
          <cell r="AB55">
            <v>1</v>
          </cell>
          <cell r="AC55">
            <v>0</v>
          </cell>
          <cell r="AD55">
            <v>0</v>
          </cell>
          <cell r="AE55">
            <v>0</v>
          </cell>
          <cell r="AF55">
            <v>0</v>
          </cell>
          <cell r="AG55">
            <v>0</v>
          </cell>
          <cell r="AI55"/>
          <cell r="AJ55" t="str">
            <v/>
          </cell>
          <cell r="AK55" t="str">
            <v/>
          </cell>
          <cell r="AL55" t="str">
            <v/>
          </cell>
          <cell r="AM55" t="str">
            <v/>
          </cell>
          <cell r="AN55" t="str">
            <v/>
          </cell>
        </row>
        <row r="56">
          <cell r="B56" t="str">
            <v>Comoros</v>
          </cell>
          <cell r="C56" t="str">
            <v>COM</v>
          </cell>
          <cell r="D56" t="str">
            <v>COM</v>
          </cell>
          <cell r="E56" t="str">
            <v/>
          </cell>
          <cell r="F56" t="str">
            <v>Comoros</v>
          </cell>
          <cell r="G56" t="str">
            <v/>
          </cell>
          <cell r="H56" t="str">
            <v>Comoros</v>
          </cell>
          <cell r="I56" t="str">
            <v/>
          </cell>
          <cell r="K56">
            <v>0</v>
          </cell>
          <cell r="L56">
            <v>1</v>
          </cell>
          <cell r="M56">
            <v>0</v>
          </cell>
          <cell r="N56">
            <v>0</v>
          </cell>
          <cell r="P56">
            <v>1</v>
          </cell>
          <cell r="Q56">
            <v>0</v>
          </cell>
          <cell r="R56">
            <v>1</v>
          </cell>
          <cell r="T56">
            <v>0</v>
          </cell>
          <cell r="U56">
            <v>0</v>
          </cell>
          <cell r="V56">
            <v>0</v>
          </cell>
          <cell r="W56">
            <v>0</v>
          </cell>
          <cell r="X56">
            <v>0</v>
          </cell>
          <cell r="Y56">
            <v>0</v>
          </cell>
          <cell r="Z56">
            <v>1</v>
          </cell>
          <cell r="AB56">
            <v>0</v>
          </cell>
          <cell r="AC56">
            <v>0</v>
          </cell>
          <cell r="AD56">
            <v>0</v>
          </cell>
          <cell r="AE56">
            <v>0</v>
          </cell>
          <cell r="AF56">
            <v>0</v>
          </cell>
          <cell r="AG56">
            <v>0</v>
          </cell>
          <cell r="AI56"/>
          <cell r="AJ56" t="str">
            <v/>
          </cell>
          <cell r="AK56" t="str">
            <v>x</v>
          </cell>
          <cell r="AL56" t="str">
            <v>x</v>
          </cell>
          <cell r="AM56" t="str">
            <v>x</v>
          </cell>
          <cell r="AN56" t="str">
            <v>x</v>
          </cell>
        </row>
        <row r="57">
          <cell r="B57" t="str">
            <v>Congo</v>
          </cell>
          <cell r="C57" t="str">
            <v>COG</v>
          </cell>
          <cell r="D57" t="str">
            <v>COG</v>
          </cell>
          <cell r="E57" t="str">
            <v/>
          </cell>
          <cell r="F57" t="str">
            <v>Congo</v>
          </cell>
          <cell r="G57" t="str">
            <v/>
          </cell>
          <cell r="H57" t="str">
            <v>Congo, Rep.</v>
          </cell>
          <cell r="I57" t="str">
            <v>diff</v>
          </cell>
          <cell r="K57">
            <v>0</v>
          </cell>
          <cell r="L57">
            <v>1</v>
          </cell>
          <cell r="M57">
            <v>0</v>
          </cell>
          <cell r="N57">
            <v>0</v>
          </cell>
          <cell r="P57">
            <v>0</v>
          </cell>
          <cell r="Q57">
            <v>0</v>
          </cell>
          <cell r="R57">
            <v>0</v>
          </cell>
          <cell r="T57">
            <v>0</v>
          </cell>
          <cell r="U57">
            <v>0</v>
          </cell>
          <cell r="V57">
            <v>0</v>
          </cell>
          <cell r="W57">
            <v>0</v>
          </cell>
          <cell r="X57">
            <v>0</v>
          </cell>
          <cell r="Y57">
            <v>0</v>
          </cell>
          <cell r="Z57">
            <v>1</v>
          </cell>
          <cell r="AB57">
            <v>0</v>
          </cell>
          <cell r="AC57">
            <v>0</v>
          </cell>
          <cell r="AD57">
            <v>0</v>
          </cell>
          <cell r="AE57">
            <v>0</v>
          </cell>
          <cell r="AF57">
            <v>0</v>
          </cell>
          <cell r="AG57">
            <v>0</v>
          </cell>
          <cell r="AI57"/>
          <cell r="AJ57" t="str">
            <v/>
          </cell>
          <cell r="AK57" t="str">
            <v>x</v>
          </cell>
          <cell r="AL57" t="str">
            <v/>
          </cell>
          <cell r="AM57" t="str">
            <v/>
          </cell>
          <cell r="AN57" t="str">
            <v>x</v>
          </cell>
        </row>
        <row r="58">
          <cell r="B58" t="str">
            <v>Cook Islands</v>
          </cell>
          <cell r="C58" t="str">
            <v>COK</v>
          </cell>
          <cell r="D58" t="str">
            <v>COK</v>
          </cell>
          <cell r="E58" t="str">
            <v/>
          </cell>
          <cell r="F58" t="str">
            <v>Cook Islands</v>
          </cell>
          <cell r="G58" t="str">
            <v/>
          </cell>
          <cell r="H58" t="e">
            <v>#N/A</v>
          </cell>
          <cell r="I58" t="str">
            <v/>
          </cell>
          <cell r="K58" t="str">
            <v/>
          </cell>
          <cell r="L58" t="str">
            <v/>
          </cell>
          <cell r="M58" t="str">
            <v/>
          </cell>
          <cell r="N58" t="str">
            <v/>
          </cell>
          <cell r="P58">
            <v>0</v>
          </cell>
          <cell r="Q58">
            <v>0</v>
          </cell>
          <cell r="R58">
            <v>1</v>
          </cell>
          <cell r="T58" t="str">
            <v/>
          </cell>
          <cell r="U58" t="str">
            <v/>
          </cell>
          <cell r="V58" t="str">
            <v/>
          </cell>
          <cell r="W58" t="str">
            <v/>
          </cell>
          <cell r="X58" t="str">
            <v/>
          </cell>
          <cell r="Y58" t="str">
            <v/>
          </cell>
          <cell r="Z58" t="str">
            <v/>
          </cell>
          <cell r="AB58">
            <v>0</v>
          </cell>
          <cell r="AC58">
            <v>0</v>
          </cell>
          <cell r="AD58">
            <v>0</v>
          </cell>
          <cell r="AE58">
            <v>0</v>
          </cell>
          <cell r="AF58">
            <v>0</v>
          </cell>
          <cell r="AG58">
            <v>0</v>
          </cell>
          <cell r="AI58"/>
          <cell r="AJ58" t="str">
            <v/>
          </cell>
          <cell r="AK58" t="str">
            <v/>
          </cell>
          <cell r="AL58" t="str">
            <v/>
          </cell>
          <cell r="AM58" t="str">
            <v>x</v>
          </cell>
          <cell r="AN58" t="str">
            <v>x</v>
          </cell>
        </row>
        <row r="59">
          <cell r="B59" t="str">
            <v>Costa Rica</v>
          </cell>
          <cell r="C59" t="str">
            <v>CRI</v>
          </cell>
          <cell r="D59" t="str">
            <v>CRI</v>
          </cell>
          <cell r="E59" t="str">
            <v/>
          </cell>
          <cell r="F59" t="str">
            <v>Costa Rica</v>
          </cell>
          <cell r="G59" t="str">
            <v/>
          </cell>
          <cell r="H59" t="str">
            <v>Costa Rica</v>
          </cell>
          <cell r="I59" t="str">
            <v/>
          </cell>
          <cell r="K59">
            <v>0</v>
          </cell>
          <cell r="L59">
            <v>0</v>
          </cell>
          <cell r="M59">
            <v>1</v>
          </cell>
          <cell r="N59">
            <v>0</v>
          </cell>
          <cell r="P59">
            <v>0</v>
          </cell>
          <cell r="Q59">
            <v>0</v>
          </cell>
          <cell r="R59">
            <v>0</v>
          </cell>
          <cell r="T59">
            <v>0</v>
          </cell>
          <cell r="U59">
            <v>0</v>
          </cell>
          <cell r="V59">
            <v>1</v>
          </cell>
          <cell r="W59">
            <v>0</v>
          </cell>
          <cell r="X59">
            <v>0</v>
          </cell>
          <cell r="Y59">
            <v>0</v>
          </cell>
          <cell r="Z59">
            <v>0</v>
          </cell>
          <cell r="AB59">
            <v>1</v>
          </cell>
          <cell r="AC59">
            <v>0</v>
          </cell>
          <cell r="AD59">
            <v>0</v>
          </cell>
          <cell r="AE59">
            <v>0</v>
          </cell>
          <cell r="AF59">
            <v>0</v>
          </cell>
          <cell r="AG59">
            <v>0</v>
          </cell>
          <cell r="AI59"/>
          <cell r="AJ59" t="str">
            <v/>
          </cell>
          <cell r="AK59" t="str">
            <v/>
          </cell>
          <cell r="AL59" t="str">
            <v/>
          </cell>
          <cell r="AM59" t="str">
            <v/>
          </cell>
          <cell r="AN59" t="str">
            <v/>
          </cell>
        </row>
        <row r="60">
          <cell r="B60" t="str">
            <v>Cote d'Ivoire</v>
          </cell>
          <cell r="C60" t="str">
            <v>CIV</v>
          </cell>
          <cell r="D60" t="str">
            <v>CIV</v>
          </cell>
          <cell r="E60" t="str">
            <v/>
          </cell>
          <cell r="F60" t="str">
            <v>Côte d’Ivoire</v>
          </cell>
          <cell r="G60" t="str">
            <v>diff</v>
          </cell>
          <cell r="H60" t="str">
            <v>Côte d'Ivoire</v>
          </cell>
          <cell r="I60" t="str">
            <v>diff</v>
          </cell>
          <cell r="K60">
            <v>0</v>
          </cell>
          <cell r="L60">
            <v>1</v>
          </cell>
          <cell r="M60">
            <v>0</v>
          </cell>
          <cell r="N60">
            <v>0</v>
          </cell>
          <cell r="P60">
            <v>0</v>
          </cell>
          <cell r="Q60">
            <v>0</v>
          </cell>
          <cell r="R60">
            <v>0</v>
          </cell>
          <cell r="T60">
            <v>0</v>
          </cell>
          <cell r="U60">
            <v>0</v>
          </cell>
          <cell r="V60">
            <v>0</v>
          </cell>
          <cell r="W60">
            <v>0</v>
          </cell>
          <cell r="X60">
            <v>0</v>
          </cell>
          <cell r="Y60">
            <v>0</v>
          </cell>
          <cell r="Z60">
            <v>1</v>
          </cell>
          <cell r="AB60">
            <v>0</v>
          </cell>
          <cell r="AC60">
            <v>0</v>
          </cell>
          <cell r="AD60">
            <v>0</v>
          </cell>
          <cell r="AE60">
            <v>0</v>
          </cell>
          <cell r="AF60">
            <v>0</v>
          </cell>
          <cell r="AG60">
            <v>0</v>
          </cell>
          <cell r="AI60"/>
          <cell r="AJ60" t="str">
            <v/>
          </cell>
          <cell r="AK60" t="str">
            <v>x</v>
          </cell>
          <cell r="AL60" t="str">
            <v/>
          </cell>
          <cell r="AM60" t="str">
            <v/>
          </cell>
          <cell r="AN60" t="str">
            <v>x</v>
          </cell>
        </row>
        <row r="61">
          <cell r="B61" t="str">
            <v>Croatia</v>
          </cell>
          <cell r="C61" t="str">
            <v>HRV</v>
          </cell>
          <cell r="D61" t="str">
            <v>HRV</v>
          </cell>
          <cell r="E61" t="str">
            <v/>
          </cell>
          <cell r="F61" t="str">
            <v>Croatia</v>
          </cell>
          <cell r="G61" t="str">
            <v/>
          </cell>
          <cell r="H61" t="str">
            <v>Croatia</v>
          </cell>
          <cell r="I61" t="str">
            <v/>
          </cell>
          <cell r="K61">
            <v>0</v>
          </cell>
          <cell r="L61">
            <v>0</v>
          </cell>
          <cell r="M61">
            <v>0</v>
          </cell>
          <cell r="N61">
            <v>1</v>
          </cell>
          <cell r="P61">
            <v>0</v>
          </cell>
          <cell r="Q61">
            <v>0</v>
          </cell>
          <cell r="R61">
            <v>0</v>
          </cell>
          <cell r="T61">
            <v>1</v>
          </cell>
          <cell r="U61">
            <v>0</v>
          </cell>
          <cell r="V61">
            <v>0</v>
          </cell>
          <cell r="W61">
            <v>0</v>
          </cell>
          <cell r="X61">
            <v>0</v>
          </cell>
          <cell r="Y61">
            <v>0</v>
          </cell>
          <cell r="Z61">
            <v>0</v>
          </cell>
          <cell r="AB61">
            <v>0</v>
          </cell>
          <cell r="AC61">
            <v>1</v>
          </cell>
          <cell r="AD61">
            <v>0</v>
          </cell>
          <cell r="AE61">
            <v>0</v>
          </cell>
          <cell r="AF61">
            <v>0</v>
          </cell>
          <cell r="AG61">
            <v>0</v>
          </cell>
          <cell r="AI61"/>
          <cell r="AJ61" t="str">
            <v/>
          </cell>
          <cell r="AK61" t="str">
            <v/>
          </cell>
          <cell r="AL61" t="str">
            <v/>
          </cell>
          <cell r="AM61" t="str">
            <v/>
          </cell>
          <cell r="AN61" t="str">
            <v/>
          </cell>
        </row>
        <row r="62">
          <cell r="B62" t="str">
            <v>Cuba</v>
          </cell>
          <cell r="C62" t="str">
            <v>CUB</v>
          </cell>
          <cell r="D62" t="str">
            <v>CUB</v>
          </cell>
          <cell r="E62" t="str">
            <v/>
          </cell>
          <cell r="F62" t="str">
            <v>Cuba</v>
          </cell>
          <cell r="G62" t="str">
            <v/>
          </cell>
          <cell r="H62" t="str">
            <v>Cuba</v>
          </cell>
          <cell r="I62" t="str">
            <v/>
          </cell>
          <cell r="K62">
            <v>0</v>
          </cell>
          <cell r="L62">
            <v>0</v>
          </cell>
          <cell r="M62">
            <v>1</v>
          </cell>
          <cell r="N62">
            <v>0</v>
          </cell>
          <cell r="P62">
            <v>0</v>
          </cell>
          <cell r="Q62">
            <v>0</v>
          </cell>
          <cell r="R62">
            <v>1</v>
          </cell>
          <cell r="T62">
            <v>0</v>
          </cell>
          <cell r="U62">
            <v>0</v>
          </cell>
          <cell r="V62">
            <v>1</v>
          </cell>
          <cell r="W62">
            <v>0</v>
          </cell>
          <cell r="X62">
            <v>0</v>
          </cell>
          <cell r="Y62">
            <v>0</v>
          </cell>
          <cell r="Z62">
            <v>0</v>
          </cell>
          <cell r="AB62">
            <v>0</v>
          </cell>
          <cell r="AC62">
            <v>0</v>
          </cell>
          <cell r="AD62">
            <v>0</v>
          </cell>
          <cell r="AE62">
            <v>0</v>
          </cell>
          <cell r="AF62">
            <v>0</v>
          </cell>
          <cell r="AG62">
            <v>0</v>
          </cell>
          <cell r="AI62"/>
          <cell r="AJ62" t="str">
            <v/>
          </cell>
          <cell r="AK62" t="str">
            <v/>
          </cell>
          <cell r="AL62" t="str">
            <v/>
          </cell>
          <cell r="AM62" t="str">
            <v>x</v>
          </cell>
          <cell r="AN62" t="str">
            <v>x</v>
          </cell>
        </row>
        <row r="63">
          <cell r="B63" t="str">
            <v>Curacao</v>
          </cell>
          <cell r="C63" t="str">
            <v>CUW</v>
          </cell>
          <cell r="D63" t="str">
            <v>CUW</v>
          </cell>
          <cell r="E63" t="str">
            <v/>
          </cell>
          <cell r="F63" t="str">
            <v>Curaçao</v>
          </cell>
          <cell r="G63" t="str">
            <v>diff</v>
          </cell>
          <cell r="H63" t="str">
            <v>Curaçao</v>
          </cell>
          <cell r="I63" t="str">
            <v>diff</v>
          </cell>
          <cell r="K63">
            <v>0</v>
          </cell>
          <cell r="L63">
            <v>0</v>
          </cell>
          <cell r="M63">
            <v>0</v>
          </cell>
          <cell r="N63">
            <v>1</v>
          </cell>
          <cell r="P63">
            <v>0</v>
          </cell>
          <cell r="Q63">
            <v>0</v>
          </cell>
          <cell r="R63">
            <v>1</v>
          </cell>
          <cell r="T63">
            <v>0</v>
          </cell>
          <cell r="U63">
            <v>0</v>
          </cell>
          <cell r="V63">
            <v>1</v>
          </cell>
          <cell r="W63">
            <v>0</v>
          </cell>
          <cell r="X63">
            <v>0</v>
          </cell>
          <cell r="Y63">
            <v>0</v>
          </cell>
          <cell r="Z63">
            <v>0</v>
          </cell>
          <cell r="AB63">
            <v>0</v>
          </cell>
          <cell r="AC63">
            <v>0</v>
          </cell>
          <cell r="AD63">
            <v>0</v>
          </cell>
          <cell r="AE63">
            <v>0</v>
          </cell>
          <cell r="AF63">
            <v>0</v>
          </cell>
          <cell r="AG63">
            <v>0</v>
          </cell>
          <cell r="AI63"/>
          <cell r="AJ63" t="str">
            <v/>
          </cell>
          <cell r="AK63" t="str">
            <v/>
          </cell>
          <cell r="AL63" t="str">
            <v/>
          </cell>
          <cell r="AM63" t="str">
            <v>x</v>
          </cell>
          <cell r="AN63" t="str">
            <v>x</v>
          </cell>
        </row>
        <row r="64">
          <cell r="B64" t="str">
            <v>Cyprus</v>
          </cell>
          <cell r="C64" t="str">
            <v>CYP</v>
          </cell>
          <cell r="D64" t="str">
            <v>CYP</v>
          </cell>
          <cell r="E64" t="str">
            <v/>
          </cell>
          <cell r="F64" t="str">
            <v>Cyprus</v>
          </cell>
          <cell r="G64" t="str">
            <v/>
          </cell>
          <cell r="H64" t="str">
            <v>Cyprus</v>
          </cell>
          <cell r="I64" t="str">
            <v/>
          </cell>
          <cell r="K64">
            <v>0</v>
          </cell>
          <cell r="L64">
            <v>0</v>
          </cell>
          <cell r="M64">
            <v>0</v>
          </cell>
          <cell r="N64">
            <v>1</v>
          </cell>
          <cell r="P64">
            <v>0</v>
          </cell>
          <cell r="Q64">
            <v>0</v>
          </cell>
          <cell r="R64">
            <v>0</v>
          </cell>
          <cell r="T64">
            <v>1</v>
          </cell>
          <cell r="U64">
            <v>0</v>
          </cell>
          <cell r="V64">
            <v>0</v>
          </cell>
          <cell r="W64">
            <v>0</v>
          </cell>
          <cell r="X64">
            <v>0</v>
          </cell>
          <cell r="Y64">
            <v>0</v>
          </cell>
          <cell r="Z64">
            <v>0</v>
          </cell>
          <cell r="AB64">
            <v>0</v>
          </cell>
          <cell r="AC64">
            <v>1</v>
          </cell>
          <cell r="AD64">
            <v>0</v>
          </cell>
          <cell r="AE64">
            <v>0</v>
          </cell>
          <cell r="AF64">
            <v>0</v>
          </cell>
          <cell r="AG64">
            <v>0</v>
          </cell>
          <cell r="AI64"/>
          <cell r="AJ64" t="str">
            <v/>
          </cell>
          <cell r="AK64" t="str">
            <v/>
          </cell>
          <cell r="AL64" t="str">
            <v/>
          </cell>
          <cell r="AM64" t="str">
            <v/>
          </cell>
          <cell r="AN64" t="str">
            <v/>
          </cell>
        </row>
        <row r="65">
          <cell r="B65" t="str">
            <v>Czechia</v>
          </cell>
          <cell r="C65" t="str">
            <v>CZE</v>
          </cell>
          <cell r="D65" t="str">
            <v>CZE</v>
          </cell>
          <cell r="E65" t="str">
            <v/>
          </cell>
          <cell r="F65" t="str">
            <v>Czechia</v>
          </cell>
          <cell r="G65" t="str">
            <v/>
          </cell>
          <cell r="H65" t="str">
            <v>Czechia</v>
          </cell>
          <cell r="I65" t="str">
            <v/>
          </cell>
          <cell r="K65">
            <v>0</v>
          </cell>
          <cell r="L65">
            <v>0</v>
          </cell>
          <cell r="M65">
            <v>0</v>
          </cell>
          <cell r="N65">
            <v>1</v>
          </cell>
          <cell r="P65">
            <v>0</v>
          </cell>
          <cell r="Q65">
            <v>0</v>
          </cell>
          <cell r="R65">
            <v>0</v>
          </cell>
          <cell r="T65">
            <v>1</v>
          </cell>
          <cell r="U65">
            <v>0</v>
          </cell>
          <cell r="V65">
            <v>0</v>
          </cell>
          <cell r="W65">
            <v>0</v>
          </cell>
          <cell r="X65">
            <v>0</v>
          </cell>
          <cell r="Y65">
            <v>0</v>
          </cell>
          <cell r="Z65">
            <v>0</v>
          </cell>
          <cell r="AB65">
            <v>1</v>
          </cell>
          <cell r="AC65">
            <v>1</v>
          </cell>
          <cell r="AD65">
            <v>0</v>
          </cell>
          <cell r="AE65">
            <v>0</v>
          </cell>
          <cell r="AF65">
            <v>0</v>
          </cell>
          <cell r="AG65">
            <v>0</v>
          </cell>
          <cell r="AI65"/>
          <cell r="AJ65" t="str">
            <v/>
          </cell>
          <cell r="AK65" t="str">
            <v/>
          </cell>
          <cell r="AL65" t="str">
            <v/>
          </cell>
          <cell r="AM65" t="str">
            <v/>
          </cell>
          <cell r="AN65" t="str">
            <v/>
          </cell>
        </row>
        <row r="66">
          <cell r="B66" t="str">
            <v>Democratic Republic of Congo</v>
          </cell>
          <cell r="C66" t="str">
            <v>COD</v>
          </cell>
          <cell r="D66" t="str">
            <v>COD</v>
          </cell>
          <cell r="E66" t="str">
            <v/>
          </cell>
          <cell r="F66" t="str">
            <v>Democratic Republic of the Congo</v>
          </cell>
          <cell r="G66" t="str">
            <v>diff</v>
          </cell>
          <cell r="H66" t="str">
            <v>Congo, Dem. Rep.</v>
          </cell>
          <cell r="I66" t="str">
            <v>diff</v>
          </cell>
          <cell r="K66">
            <v>1</v>
          </cell>
          <cell r="L66">
            <v>0</v>
          </cell>
          <cell r="M66">
            <v>0</v>
          </cell>
          <cell r="N66">
            <v>0</v>
          </cell>
          <cell r="P66">
            <v>1</v>
          </cell>
          <cell r="Q66">
            <v>0</v>
          </cell>
          <cell r="R66">
            <v>0</v>
          </cell>
          <cell r="T66">
            <v>0</v>
          </cell>
          <cell r="U66">
            <v>0</v>
          </cell>
          <cell r="V66">
            <v>0</v>
          </cell>
          <cell r="W66">
            <v>0</v>
          </cell>
          <cell r="X66">
            <v>0</v>
          </cell>
          <cell r="Y66">
            <v>0</v>
          </cell>
          <cell r="Z66">
            <v>1</v>
          </cell>
          <cell r="AB66">
            <v>0</v>
          </cell>
          <cell r="AC66">
            <v>0</v>
          </cell>
          <cell r="AD66">
            <v>0</v>
          </cell>
          <cell r="AE66">
            <v>0</v>
          </cell>
          <cell r="AF66">
            <v>0</v>
          </cell>
          <cell r="AG66">
            <v>0</v>
          </cell>
          <cell r="AI66"/>
          <cell r="AJ66" t="str">
            <v>x</v>
          </cell>
          <cell r="AK66" t="str">
            <v>x</v>
          </cell>
          <cell r="AL66" t="str">
            <v>x</v>
          </cell>
          <cell r="AM66" t="str">
            <v>x</v>
          </cell>
          <cell r="AN66" t="str">
            <v>x</v>
          </cell>
        </row>
        <row r="67">
          <cell r="B67" t="str">
            <v>Denmark</v>
          </cell>
          <cell r="C67" t="str">
            <v>DNK</v>
          </cell>
          <cell r="D67" t="str">
            <v>DNK</v>
          </cell>
          <cell r="E67" t="str">
            <v/>
          </cell>
          <cell r="F67" t="str">
            <v>Denmark</v>
          </cell>
          <cell r="G67" t="str">
            <v/>
          </cell>
          <cell r="H67" t="str">
            <v>Denmark</v>
          </cell>
          <cell r="I67" t="str">
            <v/>
          </cell>
          <cell r="K67">
            <v>0</v>
          </cell>
          <cell r="L67">
            <v>0</v>
          </cell>
          <cell r="M67">
            <v>0</v>
          </cell>
          <cell r="N67">
            <v>1</v>
          </cell>
          <cell r="P67">
            <v>0</v>
          </cell>
          <cell r="Q67">
            <v>0</v>
          </cell>
          <cell r="R67">
            <v>0</v>
          </cell>
          <cell r="T67">
            <v>1</v>
          </cell>
          <cell r="U67">
            <v>0</v>
          </cell>
          <cell r="V67">
            <v>0</v>
          </cell>
          <cell r="W67">
            <v>0</v>
          </cell>
          <cell r="X67">
            <v>0</v>
          </cell>
          <cell r="Y67">
            <v>0</v>
          </cell>
          <cell r="Z67">
            <v>0</v>
          </cell>
          <cell r="AB67">
            <v>1</v>
          </cell>
          <cell r="AC67">
            <v>1</v>
          </cell>
          <cell r="AD67">
            <v>0</v>
          </cell>
          <cell r="AE67">
            <v>0</v>
          </cell>
          <cell r="AF67">
            <v>0</v>
          </cell>
          <cell r="AG67">
            <v>1</v>
          </cell>
          <cell r="AI67"/>
          <cell r="AJ67" t="str">
            <v/>
          </cell>
          <cell r="AK67" t="str">
            <v/>
          </cell>
          <cell r="AL67" t="str">
            <v/>
          </cell>
          <cell r="AM67" t="str">
            <v/>
          </cell>
          <cell r="AN67" t="str">
            <v/>
          </cell>
        </row>
        <row r="68">
          <cell r="B68" t="str">
            <v>Djibouti</v>
          </cell>
          <cell r="C68" t="str">
            <v>DJI</v>
          </cell>
          <cell r="D68" t="str">
            <v>DJI</v>
          </cell>
          <cell r="E68" t="str">
            <v/>
          </cell>
          <cell r="F68" t="str">
            <v>Djibouti</v>
          </cell>
          <cell r="G68" t="str">
            <v/>
          </cell>
          <cell r="H68" t="str">
            <v>Djibouti</v>
          </cell>
          <cell r="I68" t="str">
            <v/>
          </cell>
          <cell r="K68">
            <v>0</v>
          </cell>
          <cell r="L68">
            <v>1</v>
          </cell>
          <cell r="M68">
            <v>0</v>
          </cell>
          <cell r="N68">
            <v>0</v>
          </cell>
          <cell r="P68">
            <v>1</v>
          </cell>
          <cell r="Q68">
            <v>0</v>
          </cell>
          <cell r="R68">
            <v>0</v>
          </cell>
          <cell r="T68">
            <v>0</v>
          </cell>
          <cell r="U68">
            <v>0</v>
          </cell>
          <cell r="V68">
            <v>0</v>
          </cell>
          <cell r="W68">
            <v>0</v>
          </cell>
          <cell r="X68">
            <v>0</v>
          </cell>
          <cell r="Y68">
            <v>1</v>
          </cell>
          <cell r="Z68">
            <v>0</v>
          </cell>
          <cell r="AB68">
            <v>0</v>
          </cell>
          <cell r="AC68">
            <v>0</v>
          </cell>
          <cell r="AD68">
            <v>0</v>
          </cell>
          <cell r="AE68">
            <v>0</v>
          </cell>
          <cell r="AF68">
            <v>0</v>
          </cell>
          <cell r="AG68">
            <v>0</v>
          </cell>
          <cell r="AI68"/>
          <cell r="AJ68" t="str">
            <v/>
          </cell>
          <cell r="AK68" t="str">
            <v>x</v>
          </cell>
          <cell r="AL68" t="str">
            <v>x</v>
          </cell>
          <cell r="AM68" t="str">
            <v>x</v>
          </cell>
          <cell r="AN68" t="str">
            <v>x</v>
          </cell>
        </row>
        <row r="69">
          <cell r="B69" t="str">
            <v>Dominica</v>
          </cell>
          <cell r="C69" t="str">
            <v>DMA</v>
          </cell>
          <cell r="D69" t="str">
            <v>DMA</v>
          </cell>
          <cell r="E69" t="str">
            <v/>
          </cell>
          <cell r="F69" t="str">
            <v>Dominica</v>
          </cell>
          <cell r="G69" t="str">
            <v/>
          </cell>
          <cell r="H69" t="str">
            <v>Dominica</v>
          </cell>
          <cell r="I69" t="str">
            <v/>
          </cell>
          <cell r="K69">
            <v>0</v>
          </cell>
          <cell r="L69">
            <v>0</v>
          </cell>
          <cell r="M69">
            <v>1</v>
          </cell>
          <cell r="N69">
            <v>0</v>
          </cell>
          <cell r="P69">
            <v>0</v>
          </cell>
          <cell r="Q69">
            <v>0</v>
          </cell>
          <cell r="R69">
            <v>1</v>
          </cell>
          <cell r="T69">
            <v>0</v>
          </cell>
          <cell r="U69">
            <v>0</v>
          </cell>
          <cell r="V69">
            <v>1</v>
          </cell>
          <cell r="W69">
            <v>0</v>
          </cell>
          <cell r="X69">
            <v>0</v>
          </cell>
          <cell r="Y69">
            <v>0</v>
          </cell>
          <cell r="Z69">
            <v>0</v>
          </cell>
          <cell r="AB69">
            <v>0</v>
          </cell>
          <cell r="AC69">
            <v>0</v>
          </cell>
          <cell r="AD69">
            <v>0</v>
          </cell>
          <cell r="AE69">
            <v>0</v>
          </cell>
          <cell r="AF69">
            <v>0</v>
          </cell>
          <cell r="AG69">
            <v>0</v>
          </cell>
          <cell r="AI69"/>
          <cell r="AJ69" t="str">
            <v/>
          </cell>
          <cell r="AK69" t="str">
            <v/>
          </cell>
          <cell r="AL69" t="str">
            <v/>
          </cell>
          <cell r="AM69" t="str">
            <v>x</v>
          </cell>
          <cell r="AN69" t="str">
            <v>x</v>
          </cell>
        </row>
        <row r="70">
          <cell r="B70" t="str">
            <v>Dominican Republic</v>
          </cell>
          <cell r="C70" t="str">
            <v>DOM</v>
          </cell>
          <cell r="D70" t="str">
            <v>DOM</v>
          </cell>
          <cell r="E70" t="str">
            <v/>
          </cell>
          <cell r="F70" t="str">
            <v>Dominican Republic</v>
          </cell>
          <cell r="G70" t="str">
            <v/>
          </cell>
          <cell r="H70" t="str">
            <v>Dominican Republic</v>
          </cell>
          <cell r="I70" t="str">
            <v/>
          </cell>
          <cell r="K70">
            <v>0</v>
          </cell>
          <cell r="L70">
            <v>0</v>
          </cell>
          <cell r="M70">
            <v>1</v>
          </cell>
          <cell r="N70">
            <v>0</v>
          </cell>
          <cell r="P70">
            <v>0</v>
          </cell>
          <cell r="Q70">
            <v>0</v>
          </cell>
          <cell r="R70">
            <v>1</v>
          </cell>
          <cell r="T70">
            <v>0</v>
          </cell>
          <cell r="U70">
            <v>0</v>
          </cell>
          <cell r="V70">
            <v>1</v>
          </cell>
          <cell r="W70">
            <v>0</v>
          </cell>
          <cell r="X70">
            <v>0</v>
          </cell>
          <cell r="Y70">
            <v>0</v>
          </cell>
          <cell r="Z70">
            <v>0</v>
          </cell>
          <cell r="AB70">
            <v>0</v>
          </cell>
          <cell r="AC70">
            <v>0</v>
          </cell>
          <cell r="AD70">
            <v>0</v>
          </cell>
          <cell r="AE70">
            <v>0</v>
          </cell>
          <cell r="AF70">
            <v>0</v>
          </cell>
          <cell r="AG70">
            <v>0</v>
          </cell>
          <cell r="AI70"/>
          <cell r="AJ70" t="str">
            <v/>
          </cell>
          <cell r="AK70" t="str">
            <v/>
          </cell>
          <cell r="AL70" t="str">
            <v/>
          </cell>
          <cell r="AM70" t="str">
            <v>x</v>
          </cell>
          <cell r="AN70" t="str">
            <v>x</v>
          </cell>
        </row>
        <row r="71">
          <cell r="B71" t="str">
            <v>East Timor</v>
          </cell>
          <cell r="C71" t="str">
            <v>TLS</v>
          </cell>
          <cell r="D71" t="str">
            <v>TLS</v>
          </cell>
          <cell r="E71" t="str">
            <v/>
          </cell>
          <cell r="F71" t="str">
            <v>Timor-Leste</v>
          </cell>
          <cell r="G71" t="str">
            <v>diff</v>
          </cell>
          <cell r="H71" t="str">
            <v>Timor-Leste</v>
          </cell>
          <cell r="I71" t="str">
            <v>diff</v>
          </cell>
          <cell r="K71">
            <v>0</v>
          </cell>
          <cell r="L71">
            <v>1</v>
          </cell>
          <cell r="M71">
            <v>0</v>
          </cell>
          <cell r="N71">
            <v>0</v>
          </cell>
          <cell r="P71">
            <v>1</v>
          </cell>
          <cell r="Q71">
            <v>0</v>
          </cell>
          <cell r="R71">
            <v>1</v>
          </cell>
          <cell r="T71">
            <v>0</v>
          </cell>
          <cell r="U71">
            <v>0</v>
          </cell>
          <cell r="V71">
            <v>0</v>
          </cell>
          <cell r="W71">
            <v>1</v>
          </cell>
          <cell r="X71">
            <v>0</v>
          </cell>
          <cell r="Y71">
            <v>0</v>
          </cell>
          <cell r="Z71">
            <v>0</v>
          </cell>
          <cell r="AB71">
            <v>0</v>
          </cell>
          <cell r="AC71">
            <v>0</v>
          </cell>
          <cell r="AD71">
            <v>0</v>
          </cell>
          <cell r="AE71">
            <v>0</v>
          </cell>
          <cell r="AF71">
            <v>0</v>
          </cell>
          <cell r="AG71">
            <v>0</v>
          </cell>
          <cell r="AI71"/>
          <cell r="AJ71" t="str">
            <v/>
          </cell>
          <cell r="AK71" t="str">
            <v>x</v>
          </cell>
          <cell r="AL71" t="str">
            <v>x</v>
          </cell>
          <cell r="AM71" t="str">
            <v>x</v>
          </cell>
          <cell r="AN71" t="str">
            <v>x</v>
          </cell>
        </row>
        <row r="72">
          <cell r="B72" t="str">
            <v>Ecuador</v>
          </cell>
          <cell r="C72" t="str">
            <v>ECU</v>
          </cell>
          <cell r="D72" t="str">
            <v>ECU</v>
          </cell>
          <cell r="E72" t="str">
            <v/>
          </cell>
          <cell r="F72" t="str">
            <v>Ecuador</v>
          </cell>
          <cell r="G72" t="str">
            <v/>
          </cell>
          <cell r="H72" t="str">
            <v>Ecuador</v>
          </cell>
          <cell r="I72" t="str">
            <v/>
          </cell>
          <cell r="K72">
            <v>0</v>
          </cell>
          <cell r="L72">
            <v>0</v>
          </cell>
          <cell r="M72">
            <v>1</v>
          </cell>
          <cell r="N72">
            <v>0</v>
          </cell>
          <cell r="P72">
            <v>0</v>
          </cell>
          <cell r="Q72">
            <v>0</v>
          </cell>
          <cell r="R72">
            <v>0</v>
          </cell>
          <cell r="T72">
            <v>0</v>
          </cell>
          <cell r="U72">
            <v>0</v>
          </cell>
          <cell r="V72">
            <v>1</v>
          </cell>
          <cell r="W72">
            <v>0</v>
          </cell>
          <cell r="X72">
            <v>0</v>
          </cell>
          <cell r="Y72">
            <v>0</v>
          </cell>
          <cell r="Z72">
            <v>0</v>
          </cell>
          <cell r="AB72">
            <v>0</v>
          </cell>
          <cell r="AC72">
            <v>0</v>
          </cell>
          <cell r="AD72">
            <v>0</v>
          </cell>
          <cell r="AE72">
            <v>0</v>
          </cell>
          <cell r="AF72">
            <v>0</v>
          </cell>
          <cell r="AG72">
            <v>0</v>
          </cell>
          <cell r="AI72"/>
          <cell r="AJ72" t="str">
            <v/>
          </cell>
          <cell r="AK72" t="str">
            <v/>
          </cell>
          <cell r="AL72" t="str">
            <v/>
          </cell>
          <cell r="AM72" t="str">
            <v/>
          </cell>
          <cell r="AN72" t="str">
            <v/>
          </cell>
        </row>
        <row r="73">
          <cell r="B73" t="str">
            <v>Egypt</v>
          </cell>
          <cell r="C73" t="str">
            <v>EGY</v>
          </cell>
          <cell r="D73" t="str">
            <v>EGY</v>
          </cell>
          <cell r="E73" t="str">
            <v/>
          </cell>
          <cell r="F73" t="str">
            <v>Egypt</v>
          </cell>
          <cell r="G73" t="str">
            <v/>
          </cell>
          <cell r="H73" t="str">
            <v>Egypt, Arab Rep.</v>
          </cell>
          <cell r="I73" t="str">
            <v>diff</v>
          </cell>
          <cell r="K73">
            <v>0</v>
          </cell>
          <cell r="L73">
            <v>1</v>
          </cell>
          <cell r="M73">
            <v>0</v>
          </cell>
          <cell r="N73">
            <v>0</v>
          </cell>
          <cell r="P73">
            <v>0</v>
          </cell>
          <cell r="Q73">
            <v>0</v>
          </cell>
          <cell r="R73">
            <v>0</v>
          </cell>
          <cell r="T73">
            <v>0</v>
          </cell>
          <cell r="U73">
            <v>0</v>
          </cell>
          <cell r="V73">
            <v>0</v>
          </cell>
          <cell r="W73">
            <v>0</v>
          </cell>
          <cell r="X73">
            <v>0</v>
          </cell>
          <cell r="Y73">
            <v>1</v>
          </cell>
          <cell r="Z73">
            <v>0</v>
          </cell>
          <cell r="AB73">
            <v>0</v>
          </cell>
          <cell r="AC73">
            <v>0</v>
          </cell>
          <cell r="AD73">
            <v>0</v>
          </cell>
          <cell r="AE73">
            <v>0</v>
          </cell>
          <cell r="AF73">
            <v>0</v>
          </cell>
          <cell r="AG73">
            <v>0</v>
          </cell>
          <cell r="AI73"/>
          <cell r="AJ73" t="str">
            <v/>
          </cell>
          <cell r="AK73" t="str">
            <v>x</v>
          </cell>
          <cell r="AL73" t="str">
            <v/>
          </cell>
          <cell r="AM73" t="str">
            <v/>
          </cell>
          <cell r="AN73" t="str">
            <v>x</v>
          </cell>
        </row>
        <row r="74">
          <cell r="B74" t="str">
            <v>El Salvador</v>
          </cell>
          <cell r="C74" t="str">
            <v>SLV</v>
          </cell>
          <cell r="D74" t="str">
            <v>SLV</v>
          </cell>
          <cell r="E74" t="str">
            <v/>
          </cell>
          <cell r="F74" t="str">
            <v>El Salvador</v>
          </cell>
          <cell r="G74" t="str">
            <v/>
          </cell>
          <cell r="H74" t="str">
            <v>El Salvador</v>
          </cell>
          <cell r="I74" t="str">
            <v/>
          </cell>
          <cell r="K74">
            <v>0</v>
          </cell>
          <cell r="L74">
            <v>1</v>
          </cell>
          <cell r="M74">
            <v>0</v>
          </cell>
          <cell r="N74">
            <v>0</v>
          </cell>
          <cell r="P74">
            <v>0</v>
          </cell>
          <cell r="Q74">
            <v>0</v>
          </cell>
          <cell r="R74">
            <v>0</v>
          </cell>
          <cell r="T74">
            <v>0</v>
          </cell>
          <cell r="U74">
            <v>0</v>
          </cell>
          <cell r="V74">
            <v>1</v>
          </cell>
          <cell r="W74">
            <v>0</v>
          </cell>
          <cell r="X74">
            <v>0</v>
          </cell>
          <cell r="Y74">
            <v>0</v>
          </cell>
          <cell r="Z74">
            <v>0</v>
          </cell>
          <cell r="AB74">
            <v>0</v>
          </cell>
          <cell r="AC74">
            <v>0</v>
          </cell>
          <cell r="AD74">
            <v>0</v>
          </cell>
          <cell r="AE74">
            <v>0</v>
          </cell>
          <cell r="AF74">
            <v>0</v>
          </cell>
          <cell r="AG74">
            <v>0</v>
          </cell>
          <cell r="AI74"/>
          <cell r="AJ74" t="str">
            <v/>
          </cell>
          <cell r="AK74" t="str">
            <v>x</v>
          </cell>
          <cell r="AL74" t="str">
            <v/>
          </cell>
          <cell r="AM74" t="str">
            <v/>
          </cell>
          <cell r="AN74" t="str">
            <v>x</v>
          </cell>
        </row>
        <row r="75">
          <cell r="B75" t="str">
            <v>Equatorial Guinea</v>
          </cell>
          <cell r="C75" t="str">
            <v>GNQ</v>
          </cell>
          <cell r="D75" t="str">
            <v>GNQ</v>
          </cell>
          <cell r="E75" t="str">
            <v/>
          </cell>
          <cell r="F75" t="str">
            <v>Equatorial Guinea</v>
          </cell>
          <cell r="G75" t="str">
            <v/>
          </cell>
          <cell r="H75" t="str">
            <v>Equatorial Guinea</v>
          </cell>
          <cell r="I75" t="str">
            <v/>
          </cell>
          <cell r="K75">
            <v>0</v>
          </cell>
          <cell r="L75">
            <v>0</v>
          </cell>
          <cell r="M75">
            <v>1</v>
          </cell>
          <cell r="N75">
            <v>0</v>
          </cell>
          <cell r="P75">
            <v>0</v>
          </cell>
          <cell r="Q75">
            <v>0</v>
          </cell>
          <cell r="R75">
            <v>0</v>
          </cell>
          <cell r="T75">
            <v>0</v>
          </cell>
          <cell r="U75">
            <v>0</v>
          </cell>
          <cell r="V75">
            <v>0</v>
          </cell>
          <cell r="W75">
            <v>0</v>
          </cell>
          <cell r="X75">
            <v>0</v>
          </cell>
          <cell r="Y75">
            <v>0</v>
          </cell>
          <cell r="Z75">
            <v>1</v>
          </cell>
          <cell r="AB75">
            <v>0</v>
          </cell>
          <cell r="AC75">
            <v>0</v>
          </cell>
          <cell r="AD75">
            <v>0</v>
          </cell>
          <cell r="AE75">
            <v>0</v>
          </cell>
          <cell r="AF75">
            <v>0</v>
          </cell>
          <cell r="AG75">
            <v>0</v>
          </cell>
          <cell r="AI75"/>
          <cell r="AJ75" t="str">
            <v/>
          </cell>
          <cell r="AK75" t="str">
            <v/>
          </cell>
          <cell r="AL75" t="str">
            <v/>
          </cell>
          <cell r="AM75" t="str">
            <v/>
          </cell>
          <cell r="AN75" t="str">
            <v/>
          </cell>
        </row>
        <row r="76">
          <cell r="B76" t="str">
            <v>Eritrea</v>
          </cell>
          <cell r="C76" t="str">
            <v>ERI</v>
          </cell>
          <cell r="D76" t="str">
            <v>ERI</v>
          </cell>
          <cell r="E76" t="str">
            <v/>
          </cell>
          <cell r="F76" t="str">
            <v>Eritrea</v>
          </cell>
          <cell r="G76" t="str">
            <v/>
          </cell>
          <cell r="H76" t="str">
            <v>Eritrea</v>
          </cell>
          <cell r="I76" t="str">
            <v/>
          </cell>
          <cell r="K76">
            <v>1</v>
          </cell>
          <cell r="L76">
            <v>0</v>
          </cell>
          <cell r="M76">
            <v>0</v>
          </cell>
          <cell r="N76">
            <v>0</v>
          </cell>
          <cell r="P76">
            <v>1</v>
          </cell>
          <cell r="Q76">
            <v>0</v>
          </cell>
          <cell r="R76">
            <v>0</v>
          </cell>
          <cell r="T76">
            <v>0</v>
          </cell>
          <cell r="U76">
            <v>0</v>
          </cell>
          <cell r="V76">
            <v>0</v>
          </cell>
          <cell r="W76">
            <v>0</v>
          </cell>
          <cell r="X76">
            <v>0</v>
          </cell>
          <cell r="Y76">
            <v>0</v>
          </cell>
          <cell r="Z76">
            <v>1</v>
          </cell>
          <cell r="AB76">
            <v>0</v>
          </cell>
          <cell r="AC76">
            <v>0</v>
          </cell>
          <cell r="AD76">
            <v>0</v>
          </cell>
          <cell r="AE76">
            <v>0</v>
          </cell>
          <cell r="AF76">
            <v>0</v>
          </cell>
          <cell r="AG76">
            <v>0</v>
          </cell>
          <cell r="AI76"/>
          <cell r="AJ76" t="str">
            <v>x</v>
          </cell>
          <cell r="AK76" t="str">
            <v>x</v>
          </cell>
          <cell r="AL76" t="str">
            <v>x</v>
          </cell>
          <cell r="AM76" t="str">
            <v>x</v>
          </cell>
          <cell r="AN76" t="str">
            <v>x</v>
          </cell>
        </row>
        <row r="77">
          <cell r="B77" t="str">
            <v>Estonia</v>
          </cell>
          <cell r="C77" t="str">
            <v>EST</v>
          </cell>
          <cell r="D77" t="str">
            <v>EST</v>
          </cell>
          <cell r="E77" t="str">
            <v/>
          </cell>
          <cell r="F77" t="str">
            <v>Estonia</v>
          </cell>
          <cell r="G77" t="str">
            <v/>
          </cell>
          <cell r="H77" t="str">
            <v>Estonia</v>
          </cell>
          <cell r="I77" t="str">
            <v/>
          </cell>
          <cell r="K77">
            <v>0</v>
          </cell>
          <cell r="L77">
            <v>0</v>
          </cell>
          <cell r="M77">
            <v>0</v>
          </cell>
          <cell r="N77">
            <v>1</v>
          </cell>
          <cell r="P77">
            <v>0</v>
          </cell>
          <cell r="Q77">
            <v>0</v>
          </cell>
          <cell r="R77">
            <v>0</v>
          </cell>
          <cell r="T77">
            <v>1</v>
          </cell>
          <cell r="U77">
            <v>0</v>
          </cell>
          <cell r="V77">
            <v>0</v>
          </cell>
          <cell r="W77">
            <v>0</v>
          </cell>
          <cell r="X77">
            <v>0</v>
          </cell>
          <cell r="Y77">
            <v>0</v>
          </cell>
          <cell r="Z77">
            <v>0</v>
          </cell>
          <cell r="AB77">
            <v>1</v>
          </cell>
          <cell r="AC77">
            <v>1</v>
          </cell>
          <cell r="AD77">
            <v>0</v>
          </cell>
          <cell r="AE77">
            <v>0</v>
          </cell>
          <cell r="AF77">
            <v>0</v>
          </cell>
          <cell r="AG77">
            <v>0</v>
          </cell>
          <cell r="AI77"/>
          <cell r="AJ77" t="str">
            <v/>
          </cell>
          <cell r="AK77" t="str">
            <v/>
          </cell>
          <cell r="AL77" t="str">
            <v/>
          </cell>
          <cell r="AM77" t="str">
            <v/>
          </cell>
          <cell r="AN77" t="str">
            <v/>
          </cell>
        </row>
        <row r="78">
          <cell r="B78" t="str">
            <v>Eswatini</v>
          </cell>
          <cell r="C78" t="str">
            <v>SWZ</v>
          </cell>
          <cell r="D78" t="str">
            <v>SWZ</v>
          </cell>
          <cell r="E78" t="str">
            <v/>
          </cell>
          <cell r="F78" t="str">
            <v>Eswatini</v>
          </cell>
          <cell r="G78" t="str">
            <v/>
          </cell>
          <cell r="H78" t="str">
            <v>Eswatini</v>
          </cell>
          <cell r="I78" t="str">
            <v/>
          </cell>
          <cell r="K78">
            <v>0</v>
          </cell>
          <cell r="L78">
            <v>1</v>
          </cell>
          <cell r="M78">
            <v>0</v>
          </cell>
          <cell r="N78">
            <v>0</v>
          </cell>
          <cell r="P78">
            <v>0</v>
          </cell>
          <cell r="Q78">
            <v>1</v>
          </cell>
          <cell r="R78">
            <v>0</v>
          </cell>
          <cell r="T78">
            <v>0</v>
          </cell>
          <cell r="U78">
            <v>0</v>
          </cell>
          <cell r="V78">
            <v>0</v>
          </cell>
          <cell r="W78">
            <v>0</v>
          </cell>
          <cell r="X78">
            <v>0</v>
          </cell>
          <cell r="Y78">
            <v>0</v>
          </cell>
          <cell r="Z78">
            <v>1</v>
          </cell>
          <cell r="AB78">
            <v>0</v>
          </cell>
          <cell r="AC78">
            <v>0</v>
          </cell>
          <cell r="AD78">
            <v>0</v>
          </cell>
          <cell r="AE78">
            <v>0</v>
          </cell>
          <cell r="AF78">
            <v>0</v>
          </cell>
          <cell r="AG78">
            <v>0</v>
          </cell>
          <cell r="AI78"/>
          <cell r="AJ78" t="str">
            <v/>
          </cell>
          <cell r="AK78" t="str">
            <v>x</v>
          </cell>
          <cell r="AL78" t="str">
            <v/>
          </cell>
          <cell r="AM78" t="str">
            <v/>
          </cell>
          <cell r="AN78" t="str">
            <v>x</v>
          </cell>
        </row>
        <row r="79">
          <cell r="B79" t="str">
            <v>Ethiopia</v>
          </cell>
          <cell r="C79" t="str">
            <v>ETH</v>
          </cell>
          <cell r="D79" t="str">
            <v>ETH</v>
          </cell>
          <cell r="E79" t="str">
            <v/>
          </cell>
          <cell r="F79" t="str">
            <v>Ethiopia</v>
          </cell>
          <cell r="G79" t="str">
            <v/>
          </cell>
          <cell r="H79" t="str">
            <v>Ethiopia</v>
          </cell>
          <cell r="I79" t="str">
            <v/>
          </cell>
          <cell r="K79">
            <v>1</v>
          </cell>
          <cell r="L79">
            <v>0</v>
          </cell>
          <cell r="M79">
            <v>0</v>
          </cell>
          <cell r="N79">
            <v>0</v>
          </cell>
          <cell r="P79">
            <v>1</v>
          </cell>
          <cell r="Q79">
            <v>1</v>
          </cell>
          <cell r="R79">
            <v>0</v>
          </cell>
          <cell r="T79">
            <v>0</v>
          </cell>
          <cell r="U79">
            <v>0</v>
          </cell>
          <cell r="V79">
            <v>0</v>
          </cell>
          <cell r="W79">
            <v>0</v>
          </cell>
          <cell r="X79">
            <v>0</v>
          </cell>
          <cell r="Y79">
            <v>0</v>
          </cell>
          <cell r="Z79">
            <v>1</v>
          </cell>
          <cell r="AB79">
            <v>0</v>
          </cell>
          <cell r="AC79">
            <v>0</v>
          </cell>
          <cell r="AD79">
            <v>0</v>
          </cell>
          <cell r="AE79">
            <v>0</v>
          </cell>
          <cell r="AF79">
            <v>0</v>
          </cell>
          <cell r="AG79">
            <v>0</v>
          </cell>
          <cell r="AI79"/>
          <cell r="AJ79" t="str">
            <v>x</v>
          </cell>
          <cell r="AK79" t="str">
            <v>x</v>
          </cell>
          <cell r="AL79" t="str">
            <v>x</v>
          </cell>
          <cell r="AM79" t="str">
            <v>x</v>
          </cell>
          <cell r="AN79" t="str">
            <v>x</v>
          </cell>
        </row>
        <row r="80">
          <cell r="B80" t="str">
            <v>Europe</v>
          </cell>
          <cell r="D80" t="str">
            <v/>
          </cell>
          <cell r="E80" t="str">
            <v/>
          </cell>
          <cell r="F80" t="str">
            <v/>
          </cell>
          <cell r="G80" t="str">
            <v/>
          </cell>
          <cell r="H80" t="str">
            <v/>
          </cell>
          <cell r="I80" t="str">
            <v/>
          </cell>
          <cell r="K80" t="str">
            <v/>
          </cell>
          <cell r="L80" t="str">
            <v/>
          </cell>
          <cell r="M80" t="str">
            <v/>
          </cell>
          <cell r="N80" t="str">
            <v/>
          </cell>
          <cell r="P80" t="str">
            <v/>
          </cell>
          <cell r="Q80" t="str">
            <v/>
          </cell>
          <cell r="R80" t="str">
            <v/>
          </cell>
          <cell r="T80" t="str">
            <v/>
          </cell>
          <cell r="U80" t="str">
            <v/>
          </cell>
          <cell r="V80" t="str">
            <v/>
          </cell>
          <cell r="W80" t="str">
            <v/>
          </cell>
          <cell r="X80" t="str">
            <v/>
          </cell>
          <cell r="Y80" t="str">
            <v/>
          </cell>
          <cell r="Z80" t="str">
            <v/>
          </cell>
          <cell r="AB80">
            <v>0</v>
          </cell>
          <cell r="AC80">
            <v>0</v>
          </cell>
          <cell r="AD80">
            <v>0</v>
          </cell>
          <cell r="AE80">
            <v>0</v>
          </cell>
          <cell r="AF80">
            <v>0</v>
          </cell>
          <cell r="AG80">
            <v>0</v>
          </cell>
          <cell r="AI80"/>
          <cell r="AJ80" t="str">
            <v/>
          </cell>
          <cell r="AK80" t="str">
            <v/>
          </cell>
          <cell r="AL80" t="str">
            <v/>
          </cell>
          <cell r="AM80" t="str">
            <v/>
          </cell>
          <cell r="AN80" t="str">
            <v/>
          </cell>
        </row>
        <row r="81">
          <cell r="B81" t="str">
            <v>Europe (GCP)</v>
          </cell>
          <cell r="D81" t="str">
            <v/>
          </cell>
          <cell r="E81" t="str">
            <v/>
          </cell>
          <cell r="F81" t="str">
            <v/>
          </cell>
          <cell r="G81" t="str">
            <v/>
          </cell>
          <cell r="H81" t="str">
            <v/>
          </cell>
          <cell r="I81" t="str">
            <v/>
          </cell>
          <cell r="K81" t="str">
            <v/>
          </cell>
          <cell r="L81" t="str">
            <v/>
          </cell>
          <cell r="M81" t="str">
            <v/>
          </cell>
          <cell r="N81" t="str">
            <v/>
          </cell>
          <cell r="P81" t="str">
            <v/>
          </cell>
          <cell r="Q81" t="str">
            <v/>
          </cell>
          <cell r="R81" t="str">
            <v/>
          </cell>
          <cell r="T81" t="str">
            <v/>
          </cell>
          <cell r="U81" t="str">
            <v/>
          </cell>
          <cell r="V81" t="str">
            <v/>
          </cell>
          <cell r="W81" t="str">
            <v/>
          </cell>
          <cell r="X81" t="str">
            <v/>
          </cell>
          <cell r="Y81" t="str">
            <v/>
          </cell>
          <cell r="Z81" t="str">
            <v/>
          </cell>
          <cell r="AB81">
            <v>0</v>
          </cell>
          <cell r="AC81">
            <v>0</v>
          </cell>
          <cell r="AD81">
            <v>0</v>
          </cell>
          <cell r="AE81">
            <v>0</v>
          </cell>
          <cell r="AF81">
            <v>0</v>
          </cell>
          <cell r="AG81">
            <v>0</v>
          </cell>
          <cell r="AI81"/>
          <cell r="AJ81" t="str">
            <v/>
          </cell>
          <cell r="AK81" t="str">
            <v/>
          </cell>
          <cell r="AL81" t="str">
            <v/>
          </cell>
          <cell r="AM81" t="str">
            <v/>
          </cell>
          <cell r="AN81" t="str">
            <v/>
          </cell>
        </row>
        <row r="82">
          <cell r="B82" t="str">
            <v>Europe (excl. EU-27)</v>
          </cell>
          <cell r="D82" t="str">
            <v/>
          </cell>
          <cell r="E82" t="str">
            <v/>
          </cell>
          <cell r="F82" t="str">
            <v/>
          </cell>
          <cell r="G82" t="str">
            <v/>
          </cell>
          <cell r="H82" t="str">
            <v/>
          </cell>
          <cell r="I82" t="str">
            <v/>
          </cell>
          <cell r="K82" t="str">
            <v/>
          </cell>
          <cell r="L82" t="str">
            <v/>
          </cell>
          <cell r="M82" t="str">
            <v/>
          </cell>
          <cell r="N82" t="str">
            <v/>
          </cell>
          <cell r="P82" t="str">
            <v/>
          </cell>
          <cell r="Q82" t="str">
            <v/>
          </cell>
          <cell r="R82" t="str">
            <v/>
          </cell>
          <cell r="T82" t="str">
            <v/>
          </cell>
          <cell r="U82" t="str">
            <v/>
          </cell>
          <cell r="V82" t="str">
            <v/>
          </cell>
          <cell r="W82" t="str">
            <v/>
          </cell>
          <cell r="X82" t="str">
            <v/>
          </cell>
          <cell r="Y82" t="str">
            <v/>
          </cell>
          <cell r="Z82" t="str">
            <v/>
          </cell>
          <cell r="AB82">
            <v>0</v>
          </cell>
          <cell r="AC82">
            <v>0</v>
          </cell>
          <cell r="AD82">
            <v>0</v>
          </cell>
          <cell r="AE82">
            <v>0</v>
          </cell>
          <cell r="AF82">
            <v>0</v>
          </cell>
          <cell r="AG82">
            <v>0</v>
          </cell>
          <cell r="AI82"/>
          <cell r="AJ82" t="str">
            <v/>
          </cell>
          <cell r="AK82" t="str">
            <v/>
          </cell>
          <cell r="AL82" t="str">
            <v/>
          </cell>
          <cell r="AM82" t="str">
            <v/>
          </cell>
          <cell r="AN82" t="str">
            <v/>
          </cell>
        </row>
        <row r="83">
          <cell r="B83" t="str">
            <v>Europe (excl. EU-28)</v>
          </cell>
          <cell r="D83" t="str">
            <v/>
          </cell>
          <cell r="E83" t="str">
            <v/>
          </cell>
          <cell r="F83" t="str">
            <v/>
          </cell>
          <cell r="G83" t="str">
            <v/>
          </cell>
          <cell r="H83" t="str">
            <v/>
          </cell>
          <cell r="I83" t="str">
            <v/>
          </cell>
          <cell r="K83" t="str">
            <v/>
          </cell>
          <cell r="L83" t="str">
            <v/>
          </cell>
          <cell r="M83" t="str">
            <v/>
          </cell>
          <cell r="N83" t="str">
            <v/>
          </cell>
          <cell r="P83" t="str">
            <v/>
          </cell>
          <cell r="Q83" t="str">
            <v/>
          </cell>
          <cell r="R83" t="str">
            <v/>
          </cell>
          <cell r="T83" t="str">
            <v/>
          </cell>
          <cell r="U83" t="str">
            <v/>
          </cell>
          <cell r="V83" t="str">
            <v/>
          </cell>
          <cell r="W83" t="str">
            <v/>
          </cell>
          <cell r="X83" t="str">
            <v/>
          </cell>
          <cell r="Y83" t="str">
            <v/>
          </cell>
          <cell r="Z83" t="str">
            <v/>
          </cell>
          <cell r="AB83">
            <v>0</v>
          </cell>
          <cell r="AC83">
            <v>0</v>
          </cell>
          <cell r="AD83">
            <v>0</v>
          </cell>
          <cell r="AE83">
            <v>0</v>
          </cell>
          <cell r="AF83">
            <v>0</v>
          </cell>
          <cell r="AG83">
            <v>0</v>
          </cell>
          <cell r="AI83"/>
          <cell r="AJ83" t="str">
            <v/>
          </cell>
          <cell r="AK83" t="str">
            <v/>
          </cell>
          <cell r="AL83" t="str">
            <v/>
          </cell>
          <cell r="AM83" t="str">
            <v/>
          </cell>
          <cell r="AN83" t="str">
            <v/>
          </cell>
        </row>
        <row r="84">
          <cell r="B84" t="str">
            <v>European Union (27)</v>
          </cell>
          <cell r="D84" t="str">
            <v/>
          </cell>
          <cell r="E84" t="str">
            <v/>
          </cell>
          <cell r="F84" t="str">
            <v/>
          </cell>
          <cell r="G84" t="str">
            <v/>
          </cell>
          <cell r="H84" t="str">
            <v/>
          </cell>
          <cell r="I84" t="str">
            <v/>
          </cell>
          <cell r="K84" t="str">
            <v/>
          </cell>
          <cell r="L84" t="str">
            <v/>
          </cell>
          <cell r="M84" t="str">
            <v/>
          </cell>
          <cell r="N84" t="str">
            <v/>
          </cell>
          <cell r="P84" t="str">
            <v/>
          </cell>
          <cell r="Q84" t="str">
            <v/>
          </cell>
          <cell r="R84" t="str">
            <v/>
          </cell>
          <cell r="T84" t="str">
            <v/>
          </cell>
          <cell r="U84" t="str">
            <v/>
          </cell>
          <cell r="V84" t="str">
            <v/>
          </cell>
          <cell r="W84" t="str">
            <v/>
          </cell>
          <cell r="X84" t="str">
            <v/>
          </cell>
          <cell r="Y84" t="str">
            <v/>
          </cell>
          <cell r="Z84" t="str">
            <v/>
          </cell>
          <cell r="AB84">
            <v>0</v>
          </cell>
          <cell r="AC84">
            <v>0</v>
          </cell>
          <cell r="AD84">
            <v>0</v>
          </cell>
          <cell r="AE84">
            <v>0</v>
          </cell>
          <cell r="AF84">
            <v>0</v>
          </cell>
          <cell r="AG84">
            <v>0</v>
          </cell>
          <cell r="AI84"/>
          <cell r="AJ84" t="str">
            <v/>
          </cell>
          <cell r="AK84" t="str">
            <v/>
          </cell>
          <cell r="AL84" t="str">
            <v/>
          </cell>
          <cell r="AM84" t="str">
            <v/>
          </cell>
          <cell r="AN84" t="str">
            <v/>
          </cell>
        </row>
        <row r="85">
          <cell r="B85" t="str">
            <v>European Union (27) (GCP)</v>
          </cell>
          <cell r="D85" t="str">
            <v/>
          </cell>
          <cell r="E85" t="str">
            <v/>
          </cell>
          <cell r="F85" t="str">
            <v/>
          </cell>
          <cell r="G85" t="str">
            <v/>
          </cell>
          <cell r="H85" t="str">
            <v/>
          </cell>
          <cell r="I85" t="str">
            <v/>
          </cell>
          <cell r="K85" t="str">
            <v/>
          </cell>
          <cell r="L85" t="str">
            <v/>
          </cell>
          <cell r="M85" t="str">
            <v/>
          </cell>
          <cell r="N85" t="str">
            <v/>
          </cell>
          <cell r="P85" t="str">
            <v/>
          </cell>
          <cell r="Q85" t="str">
            <v/>
          </cell>
          <cell r="R85" t="str">
            <v/>
          </cell>
          <cell r="T85" t="str">
            <v/>
          </cell>
          <cell r="U85" t="str">
            <v/>
          </cell>
          <cell r="V85" t="str">
            <v/>
          </cell>
          <cell r="W85" t="str">
            <v/>
          </cell>
          <cell r="X85" t="str">
            <v/>
          </cell>
          <cell r="Y85" t="str">
            <v/>
          </cell>
          <cell r="Z85" t="str">
            <v/>
          </cell>
          <cell r="AB85">
            <v>0</v>
          </cell>
          <cell r="AC85">
            <v>0</v>
          </cell>
          <cell r="AD85">
            <v>0</v>
          </cell>
          <cell r="AE85">
            <v>0</v>
          </cell>
          <cell r="AF85">
            <v>0</v>
          </cell>
          <cell r="AG85">
            <v>0</v>
          </cell>
          <cell r="AI85"/>
          <cell r="AJ85" t="str">
            <v/>
          </cell>
          <cell r="AK85" t="str">
            <v/>
          </cell>
          <cell r="AL85" t="str">
            <v/>
          </cell>
          <cell r="AM85" t="str">
            <v/>
          </cell>
          <cell r="AN85" t="str">
            <v/>
          </cell>
        </row>
        <row r="86">
          <cell r="B86" t="str">
            <v>European Union (28)</v>
          </cell>
          <cell r="D86" t="str">
            <v/>
          </cell>
          <cell r="E86" t="str">
            <v/>
          </cell>
          <cell r="F86" t="str">
            <v/>
          </cell>
          <cell r="G86" t="str">
            <v/>
          </cell>
          <cell r="H86" t="str">
            <v/>
          </cell>
          <cell r="I86" t="str">
            <v/>
          </cell>
          <cell r="K86" t="str">
            <v/>
          </cell>
          <cell r="L86" t="str">
            <v/>
          </cell>
          <cell r="M86" t="str">
            <v/>
          </cell>
          <cell r="N86" t="str">
            <v/>
          </cell>
          <cell r="P86" t="str">
            <v/>
          </cell>
          <cell r="Q86" t="str">
            <v/>
          </cell>
          <cell r="R86" t="str">
            <v/>
          </cell>
          <cell r="T86" t="str">
            <v/>
          </cell>
          <cell r="U86" t="str">
            <v/>
          </cell>
          <cell r="V86" t="str">
            <v/>
          </cell>
          <cell r="W86" t="str">
            <v/>
          </cell>
          <cell r="X86" t="str">
            <v/>
          </cell>
          <cell r="Y86" t="str">
            <v/>
          </cell>
          <cell r="Z86" t="str">
            <v/>
          </cell>
          <cell r="AB86">
            <v>0</v>
          </cell>
          <cell r="AC86">
            <v>0</v>
          </cell>
          <cell r="AD86">
            <v>0</v>
          </cell>
          <cell r="AE86">
            <v>0</v>
          </cell>
          <cell r="AF86">
            <v>1</v>
          </cell>
          <cell r="AG86">
            <v>0</v>
          </cell>
          <cell r="AI86"/>
          <cell r="AJ86" t="str">
            <v/>
          </cell>
          <cell r="AK86" t="str">
            <v/>
          </cell>
          <cell r="AL86" t="str">
            <v/>
          </cell>
          <cell r="AM86" t="str">
            <v/>
          </cell>
          <cell r="AN86" t="str">
            <v/>
          </cell>
        </row>
        <row r="87">
          <cell r="B87" t="str">
            <v>Faroe Islands</v>
          </cell>
          <cell r="C87" t="str">
            <v>FRO</v>
          </cell>
          <cell r="D87" t="str">
            <v>FRO</v>
          </cell>
          <cell r="E87" t="str">
            <v/>
          </cell>
          <cell r="F87" t="str">
            <v>Faroe Islands</v>
          </cell>
          <cell r="G87" t="str">
            <v/>
          </cell>
          <cell r="H87" t="str">
            <v>Faroe Islands</v>
          </cell>
          <cell r="I87" t="str">
            <v/>
          </cell>
          <cell r="K87">
            <v>0</v>
          </cell>
          <cell r="L87">
            <v>0</v>
          </cell>
          <cell r="M87">
            <v>0</v>
          </cell>
          <cell r="N87">
            <v>1</v>
          </cell>
          <cell r="P87">
            <v>0</v>
          </cell>
          <cell r="Q87">
            <v>0</v>
          </cell>
          <cell r="R87">
            <v>0</v>
          </cell>
          <cell r="T87">
            <v>1</v>
          </cell>
          <cell r="U87">
            <v>0</v>
          </cell>
          <cell r="V87">
            <v>0</v>
          </cell>
          <cell r="W87">
            <v>0</v>
          </cell>
          <cell r="X87">
            <v>0</v>
          </cell>
          <cell r="Y87">
            <v>0</v>
          </cell>
          <cell r="Z87">
            <v>0</v>
          </cell>
          <cell r="AB87">
            <v>0</v>
          </cell>
          <cell r="AC87">
            <v>0</v>
          </cell>
          <cell r="AD87">
            <v>0</v>
          </cell>
          <cell r="AE87">
            <v>0</v>
          </cell>
          <cell r="AF87">
            <v>0</v>
          </cell>
          <cell r="AG87">
            <v>0</v>
          </cell>
          <cell r="AI87"/>
          <cell r="AJ87" t="str">
            <v/>
          </cell>
          <cell r="AK87" t="str">
            <v/>
          </cell>
          <cell r="AL87" t="str">
            <v/>
          </cell>
          <cell r="AM87" t="str">
            <v/>
          </cell>
          <cell r="AN87" t="str">
            <v/>
          </cell>
        </row>
        <row r="88">
          <cell r="B88" t="str">
            <v>Fiji</v>
          </cell>
          <cell r="C88" t="str">
            <v>FJI</v>
          </cell>
          <cell r="D88" t="str">
            <v>FJI</v>
          </cell>
          <cell r="E88" t="str">
            <v/>
          </cell>
          <cell r="F88" t="str">
            <v>Fiji</v>
          </cell>
          <cell r="G88" t="str">
            <v/>
          </cell>
          <cell r="H88" t="str">
            <v>Fiji</v>
          </cell>
          <cell r="I88" t="str">
            <v/>
          </cell>
          <cell r="K88">
            <v>0</v>
          </cell>
          <cell r="L88">
            <v>0</v>
          </cell>
          <cell r="M88">
            <v>1</v>
          </cell>
          <cell r="N88">
            <v>0</v>
          </cell>
          <cell r="P88">
            <v>0</v>
          </cell>
          <cell r="Q88">
            <v>0</v>
          </cell>
          <cell r="R88">
            <v>1</v>
          </cell>
          <cell r="T88">
            <v>0</v>
          </cell>
          <cell r="U88">
            <v>0</v>
          </cell>
          <cell r="V88">
            <v>0</v>
          </cell>
          <cell r="W88">
            <v>1</v>
          </cell>
          <cell r="X88">
            <v>0</v>
          </cell>
          <cell r="Y88">
            <v>0</v>
          </cell>
          <cell r="Z88">
            <v>0</v>
          </cell>
          <cell r="AB88">
            <v>0</v>
          </cell>
          <cell r="AC88">
            <v>0</v>
          </cell>
          <cell r="AD88">
            <v>0</v>
          </cell>
          <cell r="AE88">
            <v>0</v>
          </cell>
          <cell r="AF88">
            <v>0</v>
          </cell>
          <cell r="AG88">
            <v>0</v>
          </cell>
          <cell r="AI88"/>
          <cell r="AJ88" t="str">
            <v/>
          </cell>
          <cell r="AK88" t="str">
            <v/>
          </cell>
          <cell r="AL88" t="str">
            <v/>
          </cell>
          <cell r="AM88" t="str">
            <v>x</v>
          </cell>
          <cell r="AN88" t="str">
            <v>x</v>
          </cell>
        </row>
        <row r="89">
          <cell r="B89" t="str">
            <v>Finland</v>
          </cell>
          <cell r="C89" t="str">
            <v>FIN</v>
          </cell>
          <cell r="D89" t="str">
            <v>FIN</v>
          </cell>
          <cell r="E89" t="str">
            <v/>
          </cell>
          <cell r="F89" t="str">
            <v>Finland</v>
          </cell>
          <cell r="G89" t="str">
            <v/>
          </cell>
          <cell r="H89" t="str">
            <v>Finland</v>
          </cell>
          <cell r="I89" t="str">
            <v/>
          </cell>
          <cell r="K89">
            <v>0</v>
          </cell>
          <cell r="L89">
            <v>0</v>
          </cell>
          <cell r="M89">
            <v>0</v>
          </cell>
          <cell r="N89">
            <v>1</v>
          </cell>
          <cell r="P89">
            <v>0</v>
          </cell>
          <cell r="Q89">
            <v>0</v>
          </cell>
          <cell r="R89">
            <v>0</v>
          </cell>
          <cell r="T89">
            <v>1</v>
          </cell>
          <cell r="U89">
            <v>0</v>
          </cell>
          <cell r="V89">
            <v>0</v>
          </cell>
          <cell r="W89">
            <v>0</v>
          </cell>
          <cell r="X89">
            <v>0</v>
          </cell>
          <cell r="Y89">
            <v>0</v>
          </cell>
          <cell r="Z89">
            <v>0</v>
          </cell>
          <cell r="AB89">
            <v>1</v>
          </cell>
          <cell r="AC89">
            <v>1</v>
          </cell>
          <cell r="AD89">
            <v>0</v>
          </cell>
          <cell r="AE89">
            <v>0</v>
          </cell>
          <cell r="AF89">
            <v>0</v>
          </cell>
          <cell r="AG89">
            <v>1</v>
          </cell>
          <cell r="AI89"/>
          <cell r="AJ89" t="str">
            <v/>
          </cell>
          <cell r="AK89" t="str">
            <v/>
          </cell>
          <cell r="AL89" t="str">
            <v/>
          </cell>
          <cell r="AM89" t="str">
            <v/>
          </cell>
          <cell r="AN89" t="str">
            <v/>
          </cell>
        </row>
        <row r="90">
          <cell r="B90" t="str">
            <v>France</v>
          </cell>
          <cell r="C90" t="str">
            <v>FRA</v>
          </cell>
          <cell r="D90" t="str">
            <v>FRA</v>
          </cell>
          <cell r="E90" t="str">
            <v/>
          </cell>
          <cell r="F90" t="str">
            <v>France</v>
          </cell>
          <cell r="G90" t="str">
            <v/>
          </cell>
          <cell r="H90" t="str">
            <v>France</v>
          </cell>
          <cell r="I90" t="str">
            <v/>
          </cell>
          <cell r="K90">
            <v>0</v>
          </cell>
          <cell r="L90">
            <v>0</v>
          </cell>
          <cell r="M90">
            <v>0</v>
          </cell>
          <cell r="N90">
            <v>1</v>
          </cell>
          <cell r="P90">
            <v>0</v>
          </cell>
          <cell r="Q90">
            <v>0</v>
          </cell>
          <cell r="R90">
            <v>0</v>
          </cell>
          <cell r="T90">
            <v>1</v>
          </cell>
          <cell r="U90">
            <v>0</v>
          </cell>
          <cell r="V90">
            <v>0</v>
          </cell>
          <cell r="W90">
            <v>0</v>
          </cell>
          <cell r="X90">
            <v>0</v>
          </cell>
          <cell r="Y90">
            <v>0</v>
          </cell>
          <cell r="Z90">
            <v>0</v>
          </cell>
          <cell r="AB90">
            <v>1</v>
          </cell>
          <cell r="AC90">
            <v>1</v>
          </cell>
          <cell r="AD90">
            <v>0</v>
          </cell>
          <cell r="AE90">
            <v>1</v>
          </cell>
          <cell r="AF90">
            <v>1</v>
          </cell>
          <cell r="AG90">
            <v>1</v>
          </cell>
          <cell r="AI90"/>
          <cell r="AJ90" t="str">
            <v/>
          </cell>
          <cell r="AK90" t="str">
            <v/>
          </cell>
          <cell r="AL90" t="str">
            <v/>
          </cell>
          <cell r="AM90" t="str">
            <v/>
          </cell>
          <cell r="AN90" t="str">
            <v/>
          </cell>
        </row>
        <row r="91">
          <cell r="B91" t="str">
            <v>French Guiana</v>
          </cell>
          <cell r="C91" t="str">
            <v>GUF</v>
          </cell>
          <cell r="D91" t="str">
            <v>GUF</v>
          </cell>
          <cell r="E91" t="str">
            <v/>
          </cell>
          <cell r="F91" t="str">
            <v>French Guiana</v>
          </cell>
          <cell r="G91" t="str">
            <v/>
          </cell>
          <cell r="H91" t="e">
            <v>#N/A</v>
          </cell>
          <cell r="I91" t="str">
            <v/>
          </cell>
          <cell r="K91" t="str">
            <v/>
          </cell>
          <cell r="L91" t="str">
            <v/>
          </cell>
          <cell r="M91" t="str">
            <v/>
          </cell>
          <cell r="N91" t="str">
            <v/>
          </cell>
          <cell r="P91">
            <v>0</v>
          </cell>
          <cell r="Q91">
            <v>0</v>
          </cell>
          <cell r="R91">
            <v>0</v>
          </cell>
          <cell r="T91" t="str">
            <v/>
          </cell>
          <cell r="U91" t="str">
            <v/>
          </cell>
          <cell r="V91" t="str">
            <v/>
          </cell>
          <cell r="W91" t="str">
            <v/>
          </cell>
          <cell r="X91" t="str">
            <v/>
          </cell>
          <cell r="Y91" t="str">
            <v/>
          </cell>
          <cell r="Z91" t="str">
            <v/>
          </cell>
          <cell r="AB91">
            <v>0</v>
          </cell>
          <cell r="AC91">
            <v>0</v>
          </cell>
          <cell r="AD91">
            <v>0</v>
          </cell>
          <cell r="AE91">
            <v>0</v>
          </cell>
          <cell r="AF91">
            <v>0</v>
          </cell>
          <cell r="AG91">
            <v>0</v>
          </cell>
          <cell r="AI91"/>
          <cell r="AJ91" t="str">
            <v/>
          </cell>
          <cell r="AK91" t="str">
            <v/>
          </cell>
          <cell r="AL91" t="str">
            <v/>
          </cell>
          <cell r="AM91" t="str">
            <v/>
          </cell>
          <cell r="AN91" t="str">
            <v/>
          </cell>
        </row>
        <row r="92">
          <cell r="B92" t="str">
            <v>French Polynesia</v>
          </cell>
          <cell r="C92" t="str">
            <v>PYF</v>
          </cell>
          <cell r="D92" t="str">
            <v>PYF</v>
          </cell>
          <cell r="E92" t="str">
            <v/>
          </cell>
          <cell r="F92" t="str">
            <v>French Polynesia</v>
          </cell>
          <cell r="G92" t="str">
            <v/>
          </cell>
          <cell r="H92" t="str">
            <v>French Polynesia</v>
          </cell>
          <cell r="I92" t="str">
            <v/>
          </cell>
          <cell r="K92">
            <v>0</v>
          </cell>
          <cell r="L92">
            <v>0</v>
          </cell>
          <cell r="M92">
            <v>0</v>
          </cell>
          <cell r="N92">
            <v>1</v>
          </cell>
          <cell r="P92">
            <v>0</v>
          </cell>
          <cell r="Q92">
            <v>0</v>
          </cell>
          <cell r="R92">
            <v>1</v>
          </cell>
          <cell r="T92">
            <v>0</v>
          </cell>
          <cell r="U92">
            <v>0</v>
          </cell>
          <cell r="V92">
            <v>0</v>
          </cell>
          <cell r="W92">
            <v>1</v>
          </cell>
          <cell r="X92">
            <v>0</v>
          </cell>
          <cell r="Y92">
            <v>0</v>
          </cell>
          <cell r="Z92">
            <v>0</v>
          </cell>
          <cell r="AB92">
            <v>0</v>
          </cell>
          <cell r="AC92">
            <v>0</v>
          </cell>
          <cell r="AD92">
            <v>0</v>
          </cell>
          <cell r="AE92">
            <v>0</v>
          </cell>
          <cell r="AF92">
            <v>0</v>
          </cell>
          <cell r="AG92">
            <v>0</v>
          </cell>
          <cell r="AI92"/>
          <cell r="AJ92" t="str">
            <v/>
          </cell>
          <cell r="AK92" t="str">
            <v/>
          </cell>
          <cell r="AL92" t="str">
            <v/>
          </cell>
          <cell r="AM92" t="str">
            <v>x</v>
          </cell>
          <cell r="AN92" t="str">
            <v>x</v>
          </cell>
        </row>
        <row r="93">
          <cell r="B93" t="str">
            <v>Gabon</v>
          </cell>
          <cell r="C93" t="str">
            <v>GAB</v>
          </cell>
          <cell r="D93" t="str">
            <v>GAB</v>
          </cell>
          <cell r="E93" t="str">
            <v/>
          </cell>
          <cell r="F93" t="str">
            <v>Gabon</v>
          </cell>
          <cell r="G93" t="str">
            <v/>
          </cell>
          <cell r="H93" t="str">
            <v>Gabon</v>
          </cell>
          <cell r="I93" t="str">
            <v/>
          </cell>
          <cell r="K93">
            <v>0</v>
          </cell>
          <cell r="L93">
            <v>0</v>
          </cell>
          <cell r="M93">
            <v>1</v>
          </cell>
          <cell r="N93">
            <v>0</v>
          </cell>
          <cell r="P93">
            <v>0</v>
          </cell>
          <cell r="Q93">
            <v>0</v>
          </cell>
          <cell r="R93">
            <v>0</v>
          </cell>
          <cell r="T93">
            <v>0</v>
          </cell>
          <cell r="U93">
            <v>0</v>
          </cell>
          <cell r="V93">
            <v>0</v>
          </cell>
          <cell r="W93">
            <v>0</v>
          </cell>
          <cell r="X93">
            <v>0</v>
          </cell>
          <cell r="Y93">
            <v>0</v>
          </cell>
          <cell r="Z93">
            <v>1</v>
          </cell>
          <cell r="AB93">
            <v>0</v>
          </cell>
          <cell r="AC93">
            <v>0</v>
          </cell>
          <cell r="AD93">
            <v>0</v>
          </cell>
          <cell r="AE93">
            <v>0</v>
          </cell>
          <cell r="AF93">
            <v>0</v>
          </cell>
          <cell r="AG93">
            <v>0</v>
          </cell>
          <cell r="AI93"/>
          <cell r="AJ93" t="str">
            <v/>
          </cell>
          <cell r="AK93" t="str">
            <v/>
          </cell>
          <cell r="AL93" t="str">
            <v/>
          </cell>
          <cell r="AM93" t="str">
            <v/>
          </cell>
          <cell r="AN93" t="str">
            <v/>
          </cell>
        </row>
        <row r="94">
          <cell r="B94" t="str">
            <v>Gambia</v>
          </cell>
          <cell r="C94" t="str">
            <v>GMB</v>
          </cell>
          <cell r="D94" t="str">
            <v>GMB</v>
          </cell>
          <cell r="E94" t="str">
            <v/>
          </cell>
          <cell r="F94" t="str">
            <v>Gambia</v>
          </cell>
          <cell r="G94" t="str">
            <v/>
          </cell>
          <cell r="H94" t="str">
            <v>Gambia, The</v>
          </cell>
          <cell r="I94" t="str">
            <v>diff</v>
          </cell>
          <cell r="K94">
            <v>1</v>
          </cell>
          <cell r="L94">
            <v>0</v>
          </cell>
          <cell r="M94">
            <v>0</v>
          </cell>
          <cell r="N94">
            <v>0</v>
          </cell>
          <cell r="P94">
            <v>1</v>
          </cell>
          <cell r="Q94">
            <v>0</v>
          </cell>
          <cell r="R94">
            <v>0</v>
          </cell>
          <cell r="T94">
            <v>0</v>
          </cell>
          <cell r="U94">
            <v>0</v>
          </cell>
          <cell r="V94">
            <v>0</v>
          </cell>
          <cell r="W94">
            <v>0</v>
          </cell>
          <cell r="X94">
            <v>0</v>
          </cell>
          <cell r="Y94">
            <v>0</v>
          </cell>
          <cell r="Z94">
            <v>1</v>
          </cell>
          <cell r="AB94">
            <v>0</v>
          </cell>
          <cell r="AC94">
            <v>0</v>
          </cell>
          <cell r="AD94">
            <v>0</v>
          </cell>
          <cell r="AE94">
            <v>0</v>
          </cell>
          <cell r="AF94">
            <v>0</v>
          </cell>
          <cell r="AG94">
            <v>0</v>
          </cell>
          <cell r="AI94"/>
          <cell r="AJ94" t="str">
            <v>x</v>
          </cell>
          <cell r="AK94" t="str">
            <v>x</v>
          </cell>
          <cell r="AL94" t="str">
            <v>x</v>
          </cell>
          <cell r="AM94" t="str">
            <v>x</v>
          </cell>
          <cell r="AN94" t="str">
            <v>x</v>
          </cell>
        </row>
        <row r="95">
          <cell r="B95" t="str">
            <v>Georgia</v>
          </cell>
          <cell r="C95" t="str">
            <v>GEO</v>
          </cell>
          <cell r="D95" t="str">
            <v>GEO</v>
          </cell>
          <cell r="E95" t="str">
            <v/>
          </cell>
          <cell r="F95" t="str">
            <v>Georgia</v>
          </cell>
          <cell r="G95" t="str">
            <v/>
          </cell>
          <cell r="H95" t="str">
            <v>Georgia</v>
          </cell>
          <cell r="I95" t="str">
            <v/>
          </cell>
          <cell r="K95">
            <v>0</v>
          </cell>
          <cell r="L95">
            <v>0</v>
          </cell>
          <cell r="M95">
            <v>1</v>
          </cell>
          <cell r="N95">
            <v>0</v>
          </cell>
          <cell r="P95">
            <v>0</v>
          </cell>
          <cell r="Q95">
            <v>0</v>
          </cell>
          <cell r="R95">
            <v>0</v>
          </cell>
          <cell r="T95">
            <v>1</v>
          </cell>
          <cell r="U95">
            <v>0</v>
          </cell>
          <cell r="V95">
            <v>0</v>
          </cell>
          <cell r="W95">
            <v>0</v>
          </cell>
          <cell r="X95">
            <v>0</v>
          </cell>
          <cell r="Y95">
            <v>0</v>
          </cell>
          <cell r="Z95">
            <v>0</v>
          </cell>
          <cell r="AB95">
            <v>0</v>
          </cell>
          <cell r="AC95">
            <v>0</v>
          </cell>
          <cell r="AD95">
            <v>0</v>
          </cell>
          <cell r="AE95">
            <v>0</v>
          </cell>
          <cell r="AF95">
            <v>0</v>
          </cell>
          <cell r="AG95">
            <v>0</v>
          </cell>
          <cell r="AI95"/>
          <cell r="AJ95" t="str">
            <v/>
          </cell>
          <cell r="AK95" t="str">
            <v/>
          </cell>
          <cell r="AL95" t="str">
            <v/>
          </cell>
          <cell r="AM95" t="str">
            <v/>
          </cell>
          <cell r="AN95" t="str">
            <v/>
          </cell>
        </row>
        <row r="96">
          <cell r="B96" t="str">
            <v>Germany</v>
          </cell>
          <cell r="C96" t="str">
            <v>DEU</v>
          </cell>
          <cell r="D96" t="str">
            <v>DEU</v>
          </cell>
          <cell r="E96" t="str">
            <v/>
          </cell>
          <cell r="F96" t="str">
            <v>Germany</v>
          </cell>
          <cell r="G96" t="str">
            <v/>
          </cell>
          <cell r="H96" t="str">
            <v>Germany</v>
          </cell>
          <cell r="I96" t="str">
            <v/>
          </cell>
          <cell r="K96">
            <v>0</v>
          </cell>
          <cell r="L96">
            <v>0</v>
          </cell>
          <cell r="M96">
            <v>0</v>
          </cell>
          <cell r="N96">
            <v>1</v>
          </cell>
          <cell r="P96">
            <v>0</v>
          </cell>
          <cell r="Q96">
            <v>0</v>
          </cell>
          <cell r="R96">
            <v>0</v>
          </cell>
          <cell r="T96">
            <v>1</v>
          </cell>
          <cell r="U96">
            <v>0</v>
          </cell>
          <cell r="V96">
            <v>0</v>
          </cell>
          <cell r="W96">
            <v>0</v>
          </cell>
          <cell r="X96">
            <v>0</v>
          </cell>
          <cell r="Y96">
            <v>0</v>
          </cell>
          <cell r="Z96">
            <v>0</v>
          </cell>
          <cell r="AB96">
            <v>1</v>
          </cell>
          <cell r="AC96">
            <v>1</v>
          </cell>
          <cell r="AD96">
            <v>0</v>
          </cell>
          <cell r="AE96">
            <v>1</v>
          </cell>
          <cell r="AF96">
            <v>1</v>
          </cell>
          <cell r="AG96">
            <v>1</v>
          </cell>
          <cell r="AI96"/>
          <cell r="AJ96" t="str">
            <v/>
          </cell>
          <cell r="AK96" t="str">
            <v/>
          </cell>
          <cell r="AL96" t="str">
            <v/>
          </cell>
          <cell r="AM96" t="str">
            <v/>
          </cell>
          <cell r="AN96" t="str">
            <v/>
          </cell>
        </row>
        <row r="97">
          <cell r="B97" t="str">
            <v>Ghana</v>
          </cell>
          <cell r="C97" t="str">
            <v>GHA</v>
          </cell>
          <cell r="D97" t="str">
            <v>GHA</v>
          </cell>
          <cell r="E97" t="str">
            <v/>
          </cell>
          <cell r="F97" t="str">
            <v>Ghana</v>
          </cell>
          <cell r="G97" t="str">
            <v/>
          </cell>
          <cell r="H97" t="str">
            <v>Ghana</v>
          </cell>
          <cell r="I97" t="str">
            <v/>
          </cell>
          <cell r="K97">
            <v>0</v>
          </cell>
          <cell r="L97">
            <v>1</v>
          </cell>
          <cell r="M97">
            <v>0</v>
          </cell>
          <cell r="N97">
            <v>0</v>
          </cell>
          <cell r="P97">
            <v>0</v>
          </cell>
          <cell r="Q97">
            <v>0</v>
          </cell>
          <cell r="R97">
            <v>0</v>
          </cell>
          <cell r="T97">
            <v>0</v>
          </cell>
          <cell r="U97">
            <v>0</v>
          </cell>
          <cell r="V97">
            <v>0</v>
          </cell>
          <cell r="W97">
            <v>0</v>
          </cell>
          <cell r="X97">
            <v>0</v>
          </cell>
          <cell r="Y97">
            <v>0</v>
          </cell>
          <cell r="Z97">
            <v>1</v>
          </cell>
          <cell r="AB97">
            <v>0</v>
          </cell>
          <cell r="AC97">
            <v>0</v>
          </cell>
          <cell r="AD97">
            <v>0</v>
          </cell>
          <cell r="AE97">
            <v>0</v>
          </cell>
          <cell r="AF97">
            <v>0</v>
          </cell>
          <cell r="AG97">
            <v>0</v>
          </cell>
          <cell r="AI97"/>
          <cell r="AJ97" t="str">
            <v/>
          </cell>
          <cell r="AK97" t="str">
            <v>x</v>
          </cell>
          <cell r="AL97" t="str">
            <v/>
          </cell>
          <cell r="AM97" t="str">
            <v/>
          </cell>
          <cell r="AN97" t="str">
            <v>x</v>
          </cell>
        </row>
        <row r="98">
          <cell r="B98" t="str">
            <v>Greece</v>
          </cell>
          <cell r="C98" t="str">
            <v>GRC</v>
          </cell>
          <cell r="D98" t="str">
            <v>GRC</v>
          </cell>
          <cell r="E98" t="str">
            <v/>
          </cell>
          <cell r="F98" t="str">
            <v>Greece</v>
          </cell>
          <cell r="G98" t="str">
            <v/>
          </cell>
          <cell r="H98" t="str">
            <v>Greece</v>
          </cell>
          <cell r="I98" t="str">
            <v/>
          </cell>
          <cell r="K98">
            <v>0</v>
          </cell>
          <cell r="L98">
            <v>0</v>
          </cell>
          <cell r="M98">
            <v>0</v>
          </cell>
          <cell r="N98">
            <v>1</v>
          </cell>
          <cell r="P98">
            <v>0</v>
          </cell>
          <cell r="Q98">
            <v>0</v>
          </cell>
          <cell r="R98">
            <v>0</v>
          </cell>
          <cell r="T98">
            <v>1</v>
          </cell>
          <cell r="U98">
            <v>0</v>
          </cell>
          <cell r="V98">
            <v>0</v>
          </cell>
          <cell r="W98">
            <v>0</v>
          </cell>
          <cell r="X98">
            <v>0</v>
          </cell>
          <cell r="Y98">
            <v>0</v>
          </cell>
          <cell r="Z98">
            <v>0</v>
          </cell>
          <cell r="AB98">
            <v>1</v>
          </cell>
          <cell r="AC98">
            <v>1</v>
          </cell>
          <cell r="AD98">
            <v>0</v>
          </cell>
          <cell r="AE98">
            <v>0</v>
          </cell>
          <cell r="AF98">
            <v>0</v>
          </cell>
          <cell r="AG98">
            <v>1</v>
          </cell>
          <cell r="AI98"/>
          <cell r="AJ98" t="str">
            <v/>
          </cell>
          <cell r="AK98" t="str">
            <v/>
          </cell>
          <cell r="AL98" t="str">
            <v/>
          </cell>
          <cell r="AM98" t="str">
            <v/>
          </cell>
          <cell r="AN98" t="str">
            <v/>
          </cell>
        </row>
        <row r="99">
          <cell r="B99" t="str">
            <v>Greenland</v>
          </cell>
          <cell r="C99" t="str">
            <v>GRL</v>
          </cell>
          <cell r="D99" t="str">
            <v>GRL</v>
          </cell>
          <cell r="E99" t="str">
            <v/>
          </cell>
          <cell r="F99" t="str">
            <v>Greenland</v>
          </cell>
          <cell r="G99" t="str">
            <v/>
          </cell>
          <cell r="H99" t="str">
            <v>Greenland</v>
          </cell>
          <cell r="I99" t="str">
            <v/>
          </cell>
          <cell r="K99">
            <v>0</v>
          </cell>
          <cell r="L99">
            <v>0</v>
          </cell>
          <cell r="M99">
            <v>0</v>
          </cell>
          <cell r="N99">
            <v>1</v>
          </cell>
          <cell r="P99">
            <v>0</v>
          </cell>
          <cell r="Q99">
            <v>0</v>
          </cell>
          <cell r="R99">
            <v>0</v>
          </cell>
          <cell r="T99">
            <v>1</v>
          </cell>
          <cell r="U99">
            <v>0</v>
          </cell>
          <cell r="V99">
            <v>0</v>
          </cell>
          <cell r="W99">
            <v>0</v>
          </cell>
          <cell r="X99">
            <v>0</v>
          </cell>
          <cell r="Y99">
            <v>0</v>
          </cell>
          <cell r="Z99">
            <v>0</v>
          </cell>
          <cell r="AB99">
            <v>0</v>
          </cell>
          <cell r="AC99">
            <v>0</v>
          </cell>
          <cell r="AD99">
            <v>0</v>
          </cell>
          <cell r="AE99">
            <v>0</v>
          </cell>
          <cell r="AF99">
            <v>0</v>
          </cell>
          <cell r="AG99">
            <v>0</v>
          </cell>
          <cell r="AI99"/>
          <cell r="AJ99" t="str">
            <v/>
          </cell>
          <cell r="AK99" t="str">
            <v/>
          </cell>
          <cell r="AL99" t="str">
            <v/>
          </cell>
          <cell r="AM99" t="str">
            <v/>
          </cell>
          <cell r="AN99" t="str">
            <v/>
          </cell>
        </row>
        <row r="100">
          <cell r="B100" t="str">
            <v>Grenada</v>
          </cell>
          <cell r="C100" t="str">
            <v>GRD</v>
          </cell>
          <cell r="D100" t="str">
            <v>GRD</v>
          </cell>
          <cell r="E100" t="str">
            <v/>
          </cell>
          <cell r="F100" t="str">
            <v>Grenada</v>
          </cell>
          <cell r="G100" t="str">
            <v/>
          </cell>
          <cell r="H100" t="str">
            <v>Grenada</v>
          </cell>
          <cell r="I100" t="str">
            <v/>
          </cell>
          <cell r="K100">
            <v>0</v>
          </cell>
          <cell r="L100">
            <v>0</v>
          </cell>
          <cell r="M100">
            <v>1</v>
          </cell>
          <cell r="N100">
            <v>0</v>
          </cell>
          <cell r="P100">
            <v>0</v>
          </cell>
          <cell r="Q100">
            <v>0</v>
          </cell>
          <cell r="R100">
            <v>1</v>
          </cell>
          <cell r="T100">
            <v>0</v>
          </cell>
          <cell r="U100">
            <v>0</v>
          </cell>
          <cell r="V100">
            <v>1</v>
          </cell>
          <cell r="W100">
            <v>0</v>
          </cell>
          <cell r="X100">
            <v>0</v>
          </cell>
          <cell r="Y100">
            <v>0</v>
          </cell>
          <cell r="Z100">
            <v>0</v>
          </cell>
          <cell r="AB100">
            <v>0</v>
          </cell>
          <cell r="AC100">
            <v>0</v>
          </cell>
          <cell r="AD100">
            <v>0</v>
          </cell>
          <cell r="AE100">
            <v>0</v>
          </cell>
          <cell r="AF100">
            <v>0</v>
          </cell>
          <cell r="AG100">
            <v>0</v>
          </cell>
          <cell r="AI100"/>
          <cell r="AJ100" t="str">
            <v/>
          </cell>
          <cell r="AK100" t="str">
            <v/>
          </cell>
          <cell r="AL100" t="str">
            <v/>
          </cell>
          <cell r="AM100" t="str">
            <v>x</v>
          </cell>
          <cell r="AN100" t="str">
            <v>x</v>
          </cell>
        </row>
        <row r="101">
          <cell r="B101" t="str">
            <v>Guadeloupe</v>
          </cell>
          <cell r="C101" t="str">
            <v>GLP</v>
          </cell>
          <cell r="D101" t="str">
            <v>GLP</v>
          </cell>
          <cell r="E101" t="str">
            <v/>
          </cell>
          <cell r="F101" t="str">
            <v>Guadeloupe</v>
          </cell>
          <cell r="G101" t="str">
            <v/>
          </cell>
          <cell r="H101" t="e">
            <v>#N/A</v>
          </cell>
          <cell r="I101" t="str">
            <v/>
          </cell>
          <cell r="K101" t="str">
            <v/>
          </cell>
          <cell r="L101" t="str">
            <v/>
          </cell>
          <cell r="M101" t="str">
            <v/>
          </cell>
          <cell r="N101" t="str">
            <v/>
          </cell>
          <cell r="P101">
            <v>0</v>
          </cell>
          <cell r="Q101">
            <v>0</v>
          </cell>
          <cell r="R101">
            <v>0</v>
          </cell>
          <cell r="T101" t="str">
            <v/>
          </cell>
          <cell r="U101" t="str">
            <v/>
          </cell>
          <cell r="V101" t="str">
            <v/>
          </cell>
          <cell r="W101" t="str">
            <v/>
          </cell>
          <cell r="X101" t="str">
            <v/>
          </cell>
          <cell r="Y101" t="str">
            <v/>
          </cell>
          <cell r="Z101" t="str">
            <v/>
          </cell>
          <cell r="AB101">
            <v>0</v>
          </cell>
          <cell r="AC101">
            <v>0</v>
          </cell>
          <cell r="AD101">
            <v>0</v>
          </cell>
          <cell r="AE101">
            <v>0</v>
          </cell>
          <cell r="AF101">
            <v>0</v>
          </cell>
          <cell r="AG101">
            <v>0</v>
          </cell>
          <cell r="AI101"/>
          <cell r="AJ101" t="str">
            <v/>
          </cell>
          <cell r="AK101" t="str">
            <v/>
          </cell>
          <cell r="AL101" t="str">
            <v/>
          </cell>
          <cell r="AM101" t="str">
            <v/>
          </cell>
          <cell r="AN101" t="str">
            <v/>
          </cell>
        </row>
        <row r="102">
          <cell r="B102" t="str">
            <v>Guatemala</v>
          </cell>
          <cell r="C102" t="str">
            <v>GTM</v>
          </cell>
          <cell r="D102" t="str">
            <v>GTM</v>
          </cell>
          <cell r="E102" t="str">
            <v/>
          </cell>
          <cell r="F102" t="str">
            <v>Guatemala</v>
          </cell>
          <cell r="G102" t="str">
            <v/>
          </cell>
          <cell r="H102" t="str">
            <v>Guatemala</v>
          </cell>
          <cell r="I102" t="str">
            <v/>
          </cell>
          <cell r="K102">
            <v>0</v>
          </cell>
          <cell r="L102">
            <v>0</v>
          </cell>
          <cell r="M102">
            <v>1</v>
          </cell>
          <cell r="N102">
            <v>0</v>
          </cell>
          <cell r="P102">
            <v>0</v>
          </cell>
          <cell r="Q102">
            <v>0</v>
          </cell>
          <cell r="R102">
            <v>0</v>
          </cell>
          <cell r="T102">
            <v>0</v>
          </cell>
          <cell r="U102">
            <v>0</v>
          </cell>
          <cell r="V102">
            <v>1</v>
          </cell>
          <cell r="W102">
            <v>0</v>
          </cell>
          <cell r="X102">
            <v>0</v>
          </cell>
          <cell r="Y102">
            <v>0</v>
          </cell>
          <cell r="Z102">
            <v>0</v>
          </cell>
          <cell r="AB102">
            <v>0</v>
          </cell>
          <cell r="AC102">
            <v>0</v>
          </cell>
          <cell r="AD102">
            <v>0</v>
          </cell>
          <cell r="AE102">
            <v>0</v>
          </cell>
          <cell r="AF102">
            <v>0</v>
          </cell>
          <cell r="AG102">
            <v>0</v>
          </cell>
          <cell r="AI102"/>
          <cell r="AJ102" t="str">
            <v/>
          </cell>
          <cell r="AK102" t="str">
            <v/>
          </cell>
          <cell r="AL102" t="str">
            <v/>
          </cell>
          <cell r="AM102" t="str">
            <v/>
          </cell>
          <cell r="AN102" t="str">
            <v/>
          </cell>
        </row>
        <row r="103">
          <cell r="B103" t="str">
            <v>Guinea</v>
          </cell>
          <cell r="C103" t="str">
            <v>GIN</v>
          </cell>
          <cell r="D103" t="str">
            <v>GIN</v>
          </cell>
          <cell r="E103" t="str">
            <v/>
          </cell>
          <cell r="F103" t="str">
            <v>Guinea</v>
          </cell>
          <cell r="G103" t="str">
            <v/>
          </cell>
          <cell r="H103" t="str">
            <v>Guinea</v>
          </cell>
          <cell r="I103" t="str">
            <v/>
          </cell>
          <cell r="K103">
            <v>1</v>
          </cell>
          <cell r="L103">
            <v>0</v>
          </cell>
          <cell r="M103">
            <v>0</v>
          </cell>
          <cell r="N103">
            <v>0</v>
          </cell>
          <cell r="P103">
            <v>1</v>
          </cell>
          <cell r="Q103">
            <v>0</v>
          </cell>
          <cell r="R103">
            <v>0</v>
          </cell>
          <cell r="T103">
            <v>0</v>
          </cell>
          <cell r="U103">
            <v>0</v>
          </cell>
          <cell r="V103">
            <v>0</v>
          </cell>
          <cell r="W103">
            <v>0</v>
          </cell>
          <cell r="X103">
            <v>0</v>
          </cell>
          <cell r="Y103">
            <v>0</v>
          </cell>
          <cell r="Z103">
            <v>1</v>
          </cell>
          <cell r="AB103">
            <v>0</v>
          </cell>
          <cell r="AC103">
            <v>0</v>
          </cell>
          <cell r="AD103">
            <v>0</v>
          </cell>
          <cell r="AE103">
            <v>0</v>
          </cell>
          <cell r="AF103">
            <v>0</v>
          </cell>
          <cell r="AG103">
            <v>0</v>
          </cell>
          <cell r="AI103"/>
          <cell r="AJ103" t="str">
            <v>x</v>
          </cell>
          <cell r="AK103" t="str">
            <v>x</v>
          </cell>
          <cell r="AL103" t="str">
            <v>x</v>
          </cell>
          <cell r="AM103" t="str">
            <v>x</v>
          </cell>
          <cell r="AN103" t="str">
            <v>x</v>
          </cell>
        </row>
        <row r="104">
          <cell r="B104" t="str">
            <v>Guinea-Bissau</v>
          </cell>
          <cell r="C104" t="str">
            <v>GNB</v>
          </cell>
          <cell r="D104" t="str">
            <v>GNB</v>
          </cell>
          <cell r="E104" t="str">
            <v/>
          </cell>
          <cell r="F104" t="str">
            <v>Guinea-Bissau</v>
          </cell>
          <cell r="G104" t="str">
            <v/>
          </cell>
          <cell r="H104" t="str">
            <v>Guinea-Bissau</v>
          </cell>
          <cell r="I104" t="str">
            <v/>
          </cell>
          <cell r="K104">
            <v>1</v>
          </cell>
          <cell r="L104">
            <v>0</v>
          </cell>
          <cell r="M104">
            <v>0</v>
          </cell>
          <cell r="N104">
            <v>0</v>
          </cell>
          <cell r="P104">
            <v>1</v>
          </cell>
          <cell r="Q104">
            <v>0</v>
          </cell>
          <cell r="R104">
            <v>1</v>
          </cell>
          <cell r="T104">
            <v>0</v>
          </cell>
          <cell r="U104">
            <v>0</v>
          </cell>
          <cell r="V104">
            <v>0</v>
          </cell>
          <cell r="W104">
            <v>0</v>
          </cell>
          <cell r="X104">
            <v>0</v>
          </cell>
          <cell r="Y104">
            <v>0</v>
          </cell>
          <cell r="Z104">
            <v>1</v>
          </cell>
          <cell r="AB104">
            <v>0</v>
          </cell>
          <cell r="AC104">
            <v>0</v>
          </cell>
          <cell r="AD104">
            <v>0</v>
          </cell>
          <cell r="AE104">
            <v>0</v>
          </cell>
          <cell r="AF104">
            <v>0</v>
          </cell>
          <cell r="AG104">
            <v>0</v>
          </cell>
          <cell r="AI104"/>
          <cell r="AJ104" t="str">
            <v>x</v>
          </cell>
          <cell r="AK104" t="str">
            <v>x</v>
          </cell>
          <cell r="AL104" t="str">
            <v>x</v>
          </cell>
          <cell r="AM104" t="str">
            <v>x</v>
          </cell>
          <cell r="AN104" t="str">
            <v>x</v>
          </cell>
        </row>
        <row r="105">
          <cell r="B105" t="str">
            <v>Guyana</v>
          </cell>
          <cell r="C105" t="str">
            <v>GUY</v>
          </cell>
          <cell r="D105" t="str">
            <v>GUY</v>
          </cell>
          <cell r="E105" t="str">
            <v/>
          </cell>
          <cell r="F105" t="str">
            <v>Guyana</v>
          </cell>
          <cell r="G105" t="str">
            <v/>
          </cell>
          <cell r="H105" t="str">
            <v>Guyana</v>
          </cell>
          <cell r="I105" t="str">
            <v/>
          </cell>
          <cell r="K105">
            <v>0</v>
          </cell>
          <cell r="L105">
            <v>0</v>
          </cell>
          <cell r="M105">
            <v>1</v>
          </cell>
          <cell r="N105">
            <v>0</v>
          </cell>
          <cell r="P105">
            <v>0</v>
          </cell>
          <cell r="Q105">
            <v>0</v>
          </cell>
          <cell r="R105">
            <v>1</v>
          </cell>
          <cell r="T105">
            <v>0</v>
          </cell>
          <cell r="U105">
            <v>0</v>
          </cell>
          <cell r="V105">
            <v>1</v>
          </cell>
          <cell r="W105">
            <v>0</v>
          </cell>
          <cell r="X105">
            <v>0</v>
          </cell>
          <cell r="Y105">
            <v>0</v>
          </cell>
          <cell r="Z105">
            <v>0</v>
          </cell>
          <cell r="AB105">
            <v>0</v>
          </cell>
          <cell r="AC105">
            <v>0</v>
          </cell>
          <cell r="AD105">
            <v>0</v>
          </cell>
          <cell r="AE105">
            <v>0</v>
          </cell>
          <cell r="AF105">
            <v>0</v>
          </cell>
          <cell r="AG105">
            <v>0</v>
          </cell>
          <cell r="AI105"/>
          <cell r="AJ105" t="str">
            <v/>
          </cell>
          <cell r="AK105" t="str">
            <v/>
          </cell>
          <cell r="AL105" t="str">
            <v/>
          </cell>
          <cell r="AM105" t="str">
            <v>x</v>
          </cell>
          <cell r="AN105" t="str">
            <v>x</v>
          </cell>
        </row>
        <row r="106">
          <cell r="B106" t="str">
            <v>Haiti</v>
          </cell>
          <cell r="C106" t="str">
            <v>HTI</v>
          </cell>
          <cell r="D106" t="str">
            <v>HTI</v>
          </cell>
          <cell r="E106" t="str">
            <v/>
          </cell>
          <cell r="F106" t="str">
            <v>Haiti</v>
          </cell>
          <cell r="G106" t="str">
            <v/>
          </cell>
          <cell r="H106" t="str">
            <v>Haiti</v>
          </cell>
          <cell r="I106" t="str">
            <v/>
          </cell>
          <cell r="K106">
            <v>0</v>
          </cell>
          <cell r="L106">
            <v>1</v>
          </cell>
          <cell r="M106">
            <v>0</v>
          </cell>
          <cell r="N106">
            <v>0</v>
          </cell>
          <cell r="P106">
            <v>1</v>
          </cell>
          <cell r="Q106">
            <v>0</v>
          </cell>
          <cell r="R106">
            <v>1</v>
          </cell>
          <cell r="T106">
            <v>0</v>
          </cell>
          <cell r="U106">
            <v>0</v>
          </cell>
          <cell r="V106">
            <v>1</v>
          </cell>
          <cell r="W106">
            <v>0</v>
          </cell>
          <cell r="X106">
            <v>0</v>
          </cell>
          <cell r="Y106">
            <v>0</v>
          </cell>
          <cell r="Z106">
            <v>0</v>
          </cell>
          <cell r="AB106">
            <v>0</v>
          </cell>
          <cell r="AC106">
            <v>0</v>
          </cell>
          <cell r="AD106">
            <v>0</v>
          </cell>
          <cell r="AE106">
            <v>0</v>
          </cell>
          <cell r="AF106">
            <v>0</v>
          </cell>
          <cell r="AG106">
            <v>0</v>
          </cell>
          <cell r="AI106"/>
          <cell r="AJ106" t="str">
            <v/>
          </cell>
          <cell r="AK106" t="str">
            <v>x</v>
          </cell>
          <cell r="AL106" t="str">
            <v>x</v>
          </cell>
          <cell r="AM106" t="str">
            <v>x</v>
          </cell>
          <cell r="AN106" t="str">
            <v>x</v>
          </cell>
        </row>
        <row r="107">
          <cell r="B107" t="str">
            <v>High-income countries</v>
          </cell>
          <cell r="D107" t="str">
            <v/>
          </cell>
          <cell r="E107" t="str">
            <v/>
          </cell>
          <cell r="F107" t="str">
            <v/>
          </cell>
          <cell r="G107" t="str">
            <v/>
          </cell>
          <cell r="H107" t="str">
            <v/>
          </cell>
          <cell r="I107" t="str">
            <v/>
          </cell>
          <cell r="K107" t="str">
            <v/>
          </cell>
          <cell r="L107" t="str">
            <v/>
          </cell>
          <cell r="M107" t="str">
            <v/>
          </cell>
          <cell r="N107" t="str">
            <v/>
          </cell>
          <cell r="P107" t="str">
            <v/>
          </cell>
          <cell r="Q107" t="str">
            <v/>
          </cell>
          <cell r="R107" t="str">
            <v/>
          </cell>
          <cell r="T107" t="str">
            <v/>
          </cell>
          <cell r="U107" t="str">
            <v/>
          </cell>
          <cell r="V107" t="str">
            <v/>
          </cell>
          <cell r="W107" t="str">
            <v/>
          </cell>
          <cell r="X107" t="str">
            <v/>
          </cell>
          <cell r="Y107" t="str">
            <v/>
          </cell>
          <cell r="Z107" t="str">
            <v/>
          </cell>
          <cell r="AB107">
            <v>0</v>
          </cell>
          <cell r="AC107">
            <v>0</v>
          </cell>
          <cell r="AD107">
            <v>0</v>
          </cell>
          <cell r="AE107">
            <v>0</v>
          </cell>
          <cell r="AF107">
            <v>0</v>
          </cell>
          <cell r="AG107">
            <v>0</v>
          </cell>
          <cell r="AI107"/>
          <cell r="AJ107" t="str">
            <v/>
          </cell>
          <cell r="AK107" t="str">
            <v/>
          </cell>
          <cell r="AL107" t="str">
            <v/>
          </cell>
          <cell r="AM107" t="str">
            <v/>
          </cell>
          <cell r="AN107" t="str">
            <v/>
          </cell>
        </row>
        <row r="108">
          <cell r="B108" t="str">
            <v>Honduras</v>
          </cell>
          <cell r="C108" t="str">
            <v>HND</v>
          </cell>
          <cell r="D108" t="str">
            <v>HND</v>
          </cell>
          <cell r="E108" t="str">
            <v/>
          </cell>
          <cell r="F108" t="str">
            <v>Honduras</v>
          </cell>
          <cell r="G108" t="str">
            <v/>
          </cell>
          <cell r="H108" t="str">
            <v>Honduras</v>
          </cell>
          <cell r="I108" t="str">
            <v/>
          </cell>
          <cell r="K108">
            <v>0</v>
          </cell>
          <cell r="L108">
            <v>1</v>
          </cell>
          <cell r="M108">
            <v>0</v>
          </cell>
          <cell r="N108">
            <v>0</v>
          </cell>
          <cell r="P108">
            <v>0</v>
          </cell>
          <cell r="Q108">
            <v>0</v>
          </cell>
          <cell r="R108">
            <v>0</v>
          </cell>
          <cell r="T108">
            <v>0</v>
          </cell>
          <cell r="U108">
            <v>0</v>
          </cell>
          <cell r="V108">
            <v>1</v>
          </cell>
          <cell r="W108">
            <v>0</v>
          </cell>
          <cell r="X108">
            <v>0</v>
          </cell>
          <cell r="Y108">
            <v>0</v>
          </cell>
          <cell r="Z108">
            <v>0</v>
          </cell>
          <cell r="AB108">
            <v>0</v>
          </cell>
          <cell r="AC108">
            <v>0</v>
          </cell>
          <cell r="AD108">
            <v>0</v>
          </cell>
          <cell r="AE108">
            <v>0</v>
          </cell>
          <cell r="AF108">
            <v>0</v>
          </cell>
          <cell r="AG108">
            <v>0</v>
          </cell>
          <cell r="AI108"/>
          <cell r="AJ108" t="str">
            <v/>
          </cell>
          <cell r="AK108" t="str">
            <v>x</v>
          </cell>
          <cell r="AL108" t="str">
            <v/>
          </cell>
          <cell r="AM108" t="str">
            <v/>
          </cell>
          <cell r="AN108" t="str">
            <v>x</v>
          </cell>
        </row>
        <row r="109">
          <cell r="B109" t="str">
            <v>Hong Kong</v>
          </cell>
          <cell r="C109" t="str">
            <v>HKG</v>
          </cell>
          <cell r="D109" t="str">
            <v>HKG</v>
          </cell>
          <cell r="E109" t="str">
            <v/>
          </cell>
          <cell r="F109" t="str">
            <v>China, Hong Kong Special Administrative Region</v>
          </cell>
          <cell r="G109" t="str">
            <v>diff</v>
          </cell>
          <cell r="H109" t="str">
            <v>Hong Kong SAR, China</v>
          </cell>
          <cell r="I109" t="str">
            <v>diff</v>
          </cell>
          <cell r="K109">
            <v>0</v>
          </cell>
          <cell r="L109">
            <v>0</v>
          </cell>
          <cell r="M109">
            <v>0</v>
          </cell>
          <cell r="N109">
            <v>1</v>
          </cell>
          <cell r="P109">
            <v>0</v>
          </cell>
          <cell r="Q109">
            <v>0</v>
          </cell>
          <cell r="R109">
            <v>0</v>
          </cell>
          <cell r="T109">
            <v>0</v>
          </cell>
          <cell r="U109">
            <v>0</v>
          </cell>
          <cell r="V109">
            <v>0</v>
          </cell>
          <cell r="W109">
            <v>1</v>
          </cell>
          <cell r="X109">
            <v>0</v>
          </cell>
          <cell r="Y109">
            <v>0</v>
          </cell>
          <cell r="Z109">
            <v>0</v>
          </cell>
          <cell r="AB109">
            <v>0</v>
          </cell>
          <cell r="AC109">
            <v>0</v>
          </cell>
          <cell r="AD109">
            <v>0</v>
          </cell>
          <cell r="AE109">
            <v>0</v>
          </cell>
          <cell r="AF109">
            <v>0</v>
          </cell>
          <cell r="AG109">
            <v>0</v>
          </cell>
          <cell r="AI109"/>
          <cell r="AJ109" t="str">
            <v/>
          </cell>
          <cell r="AK109" t="str">
            <v/>
          </cell>
          <cell r="AL109" t="str">
            <v/>
          </cell>
          <cell r="AM109" t="str">
            <v/>
          </cell>
          <cell r="AN109" t="str">
            <v/>
          </cell>
        </row>
        <row r="110">
          <cell r="B110" t="str">
            <v>Hungary</v>
          </cell>
          <cell r="C110" t="str">
            <v>HUN</v>
          </cell>
          <cell r="D110" t="str">
            <v>HUN</v>
          </cell>
          <cell r="E110" t="str">
            <v/>
          </cell>
          <cell r="F110" t="str">
            <v>Hungary</v>
          </cell>
          <cell r="G110" t="str">
            <v/>
          </cell>
          <cell r="H110" t="str">
            <v>Hungary</v>
          </cell>
          <cell r="I110" t="str">
            <v/>
          </cell>
          <cell r="K110">
            <v>0</v>
          </cell>
          <cell r="L110">
            <v>0</v>
          </cell>
          <cell r="M110">
            <v>0</v>
          </cell>
          <cell r="N110">
            <v>1</v>
          </cell>
          <cell r="P110">
            <v>0</v>
          </cell>
          <cell r="Q110">
            <v>0</v>
          </cell>
          <cell r="R110">
            <v>0</v>
          </cell>
          <cell r="T110">
            <v>1</v>
          </cell>
          <cell r="U110">
            <v>0</v>
          </cell>
          <cell r="V110">
            <v>0</v>
          </cell>
          <cell r="W110">
            <v>0</v>
          </cell>
          <cell r="X110">
            <v>0</v>
          </cell>
          <cell r="Y110">
            <v>0</v>
          </cell>
          <cell r="Z110">
            <v>0</v>
          </cell>
          <cell r="AB110">
            <v>1</v>
          </cell>
          <cell r="AC110">
            <v>1</v>
          </cell>
          <cell r="AD110">
            <v>0</v>
          </cell>
          <cell r="AE110">
            <v>0</v>
          </cell>
          <cell r="AF110">
            <v>0</v>
          </cell>
          <cell r="AG110">
            <v>0</v>
          </cell>
          <cell r="AI110"/>
          <cell r="AJ110" t="str">
            <v/>
          </cell>
          <cell r="AK110" t="str">
            <v/>
          </cell>
          <cell r="AL110" t="str">
            <v/>
          </cell>
          <cell r="AM110" t="str">
            <v/>
          </cell>
          <cell r="AN110" t="str">
            <v/>
          </cell>
        </row>
        <row r="111">
          <cell r="B111" t="str">
            <v>Iceland</v>
          </cell>
          <cell r="C111" t="str">
            <v>ISL</v>
          </cell>
          <cell r="D111" t="str">
            <v>ISL</v>
          </cell>
          <cell r="E111" t="str">
            <v/>
          </cell>
          <cell r="F111" t="str">
            <v>Iceland</v>
          </cell>
          <cell r="G111" t="str">
            <v/>
          </cell>
          <cell r="H111" t="str">
            <v>Iceland</v>
          </cell>
          <cell r="I111" t="str">
            <v/>
          </cell>
          <cell r="K111">
            <v>0</v>
          </cell>
          <cell r="L111">
            <v>0</v>
          </cell>
          <cell r="M111">
            <v>0</v>
          </cell>
          <cell r="N111">
            <v>1</v>
          </cell>
          <cell r="P111">
            <v>0</v>
          </cell>
          <cell r="Q111">
            <v>0</v>
          </cell>
          <cell r="R111">
            <v>0</v>
          </cell>
          <cell r="T111">
            <v>1</v>
          </cell>
          <cell r="U111">
            <v>0</v>
          </cell>
          <cell r="V111">
            <v>0</v>
          </cell>
          <cell r="W111">
            <v>0</v>
          </cell>
          <cell r="X111">
            <v>0</v>
          </cell>
          <cell r="Y111">
            <v>0</v>
          </cell>
          <cell r="Z111">
            <v>0</v>
          </cell>
          <cell r="AB111">
            <v>1</v>
          </cell>
          <cell r="AC111">
            <v>0</v>
          </cell>
          <cell r="AD111">
            <v>0</v>
          </cell>
          <cell r="AE111">
            <v>0</v>
          </cell>
          <cell r="AF111">
            <v>0</v>
          </cell>
          <cell r="AG111">
            <v>1</v>
          </cell>
          <cell r="AI111"/>
          <cell r="AJ111" t="str">
            <v/>
          </cell>
          <cell r="AK111" t="str">
            <v/>
          </cell>
          <cell r="AL111" t="str">
            <v/>
          </cell>
          <cell r="AM111" t="str">
            <v/>
          </cell>
          <cell r="AN111" t="str">
            <v/>
          </cell>
        </row>
        <row r="112">
          <cell r="B112" t="str">
            <v>India</v>
          </cell>
          <cell r="C112" t="str">
            <v>IND</v>
          </cell>
          <cell r="D112" t="str">
            <v>IND</v>
          </cell>
          <cell r="E112" t="str">
            <v/>
          </cell>
          <cell r="F112" t="str">
            <v>India</v>
          </cell>
          <cell r="G112" t="str">
            <v/>
          </cell>
          <cell r="H112" t="str">
            <v>India</v>
          </cell>
          <cell r="I112" t="str">
            <v/>
          </cell>
          <cell r="K112">
            <v>0</v>
          </cell>
          <cell r="L112">
            <v>1</v>
          </cell>
          <cell r="M112">
            <v>0</v>
          </cell>
          <cell r="N112">
            <v>0</v>
          </cell>
          <cell r="P112">
            <v>0</v>
          </cell>
          <cell r="Q112">
            <v>0</v>
          </cell>
          <cell r="R112">
            <v>0</v>
          </cell>
          <cell r="T112">
            <v>0</v>
          </cell>
          <cell r="U112">
            <v>0</v>
          </cell>
          <cell r="V112">
            <v>0</v>
          </cell>
          <cell r="W112">
            <v>0</v>
          </cell>
          <cell r="X112">
            <v>1</v>
          </cell>
          <cell r="Y112">
            <v>0</v>
          </cell>
          <cell r="Z112">
            <v>0</v>
          </cell>
          <cell r="AB112">
            <v>0</v>
          </cell>
          <cell r="AC112">
            <v>0</v>
          </cell>
          <cell r="AD112">
            <v>1</v>
          </cell>
          <cell r="AE112">
            <v>0</v>
          </cell>
          <cell r="AF112">
            <v>1</v>
          </cell>
          <cell r="AG112">
            <v>0</v>
          </cell>
          <cell r="AI112"/>
          <cell r="AJ112" t="str">
            <v/>
          </cell>
          <cell r="AK112" t="str">
            <v>x</v>
          </cell>
          <cell r="AL112" t="str">
            <v/>
          </cell>
          <cell r="AM112" t="str">
            <v/>
          </cell>
          <cell r="AN112" t="str">
            <v>x</v>
          </cell>
        </row>
        <row r="113">
          <cell r="B113" t="str">
            <v>Indonesia</v>
          </cell>
          <cell r="C113" t="str">
            <v>IDN</v>
          </cell>
          <cell r="D113" t="str">
            <v>IDN</v>
          </cell>
          <cell r="E113" t="str">
            <v/>
          </cell>
          <cell r="F113" t="str">
            <v>Indonesia</v>
          </cell>
          <cell r="G113" t="str">
            <v/>
          </cell>
          <cell r="H113" t="str">
            <v>Indonesia</v>
          </cell>
          <cell r="I113" t="str">
            <v/>
          </cell>
          <cell r="K113">
            <v>0</v>
          </cell>
          <cell r="L113">
            <v>1</v>
          </cell>
          <cell r="M113">
            <v>0</v>
          </cell>
          <cell r="N113">
            <v>0</v>
          </cell>
          <cell r="P113">
            <v>0</v>
          </cell>
          <cell r="Q113">
            <v>0</v>
          </cell>
          <cell r="R113">
            <v>0</v>
          </cell>
          <cell r="T113">
            <v>0</v>
          </cell>
          <cell r="U113">
            <v>0</v>
          </cell>
          <cell r="V113">
            <v>0</v>
          </cell>
          <cell r="W113">
            <v>1</v>
          </cell>
          <cell r="X113">
            <v>0</v>
          </cell>
          <cell r="Y113">
            <v>0</v>
          </cell>
          <cell r="Z113">
            <v>0</v>
          </cell>
          <cell r="AB113">
            <v>0</v>
          </cell>
          <cell r="AC113">
            <v>0</v>
          </cell>
          <cell r="AD113">
            <v>0</v>
          </cell>
          <cell r="AE113">
            <v>0</v>
          </cell>
          <cell r="AF113">
            <v>1</v>
          </cell>
          <cell r="AG113">
            <v>0</v>
          </cell>
          <cell r="AI113"/>
          <cell r="AJ113" t="str">
            <v/>
          </cell>
          <cell r="AK113" t="str">
            <v>x</v>
          </cell>
          <cell r="AL113" t="str">
            <v/>
          </cell>
          <cell r="AM113" t="str">
            <v/>
          </cell>
          <cell r="AN113" t="str">
            <v>x</v>
          </cell>
        </row>
        <row r="114">
          <cell r="B114" t="str">
            <v>International transport</v>
          </cell>
          <cell r="D114" t="str">
            <v/>
          </cell>
          <cell r="E114" t="str">
            <v/>
          </cell>
          <cell r="F114" t="str">
            <v/>
          </cell>
          <cell r="G114" t="str">
            <v/>
          </cell>
          <cell r="H114" t="str">
            <v/>
          </cell>
          <cell r="I114" t="str">
            <v/>
          </cell>
          <cell r="K114" t="str">
            <v/>
          </cell>
          <cell r="L114" t="str">
            <v/>
          </cell>
          <cell r="M114" t="str">
            <v/>
          </cell>
          <cell r="N114" t="str">
            <v/>
          </cell>
          <cell r="P114" t="str">
            <v/>
          </cell>
          <cell r="Q114" t="str">
            <v/>
          </cell>
          <cell r="R114" t="str">
            <v/>
          </cell>
          <cell r="T114" t="str">
            <v/>
          </cell>
          <cell r="U114" t="str">
            <v/>
          </cell>
          <cell r="V114" t="str">
            <v/>
          </cell>
          <cell r="W114" t="str">
            <v/>
          </cell>
          <cell r="X114" t="str">
            <v/>
          </cell>
          <cell r="Y114" t="str">
            <v/>
          </cell>
          <cell r="Z114" t="str">
            <v/>
          </cell>
          <cell r="AB114">
            <v>0</v>
          </cell>
          <cell r="AC114">
            <v>0</v>
          </cell>
          <cell r="AD114">
            <v>0</v>
          </cell>
          <cell r="AE114">
            <v>0</v>
          </cell>
          <cell r="AF114">
            <v>0</v>
          </cell>
          <cell r="AG114">
            <v>0</v>
          </cell>
          <cell r="AI114"/>
          <cell r="AJ114" t="str">
            <v/>
          </cell>
          <cell r="AK114" t="str">
            <v/>
          </cell>
          <cell r="AL114" t="str">
            <v/>
          </cell>
          <cell r="AM114" t="str">
            <v/>
          </cell>
          <cell r="AN114" t="str">
            <v/>
          </cell>
        </row>
        <row r="115">
          <cell r="B115" t="str">
            <v>Iran</v>
          </cell>
          <cell r="C115" t="str">
            <v>IRN</v>
          </cell>
          <cell r="D115" t="str">
            <v>IRN</v>
          </cell>
          <cell r="E115" t="str">
            <v/>
          </cell>
          <cell r="F115" t="str">
            <v>Iran (Islamic Republic of)</v>
          </cell>
          <cell r="G115" t="str">
            <v>diff</v>
          </cell>
          <cell r="H115" t="str">
            <v>Iran, Islamic Rep.</v>
          </cell>
          <cell r="I115" t="str">
            <v>diff</v>
          </cell>
          <cell r="K115">
            <v>0</v>
          </cell>
          <cell r="L115">
            <v>1</v>
          </cell>
          <cell r="M115">
            <v>0</v>
          </cell>
          <cell r="N115">
            <v>0</v>
          </cell>
          <cell r="P115">
            <v>0</v>
          </cell>
          <cell r="Q115">
            <v>0</v>
          </cell>
          <cell r="R115">
            <v>0</v>
          </cell>
          <cell r="T115">
            <v>0</v>
          </cell>
          <cell r="U115">
            <v>0</v>
          </cell>
          <cell r="V115">
            <v>0</v>
          </cell>
          <cell r="W115">
            <v>0</v>
          </cell>
          <cell r="X115">
            <v>0</v>
          </cell>
          <cell r="Y115">
            <v>1</v>
          </cell>
          <cell r="Z115">
            <v>0</v>
          </cell>
          <cell r="AB115">
            <v>0</v>
          </cell>
          <cell r="AC115">
            <v>0</v>
          </cell>
          <cell r="AD115">
            <v>0</v>
          </cell>
          <cell r="AE115">
            <v>0</v>
          </cell>
          <cell r="AF115">
            <v>0</v>
          </cell>
          <cell r="AG115">
            <v>0</v>
          </cell>
          <cell r="AI115"/>
          <cell r="AJ115" t="str">
            <v/>
          </cell>
          <cell r="AK115" t="str">
            <v>x</v>
          </cell>
          <cell r="AL115" t="str">
            <v/>
          </cell>
          <cell r="AM115" t="str">
            <v/>
          </cell>
          <cell r="AN115" t="str">
            <v>x</v>
          </cell>
        </row>
        <row r="116">
          <cell r="B116" t="str">
            <v>Iraq</v>
          </cell>
          <cell r="C116" t="str">
            <v>IRQ</v>
          </cell>
          <cell r="D116" t="str">
            <v>IRQ</v>
          </cell>
          <cell r="E116" t="str">
            <v/>
          </cell>
          <cell r="F116" t="str">
            <v>Iraq</v>
          </cell>
          <cell r="G116" t="str">
            <v/>
          </cell>
          <cell r="H116" t="str">
            <v>Iraq</v>
          </cell>
          <cell r="I116" t="str">
            <v/>
          </cell>
          <cell r="K116">
            <v>0</v>
          </cell>
          <cell r="L116">
            <v>0</v>
          </cell>
          <cell r="M116">
            <v>1</v>
          </cell>
          <cell r="N116">
            <v>0</v>
          </cell>
          <cell r="P116">
            <v>0</v>
          </cell>
          <cell r="Q116">
            <v>0</v>
          </cell>
          <cell r="R116">
            <v>0</v>
          </cell>
          <cell r="T116">
            <v>0</v>
          </cell>
          <cell r="U116">
            <v>0</v>
          </cell>
          <cell r="V116">
            <v>0</v>
          </cell>
          <cell r="W116">
            <v>0</v>
          </cell>
          <cell r="X116">
            <v>0</v>
          </cell>
          <cell r="Y116">
            <v>1</v>
          </cell>
          <cell r="Z116">
            <v>0</v>
          </cell>
          <cell r="AB116">
            <v>0</v>
          </cell>
          <cell r="AC116">
            <v>0</v>
          </cell>
          <cell r="AD116">
            <v>0</v>
          </cell>
          <cell r="AE116">
            <v>0</v>
          </cell>
          <cell r="AF116">
            <v>0</v>
          </cell>
          <cell r="AG116">
            <v>0</v>
          </cell>
          <cell r="AI116"/>
          <cell r="AJ116" t="str">
            <v/>
          </cell>
          <cell r="AK116" t="str">
            <v/>
          </cell>
          <cell r="AL116" t="str">
            <v/>
          </cell>
          <cell r="AM116" t="str">
            <v/>
          </cell>
          <cell r="AN116" t="str">
            <v/>
          </cell>
        </row>
        <row r="117">
          <cell r="B117" t="str">
            <v>Ireland</v>
          </cell>
          <cell r="C117" t="str">
            <v>IRL</v>
          </cell>
          <cell r="D117" t="str">
            <v>IRL</v>
          </cell>
          <cell r="E117" t="str">
            <v/>
          </cell>
          <cell r="F117" t="str">
            <v>Ireland</v>
          </cell>
          <cell r="G117" t="str">
            <v/>
          </cell>
          <cell r="H117" t="str">
            <v>Ireland</v>
          </cell>
          <cell r="I117" t="str">
            <v/>
          </cell>
          <cell r="K117">
            <v>0</v>
          </cell>
          <cell r="L117">
            <v>0</v>
          </cell>
          <cell r="M117">
            <v>0</v>
          </cell>
          <cell r="N117">
            <v>1</v>
          </cell>
          <cell r="P117">
            <v>0</v>
          </cell>
          <cell r="Q117">
            <v>0</v>
          </cell>
          <cell r="R117">
            <v>0</v>
          </cell>
          <cell r="T117">
            <v>1</v>
          </cell>
          <cell r="U117">
            <v>0</v>
          </cell>
          <cell r="V117">
            <v>0</v>
          </cell>
          <cell r="W117">
            <v>0</v>
          </cell>
          <cell r="X117">
            <v>0</v>
          </cell>
          <cell r="Y117">
            <v>0</v>
          </cell>
          <cell r="Z117">
            <v>0</v>
          </cell>
          <cell r="AB117">
            <v>1</v>
          </cell>
          <cell r="AC117">
            <v>1</v>
          </cell>
          <cell r="AD117">
            <v>0</v>
          </cell>
          <cell r="AE117">
            <v>0</v>
          </cell>
          <cell r="AF117">
            <v>0</v>
          </cell>
          <cell r="AG117">
            <v>1</v>
          </cell>
          <cell r="AI117"/>
          <cell r="AJ117" t="str">
            <v/>
          </cell>
          <cell r="AK117" t="str">
            <v/>
          </cell>
          <cell r="AL117" t="str">
            <v/>
          </cell>
          <cell r="AM117" t="str">
            <v/>
          </cell>
          <cell r="AN117" t="str">
            <v/>
          </cell>
        </row>
        <row r="118">
          <cell r="B118" t="str">
            <v>Israel</v>
          </cell>
          <cell r="C118" t="str">
            <v>ISR</v>
          </cell>
          <cell r="D118" t="str">
            <v>ISR</v>
          </cell>
          <cell r="E118" t="str">
            <v/>
          </cell>
          <cell r="F118" t="str">
            <v>Israel</v>
          </cell>
          <cell r="G118" t="str">
            <v/>
          </cell>
          <cell r="H118" t="str">
            <v>Israel</v>
          </cell>
          <cell r="I118" t="str">
            <v/>
          </cell>
          <cell r="K118">
            <v>0</v>
          </cell>
          <cell r="L118">
            <v>0</v>
          </cell>
          <cell r="M118">
            <v>0</v>
          </cell>
          <cell r="N118">
            <v>1</v>
          </cell>
          <cell r="P118">
            <v>0</v>
          </cell>
          <cell r="Q118">
            <v>0</v>
          </cell>
          <cell r="R118">
            <v>0</v>
          </cell>
          <cell r="T118">
            <v>0</v>
          </cell>
          <cell r="U118">
            <v>0</v>
          </cell>
          <cell r="V118">
            <v>0</v>
          </cell>
          <cell r="W118">
            <v>0</v>
          </cell>
          <cell r="X118">
            <v>0</v>
          </cell>
          <cell r="Y118">
            <v>1</v>
          </cell>
          <cell r="Z118">
            <v>0</v>
          </cell>
          <cell r="AB118">
            <v>1</v>
          </cell>
          <cell r="AC118">
            <v>0</v>
          </cell>
          <cell r="AD118">
            <v>0</v>
          </cell>
          <cell r="AE118">
            <v>0</v>
          </cell>
          <cell r="AF118">
            <v>0</v>
          </cell>
          <cell r="AG118">
            <v>0</v>
          </cell>
          <cell r="AI118"/>
          <cell r="AJ118" t="str">
            <v/>
          </cell>
          <cell r="AK118" t="str">
            <v/>
          </cell>
          <cell r="AL118" t="str">
            <v/>
          </cell>
          <cell r="AM118" t="str">
            <v/>
          </cell>
          <cell r="AN118" t="str">
            <v/>
          </cell>
        </row>
        <row r="119">
          <cell r="B119" t="str">
            <v>Italy</v>
          </cell>
          <cell r="C119" t="str">
            <v>ITA</v>
          </cell>
          <cell r="D119" t="str">
            <v>ITA</v>
          </cell>
          <cell r="E119" t="str">
            <v/>
          </cell>
          <cell r="F119" t="str">
            <v>Italy</v>
          </cell>
          <cell r="G119" t="str">
            <v/>
          </cell>
          <cell r="H119" t="str">
            <v>Italy</v>
          </cell>
          <cell r="I119" t="str">
            <v/>
          </cell>
          <cell r="K119">
            <v>0</v>
          </cell>
          <cell r="L119">
            <v>0</v>
          </cell>
          <cell r="M119">
            <v>0</v>
          </cell>
          <cell r="N119">
            <v>1</v>
          </cell>
          <cell r="P119">
            <v>0</v>
          </cell>
          <cell r="Q119">
            <v>0</v>
          </cell>
          <cell r="R119">
            <v>0</v>
          </cell>
          <cell r="T119">
            <v>1</v>
          </cell>
          <cell r="U119">
            <v>0</v>
          </cell>
          <cell r="V119">
            <v>0</v>
          </cell>
          <cell r="W119">
            <v>0</v>
          </cell>
          <cell r="X119">
            <v>0</v>
          </cell>
          <cell r="Y119">
            <v>0</v>
          </cell>
          <cell r="Z119">
            <v>0</v>
          </cell>
          <cell r="AB119">
            <v>1</v>
          </cell>
          <cell r="AC119">
            <v>1</v>
          </cell>
          <cell r="AD119">
            <v>0</v>
          </cell>
          <cell r="AE119">
            <v>1</v>
          </cell>
          <cell r="AF119">
            <v>1</v>
          </cell>
          <cell r="AG119">
            <v>1</v>
          </cell>
          <cell r="AI119"/>
          <cell r="AJ119" t="str">
            <v/>
          </cell>
          <cell r="AK119" t="str">
            <v/>
          </cell>
          <cell r="AL119" t="str">
            <v/>
          </cell>
          <cell r="AM119" t="str">
            <v/>
          </cell>
          <cell r="AN119" t="str">
            <v/>
          </cell>
        </row>
        <row r="120">
          <cell r="B120" t="str">
            <v>Jamaica</v>
          </cell>
          <cell r="C120" t="str">
            <v>JAM</v>
          </cell>
          <cell r="D120" t="str">
            <v>JAM</v>
          </cell>
          <cell r="E120" t="str">
            <v/>
          </cell>
          <cell r="F120" t="str">
            <v>Jamaica</v>
          </cell>
          <cell r="G120" t="str">
            <v/>
          </cell>
          <cell r="H120" t="str">
            <v>Jamaica</v>
          </cell>
          <cell r="I120" t="str">
            <v/>
          </cell>
          <cell r="K120">
            <v>0</v>
          </cell>
          <cell r="L120">
            <v>0</v>
          </cell>
          <cell r="M120">
            <v>1</v>
          </cell>
          <cell r="N120">
            <v>0</v>
          </cell>
          <cell r="P120">
            <v>0</v>
          </cell>
          <cell r="Q120">
            <v>0</v>
          </cell>
          <cell r="R120">
            <v>1</v>
          </cell>
          <cell r="T120">
            <v>0</v>
          </cell>
          <cell r="U120">
            <v>0</v>
          </cell>
          <cell r="V120">
            <v>1</v>
          </cell>
          <cell r="W120">
            <v>0</v>
          </cell>
          <cell r="X120">
            <v>0</v>
          </cell>
          <cell r="Y120">
            <v>0</v>
          </cell>
          <cell r="Z120">
            <v>0</v>
          </cell>
          <cell r="AB120">
            <v>0</v>
          </cell>
          <cell r="AC120">
            <v>0</v>
          </cell>
          <cell r="AD120">
            <v>0</v>
          </cell>
          <cell r="AE120">
            <v>0</v>
          </cell>
          <cell r="AF120">
            <v>0</v>
          </cell>
          <cell r="AG120">
            <v>0</v>
          </cell>
          <cell r="AI120"/>
          <cell r="AJ120" t="str">
            <v/>
          </cell>
          <cell r="AK120" t="str">
            <v/>
          </cell>
          <cell r="AL120" t="str">
            <v/>
          </cell>
          <cell r="AM120" t="str">
            <v>x</v>
          </cell>
          <cell r="AN120" t="str">
            <v>x</v>
          </cell>
        </row>
        <row r="121">
          <cell r="B121" t="str">
            <v>Japan</v>
          </cell>
          <cell r="C121" t="str">
            <v>JPN</v>
          </cell>
          <cell r="D121" t="str">
            <v>JPN</v>
          </cell>
          <cell r="E121" t="str">
            <v/>
          </cell>
          <cell r="F121" t="str">
            <v>Japan</v>
          </cell>
          <cell r="G121" t="str">
            <v/>
          </cell>
          <cell r="H121" t="str">
            <v>Japan</v>
          </cell>
          <cell r="I121" t="str">
            <v/>
          </cell>
          <cell r="K121">
            <v>0</v>
          </cell>
          <cell r="L121">
            <v>0</v>
          </cell>
          <cell r="M121">
            <v>0</v>
          </cell>
          <cell r="N121">
            <v>1</v>
          </cell>
          <cell r="P121">
            <v>0</v>
          </cell>
          <cell r="Q121">
            <v>0</v>
          </cell>
          <cell r="R121">
            <v>0</v>
          </cell>
          <cell r="T121">
            <v>0</v>
          </cell>
          <cell r="U121">
            <v>0</v>
          </cell>
          <cell r="V121">
            <v>0</v>
          </cell>
          <cell r="W121">
            <v>1</v>
          </cell>
          <cell r="X121">
            <v>0</v>
          </cell>
          <cell r="Y121">
            <v>0</v>
          </cell>
          <cell r="Z121">
            <v>0</v>
          </cell>
          <cell r="AB121">
            <v>1</v>
          </cell>
          <cell r="AC121">
            <v>0</v>
          </cell>
          <cell r="AD121">
            <v>0</v>
          </cell>
          <cell r="AE121">
            <v>1</v>
          </cell>
          <cell r="AF121">
            <v>1</v>
          </cell>
          <cell r="AG121">
            <v>1</v>
          </cell>
          <cell r="AI121"/>
          <cell r="AJ121" t="str">
            <v/>
          </cell>
          <cell r="AK121" t="str">
            <v/>
          </cell>
          <cell r="AL121" t="str">
            <v/>
          </cell>
          <cell r="AM121" t="str">
            <v/>
          </cell>
          <cell r="AN121" t="str">
            <v/>
          </cell>
        </row>
        <row r="122">
          <cell r="B122" t="str">
            <v>Jordan</v>
          </cell>
          <cell r="C122" t="str">
            <v>JOR</v>
          </cell>
          <cell r="D122" t="str">
            <v>JOR</v>
          </cell>
          <cell r="E122" t="str">
            <v/>
          </cell>
          <cell r="F122" t="str">
            <v>Jordan</v>
          </cell>
          <cell r="G122" t="str">
            <v/>
          </cell>
          <cell r="H122" t="str">
            <v>Jordan</v>
          </cell>
          <cell r="I122" t="str">
            <v/>
          </cell>
          <cell r="K122">
            <v>0</v>
          </cell>
          <cell r="L122">
            <v>0</v>
          </cell>
          <cell r="M122">
            <v>1</v>
          </cell>
          <cell r="N122">
            <v>0</v>
          </cell>
          <cell r="P122">
            <v>0</v>
          </cell>
          <cell r="Q122">
            <v>0</v>
          </cell>
          <cell r="R122">
            <v>0</v>
          </cell>
          <cell r="T122">
            <v>0</v>
          </cell>
          <cell r="U122">
            <v>0</v>
          </cell>
          <cell r="V122">
            <v>0</v>
          </cell>
          <cell r="W122">
            <v>0</v>
          </cell>
          <cell r="X122">
            <v>0</v>
          </cell>
          <cell r="Y122">
            <v>1</v>
          </cell>
          <cell r="Z122">
            <v>0</v>
          </cell>
          <cell r="AB122">
            <v>0</v>
          </cell>
          <cell r="AC122">
            <v>0</v>
          </cell>
          <cell r="AD122">
            <v>0</v>
          </cell>
          <cell r="AE122">
            <v>0</v>
          </cell>
          <cell r="AF122">
            <v>0</v>
          </cell>
          <cell r="AG122">
            <v>0</v>
          </cell>
          <cell r="AI122"/>
          <cell r="AJ122" t="str">
            <v/>
          </cell>
          <cell r="AK122" t="str">
            <v/>
          </cell>
          <cell r="AL122" t="str">
            <v/>
          </cell>
          <cell r="AM122" t="str">
            <v/>
          </cell>
          <cell r="AN122" t="str">
            <v/>
          </cell>
        </row>
        <row r="123">
          <cell r="B123" t="str">
            <v>Kazakhstan</v>
          </cell>
          <cell r="C123" t="str">
            <v>KAZ</v>
          </cell>
          <cell r="D123" t="str">
            <v>KAZ</v>
          </cell>
          <cell r="E123" t="str">
            <v/>
          </cell>
          <cell r="F123" t="str">
            <v>Kazakhstan</v>
          </cell>
          <cell r="G123" t="str">
            <v/>
          </cell>
          <cell r="H123" t="str">
            <v>Kazakhstan</v>
          </cell>
          <cell r="I123" t="str">
            <v/>
          </cell>
          <cell r="K123">
            <v>0</v>
          </cell>
          <cell r="L123">
            <v>0</v>
          </cell>
          <cell r="M123">
            <v>1</v>
          </cell>
          <cell r="N123">
            <v>0</v>
          </cell>
          <cell r="P123">
            <v>0</v>
          </cell>
          <cell r="Q123">
            <v>1</v>
          </cell>
          <cell r="R123">
            <v>0</v>
          </cell>
          <cell r="T123">
            <v>1</v>
          </cell>
          <cell r="U123">
            <v>0</v>
          </cell>
          <cell r="V123">
            <v>0</v>
          </cell>
          <cell r="W123">
            <v>0</v>
          </cell>
          <cell r="X123">
            <v>0</v>
          </cell>
          <cell r="Y123">
            <v>0</v>
          </cell>
          <cell r="Z123">
            <v>0</v>
          </cell>
          <cell r="AB123">
            <v>0</v>
          </cell>
          <cell r="AC123">
            <v>0</v>
          </cell>
          <cell r="AD123">
            <v>0</v>
          </cell>
          <cell r="AE123">
            <v>0</v>
          </cell>
          <cell r="AF123">
            <v>0</v>
          </cell>
          <cell r="AG123">
            <v>0</v>
          </cell>
          <cell r="AI123"/>
          <cell r="AJ123" t="str">
            <v/>
          </cell>
          <cell r="AK123" t="str">
            <v/>
          </cell>
          <cell r="AL123" t="str">
            <v/>
          </cell>
          <cell r="AM123" t="str">
            <v/>
          </cell>
          <cell r="AN123" t="str">
            <v/>
          </cell>
        </row>
        <row r="124">
          <cell r="B124" t="str">
            <v>Kenya</v>
          </cell>
          <cell r="C124" t="str">
            <v>KEN</v>
          </cell>
          <cell r="D124" t="str">
            <v>KEN</v>
          </cell>
          <cell r="E124" t="str">
            <v/>
          </cell>
          <cell r="F124" t="str">
            <v>Kenya</v>
          </cell>
          <cell r="G124" t="str">
            <v/>
          </cell>
          <cell r="H124" t="str">
            <v>Kenya</v>
          </cell>
          <cell r="I124" t="str">
            <v/>
          </cell>
          <cell r="K124">
            <v>0</v>
          </cell>
          <cell r="L124">
            <v>1</v>
          </cell>
          <cell r="M124">
            <v>0</v>
          </cell>
          <cell r="N124">
            <v>0</v>
          </cell>
          <cell r="P124">
            <v>0</v>
          </cell>
          <cell r="Q124">
            <v>0</v>
          </cell>
          <cell r="R124">
            <v>0</v>
          </cell>
          <cell r="T124">
            <v>0</v>
          </cell>
          <cell r="U124">
            <v>0</v>
          </cell>
          <cell r="V124">
            <v>0</v>
          </cell>
          <cell r="W124">
            <v>0</v>
          </cell>
          <cell r="X124">
            <v>0</v>
          </cell>
          <cell r="Y124">
            <v>0</v>
          </cell>
          <cell r="Z124">
            <v>1</v>
          </cell>
          <cell r="AB124">
            <v>0</v>
          </cell>
          <cell r="AC124">
            <v>0</v>
          </cell>
          <cell r="AD124">
            <v>0</v>
          </cell>
          <cell r="AE124">
            <v>0</v>
          </cell>
          <cell r="AF124">
            <v>0</v>
          </cell>
          <cell r="AG124">
            <v>0</v>
          </cell>
          <cell r="AI124"/>
          <cell r="AJ124" t="str">
            <v/>
          </cell>
          <cell r="AK124" t="str">
            <v>x</v>
          </cell>
          <cell r="AL124" t="str">
            <v/>
          </cell>
          <cell r="AM124" t="str">
            <v/>
          </cell>
          <cell r="AN124" t="str">
            <v>x</v>
          </cell>
        </row>
        <row r="125">
          <cell r="B125" t="str">
            <v>Kiribati</v>
          </cell>
          <cell r="C125" t="str">
            <v>KIR</v>
          </cell>
          <cell r="D125" t="str">
            <v>KIR</v>
          </cell>
          <cell r="E125" t="str">
            <v/>
          </cell>
          <cell r="F125" t="str">
            <v>Kiribati</v>
          </cell>
          <cell r="G125" t="str">
            <v/>
          </cell>
          <cell r="H125" t="str">
            <v>Kiribati</v>
          </cell>
          <cell r="I125" t="str">
            <v/>
          </cell>
          <cell r="K125">
            <v>0</v>
          </cell>
          <cell r="L125">
            <v>1</v>
          </cell>
          <cell r="M125">
            <v>0</v>
          </cell>
          <cell r="N125">
            <v>0</v>
          </cell>
          <cell r="P125">
            <v>1</v>
          </cell>
          <cell r="Q125">
            <v>0</v>
          </cell>
          <cell r="R125">
            <v>1</v>
          </cell>
          <cell r="T125">
            <v>0</v>
          </cell>
          <cell r="U125">
            <v>0</v>
          </cell>
          <cell r="V125">
            <v>0</v>
          </cell>
          <cell r="W125">
            <v>1</v>
          </cell>
          <cell r="X125">
            <v>0</v>
          </cell>
          <cell r="Y125">
            <v>0</v>
          </cell>
          <cell r="Z125">
            <v>0</v>
          </cell>
          <cell r="AB125">
            <v>0</v>
          </cell>
          <cell r="AC125">
            <v>0</v>
          </cell>
          <cell r="AD125">
            <v>0</v>
          </cell>
          <cell r="AE125">
            <v>0</v>
          </cell>
          <cell r="AF125">
            <v>0</v>
          </cell>
          <cell r="AG125">
            <v>0</v>
          </cell>
          <cell r="AI125"/>
          <cell r="AJ125" t="str">
            <v/>
          </cell>
          <cell r="AK125" t="str">
            <v>x</v>
          </cell>
          <cell r="AL125" t="str">
            <v>x</v>
          </cell>
          <cell r="AM125" t="str">
            <v>x</v>
          </cell>
          <cell r="AN125" t="str">
            <v>x</v>
          </cell>
        </row>
        <row r="126">
          <cell r="B126" t="str">
            <v>Kosovo</v>
          </cell>
          <cell r="C126" t="str">
            <v>OWID_KOS</v>
          </cell>
          <cell r="D126" t="str">
            <v>XKX</v>
          </cell>
          <cell r="E126" t="str">
            <v>diff</v>
          </cell>
          <cell r="F126" t="e">
            <v>#N/A</v>
          </cell>
          <cell r="G126" t="str">
            <v/>
          </cell>
          <cell r="H126" t="e">
            <v>#N/A</v>
          </cell>
          <cell r="I126" t="str">
            <v/>
          </cell>
          <cell r="K126">
            <v>0</v>
          </cell>
          <cell r="L126">
            <v>0</v>
          </cell>
          <cell r="M126">
            <v>1</v>
          </cell>
          <cell r="N126">
            <v>0</v>
          </cell>
          <cell r="P126" t="str">
            <v/>
          </cell>
          <cell r="Q126" t="str">
            <v/>
          </cell>
          <cell r="R126" t="str">
            <v/>
          </cell>
          <cell r="T126">
            <v>1</v>
          </cell>
          <cell r="U126">
            <v>0</v>
          </cell>
          <cell r="V126">
            <v>0</v>
          </cell>
          <cell r="W126">
            <v>0</v>
          </cell>
          <cell r="X126">
            <v>0</v>
          </cell>
          <cell r="Y126">
            <v>0</v>
          </cell>
          <cell r="Z126">
            <v>0</v>
          </cell>
          <cell r="AB126">
            <v>0</v>
          </cell>
          <cell r="AC126">
            <v>0</v>
          </cell>
          <cell r="AD126">
            <v>0</v>
          </cell>
          <cell r="AE126">
            <v>0</v>
          </cell>
          <cell r="AF126">
            <v>0</v>
          </cell>
          <cell r="AG126">
            <v>0</v>
          </cell>
          <cell r="AI126"/>
          <cell r="AJ126" t="str">
            <v/>
          </cell>
          <cell r="AK126" t="str">
            <v/>
          </cell>
          <cell r="AL126" t="str">
            <v/>
          </cell>
          <cell r="AM126" t="str">
            <v/>
          </cell>
          <cell r="AN126" t="str">
            <v/>
          </cell>
        </row>
        <row r="127">
          <cell r="B127" t="str">
            <v>Kuwait</v>
          </cell>
          <cell r="C127" t="str">
            <v>KWT</v>
          </cell>
          <cell r="D127" t="str">
            <v>KWT</v>
          </cell>
          <cell r="E127" t="str">
            <v/>
          </cell>
          <cell r="F127" t="str">
            <v>Kuwait</v>
          </cell>
          <cell r="G127" t="str">
            <v/>
          </cell>
          <cell r="H127" t="str">
            <v>Kuwait</v>
          </cell>
          <cell r="I127" t="str">
            <v/>
          </cell>
          <cell r="K127">
            <v>0</v>
          </cell>
          <cell r="L127">
            <v>0</v>
          </cell>
          <cell r="M127">
            <v>0</v>
          </cell>
          <cell r="N127">
            <v>1</v>
          </cell>
          <cell r="P127">
            <v>0</v>
          </cell>
          <cell r="Q127">
            <v>0</v>
          </cell>
          <cell r="R127">
            <v>0</v>
          </cell>
          <cell r="T127">
            <v>0</v>
          </cell>
          <cell r="U127">
            <v>0</v>
          </cell>
          <cell r="V127">
            <v>0</v>
          </cell>
          <cell r="W127">
            <v>0</v>
          </cell>
          <cell r="X127">
            <v>0</v>
          </cell>
          <cell r="Y127">
            <v>1</v>
          </cell>
          <cell r="Z127">
            <v>0</v>
          </cell>
          <cell r="AB127">
            <v>0</v>
          </cell>
          <cell r="AC127">
            <v>0</v>
          </cell>
          <cell r="AD127">
            <v>0</v>
          </cell>
          <cell r="AE127">
            <v>0</v>
          </cell>
          <cell r="AF127">
            <v>0</v>
          </cell>
          <cell r="AG127">
            <v>0</v>
          </cell>
          <cell r="AI127"/>
          <cell r="AJ127" t="str">
            <v/>
          </cell>
          <cell r="AK127" t="str">
            <v/>
          </cell>
          <cell r="AL127" t="str">
            <v/>
          </cell>
          <cell r="AM127" t="str">
            <v/>
          </cell>
          <cell r="AN127" t="str">
            <v/>
          </cell>
        </row>
        <row r="128">
          <cell r="B128" t="str">
            <v>Kyrgyzstan</v>
          </cell>
          <cell r="C128" t="str">
            <v>KGZ</v>
          </cell>
          <cell r="D128" t="str">
            <v>KGZ</v>
          </cell>
          <cell r="E128" t="str">
            <v/>
          </cell>
          <cell r="F128" t="str">
            <v>Kyrgyzstan</v>
          </cell>
          <cell r="G128" t="str">
            <v/>
          </cell>
          <cell r="H128" t="str">
            <v>Kyrgyz Republic</v>
          </cell>
          <cell r="I128" t="str">
            <v>diff</v>
          </cell>
          <cell r="K128">
            <v>0</v>
          </cell>
          <cell r="L128">
            <v>1</v>
          </cell>
          <cell r="M128">
            <v>0</v>
          </cell>
          <cell r="N128">
            <v>0</v>
          </cell>
          <cell r="P128">
            <v>0</v>
          </cell>
          <cell r="Q128">
            <v>1</v>
          </cell>
          <cell r="R128">
            <v>0</v>
          </cell>
          <cell r="T128">
            <v>1</v>
          </cell>
          <cell r="U128">
            <v>0</v>
          </cell>
          <cell r="V128">
            <v>0</v>
          </cell>
          <cell r="W128">
            <v>0</v>
          </cell>
          <cell r="X128">
            <v>0</v>
          </cell>
          <cell r="Y128">
            <v>0</v>
          </cell>
          <cell r="Z128">
            <v>0</v>
          </cell>
          <cell r="AB128">
            <v>0</v>
          </cell>
          <cell r="AC128">
            <v>0</v>
          </cell>
          <cell r="AD128">
            <v>0</v>
          </cell>
          <cell r="AE128">
            <v>0</v>
          </cell>
          <cell r="AF128">
            <v>0</v>
          </cell>
          <cell r="AG128">
            <v>0</v>
          </cell>
          <cell r="AI128"/>
          <cell r="AJ128" t="str">
            <v/>
          </cell>
          <cell r="AK128" t="str">
            <v>x</v>
          </cell>
          <cell r="AL128" t="str">
            <v/>
          </cell>
          <cell r="AM128" t="str">
            <v/>
          </cell>
          <cell r="AN128" t="str">
            <v>x</v>
          </cell>
        </row>
        <row r="129">
          <cell r="B129" t="str">
            <v>Laos</v>
          </cell>
          <cell r="C129" t="str">
            <v>LAO</v>
          </cell>
          <cell r="D129" t="str">
            <v>LAO</v>
          </cell>
          <cell r="E129" t="str">
            <v/>
          </cell>
          <cell r="F129" t="str">
            <v>Lao People's Democratic Republic</v>
          </cell>
          <cell r="G129" t="str">
            <v>diff</v>
          </cell>
          <cell r="H129" t="str">
            <v>Lao PDR</v>
          </cell>
          <cell r="I129" t="str">
            <v>diff</v>
          </cell>
          <cell r="K129">
            <v>0</v>
          </cell>
          <cell r="L129">
            <v>1</v>
          </cell>
          <cell r="M129">
            <v>0</v>
          </cell>
          <cell r="N129">
            <v>0</v>
          </cell>
          <cell r="P129">
            <v>1</v>
          </cell>
          <cell r="Q129">
            <v>1</v>
          </cell>
          <cell r="R129">
            <v>0</v>
          </cell>
          <cell r="T129">
            <v>0</v>
          </cell>
          <cell r="U129">
            <v>0</v>
          </cell>
          <cell r="V129">
            <v>0</v>
          </cell>
          <cell r="W129">
            <v>1</v>
          </cell>
          <cell r="X129">
            <v>0</v>
          </cell>
          <cell r="Y129">
            <v>0</v>
          </cell>
          <cell r="Z129">
            <v>0</v>
          </cell>
          <cell r="AB129">
            <v>0</v>
          </cell>
          <cell r="AC129">
            <v>0</v>
          </cell>
          <cell r="AD129">
            <v>0</v>
          </cell>
          <cell r="AE129">
            <v>0</v>
          </cell>
          <cell r="AF129">
            <v>0</v>
          </cell>
          <cell r="AG129">
            <v>0</v>
          </cell>
          <cell r="AI129"/>
          <cell r="AJ129" t="str">
            <v/>
          </cell>
          <cell r="AK129" t="str">
            <v>x</v>
          </cell>
          <cell r="AL129" t="str">
            <v>x</v>
          </cell>
          <cell r="AM129" t="str">
            <v>x</v>
          </cell>
          <cell r="AN129" t="str">
            <v>x</v>
          </cell>
        </row>
        <row r="130">
          <cell r="B130" t="str">
            <v>Latvia</v>
          </cell>
          <cell r="C130" t="str">
            <v>LVA</v>
          </cell>
          <cell r="D130" t="str">
            <v>LVA</v>
          </cell>
          <cell r="E130" t="str">
            <v/>
          </cell>
          <cell r="F130" t="str">
            <v>Latvia</v>
          </cell>
          <cell r="G130" t="str">
            <v/>
          </cell>
          <cell r="H130" t="str">
            <v>Latvia</v>
          </cell>
          <cell r="I130" t="str">
            <v/>
          </cell>
          <cell r="K130">
            <v>0</v>
          </cell>
          <cell r="L130">
            <v>0</v>
          </cell>
          <cell r="M130">
            <v>0</v>
          </cell>
          <cell r="N130">
            <v>1</v>
          </cell>
          <cell r="P130">
            <v>0</v>
          </cell>
          <cell r="Q130">
            <v>0</v>
          </cell>
          <cell r="R130">
            <v>0</v>
          </cell>
          <cell r="T130">
            <v>1</v>
          </cell>
          <cell r="U130">
            <v>0</v>
          </cell>
          <cell r="V130">
            <v>0</v>
          </cell>
          <cell r="W130">
            <v>0</v>
          </cell>
          <cell r="X130">
            <v>0</v>
          </cell>
          <cell r="Y130">
            <v>0</v>
          </cell>
          <cell r="Z130">
            <v>0</v>
          </cell>
          <cell r="AB130">
            <v>1</v>
          </cell>
          <cell r="AC130">
            <v>1</v>
          </cell>
          <cell r="AD130">
            <v>0</v>
          </cell>
          <cell r="AE130">
            <v>0</v>
          </cell>
          <cell r="AF130">
            <v>0</v>
          </cell>
          <cell r="AG130">
            <v>0</v>
          </cell>
          <cell r="AI130"/>
          <cell r="AJ130" t="str">
            <v/>
          </cell>
          <cell r="AK130" t="str">
            <v/>
          </cell>
          <cell r="AL130" t="str">
            <v/>
          </cell>
          <cell r="AM130" t="str">
            <v/>
          </cell>
          <cell r="AN130" t="str">
            <v/>
          </cell>
        </row>
        <row r="131">
          <cell r="B131" t="str">
            <v>Lebanon</v>
          </cell>
          <cell r="C131" t="str">
            <v>LBN</v>
          </cell>
          <cell r="D131" t="str">
            <v>LBN</v>
          </cell>
          <cell r="E131" t="str">
            <v/>
          </cell>
          <cell r="F131" t="str">
            <v>Lebanon</v>
          </cell>
          <cell r="G131" t="str">
            <v/>
          </cell>
          <cell r="H131" t="str">
            <v>Lebanon</v>
          </cell>
          <cell r="I131" t="str">
            <v/>
          </cell>
          <cell r="K131">
            <v>0</v>
          </cell>
          <cell r="L131">
            <v>1</v>
          </cell>
          <cell r="M131">
            <v>0</v>
          </cell>
          <cell r="N131">
            <v>0</v>
          </cell>
          <cell r="P131">
            <v>0</v>
          </cell>
          <cell r="Q131">
            <v>0</v>
          </cell>
          <cell r="R131">
            <v>0</v>
          </cell>
          <cell r="T131">
            <v>0</v>
          </cell>
          <cell r="U131">
            <v>0</v>
          </cell>
          <cell r="V131">
            <v>0</v>
          </cell>
          <cell r="W131">
            <v>0</v>
          </cell>
          <cell r="X131">
            <v>0</v>
          </cell>
          <cell r="Y131">
            <v>1</v>
          </cell>
          <cell r="Z131">
            <v>0</v>
          </cell>
          <cell r="AB131">
            <v>0</v>
          </cell>
          <cell r="AC131">
            <v>0</v>
          </cell>
          <cell r="AD131">
            <v>0</v>
          </cell>
          <cell r="AE131">
            <v>0</v>
          </cell>
          <cell r="AF131">
            <v>0</v>
          </cell>
          <cell r="AG131">
            <v>0</v>
          </cell>
          <cell r="AI131"/>
          <cell r="AJ131" t="str">
            <v/>
          </cell>
          <cell r="AK131" t="str">
            <v>x</v>
          </cell>
          <cell r="AL131" t="str">
            <v/>
          </cell>
          <cell r="AM131" t="str">
            <v/>
          </cell>
          <cell r="AN131" t="str">
            <v>x</v>
          </cell>
        </row>
        <row r="132">
          <cell r="B132" t="str">
            <v>Lesotho</v>
          </cell>
          <cell r="C132" t="str">
            <v>LSO</v>
          </cell>
          <cell r="D132" t="str">
            <v>LSO</v>
          </cell>
          <cell r="E132" t="str">
            <v/>
          </cell>
          <cell r="F132" t="str">
            <v>Lesotho</v>
          </cell>
          <cell r="G132" t="str">
            <v/>
          </cell>
          <cell r="H132" t="str">
            <v>Lesotho</v>
          </cell>
          <cell r="I132" t="str">
            <v/>
          </cell>
          <cell r="K132">
            <v>0</v>
          </cell>
          <cell r="L132">
            <v>1</v>
          </cell>
          <cell r="M132">
            <v>0</v>
          </cell>
          <cell r="N132">
            <v>0</v>
          </cell>
          <cell r="P132">
            <v>1</v>
          </cell>
          <cell r="Q132">
            <v>1</v>
          </cell>
          <cell r="R132">
            <v>0</v>
          </cell>
          <cell r="T132">
            <v>0</v>
          </cell>
          <cell r="U132">
            <v>0</v>
          </cell>
          <cell r="V132">
            <v>0</v>
          </cell>
          <cell r="W132">
            <v>0</v>
          </cell>
          <cell r="X132">
            <v>0</v>
          </cell>
          <cell r="Y132">
            <v>0</v>
          </cell>
          <cell r="Z132">
            <v>1</v>
          </cell>
          <cell r="AB132">
            <v>0</v>
          </cell>
          <cell r="AC132">
            <v>0</v>
          </cell>
          <cell r="AD132">
            <v>0</v>
          </cell>
          <cell r="AE132">
            <v>0</v>
          </cell>
          <cell r="AF132">
            <v>0</v>
          </cell>
          <cell r="AG132">
            <v>0</v>
          </cell>
          <cell r="AI132"/>
          <cell r="AJ132" t="str">
            <v/>
          </cell>
          <cell r="AK132" t="str">
            <v>x</v>
          </cell>
          <cell r="AL132" t="str">
            <v>x</v>
          </cell>
          <cell r="AM132" t="str">
            <v>x</v>
          </cell>
          <cell r="AN132" t="str">
            <v>x</v>
          </cell>
        </row>
        <row r="133">
          <cell r="B133" t="str">
            <v>Liberia</v>
          </cell>
          <cell r="C133" t="str">
            <v>LBR</v>
          </cell>
          <cell r="D133" t="str">
            <v>LBR</v>
          </cell>
          <cell r="E133" t="str">
            <v/>
          </cell>
          <cell r="F133" t="str">
            <v>Liberia</v>
          </cell>
          <cell r="G133" t="str">
            <v/>
          </cell>
          <cell r="H133" t="str">
            <v>Liberia</v>
          </cell>
          <cell r="I133" t="str">
            <v/>
          </cell>
          <cell r="K133">
            <v>1</v>
          </cell>
          <cell r="L133">
            <v>0</v>
          </cell>
          <cell r="M133">
            <v>0</v>
          </cell>
          <cell r="N133">
            <v>0</v>
          </cell>
          <cell r="P133">
            <v>1</v>
          </cell>
          <cell r="Q133">
            <v>0</v>
          </cell>
          <cell r="R133">
            <v>0</v>
          </cell>
          <cell r="T133">
            <v>0</v>
          </cell>
          <cell r="U133">
            <v>0</v>
          </cell>
          <cell r="V133">
            <v>0</v>
          </cell>
          <cell r="W133">
            <v>0</v>
          </cell>
          <cell r="X133">
            <v>0</v>
          </cell>
          <cell r="Y133">
            <v>0</v>
          </cell>
          <cell r="Z133">
            <v>1</v>
          </cell>
          <cell r="AB133">
            <v>0</v>
          </cell>
          <cell r="AC133">
            <v>0</v>
          </cell>
          <cell r="AD133">
            <v>0</v>
          </cell>
          <cell r="AE133">
            <v>0</v>
          </cell>
          <cell r="AF133">
            <v>0</v>
          </cell>
          <cell r="AG133">
            <v>0</v>
          </cell>
          <cell r="AI133"/>
          <cell r="AJ133" t="str">
            <v>x</v>
          </cell>
          <cell r="AK133" t="str">
            <v>x</v>
          </cell>
          <cell r="AL133" t="str">
            <v>x</v>
          </cell>
          <cell r="AM133" t="str">
            <v>x</v>
          </cell>
          <cell r="AN133" t="str">
            <v>x</v>
          </cell>
        </row>
        <row r="134">
          <cell r="B134" t="str">
            <v>Libya</v>
          </cell>
          <cell r="C134" t="str">
            <v>LBY</v>
          </cell>
          <cell r="D134" t="str">
            <v>LBY</v>
          </cell>
          <cell r="E134" t="str">
            <v/>
          </cell>
          <cell r="F134" t="str">
            <v>Libya</v>
          </cell>
          <cell r="G134" t="str">
            <v/>
          </cell>
          <cell r="H134" t="str">
            <v>Libya</v>
          </cell>
          <cell r="I134" t="str">
            <v/>
          </cell>
          <cell r="K134">
            <v>0</v>
          </cell>
          <cell r="L134">
            <v>0</v>
          </cell>
          <cell r="M134">
            <v>1</v>
          </cell>
          <cell r="N134">
            <v>0</v>
          </cell>
          <cell r="P134">
            <v>0</v>
          </cell>
          <cell r="Q134">
            <v>0</v>
          </cell>
          <cell r="R134">
            <v>0</v>
          </cell>
          <cell r="T134">
            <v>0</v>
          </cell>
          <cell r="U134">
            <v>0</v>
          </cell>
          <cell r="V134">
            <v>0</v>
          </cell>
          <cell r="W134">
            <v>0</v>
          </cell>
          <cell r="X134">
            <v>0</v>
          </cell>
          <cell r="Y134">
            <v>1</v>
          </cell>
          <cell r="Z134">
            <v>0</v>
          </cell>
          <cell r="AB134">
            <v>0</v>
          </cell>
          <cell r="AC134">
            <v>0</v>
          </cell>
          <cell r="AD134">
            <v>0</v>
          </cell>
          <cell r="AE134">
            <v>0</v>
          </cell>
          <cell r="AF134">
            <v>0</v>
          </cell>
          <cell r="AG134">
            <v>0</v>
          </cell>
          <cell r="AI134"/>
          <cell r="AJ134" t="str">
            <v/>
          </cell>
          <cell r="AK134" t="str">
            <v/>
          </cell>
          <cell r="AL134" t="str">
            <v/>
          </cell>
          <cell r="AM134" t="str">
            <v/>
          </cell>
          <cell r="AN134" t="str">
            <v/>
          </cell>
        </row>
        <row r="135">
          <cell r="B135" t="str">
            <v>Liechtenstein</v>
          </cell>
          <cell r="C135" t="str">
            <v>LIE</v>
          </cell>
          <cell r="D135" t="str">
            <v>LIE</v>
          </cell>
          <cell r="E135" t="str">
            <v/>
          </cell>
          <cell r="F135" t="str">
            <v>Liechtenstein</v>
          </cell>
          <cell r="G135" t="str">
            <v/>
          </cell>
          <cell r="H135" t="str">
            <v>Liechtenstein</v>
          </cell>
          <cell r="I135" t="str">
            <v/>
          </cell>
          <cell r="K135">
            <v>0</v>
          </cell>
          <cell r="L135">
            <v>0</v>
          </cell>
          <cell r="M135">
            <v>0</v>
          </cell>
          <cell r="N135">
            <v>1</v>
          </cell>
          <cell r="P135">
            <v>0</v>
          </cell>
          <cell r="Q135">
            <v>0</v>
          </cell>
          <cell r="R135">
            <v>0</v>
          </cell>
          <cell r="T135">
            <v>1</v>
          </cell>
          <cell r="U135">
            <v>0</v>
          </cell>
          <cell r="V135">
            <v>0</v>
          </cell>
          <cell r="W135">
            <v>0</v>
          </cell>
          <cell r="X135">
            <v>0</v>
          </cell>
          <cell r="Y135">
            <v>0</v>
          </cell>
          <cell r="Z135">
            <v>0</v>
          </cell>
          <cell r="AB135">
            <v>0</v>
          </cell>
          <cell r="AC135">
            <v>0</v>
          </cell>
          <cell r="AD135">
            <v>0</v>
          </cell>
          <cell r="AE135">
            <v>0</v>
          </cell>
          <cell r="AF135">
            <v>0</v>
          </cell>
          <cell r="AG135">
            <v>0</v>
          </cell>
          <cell r="AI135"/>
          <cell r="AJ135" t="str">
            <v/>
          </cell>
          <cell r="AK135" t="str">
            <v/>
          </cell>
          <cell r="AL135" t="str">
            <v/>
          </cell>
          <cell r="AM135" t="str">
            <v/>
          </cell>
          <cell r="AN135" t="str">
            <v/>
          </cell>
        </row>
        <row r="136">
          <cell r="B136" t="str">
            <v>Lithuania</v>
          </cell>
          <cell r="C136" t="str">
            <v>LTU</v>
          </cell>
          <cell r="D136" t="str">
            <v>LTU</v>
          </cell>
          <cell r="E136" t="str">
            <v/>
          </cell>
          <cell r="F136" t="str">
            <v>Lithuania</v>
          </cell>
          <cell r="G136" t="str">
            <v/>
          </cell>
          <cell r="H136" t="str">
            <v>Lithuania</v>
          </cell>
          <cell r="I136" t="str">
            <v/>
          </cell>
          <cell r="K136">
            <v>0</v>
          </cell>
          <cell r="L136">
            <v>0</v>
          </cell>
          <cell r="M136">
            <v>0</v>
          </cell>
          <cell r="N136">
            <v>1</v>
          </cell>
          <cell r="P136">
            <v>0</v>
          </cell>
          <cell r="Q136">
            <v>0</v>
          </cell>
          <cell r="R136">
            <v>0</v>
          </cell>
          <cell r="T136">
            <v>1</v>
          </cell>
          <cell r="U136">
            <v>0</v>
          </cell>
          <cell r="V136">
            <v>0</v>
          </cell>
          <cell r="W136">
            <v>0</v>
          </cell>
          <cell r="X136">
            <v>0</v>
          </cell>
          <cell r="Y136">
            <v>0</v>
          </cell>
          <cell r="Z136">
            <v>0</v>
          </cell>
          <cell r="AB136">
            <v>1</v>
          </cell>
          <cell r="AC136">
            <v>1</v>
          </cell>
          <cell r="AD136">
            <v>0</v>
          </cell>
          <cell r="AE136">
            <v>0</v>
          </cell>
          <cell r="AF136">
            <v>0</v>
          </cell>
          <cell r="AG136">
            <v>0</v>
          </cell>
          <cell r="AI136"/>
          <cell r="AJ136" t="str">
            <v/>
          </cell>
          <cell r="AK136" t="str">
            <v/>
          </cell>
          <cell r="AL136" t="str">
            <v/>
          </cell>
          <cell r="AM136" t="str">
            <v/>
          </cell>
          <cell r="AN136" t="str">
            <v/>
          </cell>
        </row>
        <row r="137">
          <cell r="B137" t="str">
            <v>Low-income countries</v>
          </cell>
          <cell r="D137" t="str">
            <v/>
          </cell>
          <cell r="E137" t="str">
            <v/>
          </cell>
          <cell r="F137" t="str">
            <v/>
          </cell>
          <cell r="G137" t="str">
            <v/>
          </cell>
          <cell r="H137" t="str">
            <v/>
          </cell>
          <cell r="I137" t="str">
            <v/>
          </cell>
          <cell r="K137" t="str">
            <v/>
          </cell>
          <cell r="L137" t="str">
            <v/>
          </cell>
          <cell r="M137" t="str">
            <v/>
          </cell>
          <cell r="N137" t="str">
            <v/>
          </cell>
          <cell r="P137" t="str">
            <v/>
          </cell>
          <cell r="Q137" t="str">
            <v/>
          </cell>
          <cell r="R137" t="str">
            <v/>
          </cell>
          <cell r="T137" t="str">
            <v/>
          </cell>
          <cell r="U137" t="str">
            <v/>
          </cell>
          <cell r="V137" t="str">
            <v/>
          </cell>
          <cell r="W137" t="str">
            <v/>
          </cell>
          <cell r="X137" t="str">
            <v/>
          </cell>
          <cell r="Y137" t="str">
            <v/>
          </cell>
          <cell r="Z137" t="str">
            <v/>
          </cell>
          <cell r="AB137">
            <v>0</v>
          </cell>
          <cell r="AC137">
            <v>0</v>
          </cell>
          <cell r="AD137">
            <v>0</v>
          </cell>
          <cell r="AE137">
            <v>0</v>
          </cell>
          <cell r="AF137">
            <v>0</v>
          </cell>
          <cell r="AG137">
            <v>0</v>
          </cell>
          <cell r="AI137"/>
          <cell r="AJ137" t="str">
            <v/>
          </cell>
          <cell r="AK137" t="str">
            <v/>
          </cell>
          <cell r="AL137" t="str">
            <v/>
          </cell>
          <cell r="AM137" t="str">
            <v/>
          </cell>
          <cell r="AN137" t="str">
            <v/>
          </cell>
        </row>
        <row r="138">
          <cell r="B138" t="str">
            <v>Lower-middle-income countries</v>
          </cell>
          <cell r="D138" t="str">
            <v/>
          </cell>
          <cell r="E138" t="str">
            <v/>
          </cell>
          <cell r="F138" t="str">
            <v/>
          </cell>
          <cell r="G138" t="str">
            <v/>
          </cell>
          <cell r="H138" t="str">
            <v/>
          </cell>
          <cell r="I138" t="str">
            <v/>
          </cell>
          <cell r="K138" t="str">
            <v/>
          </cell>
          <cell r="L138" t="str">
            <v/>
          </cell>
          <cell r="M138" t="str">
            <v/>
          </cell>
          <cell r="N138" t="str">
            <v/>
          </cell>
          <cell r="P138" t="str">
            <v/>
          </cell>
          <cell r="Q138" t="str">
            <v/>
          </cell>
          <cell r="R138" t="str">
            <v/>
          </cell>
          <cell r="T138" t="str">
            <v/>
          </cell>
          <cell r="U138" t="str">
            <v/>
          </cell>
          <cell r="V138" t="str">
            <v/>
          </cell>
          <cell r="W138" t="str">
            <v/>
          </cell>
          <cell r="X138" t="str">
            <v/>
          </cell>
          <cell r="Y138" t="str">
            <v/>
          </cell>
          <cell r="Z138" t="str">
            <v/>
          </cell>
          <cell r="AB138">
            <v>0</v>
          </cell>
          <cell r="AC138">
            <v>0</v>
          </cell>
          <cell r="AD138">
            <v>0</v>
          </cell>
          <cell r="AE138">
            <v>0</v>
          </cell>
          <cell r="AF138">
            <v>0</v>
          </cell>
          <cell r="AG138">
            <v>0</v>
          </cell>
          <cell r="AI138"/>
          <cell r="AJ138" t="str">
            <v/>
          </cell>
          <cell r="AK138" t="str">
            <v/>
          </cell>
          <cell r="AL138" t="str">
            <v/>
          </cell>
          <cell r="AM138" t="str">
            <v/>
          </cell>
          <cell r="AN138" t="str">
            <v/>
          </cell>
        </row>
        <row r="139">
          <cell r="B139" t="str">
            <v>Luxembourg</v>
          </cell>
          <cell r="C139" t="str">
            <v>LUX</v>
          </cell>
          <cell r="D139" t="str">
            <v>LUX</v>
          </cell>
          <cell r="E139" t="str">
            <v/>
          </cell>
          <cell r="F139" t="str">
            <v>Luxembourg</v>
          </cell>
          <cell r="G139" t="str">
            <v/>
          </cell>
          <cell r="H139" t="str">
            <v>Luxembourg</v>
          </cell>
          <cell r="I139" t="str">
            <v/>
          </cell>
          <cell r="K139">
            <v>0</v>
          </cell>
          <cell r="L139">
            <v>0</v>
          </cell>
          <cell r="M139">
            <v>0</v>
          </cell>
          <cell r="N139">
            <v>1</v>
          </cell>
          <cell r="P139">
            <v>0</v>
          </cell>
          <cell r="Q139">
            <v>0</v>
          </cell>
          <cell r="R139">
            <v>0</v>
          </cell>
          <cell r="T139">
            <v>1</v>
          </cell>
          <cell r="U139">
            <v>0</v>
          </cell>
          <cell r="V139">
            <v>0</v>
          </cell>
          <cell r="W139">
            <v>0</v>
          </cell>
          <cell r="X139">
            <v>0</v>
          </cell>
          <cell r="Y139">
            <v>0</v>
          </cell>
          <cell r="Z139">
            <v>0</v>
          </cell>
          <cell r="AB139">
            <v>1</v>
          </cell>
          <cell r="AC139">
            <v>1</v>
          </cell>
          <cell r="AD139">
            <v>0</v>
          </cell>
          <cell r="AE139">
            <v>0</v>
          </cell>
          <cell r="AF139">
            <v>0</v>
          </cell>
          <cell r="AG139">
            <v>1</v>
          </cell>
          <cell r="AI139"/>
          <cell r="AJ139" t="str">
            <v/>
          </cell>
          <cell r="AK139" t="str">
            <v/>
          </cell>
          <cell r="AL139" t="str">
            <v/>
          </cell>
          <cell r="AM139" t="str">
            <v/>
          </cell>
          <cell r="AN139" t="str">
            <v/>
          </cell>
        </row>
        <row r="140">
          <cell r="B140" t="str">
            <v>Macao</v>
          </cell>
          <cell r="C140" t="str">
            <v>MAC</v>
          </cell>
          <cell r="D140" t="str">
            <v>MAC</v>
          </cell>
          <cell r="E140" t="str">
            <v/>
          </cell>
          <cell r="F140" t="str">
            <v>China, Macao Special Administrative Region</v>
          </cell>
          <cell r="G140" t="str">
            <v>diff</v>
          </cell>
          <cell r="H140" t="str">
            <v>Macao SAR, China</v>
          </cell>
          <cell r="I140" t="str">
            <v>diff</v>
          </cell>
          <cell r="K140">
            <v>0</v>
          </cell>
          <cell r="L140">
            <v>0</v>
          </cell>
          <cell r="M140">
            <v>0</v>
          </cell>
          <cell r="N140">
            <v>1</v>
          </cell>
          <cell r="P140">
            <v>0</v>
          </cell>
          <cell r="Q140">
            <v>0</v>
          </cell>
          <cell r="R140">
            <v>0</v>
          </cell>
          <cell r="T140">
            <v>0</v>
          </cell>
          <cell r="U140">
            <v>0</v>
          </cell>
          <cell r="V140">
            <v>0</v>
          </cell>
          <cell r="W140">
            <v>1</v>
          </cell>
          <cell r="X140">
            <v>0</v>
          </cell>
          <cell r="Y140">
            <v>0</v>
          </cell>
          <cell r="Z140">
            <v>0</v>
          </cell>
          <cell r="AB140">
            <v>0</v>
          </cell>
          <cell r="AC140">
            <v>0</v>
          </cell>
          <cell r="AD140">
            <v>0</v>
          </cell>
          <cell r="AE140">
            <v>0</v>
          </cell>
          <cell r="AF140">
            <v>0</v>
          </cell>
          <cell r="AG140">
            <v>0</v>
          </cell>
          <cell r="AI140"/>
          <cell r="AJ140" t="str">
            <v/>
          </cell>
          <cell r="AK140" t="str">
            <v/>
          </cell>
          <cell r="AL140" t="str">
            <v/>
          </cell>
          <cell r="AM140" t="str">
            <v/>
          </cell>
          <cell r="AN140" t="str">
            <v/>
          </cell>
        </row>
        <row r="141">
          <cell r="B141" t="str">
            <v>Madagascar</v>
          </cell>
          <cell r="C141" t="str">
            <v>MDG</v>
          </cell>
          <cell r="D141" t="str">
            <v>MDG</v>
          </cell>
          <cell r="E141" t="str">
            <v/>
          </cell>
          <cell r="F141" t="str">
            <v>Madagascar</v>
          </cell>
          <cell r="G141" t="str">
            <v/>
          </cell>
          <cell r="H141" t="str">
            <v>Madagascar</v>
          </cell>
          <cell r="I141" t="str">
            <v/>
          </cell>
          <cell r="K141">
            <v>1</v>
          </cell>
          <cell r="L141">
            <v>0</v>
          </cell>
          <cell r="M141">
            <v>0</v>
          </cell>
          <cell r="N141">
            <v>0</v>
          </cell>
          <cell r="P141">
            <v>1</v>
          </cell>
          <cell r="Q141">
            <v>0</v>
          </cell>
          <cell r="R141">
            <v>0</v>
          </cell>
          <cell r="T141">
            <v>0</v>
          </cell>
          <cell r="U141">
            <v>0</v>
          </cell>
          <cell r="V141">
            <v>0</v>
          </cell>
          <cell r="W141">
            <v>0</v>
          </cell>
          <cell r="X141">
            <v>0</v>
          </cell>
          <cell r="Y141">
            <v>0</v>
          </cell>
          <cell r="Z141">
            <v>1</v>
          </cell>
          <cell r="AB141">
            <v>0</v>
          </cell>
          <cell r="AC141">
            <v>0</v>
          </cell>
          <cell r="AD141">
            <v>0</v>
          </cell>
          <cell r="AE141">
            <v>0</v>
          </cell>
          <cell r="AF141">
            <v>0</v>
          </cell>
          <cell r="AG141">
            <v>0</v>
          </cell>
          <cell r="AI141"/>
          <cell r="AJ141" t="str">
            <v>x</v>
          </cell>
          <cell r="AK141" t="str">
            <v>x</v>
          </cell>
          <cell r="AL141" t="str">
            <v>x</v>
          </cell>
          <cell r="AM141" t="str">
            <v>x</v>
          </cell>
          <cell r="AN141" t="str">
            <v>x</v>
          </cell>
        </row>
        <row r="142">
          <cell r="B142" t="str">
            <v>Malawi</v>
          </cell>
          <cell r="C142" t="str">
            <v>MWI</v>
          </cell>
          <cell r="D142" t="str">
            <v>MWI</v>
          </cell>
          <cell r="E142" t="str">
            <v/>
          </cell>
          <cell r="F142" t="str">
            <v>Malawi</v>
          </cell>
          <cell r="G142" t="str">
            <v/>
          </cell>
          <cell r="H142" t="str">
            <v>Malawi</v>
          </cell>
          <cell r="I142" t="str">
            <v/>
          </cell>
          <cell r="K142">
            <v>1</v>
          </cell>
          <cell r="L142">
            <v>0</v>
          </cell>
          <cell r="M142">
            <v>0</v>
          </cell>
          <cell r="N142">
            <v>0</v>
          </cell>
          <cell r="P142">
            <v>1</v>
          </cell>
          <cell r="Q142">
            <v>1</v>
          </cell>
          <cell r="R142">
            <v>0</v>
          </cell>
          <cell r="T142">
            <v>0</v>
          </cell>
          <cell r="U142">
            <v>0</v>
          </cell>
          <cell r="V142">
            <v>0</v>
          </cell>
          <cell r="W142">
            <v>0</v>
          </cell>
          <cell r="X142">
            <v>0</v>
          </cell>
          <cell r="Y142">
            <v>0</v>
          </cell>
          <cell r="Z142">
            <v>1</v>
          </cell>
          <cell r="AB142">
            <v>0</v>
          </cell>
          <cell r="AC142">
            <v>0</v>
          </cell>
          <cell r="AD142">
            <v>0</v>
          </cell>
          <cell r="AE142">
            <v>0</v>
          </cell>
          <cell r="AF142">
            <v>0</v>
          </cell>
          <cell r="AG142">
            <v>0</v>
          </cell>
          <cell r="AI142"/>
          <cell r="AJ142" t="str">
            <v>x</v>
          </cell>
          <cell r="AK142" t="str">
            <v>x</v>
          </cell>
          <cell r="AL142" t="str">
            <v>x</v>
          </cell>
          <cell r="AM142" t="str">
            <v>x</v>
          </cell>
          <cell r="AN142" t="str">
            <v>x</v>
          </cell>
        </row>
        <row r="143">
          <cell r="B143" t="str">
            <v>Malaysia</v>
          </cell>
          <cell r="C143" t="str">
            <v>MYS</v>
          </cell>
          <cell r="D143" t="str">
            <v>MYS</v>
          </cell>
          <cell r="E143" t="str">
            <v/>
          </cell>
          <cell r="F143" t="str">
            <v>Malaysia</v>
          </cell>
          <cell r="G143" t="str">
            <v/>
          </cell>
          <cell r="H143" t="str">
            <v>Malaysia</v>
          </cell>
          <cell r="I143" t="str">
            <v/>
          </cell>
          <cell r="K143">
            <v>0</v>
          </cell>
          <cell r="L143">
            <v>0</v>
          </cell>
          <cell r="M143">
            <v>1</v>
          </cell>
          <cell r="N143">
            <v>0</v>
          </cell>
          <cell r="P143">
            <v>0</v>
          </cell>
          <cell r="Q143">
            <v>0</v>
          </cell>
          <cell r="R143">
            <v>0</v>
          </cell>
          <cell r="T143">
            <v>0</v>
          </cell>
          <cell r="U143">
            <v>0</v>
          </cell>
          <cell r="V143">
            <v>0</v>
          </cell>
          <cell r="W143">
            <v>1</v>
          </cell>
          <cell r="X143">
            <v>0</v>
          </cell>
          <cell r="Y143">
            <v>0</v>
          </cell>
          <cell r="Z143">
            <v>0</v>
          </cell>
          <cell r="AB143">
            <v>0</v>
          </cell>
          <cell r="AC143">
            <v>0</v>
          </cell>
          <cell r="AD143">
            <v>0</v>
          </cell>
          <cell r="AE143">
            <v>0</v>
          </cell>
          <cell r="AF143">
            <v>0</v>
          </cell>
          <cell r="AG143">
            <v>0</v>
          </cell>
          <cell r="AI143"/>
          <cell r="AJ143" t="str">
            <v/>
          </cell>
          <cell r="AK143" t="str">
            <v/>
          </cell>
          <cell r="AL143" t="str">
            <v/>
          </cell>
          <cell r="AM143" t="str">
            <v/>
          </cell>
          <cell r="AN143" t="str">
            <v/>
          </cell>
        </row>
        <row r="144">
          <cell r="B144" t="str">
            <v>Maldives</v>
          </cell>
          <cell r="C144" t="str">
            <v>MDV</v>
          </cell>
          <cell r="D144" t="str">
            <v>MDV</v>
          </cell>
          <cell r="E144" t="str">
            <v/>
          </cell>
          <cell r="F144" t="str">
            <v>Maldives</v>
          </cell>
          <cell r="G144" t="str">
            <v/>
          </cell>
          <cell r="H144" t="str">
            <v>Maldives</v>
          </cell>
          <cell r="I144" t="str">
            <v/>
          </cell>
          <cell r="K144">
            <v>0</v>
          </cell>
          <cell r="L144">
            <v>0</v>
          </cell>
          <cell r="M144">
            <v>1</v>
          </cell>
          <cell r="N144">
            <v>0</v>
          </cell>
          <cell r="P144">
            <v>0</v>
          </cell>
          <cell r="Q144">
            <v>0</v>
          </cell>
          <cell r="R144">
            <v>1</v>
          </cell>
          <cell r="T144">
            <v>0</v>
          </cell>
          <cell r="U144">
            <v>0</v>
          </cell>
          <cell r="V144">
            <v>0</v>
          </cell>
          <cell r="W144">
            <v>0</v>
          </cell>
          <cell r="X144">
            <v>1</v>
          </cell>
          <cell r="Y144">
            <v>0</v>
          </cell>
          <cell r="Z144">
            <v>0</v>
          </cell>
          <cell r="AB144">
            <v>0</v>
          </cell>
          <cell r="AC144">
            <v>0</v>
          </cell>
          <cell r="AD144">
            <v>0</v>
          </cell>
          <cell r="AE144">
            <v>0</v>
          </cell>
          <cell r="AF144">
            <v>0</v>
          </cell>
          <cell r="AG144">
            <v>0</v>
          </cell>
          <cell r="AI144"/>
          <cell r="AJ144" t="str">
            <v/>
          </cell>
          <cell r="AK144" t="str">
            <v/>
          </cell>
          <cell r="AL144" t="str">
            <v/>
          </cell>
          <cell r="AM144" t="str">
            <v>x</v>
          </cell>
          <cell r="AN144" t="str">
            <v>x</v>
          </cell>
        </row>
        <row r="145">
          <cell r="B145" t="str">
            <v>Mali</v>
          </cell>
          <cell r="C145" t="str">
            <v>MLI</v>
          </cell>
          <cell r="D145" t="str">
            <v>MLI</v>
          </cell>
          <cell r="E145" t="str">
            <v/>
          </cell>
          <cell r="F145" t="str">
            <v>Mali</v>
          </cell>
          <cell r="G145" t="str">
            <v/>
          </cell>
          <cell r="H145" t="str">
            <v>Mali</v>
          </cell>
          <cell r="I145" t="str">
            <v/>
          </cell>
          <cell r="K145">
            <v>1</v>
          </cell>
          <cell r="L145">
            <v>0</v>
          </cell>
          <cell r="M145">
            <v>0</v>
          </cell>
          <cell r="N145">
            <v>0</v>
          </cell>
          <cell r="P145">
            <v>1</v>
          </cell>
          <cell r="Q145">
            <v>1</v>
          </cell>
          <cell r="R145">
            <v>0</v>
          </cell>
          <cell r="T145">
            <v>0</v>
          </cell>
          <cell r="U145">
            <v>0</v>
          </cell>
          <cell r="V145">
            <v>0</v>
          </cell>
          <cell r="W145">
            <v>0</v>
          </cell>
          <cell r="X145">
            <v>0</v>
          </cell>
          <cell r="Y145">
            <v>0</v>
          </cell>
          <cell r="Z145">
            <v>1</v>
          </cell>
          <cell r="AB145">
            <v>0</v>
          </cell>
          <cell r="AC145">
            <v>0</v>
          </cell>
          <cell r="AD145">
            <v>0</v>
          </cell>
          <cell r="AE145">
            <v>0</v>
          </cell>
          <cell r="AF145">
            <v>0</v>
          </cell>
          <cell r="AG145">
            <v>0</v>
          </cell>
          <cell r="AI145"/>
          <cell r="AJ145" t="str">
            <v>x</v>
          </cell>
          <cell r="AK145" t="str">
            <v>x</v>
          </cell>
          <cell r="AL145" t="str">
            <v>x</v>
          </cell>
          <cell r="AM145" t="str">
            <v>x</v>
          </cell>
          <cell r="AN145" t="str">
            <v>x</v>
          </cell>
        </row>
        <row r="146">
          <cell r="B146" t="str">
            <v>Malta</v>
          </cell>
          <cell r="C146" t="str">
            <v>MLT</v>
          </cell>
          <cell r="D146" t="str">
            <v>MLT</v>
          </cell>
          <cell r="E146" t="str">
            <v/>
          </cell>
          <cell r="F146" t="str">
            <v>Malta</v>
          </cell>
          <cell r="G146" t="str">
            <v/>
          </cell>
          <cell r="H146" t="str">
            <v>Malta</v>
          </cell>
          <cell r="I146" t="str">
            <v/>
          </cell>
          <cell r="K146">
            <v>0</v>
          </cell>
          <cell r="L146">
            <v>0</v>
          </cell>
          <cell r="M146">
            <v>0</v>
          </cell>
          <cell r="N146">
            <v>1</v>
          </cell>
          <cell r="P146">
            <v>0</v>
          </cell>
          <cell r="Q146">
            <v>0</v>
          </cell>
          <cell r="R146">
            <v>0</v>
          </cell>
          <cell r="T146">
            <v>0</v>
          </cell>
          <cell r="U146">
            <v>0</v>
          </cell>
          <cell r="V146">
            <v>0</v>
          </cell>
          <cell r="W146">
            <v>0</v>
          </cell>
          <cell r="X146">
            <v>0</v>
          </cell>
          <cell r="Y146">
            <v>1</v>
          </cell>
          <cell r="Z146">
            <v>0</v>
          </cell>
          <cell r="AB146">
            <v>0</v>
          </cell>
          <cell r="AC146">
            <v>1</v>
          </cell>
          <cell r="AD146">
            <v>0</v>
          </cell>
          <cell r="AE146">
            <v>0</v>
          </cell>
          <cell r="AF146">
            <v>0</v>
          </cell>
          <cell r="AG146">
            <v>0</v>
          </cell>
          <cell r="AI146"/>
          <cell r="AJ146" t="str">
            <v/>
          </cell>
          <cell r="AK146" t="str">
            <v/>
          </cell>
          <cell r="AL146" t="str">
            <v/>
          </cell>
          <cell r="AM146" t="str">
            <v/>
          </cell>
          <cell r="AN146" t="str">
            <v/>
          </cell>
        </row>
        <row r="147">
          <cell r="B147" t="str">
            <v>Marshall Islands</v>
          </cell>
          <cell r="C147" t="str">
            <v>MHL</v>
          </cell>
          <cell r="D147" t="str">
            <v>MHL</v>
          </cell>
          <cell r="E147" t="str">
            <v/>
          </cell>
          <cell r="F147" t="str">
            <v>Marshall Islands</v>
          </cell>
          <cell r="G147" t="str">
            <v/>
          </cell>
          <cell r="H147" t="str">
            <v>Marshall Islands</v>
          </cell>
          <cell r="I147" t="str">
            <v/>
          </cell>
          <cell r="K147">
            <v>0</v>
          </cell>
          <cell r="L147">
            <v>0</v>
          </cell>
          <cell r="M147">
            <v>1</v>
          </cell>
          <cell r="N147">
            <v>0</v>
          </cell>
          <cell r="P147">
            <v>0</v>
          </cell>
          <cell r="Q147">
            <v>0</v>
          </cell>
          <cell r="R147">
            <v>1</v>
          </cell>
          <cell r="T147">
            <v>0</v>
          </cell>
          <cell r="U147">
            <v>0</v>
          </cell>
          <cell r="V147">
            <v>0</v>
          </cell>
          <cell r="W147">
            <v>1</v>
          </cell>
          <cell r="X147">
            <v>0</v>
          </cell>
          <cell r="Y147">
            <v>0</v>
          </cell>
          <cell r="Z147">
            <v>0</v>
          </cell>
          <cell r="AB147">
            <v>0</v>
          </cell>
          <cell r="AC147">
            <v>0</v>
          </cell>
          <cell r="AD147">
            <v>0</v>
          </cell>
          <cell r="AE147">
            <v>0</v>
          </cell>
          <cell r="AF147">
            <v>0</v>
          </cell>
          <cell r="AG147">
            <v>0</v>
          </cell>
          <cell r="AI147"/>
          <cell r="AJ147" t="str">
            <v/>
          </cell>
          <cell r="AK147" t="str">
            <v/>
          </cell>
          <cell r="AL147" t="str">
            <v/>
          </cell>
          <cell r="AM147" t="str">
            <v>x</v>
          </cell>
          <cell r="AN147" t="str">
            <v>x</v>
          </cell>
        </row>
        <row r="148">
          <cell r="B148" t="str">
            <v>Martinique</v>
          </cell>
          <cell r="C148" t="str">
            <v>MTQ</v>
          </cell>
          <cell r="D148" t="str">
            <v>MTQ</v>
          </cell>
          <cell r="E148" t="str">
            <v/>
          </cell>
          <cell r="F148" t="str">
            <v>Martinique</v>
          </cell>
          <cell r="G148" t="str">
            <v/>
          </cell>
          <cell r="H148" t="e">
            <v>#N/A</v>
          </cell>
          <cell r="I148" t="str">
            <v/>
          </cell>
          <cell r="K148" t="str">
            <v/>
          </cell>
          <cell r="L148" t="str">
            <v/>
          </cell>
          <cell r="M148" t="str">
            <v/>
          </cell>
          <cell r="N148" t="str">
            <v/>
          </cell>
          <cell r="P148">
            <v>0</v>
          </cell>
          <cell r="Q148">
            <v>0</v>
          </cell>
          <cell r="R148">
            <v>0</v>
          </cell>
          <cell r="T148" t="str">
            <v/>
          </cell>
          <cell r="U148" t="str">
            <v/>
          </cell>
          <cell r="V148" t="str">
            <v/>
          </cell>
          <cell r="W148" t="str">
            <v/>
          </cell>
          <cell r="X148" t="str">
            <v/>
          </cell>
          <cell r="Y148" t="str">
            <v/>
          </cell>
          <cell r="Z148" t="str">
            <v/>
          </cell>
          <cell r="AB148">
            <v>0</v>
          </cell>
          <cell r="AC148">
            <v>0</v>
          </cell>
          <cell r="AD148">
            <v>0</v>
          </cell>
          <cell r="AE148">
            <v>0</v>
          </cell>
          <cell r="AF148">
            <v>0</v>
          </cell>
          <cell r="AG148">
            <v>0</v>
          </cell>
          <cell r="AI148"/>
          <cell r="AJ148" t="str">
            <v/>
          </cell>
          <cell r="AK148" t="str">
            <v/>
          </cell>
          <cell r="AL148" t="str">
            <v/>
          </cell>
          <cell r="AM148" t="str">
            <v/>
          </cell>
          <cell r="AN148" t="str">
            <v/>
          </cell>
        </row>
        <row r="149">
          <cell r="B149" t="str">
            <v>Mauritania</v>
          </cell>
          <cell r="C149" t="str">
            <v>MRT</v>
          </cell>
          <cell r="D149" t="str">
            <v>MRT</v>
          </cell>
          <cell r="E149" t="str">
            <v/>
          </cell>
          <cell r="F149" t="str">
            <v>Mauritania</v>
          </cell>
          <cell r="G149" t="str">
            <v/>
          </cell>
          <cell r="H149" t="str">
            <v>Mauritania</v>
          </cell>
          <cell r="I149" t="str">
            <v/>
          </cell>
          <cell r="K149">
            <v>0</v>
          </cell>
          <cell r="L149">
            <v>1</v>
          </cell>
          <cell r="M149">
            <v>0</v>
          </cell>
          <cell r="N149">
            <v>0</v>
          </cell>
          <cell r="P149">
            <v>1</v>
          </cell>
          <cell r="Q149">
            <v>0</v>
          </cell>
          <cell r="R149">
            <v>0</v>
          </cell>
          <cell r="T149">
            <v>0</v>
          </cell>
          <cell r="U149">
            <v>0</v>
          </cell>
          <cell r="V149">
            <v>0</v>
          </cell>
          <cell r="W149">
            <v>0</v>
          </cell>
          <cell r="X149">
            <v>0</v>
          </cell>
          <cell r="Y149">
            <v>0</v>
          </cell>
          <cell r="Z149">
            <v>1</v>
          </cell>
          <cell r="AB149">
            <v>0</v>
          </cell>
          <cell r="AC149">
            <v>0</v>
          </cell>
          <cell r="AD149">
            <v>0</v>
          </cell>
          <cell r="AE149">
            <v>0</v>
          </cell>
          <cell r="AF149">
            <v>0</v>
          </cell>
          <cell r="AG149">
            <v>0</v>
          </cell>
          <cell r="AI149"/>
          <cell r="AJ149" t="str">
            <v/>
          </cell>
          <cell r="AK149" t="str">
            <v>x</v>
          </cell>
          <cell r="AL149" t="str">
            <v>x</v>
          </cell>
          <cell r="AM149" t="str">
            <v>x</v>
          </cell>
          <cell r="AN149" t="str">
            <v>x</v>
          </cell>
        </row>
        <row r="150">
          <cell r="B150" t="str">
            <v>Mauritius</v>
          </cell>
          <cell r="C150" t="str">
            <v>MUS</v>
          </cell>
          <cell r="D150" t="str">
            <v>MUS</v>
          </cell>
          <cell r="E150" t="str">
            <v/>
          </cell>
          <cell r="F150" t="str">
            <v>Mauritius</v>
          </cell>
          <cell r="G150" t="str">
            <v/>
          </cell>
          <cell r="H150" t="str">
            <v>Mauritius</v>
          </cell>
          <cell r="I150" t="str">
            <v/>
          </cell>
          <cell r="K150">
            <v>0</v>
          </cell>
          <cell r="L150">
            <v>0</v>
          </cell>
          <cell r="M150">
            <v>1</v>
          </cell>
          <cell r="N150">
            <v>0</v>
          </cell>
          <cell r="P150">
            <v>0</v>
          </cell>
          <cell r="Q150">
            <v>0</v>
          </cell>
          <cell r="R150">
            <v>1</v>
          </cell>
          <cell r="T150">
            <v>0</v>
          </cell>
          <cell r="U150">
            <v>0</v>
          </cell>
          <cell r="V150">
            <v>0</v>
          </cell>
          <cell r="W150">
            <v>0</v>
          </cell>
          <cell r="X150">
            <v>0</v>
          </cell>
          <cell r="Y150">
            <v>0</v>
          </cell>
          <cell r="Z150">
            <v>1</v>
          </cell>
          <cell r="AB150">
            <v>0</v>
          </cell>
          <cell r="AC150">
            <v>0</v>
          </cell>
          <cell r="AD150">
            <v>0</v>
          </cell>
          <cell r="AE150">
            <v>0</v>
          </cell>
          <cell r="AF150">
            <v>0</v>
          </cell>
          <cell r="AG150">
            <v>0</v>
          </cell>
          <cell r="AI150"/>
          <cell r="AJ150" t="str">
            <v/>
          </cell>
          <cell r="AK150" t="str">
            <v/>
          </cell>
          <cell r="AL150" t="str">
            <v/>
          </cell>
          <cell r="AM150" t="str">
            <v>x</v>
          </cell>
          <cell r="AN150" t="str">
            <v>x</v>
          </cell>
        </row>
        <row r="151">
          <cell r="B151" t="str">
            <v>Mayotte</v>
          </cell>
          <cell r="C151" t="str">
            <v>MYT</v>
          </cell>
          <cell r="D151" t="str">
            <v>MYT</v>
          </cell>
          <cell r="E151" t="str">
            <v/>
          </cell>
          <cell r="F151" t="str">
            <v>Mayotte</v>
          </cell>
          <cell r="G151" t="str">
            <v/>
          </cell>
          <cell r="H151" t="e">
            <v>#N/A</v>
          </cell>
          <cell r="I151" t="str">
            <v/>
          </cell>
          <cell r="K151" t="str">
            <v/>
          </cell>
          <cell r="L151" t="str">
            <v/>
          </cell>
          <cell r="M151" t="str">
            <v/>
          </cell>
          <cell r="N151" t="str">
            <v/>
          </cell>
          <cell r="P151">
            <v>0</v>
          </cell>
          <cell r="Q151">
            <v>0</v>
          </cell>
          <cell r="R151">
            <v>0</v>
          </cell>
          <cell r="T151" t="str">
            <v/>
          </cell>
          <cell r="U151" t="str">
            <v/>
          </cell>
          <cell r="V151" t="str">
            <v/>
          </cell>
          <cell r="W151" t="str">
            <v/>
          </cell>
          <cell r="X151" t="str">
            <v/>
          </cell>
          <cell r="Y151" t="str">
            <v/>
          </cell>
          <cell r="Z151" t="str">
            <v/>
          </cell>
          <cell r="AB151">
            <v>0</v>
          </cell>
          <cell r="AC151">
            <v>0</v>
          </cell>
          <cell r="AD151">
            <v>0</v>
          </cell>
          <cell r="AE151">
            <v>0</v>
          </cell>
          <cell r="AF151">
            <v>0</v>
          </cell>
          <cell r="AG151">
            <v>0</v>
          </cell>
          <cell r="AI151"/>
          <cell r="AJ151" t="str">
            <v/>
          </cell>
          <cell r="AK151" t="str">
            <v/>
          </cell>
          <cell r="AL151" t="str">
            <v/>
          </cell>
          <cell r="AM151" t="str">
            <v/>
          </cell>
          <cell r="AN151" t="str">
            <v/>
          </cell>
        </row>
        <row r="152">
          <cell r="B152" t="str">
            <v>Mexico</v>
          </cell>
          <cell r="C152" t="str">
            <v>MEX</v>
          </cell>
          <cell r="D152" t="str">
            <v>MEX</v>
          </cell>
          <cell r="E152" t="str">
            <v/>
          </cell>
          <cell r="F152" t="str">
            <v>Mexico</v>
          </cell>
          <cell r="G152" t="str">
            <v/>
          </cell>
          <cell r="H152" t="str">
            <v>Mexico</v>
          </cell>
          <cell r="I152" t="str">
            <v/>
          </cell>
          <cell r="K152">
            <v>0</v>
          </cell>
          <cell r="L152">
            <v>0</v>
          </cell>
          <cell r="M152">
            <v>1</v>
          </cell>
          <cell r="N152">
            <v>0</v>
          </cell>
          <cell r="P152">
            <v>0</v>
          </cell>
          <cell r="Q152">
            <v>0</v>
          </cell>
          <cell r="R152">
            <v>0</v>
          </cell>
          <cell r="T152">
            <v>0</v>
          </cell>
          <cell r="U152">
            <v>0</v>
          </cell>
          <cell r="V152">
            <v>1</v>
          </cell>
          <cell r="W152">
            <v>0</v>
          </cell>
          <cell r="X152">
            <v>0</v>
          </cell>
          <cell r="Y152">
            <v>0</v>
          </cell>
          <cell r="Z152">
            <v>0</v>
          </cell>
          <cell r="AB152">
            <v>1</v>
          </cell>
          <cell r="AC152">
            <v>0</v>
          </cell>
          <cell r="AD152">
            <v>0</v>
          </cell>
          <cell r="AE152">
            <v>0</v>
          </cell>
          <cell r="AF152">
            <v>1</v>
          </cell>
          <cell r="AG152">
            <v>0</v>
          </cell>
          <cell r="AI152"/>
          <cell r="AJ152" t="str">
            <v/>
          </cell>
          <cell r="AK152" t="str">
            <v/>
          </cell>
          <cell r="AL152" t="str">
            <v/>
          </cell>
          <cell r="AM152" t="str">
            <v/>
          </cell>
          <cell r="AN152" t="str">
            <v/>
          </cell>
        </row>
        <row r="153">
          <cell r="B153" t="str">
            <v>Micronesia (country)</v>
          </cell>
          <cell r="C153" t="str">
            <v>FSM</v>
          </cell>
          <cell r="D153" t="str">
            <v>FSM</v>
          </cell>
          <cell r="E153" t="str">
            <v/>
          </cell>
          <cell r="F153" t="str">
            <v>Micronesia (Federated States of)</v>
          </cell>
          <cell r="G153" t="str">
            <v>diff</v>
          </cell>
          <cell r="H153" t="str">
            <v>Micronesia, Fed. Sts.</v>
          </cell>
          <cell r="I153" t="str">
            <v>diff</v>
          </cell>
          <cell r="K153">
            <v>0</v>
          </cell>
          <cell r="L153">
            <v>1</v>
          </cell>
          <cell r="M153">
            <v>0</v>
          </cell>
          <cell r="N153">
            <v>0</v>
          </cell>
          <cell r="P153">
            <v>0</v>
          </cell>
          <cell r="Q153">
            <v>0</v>
          </cell>
          <cell r="R153">
            <v>1</v>
          </cell>
          <cell r="T153">
            <v>0</v>
          </cell>
          <cell r="U153">
            <v>0</v>
          </cell>
          <cell r="V153">
            <v>0</v>
          </cell>
          <cell r="W153">
            <v>1</v>
          </cell>
          <cell r="X153">
            <v>0</v>
          </cell>
          <cell r="Y153">
            <v>0</v>
          </cell>
          <cell r="Z153">
            <v>0</v>
          </cell>
          <cell r="AB153">
            <v>0</v>
          </cell>
          <cell r="AC153">
            <v>0</v>
          </cell>
          <cell r="AD153">
            <v>0</v>
          </cell>
          <cell r="AE153">
            <v>0</v>
          </cell>
          <cell r="AF153">
            <v>0</v>
          </cell>
          <cell r="AG153">
            <v>0</v>
          </cell>
          <cell r="AI153"/>
          <cell r="AJ153" t="str">
            <v/>
          </cell>
          <cell r="AK153" t="str">
            <v>x</v>
          </cell>
          <cell r="AL153" t="str">
            <v/>
          </cell>
          <cell r="AM153" t="str">
            <v>x</v>
          </cell>
          <cell r="AN153" t="str">
            <v>x</v>
          </cell>
        </row>
        <row r="154">
          <cell r="B154" t="str">
            <v>Middle East (GCP)</v>
          </cell>
          <cell r="D154" t="str">
            <v/>
          </cell>
          <cell r="E154" t="str">
            <v/>
          </cell>
          <cell r="F154" t="str">
            <v/>
          </cell>
          <cell r="G154" t="str">
            <v/>
          </cell>
          <cell r="H154" t="str">
            <v/>
          </cell>
          <cell r="I154" t="str">
            <v/>
          </cell>
          <cell r="K154" t="str">
            <v/>
          </cell>
          <cell r="L154" t="str">
            <v/>
          </cell>
          <cell r="M154" t="str">
            <v/>
          </cell>
          <cell r="N154" t="str">
            <v/>
          </cell>
          <cell r="P154" t="str">
            <v/>
          </cell>
          <cell r="Q154" t="str">
            <v/>
          </cell>
          <cell r="R154" t="str">
            <v/>
          </cell>
          <cell r="T154" t="str">
            <v/>
          </cell>
          <cell r="U154" t="str">
            <v/>
          </cell>
          <cell r="V154" t="str">
            <v/>
          </cell>
          <cell r="W154" t="str">
            <v/>
          </cell>
          <cell r="X154" t="str">
            <v/>
          </cell>
          <cell r="Y154" t="str">
            <v/>
          </cell>
          <cell r="Z154" t="str">
            <v/>
          </cell>
          <cell r="AB154">
            <v>0</v>
          </cell>
          <cell r="AC154">
            <v>0</v>
          </cell>
          <cell r="AD154">
            <v>0</v>
          </cell>
          <cell r="AE154">
            <v>0</v>
          </cell>
          <cell r="AF154">
            <v>0</v>
          </cell>
          <cell r="AG154">
            <v>0</v>
          </cell>
          <cell r="AI154"/>
          <cell r="AJ154" t="str">
            <v/>
          </cell>
          <cell r="AK154" t="str">
            <v/>
          </cell>
          <cell r="AL154" t="str">
            <v/>
          </cell>
          <cell r="AM154" t="str">
            <v/>
          </cell>
          <cell r="AN154" t="str">
            <v/>
          </cell>
        </row>
        <row r="155">
          <cell r="B155" t="str">
            <v>Moldova</v>
          </cell>
          <cell r="C155" t="str">
            <v>MDA</v>
          </cell>
          <cell r="D155" t="str">
            <v>MDA</v>
          </cell>
          <cell r="E155" t="str">
            <v/>
          </cell>
          <cell r="F155" t="str">
            <v>Republic of Moldova</v>
          </cell>
          <cell r="G155" t="str">
            <v>diff</v>
          </cell>
          <cell r="H155" t="str">
            <v>Moldova</v>
          </cell>
          <cell r="I155" t="str">
            <v/>
          </cell>
          <cell r="K155">
            <v>0</v>
          </cell>
          <cell r="L155">
            <v>0</v>
          </cell>
          <cell r="M155">
            <v>1</v>
          </cell>
          <cell r="N155">
            <v>0</v>
          </cell>
          <cell r="P155">
            <v>0</v>
          </cell>
          <cell r="Q155">
            <v>1</v>
          </cell>
          <cell r="R155">
            <v>0</v>
          </cell>
          <cell r="T155">
            <v>1</v>
          </cell>
          <cell r="U155">
            <v>0</v>
          </cell>
          <cell r="V155">
            <v>0</v>
          </cell>
          <cell r="W155">
            <v>0</v>
          </cell>
          <cell r="X155">
            <v>0</v>
          </cell>
          <cell r="Y155">
            <v>0</v>
          </cell>
          <cell r="Z155">
            <v>0</v>
          </cell>
          <cell r="AB155">
            <v>0</v>
          </cell>
          <cell r="AC155">
            <v>0</v>
          </cell>
          <cell r="AD155">
            <v>0</v>
          </cell>
          <cell r="AE155">
            <v>0</v>
          </cell>
          <cell r="AF155">
            <v>0</v>
          </cell>
          <cell r="AG155">
            <v>0</v>
          </cell>
          <cell r="AI155"/>
          <cell r="AJ155" t="str">
            <v/>
          </cell>
          <cell r="AK155" t="str">
            <v/>
          </cell>
          <cell r="AL155" t="str">
            <v/>
          </cell>
          <cell r="AM155" t="str">
            <v/>
          </cell>
          <cell r="AN155" t="str">
            <v/>
          </cell>
        </row>
        <row r="156">
          <cell r="B156" t="str">
            <v>Mongolia</v>
          </cell>
          <cell r="C156" t="str">
            <v>MNG</v>
          </cell>
          <cell r="D156" t="str">
            <v>MNG</v>
          </cell>
          <cell r="E156" t="str">
            <v/>
          </cell>
          <cell r="F156" t="str">
            <v>Mongolia</v>
          </cell>
          <cell r="G156" t="str">
            <v/>
          </cell>
          <cell r="H156" t="str">
            <v>Mongolia</v>
          </cell>
          <cell r="I156" t="str">
            <v/>
          </cell>
          <cell r="K156">
            <v>0</v>
          </cell>
          <cell r="L156">
            <v>1</v>
          </cell>
          <cell r="M156">
            <v>0</v>
          </cell>
          <cell r="N156">
            <v>0</v>
          </cell>
          <cell r="P156">
            <v>0</v>
          </cell>
          <cell r="Q156">
            <v>1</v>
          </cell>
          <cell r="R156">
            <v>0</v>
          </cell>
          <cell r="T156">
            <v>0</v>
          </cell>
          <cell r="U156">
            <v>0</v>
          </cell>
          <cell r="V156">
            <v>0</v>
          </cell>
          <cell r="W156">
            <v>1</v>
          </cell>
          <cell r="X156">
            <v>0</v>
          </cell>
          <cell r="Y156">
            <v>0</v>
          </cell>
          <cell r="Z156">
            <v>0</v>
          </cell>
          <cell r="AB156">
            <v>0</v>
          </cell>
          <cell r="AC156">
            <v>0</v>
          </cell>
          <cell r="AD156">
            <v>0</v>
          </cell>
          <cell r="AE156">
            <v>0</v>
          </cell>
          <cell r="AF156">
            <v>0</v>
          </cell>
          <cell r="AG156">
            <v>0</v>
          </cell>
          <cell r="AI156"/>
          <cell r="AJ156" t="str">
            <v/>
          </cell>
          <cell r="AK156" t="str">
            <v>x</v>
          </cell>
          <cell r="AL156" t="str">
            <v/>
          </cell>
          <cell r="AM156" t="str">
            <v/>
          </cell>
          <cell r="AN156" t="str">
            <v>x</v>
          </cell>
        </row>
        <row r="157">
          <cell r="B157" t="str">
            <v>Montenegro</v>
          </cell>
          <cell r="C157" t="str">
            <v>MNE</v>
          </cell>
          <cell r="D157" t="str">
            <v>MNE</v>
          </cell>
          <cell r="E157" t="str">
            <v/>
          </cell>
          <cell r="F157" t="str">
            <v>Montenegro</v>
          </cell>
          <cell r="G157" t="str">
            <v/>
          </cell>
          <cell r="H157" t="str">
            <v>Montenegro</v>
          </cell>
          <cell r="I157" t="str">
            <v/>
          </cell>
          <cell r="K157">
            <v>0</v>
          </cell>
          <cell r="L157">
            <v>0</v>
          </cell>
          <cell r="M157">
            <v>1</v>
          </cell>
          <cell r="N157">
            <v>0</v>
          </cell>
          <cell r="P157">
            <v>0</v>
          </cell>
          <cell r="Q157">
            <v>0</v>
          </cell>
          <cell r="R157">
            <v>0</v>
          </cell>
          <cell r="T157">
            <v>1</v>
          </cell>
          <cell r="U157">
            <v>0</v>
          </cell>
          <cell r="V157">
            <v>0</v>
          </cell>
          <cell r="W157">
            <v>0</v>
          </cell>
          <cell r="X157">
            <v>0</v>
          </cell>
          <cell r="Y157">
            <v>0</v>
          </cell>
          <cell r="Z157">
            <v>0</v>
          </cell>
          <cell r="AB157">
            <v>0</v>
          </cell>
          <cell r="AC157">
            <v>0</v>
          </cell>
          <cell r="AD157">
            <v>0</v>
          </cell>
          <cell r="AE157">
            <v>0</v>
          </cell>
          <cell r="AF157">
            <v>0</v>
          </cell>
          <cell r="AG157">
            <v>0</v>
          </cell>
          <cell r="AI157"/>
          <cell r="AJ157" t="str">
            <v/>
          </cell>
          <cell r="AK157" t="str">
            <v/>
          </cell>
          <cell r="AL157" t="str">
            <v/>
          </cell>
          <cell r="AM157" t="str">
            <v/>
          </cell>
          <cell r="AN157" t="str">
            <v/>
          </cell>
        </row>
        <row r="158">
          <cell r="B158" t="str">
            <v>Montserrat</v>
          </cell>
          <cell r="C158" t="str">
            <v>MSR</v>
          </cell>
          <cell r="D158" t="str">
            <v>MSR</v>
          </cell>
          <cell r="E158" t="str">
            <v/>
          </cell>
          <cell r="F158" t="str">
            <v>Montserrat</v>
          </cell>
          <cell r="G158" t="str">
            <v/>
          </cell>
          <cell r="H158" t="e">
            <v>#N/A</v>
          </cell>
          <cell r="I158" t="str">
            <v/>
          </cell>
          <cell r="K158" t="str">
            <v/>
          </cell>
          <cell r="L158" t="str">
            <v/>
          </cell>
          <cell r="M158" t="str">
            <v/>
          </cell>
          <cell r="N158" t="str">
            <v/>
          </cell>
          <cell r="P158">
            <v>0</v>
          </cell>
          <cell r="Q158">
            <v>0</v>
          </cell>
          <cell r="R158">
            <v>1</v>
          </cell>
          <cell r="T158" t="str">
            <v/>
          </cell>
          <cell r="U158" t="str">
            <v/>
          </cell>
          <cell r="V158" t="str">
            <v/>
          </cell>
          <cell r="W158" t="str">
            <v/>
          </cell>
          <cell r="X158" t="str">
            <v/>
          </cell>
          <cell r="Y158" t="str">
            <v/>
          </cell>
          <cell r="Z158" t="str">
            <v/>
          </cell>
          <cell r="AB158">
            <v>0</v>
          </cell>
          <cell r="AC158">
            <v>0</v>
          </cell>
          <cell r="AD158">
            <v>0</v>
          </cell>
          <cell r="AE158">
            <v>0</v>
          </cell>
          <cell r="AF158">
            <v>0</v>
          </cell>
          <cell r="AG158">
            <v>0</v>
          </cell>
          <cell r="AI158"/>
          <cell r="AJ158" t="str">
            <v/>
          </cell>
          <cell r="AK158" t="str">
            <v/>
          </cell>
          <cell r="AL158" t="str">
            <v/>
          </cell>
          <cell r="AM158" t="str">
            <v>x</v>
          </cell>
          <cell r="AN158" t="str">
            <v>x</v>
          </cell>
        </row>
        <row r="159">
          <cell r="B159" t="str">
            <v>Morocco</v>
          </cell>
          <cell r="C159" t="str">
            <v>MAR</v>
          </cell>
          <cell r="D159" t="str">
            <v>MAR</v>
          </cell>
          <cell r="E159" t="str">
            <v/>
          </cell>
          <cell r="F159" t="str">
            <v>Morocco</v>
          </cell>
          <cell r="G159" t="str">
            <v/>
          </cell>
          <cell r="H159" t="str">
            <v>Morocco</v>
          </cell>
          <cell r="I159" t="str">
            <v/>
          </cell>
          <cell r="K159">
            <v>0</v>
          </cell>
          <cell r="L159">
            <v>1</v>
          </cell>
          <cell r="M159">
            <v>0</v>
          </cell>
          <cell r="N159">
            <v>0</v>
          </cell>
          <cell r="P159">
            <v>0</v>
          </cell>
          <cell r="Q159">
            <v>0</v>
          </cell>
          <cell r="R159">
            <v>0</v>
          </cell>
          <cell r="T159">
            <v>0</v>
          </cell>
          <cell r="U159">
            <v>0</v>
          </cell>
          <cell r="V159">
            <v>0</v>
          </cell>
          <cell r="W159">
            <v>0</v>
          </cell>
          <cell r="X159">
            <v>0</v>
          </cell>
          <cell r="Y159">
            <v>1</v>
          </cell>
          <cell r="Z159">
            <v>0</v>
          </cell>
          <cell r="AB159">
            <v>0</v>
          </cell>
          <cell r="AC159">
            <v>0</v>
          </cell>
          <cell r="AD159">
            <v>0</v>
          </cell>
          <cell r="AE159">
            <v>0</v>
          </cell>
          <cell r="AF159">
            <v>0</v>
          </cell>
          <cell r="AG159">
            <v>0</v>
          </cell>
          <cell r="AI159"/>
          <cell r="AJ159" t="str">
            <v/>
          </cell>
          <cell r="AK159" t="str">
            <v>x</v>
          </cell>
          <cell r="AL159" t="str">
            <v/>
          </cell>
          <cell r="AM159" t="str">
            <v/>
          </cell>
          <cell r="AN159" t="str">
            <v>x</v>
          </cell>
        </row>
        <row r="160">
          <cell r="B160" t="str">
            <v>Mozambique</v>
          </cell>
          <cell r="C160" t="str">
            <v>MOZ</v>
          </cell>
          <cell r="D160" t="str">
            <v>MOZ</v>
          </cell>
          <cell r="E160" t="str">
            <v/>
          </cell>
          <cell r="F160" t="str">
            <v>Mozambique</v>
          </cell>
          <cell r="G160" t="str">
            <v/>
          </cell>
          <cell r="H160" t="str">
            <v>Mozambique</v>
          </cell>
          <cell r="I160" t="str">
            <v/>
          </cell>
          <cell r="K160">
            <v>1</v>
          </cell>
          <cell r="L160">
            <v>0</v>
          </cell>
          <cell r="M160">
            <v>0</v>
          </cell>
          <cell r="N160">
            <v>0</v>
          </cell>
          <cell r="P160">
            <v>1</v>
          </cell>
          <cell r="Q160">
            <v>0</v>
          </cell>
          <cell r="R160">
            <v>0</v>
          </cell>
          <cell r="T160">
            <v>0</v>
          </cell>
          <cell r="U160">
            <v>0</v>
          </cell>
          <cell r="V160">
            <v>0</v>
          </cell>
          <cell r="W160">
            <v>0</v>
          </cell>
          <cell r="X160">
            <v>0</v>
          </cell>
          <cell r="Y160">
            <v>0</v>
          </cell>
          <cell r="Z160">
            <v>1</v>
          </cell>
          <cell r="AB160">
            <v>0</v>
          </cell>
          <cell r="AC160">
            <v>0</v>
          </cell>
          <cell r="AD160">
            <v>0</v>
          </cell>
          <cell r="AE160">
            <v>0</v>
          </cell>
          <cell r="AF160">
            <v>0</v>
          </cell>
          <cell r="AG160">
            <v>0</v>
          </cell>
          <cell r="AI160"/>
          <cell r="AJ160" t="str">
            <v>x</v>
          </cell>
          <cell r="AK160" t="str">
            <v>x</v>
          </cell>
          <cell r="AL160" t="str">
            <v>x</v>
          </cell>
          <cell r="AM160" t="str">
            <v>x</v>
          </cell>
          <cell r="AN160" t="str">
            <v>x</v>
          </cell>
        </row>
        <row r="161">
          <cell r="B161" t="str">
            <v>Myanmar</v>
          </cell>
          <cell r="C161" t="str">
            <v>MMR</v>
          </cell>
          <cell r="D161" t="str">
            <v>MMR</v>
          </cell>
          <cell r="E161" t="str">
            <v/>
          </cell>
          <cell r="F161" t="str">
            <v>Myanmar</v>
          </cell>
          <cell r="G161" t="str">
            <v/>
          </cell>
          <cell r="H161" t="str">
            <v>Myanmar</v>
          </cell>
          <cell r="I161" t="str">
            <v/>
          </cell>
          <cell r="K161">
            <v>0</v>
          </cell>
          <cell r="L161">
            <v>1</v>
          </cell>
          <cell r="M161">
            <v>0</v>
          </cell>
          <cell r="N161">
            <v>0</v>
          </cell>
          <cell r="P161">
            <v>1</v>
          </cell>
          <cell r="Q161">
            <v>0</v>
          </cell>
          <cell r="R161">
            <v>0</v>
          </cell>
          <cell r="T161">
            <v>0</v>
          </cell>
          <cell r="U161">
            <v>0</v>
          </cell>
          <cell r="V161">
            <v>0</v>
          </cell>
          <cell r="W161">
            <v>1</v>
          </cell>
          <cell r="X161">
            <v>0</v>
          </cell>
          <cell r="Y161">
            <v>0</v>
          </cell>
          <cell r="Z161">
            <v>0</v>
          </cell>
          <cell r="AB161">
            <v>0</v>
          </cell>
          <cell r="AC161">
            <v>0</v>
          </cell>
          <cell r="AD161">
            <v>0</v>
          </cell>
          <cell r="AE161">
            <v>0</v>
          </cell>
          <cell r="AF161">
            <v>0</v>
          </cell>
          <cell r="AG161">
            <v>0</v>
          </cell>
          <cell r="AI161"/>
          <cell r="AJ161" t="str">
            <v/>
          </cell>
          <cell r="AK161" t="str">
            <v>x</v>
          </cell>
          <cell r="AL161" t="str">
            <v>x</v>
          </cell>
          <cell r="AM161" t="str">
            <v>x</v>
          </cell>
          <cell r="AN161" t="str">
            <v>x</v>
          </cell>
        </row>
        <row r="162">
          <cell r="B162" t="str">
            <v>Namibia</v>
          </cell>
          <cell r="C162" t="str">
            <v>NAM</v>
          </cell>
          <cell r="D162" t="str">
            <v>NAM</v>
          </cell>
          <cell r="E162" t="str">
            <v/>
          </cell>
          <cell r="F162" t="str">
            <v>Namibia</v>
          </cell>
          <cell r="G162" t="str">
            <v/>
          </cell>
          <cell r="H162" t="str">
            <v>Namibia</v>
          </cell>
          <cell r="I162" t="str">
            <v/>
          </cell>
          <cell r="K162">
            <v>0</v>
          </cell>
          <cell r="L162">
            <v>0</v>
          </cell>
          <cell r="M162">
            <v>1</v>
          </cell>
          <cell r="N162">
            <v>0</v>
          </cell>
          <cell r="P162">
            <v>0</v>
          </cell>
          <cell r="Q162">
            <v>0</v>
          </cell>
          <cell r="R162">
            <v>0</v>
          </cell>
          <cell r="T162">
            <v>0</v>
          </cell>
          <cell r="U162">
            <v>0</v>
          </cell>
          <cell r="V162">
            <v>0</v>
          </cell>
          <cell r="W162">
            <v>0</v>
          </cell>
          <cell r="X162">
            <v>0</v>
          </cell>
          <cell r="Y162">
            <v>0</v>
          </cell>
          <cell r="Z162">
            <v>1</v>
          </cell>
          <cell r="AB162">
            <v>0</v>
          </cell>
          <cell r="AC162">
            <v>0</v>
          </cell>
          <cell r="AD162">
            <v>0</v>
          </cell>
          <cell r="AE162">
            <v>0</v>
          </cell>
          <cell r="AF162">
            <v>0</v>
          </cell>
          <cell r="AG162">
            <v>0</v>
          </cell>
          <cell r="AI162"/>
          <cell r="AJ162" t="str">
            <v/>
          </cell>
          <cell r="AK162" t="str">
            <v/>
          </cell>
          <cell r="AL162" t="str">
            <v/>
          </cell>
          <cell r="AM162" t="str">
            <v/>
          </cell>
          <cell r="AN162" t="str">
            <v/>
          </cell>
        </row>
        <row r="163">
          <cell r="B163" t="str">
            <v>Nauru</v>
          </cell>
          <cell r="C163" t="str">
            <v>NRU</v>
          </cell>
          <cell r="D163" t="str">
            <v>NRU</v>
          </cell>
          <cell r="E163" t="str">
            <v/>
          </cell>
          <cell r="F163" t="str">
            <v>Nauru</v>
          </cell>
          <cell r="G163" t="str">
            <v/>
          </cell>
          <cell r="H163" t="str">
            <v>Nauru</v>
          </cell>
          <cell r="I163" t="str">
            <v/>
          </cell>
          <cell r="K163">
            <v>0</v>
          </cell>
          <cell r="L163">
            <v>0</v>
          </cell>
          <cell r="M163">
            <v>0</v>
          </cell>
          <cell r="N163">
            <v>1</v>
          </cell>
          <cell r="P163">
            <v>0</v>
          </cell>
          <cell r="Q163">
            <v>0</v>
          </cell>
          <cell r="R163">
            <v>1</v>
          </cell>
          <cell r="T163">
            <v>0</v>
          </cell>
          <cell r="U163">
            <v>0</v>
          </cell>
          <cell r="V163">
            <v>0</v>
          </cell>
          <cell r="W163">
            <v>1</v>
          </cell>
          <cell r="X163">
            <v>0</v>
          </cell>
          <cell r="Y163">
            <v>0</v>
          </cell>
          <cell r="Z163">
            <v>0</v>
          </cell>
          <cell r="AB163">
            <v>0</v>
          </cell>
          <cell r="AC163">
            <v>0</v>
          </cell>
          <cell r="AD163">
            <v>0</v>
          </cell>
          <cell r="AE163">
            <v>0</v>
          </cell>
          <cell r="AF163">
            <v>0</v>
          </cell>
          <cell r="AG163">
            <v>0</v>
          </cell>
          <cell r="AI163"/>
          <cell r="AJ163" t="str">
            <v/>
          </cell>
          <cell r="AK163" t="str">
            <v/>
          </cell>
          <cell r="AL163" t="str">
            <v/>
          </cell>
          <cell r="AM163" t="str">
            <v>x</v>
          </cell>
          <cell r="AN163" t="str">
            <v>x</v>
          </cell>
        </row>
        <row r="164">
          <cell r="B164" t="str">
            <v>Nepal</v>
          </cell>
          <cell r="C164" t="str">
            <v>NPL</v>
          </cell>
          <cell r="D164" t="str">
            <v>NPL</v>
          </cell>
          <cell r="E164" t="str">
            <v/>
          </cell>
          <cell r="F164" t="str">
            <v>Nepal</v>
          </cell>
          <cell r="G164" t="str">
            <v/>
          </cell>
          <cell r="H164" t="str">
            <v>Nepal</v>
          </cell>
          <cell r="I164" t="str">
            <v/>
          </cell>
          <cell r="K164">
            <v>0</v>
          </cell>
          <cell r="L164">
            <v>1</v>
          </cell>
          <cell r="M164">
            <v>0</v>
          </cell>
          <cell r="N164">
            <v>0</v>
          </cell>
          <cell r="P164">
            <v>1</v>
          </cell>
          <cell r="Q164">
            <v>1</v>
          </cell>
          <cell r="R164">
            <v>0</v>
          </cell>
          <cell r="T164">
            <v>0</v>
          </cell>
          <cell r="U164">
            <v>0</v>
          </cell>
          <cell r="V164">
            <v>0</v>
          </cell>
          <cell r="W164">
            <v>0</v>
          </cell>
          <cell r="X164">
            <v>1</v>
          </cell>
          <cell r="Y164">
            <v>0</v>
          </cell>
          <cell r="Z164">
            <v>0</v>
          </cell>
          <cell r="AB164">
            <v>0</v>
          </cell>
          <cell r="AC164">
            <v>0</v>
          </cell>
          <cell r="AD164">
            <v>0</v>
          </cell>
          <cell r="AE164">
            <v>0</v>
          </cell>
          <cell r="AF164">
            <v>0</v>
          </cell>
          <cell r="AG164">
            <v>0</v>
          </cell>
          <cell r="AI164"/>
          <cell r="AJ164" t="str">
            <v/>
          </cell>
          <cell r="AK164" t="str">
            <v>x</v>
          </cell>
          <cell r="AL164" t="str">
            <v>x</v>
          </cell>
          <cell r="AM164" t="str">
            <v>x</v>
          </cell>
          <cell r="AN164" t="str">
            <v>x</v>
          </cell>
        </row>
        <row r="165">
          <cell r="B165" t="str">
            <v>Netherlands</v>
          </cell>
          <cell r="C165" t="str">
            <v>NLD</v>
          </cell>
          <cell r="D165" t="str">
            <v>NLD</v>
          </cell>
          <cell r="E165" t="str">
            <v/>
          </cell>
          <cell r="F165" t="str">
            <v>Netherlands (Kingdom of the)</v>
          </cell>
          <cell r="G165" t="str">
            <v>diff</v>
          </cell>
          <cell r="H165" t="str">
            <v>Netherlands</v>
          </cell>
          <cell r="I165" t="str">
            <v/>
          </cell>
          <cell r="K165">
            <v>0</v>
          </cell>
          <cell r="L165">
            <v>0</v>
          </cell>
          <cell r="M165">
            <v>0</v>
          </cell>
          <cell r="N165">
            <v>1</v>
          </cell>
          <cell r="P165">
            <v>0</v>
          </cell>
          <cell r="Q165">
            <v>0</v>
          </cell>
          <cell r="R165">
            <v>0</v>
          </cell>
          <cell r="T165">
            <v>1</v>
          </cell>
          <cell r="U165">
            <v>0</v>
          </cell>
          <cell r="V165">
            <v>0</v>
          </cell>
          <cell r="W165">
            <v>0</v>
          </cell>
          <cell r="X165">
            <v>0</v>
          </cell>
          <cell r="Y165">
            <v>0</v>
          </cell>
          <cell r="Z165">
            <v>0</v>
          </cell>
          <cell r="AB165">
            <v>1</v>
          </cell>
          <cell r="AC165">
            <v>1</v>
          </cell>
          <cell r="AD165">
            <v>0</v>
          </cell>
          <cell r="AE165">
            <v>0</v>
          </cell>
          <cell r="AF165">
            <v>0</v>
          </cell>
          <cell r="AG165">
            <v>1</v>
          </cell>
          <cell r="AI165"/>
          <cell r="AJ165" t="str">
            <v/>
          </cell>
          <cell r="AK165" t="str">
            <v/>
          </cell>
          <cell r="AL165" t="str">
            <v/>
          </cell>
          <cell r="AM165" t="str">
            <v/>
          </cell>
          <cell r="AN165" t="str">
            <v/>
          </cell>
        </row>
        <row r="166">
          <cell r="B166" t="str">
            <v>New Caledonia</v>
          </cell>
          <cell r="C166" t="str">
            <v>NCL</v>
          </cell>
          <cell r="D166" t="str">
            <v>NCL</v>
          </cell>
          <cell r="E166" t="str">
            <v/>
          </cell>
          <cell r="F166" t="str">
            <v>New Caledonia</v>
          </cell>
          <cell r="G166" t="str">
            <v/>
          </cell>
          <cell r="H166" t="str">
            <v>New Caledonia</v>
          </cell>
          <cell r="I166" t="str">
            <v/>
          </cell>
          <cell r="K166">
            <v>0</v>
          </cell>
          <cell r="L166">
            <v>0</v>
          </cell>
          <cell r="M166">
            <v>0</v>
          </cell>
          <cell r="N166">
            <v>1</v>
          </cell>
          <cell r="P166">
            <v>0</v>
          </cell>
          <cell r="Q166">
            <v>0</v>
          </cell>
          <cell r="R166">
            <v>1</v>
          </cell>
          <cell r="T166">
            <v>0</v>
          </cell>
          <cell r="U166">
            <v>0</v>
          </cell>
          <cell r="V166">
            <v>0</v>
          </cell>
          <cell r="W166">
            <v>1</v>
          </cell>
          <cell r="X166">
            <v>0</v>
          </cell>
          <cell r="Y166">
            <v>0</v>
          </cell>
          <cell r="Z166">
            <v>0</v>
          </cell>
          <cell r="AB166">
            <v>0</v>
          </cell>
          <cell r="AC166">
            <v>0</v>
          </cell>
          <cell r="AD166">
            <v>0</v>
          </cell>
          <cell r="AE166">
            <v>0</v>
          </cell>
          <cell r="AF166">
            <v>0</v>
          </cell>
          <cell r="AG166">
            <v>0</v>
          </cell>
          <cell r="AI166"/>
          <cell r="AJ166" t="str">
            <v/>
          </cell>
          <cell r="AK166" t="str">
            <v/>
          </cell>
          <cell r="AL166" t="str">
            <v/>
          </cell>
          <cell r="AM166" t="str">
            <v>x</v>
          </cell>
          <cell r="AN166" t="str">
            <v>x</v>
          </cell>
        </row>
        <row r="167">
          <cell r="B167" t="str">
            <v>New Zealand</v>
          </cell>
          <cell r="C167" t="str">
            <v>NZL</v>
          </cell>
          <cell r="D167" t="str">
            <v>NZL</v>
          </cell>
          <cell r="E167" t="str">
            <v/>
          </cell>
          <cell r="F167" t="str">
            <v>New Zealand</v>
          </cell>
          <cell r="G167" t="str">
            <v/>
          </cell>
          <cell r="H167" t="str">
            <v>New Zealand</v>
          </cell>
          <cell r="I167" t="str">
            <v/>
          </cell>
          <cell r="K167">
            <v>0</v>
          </cell>
          <cell r="L167">
            <v>0</v>
          </cell>
          <cell r="M167">
            <v>0</v>
          </cell>
          <cell r="N167">
            <v>1</v>
          </cell>
          <cell r="P167">
            <v>0</v>
          </cell>
          <cell r="Q167">
            <v>0</v>
          </cell>
          <cell r="R167">
            <v>0</v>
          </cell>
          <cell r="T167">
            <v>0</v>
          </cell>
          <cell r="U167">
            <v>0</v>
          </cell>
          <cell r="V167">
            <v>0</v>
          </cell>
          <cell r="W167">
            <v>1</v>
          </cell>
          <cell r="X167">
            <v>0</v>
          </cell>
          <cell r="Y167">
            <v>0</v>
          </cell>
          <cell r="Z167">
            <v>0</v>
          </cell>
          <cell r="AB167">
            <v>1</v>
          </cell>
          <cell r="AC167">
            <v>0</v>
          </cell>
          <cell r="AD167">
            <v>0</v>
          </cell>
          <cell r="AE167">
            <v>0</v>
          </cell>
          <cell r="AF167">
            <v>0</v>
          </cell>
          <cell r="AG167">
            <v>1</v>
          </cell>
          <cell r="AI167"/>
          <cell r="AJ167" t="str">
            <v/>
          </cell>
          <cell r="AK167" t="str">
            <v/>
          </cell>
          <cell r="AL167" t="str">
            <v/>
          </cell>
          <cell r="AM167" t="str">
            <v/>
          </cell>
          <cell r="AN167" t="str">
            <v/>
          </cell>
        </row>
        <row r="168">
          <cell r="B168" t="str">
            <v>Nicaragua</v>
          </cell>
          <cell r="C168" t="str">
            <v>NIC</v>
          </cell>
          <cell r="D168" t="str">
            <v>NIC</v>
          </cell>
          <cell r="E168" t="str">
            <v/>
          </cell>
          <cell r="F168" t="str">
            <v>Nicaragua</v>
          </cell>
          <cell r="G168" t="str">
            <v/>
          </cell>
          <cell r="H168" t="str">
            <v>Nicaragua</v>
          </cell>
          <cell r="I168" t="str">
            <v/>
          </cell>
          <cell r="K168">
            <v>0</v>
          </cell>
          <cell r="L168">
            <v>1</v>
          </cell>
          <cell r="M168">
            <v>0</v>
          </cell>
          <cell r="N168">
            <v>0</v>
          </cell>
          <cell r="P168">
            <v>0</v>
          </cell>
          <cell r="Q168">
            <v>0</v>
          </cell>
          <cell r="R168">
            <v>0</v>
          </cell>
          <cell r="T168">
            <v>0</v>
          </cell>
          <cell r="U168">
            <v>0</v>
          </cell>
          <cell r="V168">
            <v>1</v>
          </cell>
          <cell r="W168">
            <v>0</v>
          </cell>
          <cell r="X168">
            <v>0</v>
          </cell>
          <cell r="Y168">
            <v>0</v>
          </cell>
          <cell r="Z168">
            <v>0</v>
          </cell>
          <cell r="AB168">
            <v>0</v>
          </cell>
          <cell r="AC168">
            <v>0</v>
          </cell>
          <cell r="AD168">
            <v>0</v>
          </cell>
          <cell r="AE168">
            <v>0</v>
          </cell>
          <cell r="AF168">
            <v>0</v>
          </cell>
          <cell r="AG168">
            <v>0</v>
          </cell>
          <cell r="AI168"/>
          <cell r="AJ168" t="str">
            <v/>
          </cell>
          <cell r="AK168" t="str">
            <v>x</v>
          </cell>
          <cell r="AL168" t="str">
            <v/>
          </cell>
          <cell r="AM168" t="str">
            <v/>
          </cell>
          <cell r="AN168" t="str">
            <v>x</v>
          </cell>
        </row>
        <row r="169">
          <cell r="B169" t="str">
            <v>Niger</v>
          </cell>
          <cell r="C169" t="str">
            <v>NER</v>
          </cell>
          <cell r="D169" t="str">
            <v>NER</v>
          </cell>
          <cell r="E169" t="str">
            <v/>
          </cell>
          <cell r="F169" t="str">
            <v>Niger</v>
          </cell>
          <cell r="G169" t="str">
            <v/>
          </cell>
          <cell r="H169" t="str">
            <v>Niger</v>
          </cell>
          <cell r="I169" t="str">
            <v/>
          </cell>
          <cell r="K169">
            <v>1</v>
          </cell>
          <cell r="L169">
            <v>0</v>
          </cell>
          <cell r="M169">
            <v>0</v>
          </cell>
          <cell r="N169">
            <v>0</v>
          </cell>
          <cell r="P169">
            <v>1</v>
          </cell>
          <cell r="Q169">
            <v>1</v>
          </cell>
          <cell r="R169">
            <v>0</v>
          </cell>
          <cell r="T169">
            <v>0</v>
          </cell>
          <cell r="U169">
            <v>0</v>
          </cell>
          <cell r="V169">
            <v>0</v>
          </cell>
          <cell r="W169">
            <v>0</v>
          </cell>
          <cell r="X169">
            <v>0</v>
          </cell>
          <cell r="Y169">
            <v>0</v>
          </cell>
          <cell r="Z169">
            <v>1</v>
          </cell>
          <cell r="AB169">
            <v>0</v>
          </cell>
          <cell r="AC169">
            <v>0</v>
          </cell>
          <cell r="AD169">
            <v>0</v>
          </cell>
          <cell r="AE169">
            <v>0</v>
          </cell>
          <cell r="AF169">
            <v>0</v>
          </cell>
          <cell r="AG169">
            <v>0</v>
          </cell>
          <cell r="AI169"/>
          <cell r="AJ169" t="str">
            <v>x</v>
          </cell>
          <cell r="AK169" t="str">
            <v>x</v>
          </cell>
          <cell r="AL169" t="str">
            <v>x</v>
          </cell>
          <cell r="AM169" t="str">
            <v>x</v>
          </cell>
          <cell r="AN169" t="str">
            <v>x</v>
          </cell>
        </row>
        <row r="170">
          <cell r="B170" t="str">
            <v>Nigeria</v>
          </cell>
          <cell r="C170" t="str">
            <v>NGA</v>
          </cell>
          <cell r="D170" t="str">
            <v>NGA</v>
          </cell>
          <cell r="E170" t="str">
            <v/>
          </cell>
          <cell r="F170" t="str">
            <v>Nigeria</v>
          </cell>
          <cell r="G170" t="str">
            <v/>
          </cell>
          <cell r="H170" t="str">
            <v>Nigeria</v>
          </cell>
          <cell r="I170" t="str">
            <v/>
          </cell>
          <cell r="K170">
            <v>0</v>
          </cell>
          <cell r="L170">
            <v>1</v>
          </cell>
          <cell r="M170">
            <v>0</v>
          </cell>
          <cell r="N170">
            <v>0</v>
          </cell>
          <cell r="P170">
            <v>0</v>
          </cell>
          <cell r="Q170">
            <v>0</v>
          </cell>
          <cell r="R170">
            <v>0</v>
          </cell>
          <cell r="T170">
            <v>0</v>
          </cell>
          <cell r="U170">
            <v>0</v>
          </cell>
          <cell r="V170">
            <v>0</v>
          </cell>
          <cell r="W170">
            <v>0</v>
          </cell>
          <cell r="X170">
            <v>0</v>
          </cell>
          <cell r="Y170">
            <v>0</v>
          </cell>
          <cell r="Z170">
            <v>1</v>
          </cell>
          <cell r="AB170">
            <v>0</v>
          </cell>
          <cell r="AC170">
            <v>0</v>
          </cell>
          <cell r="AD170">
            <v>0</v>
          </cell>
          <cell r="AE170">
            <v>0</v>
          </cell>
          <cell r="AF170">
            <v>0</v>
          </cell>
          <cell r="AG170">
            <v>0</v>
          </cell>
          <cell r="AI170"/>
          <cell r="AJ170" t="str">
            <v/>
          </cell>
          <cell r="AK170" t="str">
            <v>x</v>
          </cell>
          <cell r="AL170" t="str">
            <v/>
          </cell>
          <cell r="AM170" t="str">
            <v/>
          </cell>
          <cell r="AN170" t="str">
            <v>x</v>
          </cell>
        </row>
        <row r="171">
          <cell r="B171" t="str">
            <v>Niue</v>
          </cell>
          <cell r="C171" t="str">
            <v>NIU</v>
          </cell>
          <cell r="D171" t="str">
            <v>NIU</v>
          </cell>
          <cell r="E171" t="str">
            <v/>
          </cell>
          <cell r="F171" t="str">
            <v>Niue</v>
          </cell>
          <cell r="G171" t="str">
            <v/>
          </cell>
          <cell r="H171" t="e">
            <v>#N/A</v>
          </cell>
          <cell r="I171" t="str">
            <v/>
          </cell>
          <cell r="K171" t="str">
            <v/>
          </cell>
          <cell r="L171" t="str">
            <v/>
          </cell>
          <cell r="M171" t="str">
            <v/>
          </cell>
          <cell r="N171" t="str">
            <v/>
          </cell>
          <cell r="P171">
            <v>0</v>
          </cell>
          <cell r="Q171">
            <v>0</v>
          </cell>
          <cell r="R171">
            <v>1</v>
          </cell>
          <cell r="T171" t="str">
            <v/>
          </cell>
          <cell r="U171" t="str">
            <v/>
          </cell>
          <cell r="V171" t="str">
            <v/>
          </cell>
          <cell r="W171" t="str">
            <v/>
          </cell>
          <cell r="X171" t="str">
            <v/>
          </cell>
          <cell r="Y171" t="str">
            <v/>
          </cell>
          <cell r="Z171" t="str">
            <v/>
          </cell>
          <cell r="AB171">
            <v>0</v>
          </cell>
          <cell r="AC171">
            <v>0</v>
          </cell>
          <cell r="AD171">
            <v>0</v>
          </cell>
          <cell r="AE171">
            <v>0</v>
          </cell>
          <cell r="AF171">
            <v>0</v>
          </cell>
          <cell r="AG171">
            <v>0</v>
          </cell>
          <cell r="AI171"/>
          <cell r="AJ171" t="str">
            <v/>
          </cell>
          <cell r="AK171" t="str">
            <v/>
          </cell>
          <cell r="AL171" t="str">
            <v/>
          </cell>
          <cell r="AM171" t="str">
            <v>x</v>
          </cell>
          <cell r="AN171" t="str">
            <v>x</v>
          </cell>
        </row>
        <row r="172">
          <cell r="B172" t="str">
            <v>Non-OECD (GCP)</v>
          </cell>
          <cell r="D172" t="str">
            <v/>
          </cell>
          <cell r="E172" t="str">
            <v/>
          </cell>
          <cell r="F172" t="str">
            <v/>
          </cell>
          <cell r="G172" t="str">
            <v/>
          </cell>
          <cell r="H172" t="str">
            <v/>
          </cell>
          <cell r="I172" t="str">
            <v/>
          </cell>
          <cell r="K172" t="str">
            <v/>
          </cell>
          <cell r="L172" t="str">
            <v/>
          </cell>
          <cell r="M172" t="str">
            <v/>
          </cell>
          <cell r="N172" t="str">
            <v/>
          </cell>
          <cell r="P172" t="str">
            <v/>
          </cell>
          <cell r="Q172" t="str">
            <v/>
          </cell>
          <cell r="R172" t="str">
            <v/>
          </cell>
          <cell r="T172" t="str">
            <v/>
          </cell>
          <cell r="U172" t="str">
            <v/>
          </cell>
          <cell r="V172" t="str">
            <v/>
          </cell>
          <cell r="W172" t="str">
            <v/>
          </cell>
          <cell r="X172" t="str">
            <v/>
          </cell>
          <cell r="Y172" t="str">
            <v/>
          </cell>
          <cell r="Z172" t="str">
            <v/>
          </cell>
          <cell r="AB172">
            <v>0</v>
          </cell>
          <cell r="AC172">
            <v>0</v>
          </cell>
          <cell r="AD172">
            <v>0</v>
          </cell>
          <cell r="AE172">
            <v>0</v>
          </cell>
          <cell r="AF172">
            <v>0</v>
          </cell>
          <cell r="AG172">
            <v>0</v>
          </cell>
          <cell r="AI172"/>
          <cell r="AJ172" t="str">
            <v/>
          </cell>
          <cell r="AK172" t="str">
            <v/>
          </cell>
          <cell r="AL172" t="str">
            <v/>
          </cell>
          <cell r="AM172" t="str">
            <v/>
          </cell>
          <cell r="AN172" t="str">
            <v/>
          </cell>
        </row>
        <row r="173">
          <cell r="B173" t="str">
            <v>North America</v>
          </cell>
          <cell r="D173" t="str">
            <v/>
          </cell>
          <cell r="E173" t="str">
            <v/>
          </cell>
          <cell r="F173" t="str">
            <v/>
          </cell>
          <cell r="G173" t="str">
            <v/>
          </cell>
          <cell r="H173" t="str">
            <v/>
          </cell>
          <cell r="I173" t="str">
            <v/>
          </cell>
          <cell r="K173" t="str">
            <v/>
          </cell>
          <cell r="L173" t="str">
            <v/>
          </cell>
          <cell r="M173" t="str">
            <v/>
          </cell>
          <cell r="N173" t="str">
            <v/>
          </cell>
          <cell r="P173" t="str">
            <v/>
          </cell>
          <cell r="Q173" t="str">
            <v/>
          </cell>
          <cell r="R173" t="str">
            <v/>
          </cell>
          <cell r="T173" t="str">
            <v/>
          </cell>
          <cell r="U173" t="str">
            <v/>
          </cell>
          <cell r="V173" t="str">
            <v/>
          </cell>
          <cell r="W173" t="str">
            <v/>
          </cell>
          <cell r="X173" t="str">
            <v/>
          </cell>
          <cell r="Y173" t="str">
            <v/>
          </cell>
          <cell r="Z173" t="str">
            <v/>
          </cell>
          <cell r="AB173">
            <v>0</v>
          </cell>
          <cell r="AC173">
            <v>0</v>
          </cell>
          <cell r="AD173">
            <v>0</v>
          </cell>
          <cell r="AE173">
            <v>0</v>
          </cell>
          <cell r="AF173">
            <v>0</v>
          </cell>
          <cell r="AG173">
            <v>0</v>
          </cell>
          <cell r="AI173"/>
          <cell r="AJ173" t="str">
            <v/>
          </cell>
          <cell r="AK173" t="str">
            <v/>
          </cell>
          <cell r="AL173" t="str">
            <v/>
          </cell>
          <cell r="AM173" t="str">
            <v/>
          </cell>
          <cell r="AN173" t="str">
            <v/>
          </cell>
        </row>
        <row r="174">
          <cell r="B174" t="str">
            <v>North America (GCP)</v>
          </cell>
          <cell r="D174" t="str">
            <v/>
          </cell>
          <cell r="E174" t="str">
            <v/>
          </cell>
          <cell r="F174" t="str">
            <v/>
          </cell>
          <cell r="G174" t="str">
            <v/>
          </cell>
          <cell r="H174" t="str">
            <v/>
          </cell>
          <cell r="I174" t="str">
            <v/>
          </cell>
          <cell r="K174" t="str">
            <v/>
          </cell>
          <cell r="L174" t="str">
            <v/>
          </cell>
          <cell r="M174" t="str">
            <v/>
          </cell>
          <cell r="N174" t="str">
            <v/>
          </cell>
          <cell r="P174" t="str">
            <v/>
          </cell>
          <cell r="Q174" t="str">
            <v/>
          </cell>
          <cell r="R174" t="str">
            <v/>
          </cell>
          <cell r="T174" t="str">
            <v/>
          </cell>
          <cell r="U174" t="str">
            <v/>
          </cell>
          <cell r="V174" t="str">
            <v/>
          </cell>
          <cell r="W174" t="str">
            <v/>
          </cell>
          <cell r="X174" t="str">
            <v/>
          </cell>
          <cell r="Y174" t="str">
            <v/>
          </cell>
          <cell r="Z174" t="str">
            <v/>
          </cell>
          <cell r="AB174">
            <v>0</v>
          </cell>
          <cell r="AC174">
            <v>0</v>
          </cell>
          <cell r="AD174">
            <v>0</v>
          </cell>
          <cell r="AE174">
            <v>0</v>
          </cell>
          <cell r="AF174">
            <v>0</v>
          </cell>
          <cell r="AG174">
            <v>0</v>
          </cell>
          <cell r="AI174"/>
          <cell r="AJ174" t="str">
            <v/>
          </cell>
          <cell r="AK174" t="str">
            <v/>
          </cell>
          <cell r="AL174" t="str">
            <v/>
          </cell>
          <cell r="AM174" t="str">
            <v/>
          </cell>
          <cell r="AN174" t="str">
            <v/>
          </cell>
        </row>
        <row r="175">
          <cell r="B175" t="str">
            <v>North America (excl. USA)</v>
          </cell>
          <cell r="D175" t="str">
            <v/>
          </cell>
          <cell r="E175" t="str">
            <v/>
          </cell>
          <cell r="F175" t="str">
            <v/>
          </cell>
          <cell r="G175" t="str">
            <v/>
          </cell>
          <cell r="H175" t="str">
            <v/>
          </cell>
          <cell r="I175" t="str">
            <v/>
          </cell>
          <cell r="K175" t="str">
            <v/>
          </cell>
          <cell r="L175" t="str">
            <v/>
          </cell>
          <cell r="M175" t="str">
            <v/>
          </cell>
          <cell r="N175" t="str">
            <v/>
          </cell>
          <cell r="P175" t="str">
            <v/>
          </cell>
          <cell r="Q175" t="str">
            <v/>
          </cell>
          <cell r="R175" t="str">
            <v/>
          </cell>
          <cell r="T175" t="str">
            <v/>
          </cell>
          <cell r="U175" t="str">
            <v/>
          </cell>
          <cell r="V175" t="str">
            <v/>
          </cell>
          <cell r="W175" t="str">
            <v/>
          </cell>
          <cell r="X175" t="str">
            <v/>
          </cell>
          <cell r="Y175" t="str">
            <v/>
          </cell>
          <cell r="Z175" t="str">
            <v/>
          </cell>
          <cell r="AB175">
            <v>0</v>
          </cell>
          <cell r="AC175">
            <v>0</v>
          </cell>
          <cell r="AD175">
            <v>0</v>
          </cell>
          <cell r="AE175">
            <v>0</v>
          </cell>
          <cell r="AF175">
            <v>0</v>
          </cell>
          <cell r="AG175">
            <v>0</v>
          </cell>
          <cell r="AI175"/>
          <cell r="AJ175" t="str">
            <v/>
          </cell>
          <cell r="AK175" t="str">
            <v/>
          </cell>
          <cell r="AL175" t="str">
            <v/>
          </cell>
          <cell r="AM175" t="str">
            <v/>
          </cell>
          <cell r="AN175" t="str">
            <v/>
          </cell>
        </row>
        <row r="176">
          <cell r="B176" t="str">
            <v>North Korea</v>
          </cell>
          <cell r="C176" t="str">
            <v>PRK</v>
          </cell>
          <cell r="D176" t="str">
            <v>PRK</v>
          </cell>
          <cell r="E176" t="str">
            <v/>
          </cell>
          <cell r="F176" t="str">
            <v>Democratic People's Republic of Korea</v>
          </cell>
          <cell r="G176" t="str">
            <v>diff</v>
          </cell>
          <cell r="H176" t="str">
            <v>Korea, Dem. People's Rep.</v>
          </cell>
          <cell r="I176" t="str">
            <v>diff</v>
          </cell>
          <cell r="K176">
            <v>1</v>
          </cell>
          <cell r="L176">
            <v>0</v>
          </cell>
          <cell r="M176">
            <v>0</v>
          </cell>
          <cell r="N176">
            <v>0</v>
          </cell>
          <cell r="P176">
            <v>0</v>
          </cell>
          <cell r="Q176">
            <v>0</v>
          </cell>
          <cell r="R176">
            <v>0</v>
          </cell>
          <cell r="T176">
            <v>0</v>
          </cell>
          <cell r="U176">
            <v>0</v>
          </cell>
          <cell r="V176">
            <v>0</v>
          </cell>
          <cell r="W176">
            <v>1</v>
          </cell>
          <cell r="X176">
            <v>0</v>
          </cell>
          <cell r="Y176">
            <v>0</v>
          </cell>
          <cell r="Z176">
            <v>0</v>
          </cell>
          <cell r="AB176">
            <v>0</v>
          </cell>
          <cell r="AC176">
            <v>0</v>
          </cell>
          <cell r="AD176">
            <v>0</v>
          </cell>
          <cell r="AE176">
            <v>0</v>
          </cell>
          <cell r="AF176">
            <v>0</v>
          </cell>
          <cell r="AG176">
            <v>0</v>
          </cell>
          <cell r="AI176"/>
          <cell r="AJ176" t="str">
            <v>x</v>
          </cell>
          <cell r="AK176" t="str">
            <v>x</v>
          </cell>
          <cell r="AL176" t="str">
            <v>x</v>
          </cell>
          <cell r="AM176" t="str">
            <v>x</v>
          </cell>
          <cell r="AN176" t="str">
            <v>x</v>
          </cell>
        </row>
        <row r="177">
          <cell r="B177" t="str">
            <v>North Macedonia</v>
          </cell>
          <cell r="C177" t="str">
            <v>MKD</v>
          </cell>
          <cell r="D177" t="str">
            <v>MKD</v>
          </cell>
          <cell r="E177" t="str">
            <v/>
          </cell>
          <cell r="F177" t="str">
            <v>North Macedonia</v>
          </cell>
          <cell r="G177" t="str">
            <v/>
          </cell>
          <cell r="H177" t="str">
            <v>North Macedonia</v>
          </cell>
          <cell r="I177" t="str">
            <v/>
          </cell>
          <cell r="K177">
            <v>0</v>
          </cell>
          <cell r="L177">
            <v>0</v>
          </cell>
          <cell r="M177">
            <v>1</v>
          </cell>
          <cell r="N177">
            <v>0</v>
          </cell>
          <cell r="P177">
            <v>0</v>
          </cell>
          <cell r="Q177">
            <v>1</v>
          </cell>
          <cell r="R177">
            <v>0</v>
          </cell>
          <cell r="T177">
            <v>1</v>
          </cell>
          <cell r="U177">
            <v>0</v>
          </cell>
          <cell r="V177">
            <v>0</v>
          </cell>
          <cell r="W177">
            <v>0</v>
          </cell>
          <cell r="X177">
            <v>0</v>
          </cell>
          <cell r="Y177">
            <v>0</v>
          </cell>
          <cell r="Z177">
            <v>0</v>
          </cell>
          <cell r="AB177">
            <v>0</v>
          </cell>
          <cell r="AC177">
            <v>0</v>
          </cell>
          <cell r="AD177">
            <v>0</v>
          </cell>
          <cell r="AE177">
            <v>0</v>
          </cell>
          <cell r="AF177">
            <v>0</v>
          </cell>
          <cell r="AG177">
            <v>0</v>
          </cell>
          <cell r="AI177"/>
          <cell r="AJ177" t="str">
            <v/>
          </cell>
          <cell r="AK177" t="str">
            <v/>
          </cell>
          <cell r="AL177" t="str">
            <v/>
          </cell>
          <cell r="AM177" t="str">
            <v/>
          </cell>
          <cell r="AN177" t="str">
            <v/>
          </cell>
        </row>
        <row r="178">
          <cell r="B178" t="str">
            <v>Norway</v>
          </cell>
          <cell r="C178" t="str">
            <v>NOR</v>
          </cell>
          <cell r="D178" t="str">
            <v>NOR</v>
          </cell>
          <cell r="E178" t="str">
            <v/>
          </cell>
          <cell r="F178" t="str">
            <v>Norway</v>
          </cell>
          <cell r="G178" t="str">
            <v/>
          </cell>
          <cell r="H178" t="str">
            <v>Norway</v>
          </cell>
          <cell r="I178" t="str">
            <v/>
          </cell>
          <cell r="K178">
            <v>0</v>
          </cell>
          <cell r="L178">
            <v>0</v>
          </cell>
          <cell r="M178">
            <v>0</v>
          </cell>
          <cell r="N178">
            <v>1</v>
          </cell>
          <cell r="P178">
            <v>0</v>
          </cell>
          <cell r="Q178">
            <v>0</v>
          </cell>
          <cell r="R178">
            <v>0</v>
          </cell>
          <cell r="T178">
            <v>1</v>
          </cell>
          <cell r="U178">
            <v>0</v>
          </cell>
          <cell r="V178">
            <v>0</v>
          </cell>
          <cell r="W178">
            <v>0</v>
          </cell>
          <cell r="X178">
            <v>0</v>
          </cell>
          <cell r="Y178">
            <v>0</v>
          </cell>
          <cell r="Z178">
            <v>0</v>
          </cell>
          <cell r="AB178">
            <v>1</v>
          </cell>
          <cell r="AC178">
            <v>0</v>
          </cell>
          <cell r="AD178">
            <v>0</v>
          </cell>
          <cell r="AE178">
            <v>0</v>
          </cell>
          <cell r="AF178">
            <v>0</v>
          </cell>
          <cell r="AG178">
            <v>1</v>
          </cell>
          <cell r="AI178"/>
          <cell r="AJ178" t="str">
            <v/>
          </cell>
          <cell r="AK178" t="str">
            <v/>
          </cell>
          <cell r="AL178" t="str">
            <v/>
          </cell>
          <cell r="AM178" t="str">
            <v/>
          </cell>
          <cell r="AN178" t="str">
            <v/>
          </cell>
        </row>
        <row r="179">
          <cell r="B179" t="str">
            <v>OECD (GCP)</v>
          </cell>
          <cell r="D179" t="str">
            <v/>
          </cell>
          <cell r="E179" t="str">
            <v/>
          </cell>
          <cell r="F179" t="str">
            <v/>
          </cell>
          <cell r="G179" t="str">
            <v/>
          </cell>
          <cell r="H179" t="str">
            <v/>
          </cell>
          <cell r="I179" t="str">
            <v/>
          </cell>
          <cell r="K179" t="str">
            <v/>
          </cell>
          <cell r="L179" t="str">
            <v/>
          </cell>
          <cell r="M179" t="str">
            <v/>
          </cell>
          <cell r="N179" t="str">
            <v/>
          </cell>
          <cell r="P179" t="str">
            <v/>
          </cell>
          <cell r="Q179" t="str">
            <v/>
          </cell>
          <cell r="R179" t="str">
            <v/>
          </cell>
          <cell r="T179" t="str">
            <v/>
          </cell>
          <cell r="U179" t="str">
            <v/>
          </cell>
          <cell r="V179" t="str">
            <v/>
          </cell>
          <cell r="W179" t="str">
            <v/>
          </cell>
          <cell r="X179" t="str">
            <v/>
          </cell>
          <cell r="Y179" t="str">
            <v/>
          </cell>
          <cell r="Z179" t="str">
            <v/>
          </cell>
          <cell r="AB179">
            <v>0</v>
          </cell>
          <cell r="AC179">
            <v>0</v>
          </cell>
          <cell r="AD179">
            <v>0</v>
          </cell>
          <cell r="AE179">
            <v>0</v>
          </cell>
          <cell r="AF179">
            <v>0</v>
          </cell>
          <cell r="AG179">
            <v>0</v>
          </cell>
          <cell r="AI179"/>
          <cell r="AJ179" t="str">
            <v/>
          </cell>
          <cell r="AK179" t="str">
            <v/>
          </cell>
          <cell r="AL179" t="str">
            <v/>
          </cell>
          <cell r="AM179" t="str">
            <v/>
          </cell>
          <cell r="AN179" t="str">
            <v/>
          </cell>
        </row>
        <row r="180">
          <cell r="B180" t="str">
            <v>Oceania</v>
          </cell>
          <cell r="D180" t="str">
            <v/>
          </cell>
          <cell r="E180" t="str">
            <v/>
          </cell>
          <cell r="F180" t="str">
            <v/>
          </cell>
          <cell r="G180" t="str">
            <v/>
          </cell>
          <cell r="H180" t="str">
            <v/>
          </cell>
          <cell r="I180" t="str">
            <v/>
          </cell>
          <cell r="K180" t="str">
            <v/>
          </cell>
          <cell r="L180" t="str">
            <v/>
          </cell>
          <cell r="M180" t="str">
            <v/>
          </cell>
          <cell r="N180" t="str">
            <v/>
          </cell>
          <cell r="P180" t="str">
            <v/>
          </cell>
          <cell r="Q180" t="str">
            <v/>
          </cell>
          <cell r="R180" t="str">
            <v/>
          </cell>
          <cell r="T180" t="str">
            <v/>
          </cell>
          <cell r="U180" t="str">
            <v/>
          </cell>
          <cell r="V180" t="str">
            <v/>
          </cell>
          <cell r="W180" t="str">
            <v/>
          </cell>
          <cell r="X180" t="str">
            <v/>
          </cell>
          <cell r="Y180" t="str">
            <v/>
          </cell>
          <cell r="Z180" t="str">
            <v/>
          </cell>
          <cell r="AB180">
            <v>0</v>
          </cell>
          <cell r="AC180">
            <v>0</v>
          </cell>
          <cell r="AD180">
            <v>0</v>
          </cell>
          <cell r="AE180">
            <v>0</v>
          </cell>
          <cell r="AF180">
            <v>0</v>
          </cell>
          <cell r="AG180">
            <v>0</v>
          </cell>
          <cell r="AI180"/>
          <cell r="AJ180" t="str">
            <v/>
          </cell>
          <cell r="AK180" t="str">
            <v/>
          </cell>
          <cell r="AL180" t="str">
            <v/>
          </cell>
          <cell r="AM180" t="str">
            <v/>
          </cell>
          <cell r="AN180" t="str">
            <v/>
          </cell>
        </row>
        <row r="181">
          <cell r="B181" t="str">
            <v>Oceania (GCP)</v>
          </cell>
          <cell r="D181" t="str">
            <v/>
          </cell>
          <cell r="E181" t="str">
            <v/>
          </cell>
          <cell r="F181" t="str">
            <v/>
          </cell>
          <cell r="G181" t="str">
            <v/>
          </cell>
          <cell r="H181" t="str">
            <v/>
          </cell>
          <cell r="I181" t="str">
            <v/>
          </cell>
          <cell r="K181" t="str">
            <v/>
          </cell>
          <cell r="L181" t="str">
            <v/>
          </cell>
          <cell r="M181" t="str">
            <v/>
          </cell>
          <cell r="N181" t="str">
            <v/>
          </cell>
          <cell r="P181" t="str">
            <v/>
          </cell>
          <cell r="Q181" t="str">
            <v/>
          </cell>
          <cell r="R181" t="str">
            <v/>
          </cell>
          <cell r="T181" t="str">
            <v/>
          </cell>
          <cell r="U181" t="str">
            <v/>
          </cell>
          <cell r="V181" t="str">
            <v/>
          </cell>
          <cell r="W181" t="str">
            <v/>
          </cell>
          <cell r="X181" t="str">
            <v/>
          </cell>
          <cell r="Y181" t="str">
            <v/>
          </cell>
          <cell r="Z181" t="str">
            <v/>
          </cell>
          <cell r="AB181">
            <v>0</v>
          </cell>
          <cell r="AC181">
            <v>0</v>
          </cell>
          <cell r="AD181">
            <v>0</v>
          </cell>
          <cell r="AE181">
            <v>0</v>
          </cell>
          <cell r="AF181">
            <v>0</v>
          </cell>
          <cell r="AG181">
            <v>0</v>
          </cell>
          <cell r="AI181"/>
          <cell r="AJ181" t="str">
            <v/>
          </cell>
          <cell r="AK181" t="str">
            <v/>
          </cell>
          <cell r="AL181" t="str">
            <v/>
          </cell>
          <cell r="AM181" t="str">
            <v/>
          </cell>
          <cell r="AN181" t="str">
            <v/>
          </cell>
        </row>
        <row r="182">
          <cell r="B182" t="str">
            <v>Oman</v>
          </cell>
          <cell r="C182" t="str">
            <v>OMN</v>
          </cell>
          <cell r="D182" t="str">
            <v>OMN</v>
          </cell>
          <cell r="E182" t="str">
            <v/>
          </cell>
          <cell r="F182" t="str">
            <v>Oman</v>
          </cell>
          <cell r="G182" t="str">
            <v/>
          </cell>
          <cell r="H182" t="str">
            <v>Oman</v>
          </cell>
          <cell r="I182" t="str">
            <v/>
          </cell>
          <cell r="K182">
            <v>0</v>
          </cell>
          <cell r="L182">
            <v>0</v>
          </cell>
          <cell r="M182">
            <v>0</v>
          </cell>
          <cell r="N182">
            <v>1</v>
          </cell>
          <cell r="P182">
            <v>0</v>
          </cell>
          <cell r="Q182">
            <v>0</v>
          </cell>
          <cell r="R182">
            <v>0</v>
          </cell>
          <cell r="T182">
            <v>0</v>
          </cell>
          <cell r="U182">
            <v>0</v>
          </cell>
          <cell r="V182">
            <v>0</v>
          </cell>
          <cell r="W182">
            <v>0</v>
          </cell>
          <cell r="X182">
            <v>0</v>
          </cell>
          <cell r="Y182">
            <v>1</v>
          </cell>
          <cell r="Z182">
            <v>0</v>
          </cell>
          <cell r="AB182">
            <v>0</v>
          </cell>
          <cell r="AC182">
            <v>0</v>
          </cell>
          <cell r="AD182">
            <v>0</v>
          </cell>
          <cell r="AE182">
            <v>0</v>
          </cell>
          <cell r="AF182">
            <v>0</v>
          </cell>
          <cell r="AG182">
            <v>0</v>
          </cell>
          <cell r="AI182"/>
          <cell r="AJ182" t="str">
            <v/>
          </cell>
          <cell r="AK182" t="str">
            <v/>
          </cell>
          <cell r="AL182" t="str">
            <v/>
          </cell>
          <cell r="AM182" t="str">
            <v/>
          </cell>
          <cell r="AN182" t="str">
            <v/>
          </cell>
        </row>
        <row r="183">
          <cell r="B183" t="str">
            <v>Pakistan</v>
          </cell>
          <cell r="C183" t="str">
            <v>PAK</v>
          </cell>
          <cell r="D183" t="str">
            <v>PAK</v>
          </cell>
          <cell r="E183" t="str">
            <v/>
          </cell>
          <cell r="F183" t="str">
            <v>Pakistan</v>
          </cell>
          <cell r="G183" t="str">
            <v/>
          </cell>
          <cell r="H183" t="str">
            <v>Pakistan</v>
          </cell>
          <cell r="I183" t="str">
            <v/>
          </cell>
          <cell r="K183">
            <v>0</v>
          </cell>
          <cell r="L183">
            <v>1</v>
          </cell>
          <cell r="M183">
            <v>0</v>
          </cell>
          <cell r="N183">
            <v>0</v>
          </cell>
          <cell r="P183">
            <v>0</v>
          </cell>
          <cell r="Q183">
            <v>0</v>
          </cell>
          <cell r="R183">
            <v>0</v>
          </cell>
          <cell r="T183">
            <v>0</v>
          </cell>
          <cell r="U183">
            <v>0</v>
          </cell>
          <cell r="V183">
            <v>0</v>
          </cell>
          <cell r="W183">
            <v>0</v>
          </cell>
          <cell r="X183">
            <v>1</v>
          </cell>
          <cell r="Y183">
            <v>0</v>
          </cell>
          <cell r="Z183">
            <v>0</v>
          </cell>
          <cell r="AB183">
            <v>0</v>
          </cell>
          <cell r="AC183">
            <v>0</v>
          </cell>
          <cell r="AD183">
            <v>0</v>
          </cell>
          <cell r="AE183">
            <v>0</v>
          </cell>
          <cell r="AF183">
            <v>0</v>
          </cell>
          <cell r="AG183">
            <v>0</v>
          </cell>
          <cell r="AI183"/>
          <cell r="AJ183" t="str">
            <v/>
          </cell>
          <cell r="AK183" t="str">
            <v>x</v>
          </cell>
          <cell r="AL183" t="str">
            <v/>
          </cell>
          <cell r="AM183" t="str">
            <v/>
          </cell>
          <cell r="AN183" t="str">
            <v>x</v>
          </cell>
        </row>
        <row r="184">
          <cell r="B184" t="str">
            <v>Palau</v>
          </cell>
          <cell r="C184" t="str">
            <v>PLW</v>
          </cell>
          <cell r="D184" t="str">
            <v>PLW</v>
          </cell>
          <cell r="E184" t="str">
            <v/>
          </cell>
          <cell r="F184" t="str">
            <v>Palau</v>
          </cell>
          <cell r="G184" t="str">
            <v/>
          </cell>
          <cell r="H184" t="str">
            <v>Palau</v>
          </cell>
          <cell r="I184" t="str">
            <v/>
          </cell>
          <cell r="K184">
            <v>0</v>
          </cell>
          <cell r="L184">
            <v>0</v>
          </cell>
          <cell r="M184">
            <v>1</v>
          </cell>
          <cell r="N184">
            <v>0</v>
          </cell>
          <cell r="P184">
            <v>0</v>
          </cell>
          <cell r="Q184">
            <v>0</v>
          </cell>
          <cell r="R184">
            <v>1</v>
          </cell>
          <cell r="T184">
            <v>0</v>
          </cell>
          <cell r="U184">
            <v>0</v>
          </cell>
          <cell r="V184">
            <v>0</v>
          </cell>
          <cell r="W184">
            <v>1</v>
          </cell>
          <cell r="X184">
            <v>0</v>
          </cell>
          <cell r="Y184">
            <v>0</v>
          </cell>
          <cell r="Z184">
            <v>0</v>
          </cell>
          <cell r="AB184">
            <v>0</v>
          </cell>
          <cell r="AC184">
            <v>0</v>
          </cell>
          <cell r="AD184">
            <v>0</v>
          </cell>
          <cell r="AE184">
            <v>0</v>
          </cell>
          <cell r="AF184">
            <v>0</v>
          </cell>
          <cell r="AG184">
            <v>0</v>
          </cell>
          <cell r="AI184"/>
          <cell r="AJ184" t="str">
            <v/>
          </cell>
          <cell r="AK184" t="str">
            <v/>
          </cell>
          <cell r="AL184" t="str">
            <v/>
          </cell>
          <cell r="AM184" t="str">
            <v>x</v>
          </cell>
          <cell r="AN184" t="str">
            <v>x</v>
          </cell>
        </row>
        <row r="185">
          <cell r="B185" t="str">
            <v>Palestine</v>
          </cell>
          <cell r="C185" t="str">
            <v>PSE</v>
          </cell>
          <cell r="D185" t="str">
            <v>PSE</v>
          </cell>
          <cell r="E185" t="str">
            <v/>
          </cell>
          <cell r="F185" t="str">
            <v>State of Palestine</v>
          </cell>
          <cell r="G185" t="str">
            <v>diff</v>
          </cell>
          <cell r="H185" t="str">
            <v>West Bank and Gaza</v>
          </cell>
          <cell r="I185" t="str">
            <v>diff</v>
          </cell>
          <cell r="K185">
            <v>0</v>
          </cell>
          <cell r="L185">
            <v>1</v>
          </cell>
          <cell r="M185">
            <v>0</v>
          </cell>
          <cell r="N185">
            <v>0</v>
          </cell>
          <cell r="P185">
            <v>0</v>
          </cell>
          <cell r="Q185">
            <v>0</v>
          </cell>
          <cell r="R185">
            <v>0</v>
          </cell>
          <cell r="T185">
            <v>0</v>
          </cell>
          <cell r="U185">
            <v>0</v>
          </cell>
          <cell r="V185">
            <v>0</v>
          </cell>
          <cell r="W185">
            <v>0</v>
          </cell>
          <cell r="X185">
            <v>0</v>
          </cell>
          <cell r="Y185">
            <v>1</v>
          </cell>
          <cell r="Z185">
            <v>0</v>
          </cell>
          <cell r="AB185">
            <v>0</v>
          </cell>
          <cell r="AC185">
            <v>0</v>
          </cell>
          <cell r="AD185">
            <v>0</v>
          </cell>
          <cell r="AE185">
            <v>0</v>
          </cell>
          <cell r="AF185">
            <v>0</v>
          </cell>
          <cell r="AG185">
            <v>0</v>
          </cell>
          <cell r="AI185"/>
          <cell r="AJ185" t="str">
            <v/>
          </cell>
          <cell r="AK185" t="str">
            <v>x</v>
          </cell>
          <cell r="AL185" t="str">
            <v/>
          </cell>
          <cell r="AM185" t="str">
            <v/>
          </cell>
          <cell r="AN185" t="str">
            <v>x</v>
          </cell>
        </row>
        <row r="186">
          <cell r="B186" t="str">
            <v>Panama</v>
          </cell>
          <cell r="C186" t="str">
            <v>PAN</v>
          </cell>
          <cell r="D186" t="str">
            <v>PAN</v>
          </cell>
          <cell r="E186" t="str">
            <v/>
          </cell>
          <cell r="F186" t="str">
            <v>Panama</v>
          </cell>
          <cell r="G186" t="str">
            <v/>
          </cell>
          <cell r="H186" t="str">
            <v>Panama</v>
          </cell>
          <cell r="I186" t="str">
            <v/>
          </cell>
          <cell r="K186">
            <v>0</v>
          </cell>
          <cell r="L186">
            <v>0</v>
          </cell>
          <cell r="M186">
            <v>0</v>
          </cell>
          <cell r="N186">
            <v>1</v>
          </cell>
          <cell r="P186">
            <v>0</v>
          </cell>
          <cell r="Q186">
            <v>0</v>
          </cell>
          <cell r="R186">
            <v>0</v>
          </cell>
          <cell r="T186">
            <v>0</v>
          </cell>
          <cell r="U186">
            <v>0</v>
          </cell>
          <cell r="V186">
            <v>1</v>
          </cell>
          <cell r="W186">
            <v>0</v>
          </cell>
          <cell r="X186">
            <v>0</v>
          </cell>
          <cell r="Y186">
            <v>0</v>
          </cell>
          <cell r="Z186">
            <v>0</v>
          </cell>
          <cell r="AB186">
            <v>0</v>
          </cell>
          <cell r="AC186">
            <v>0</v>
          </cell>
          <cell r="AD186">
            <v>0</v>
          </cell>
          <cell r="AE186">
            <v>0</v>
          </cell>
          <cell r="AF186">
            <v>0</v>
          </cell>
          <cell r="AG186">
            <v>0</v>
          </cell>
          <cell r="AI186"/>
          <cell r="AJ186" t="str">
            <v/>
          </cell>
          <cell r="AK186" t="str">
            <v/>
          </cell>
          <cell r="AL186" t="str">
            <v/>
          </cell>
          <cell r="AM186" t="str">
            <v/>
          </cell>
          <cell r="AN186" t="str">
            <v/>
          </cell>
        </row>
        <row r="187">
          <cell r="B187" t="str">
            <v>Papua New Guinea</v>
          </cell>
          <cell r="C187" t="str">
            <v>PNG</v>
          </cell>
          <cell r="D187" t="str">
            <v>PNG</v>
          </cell>
          <cell r="E187" t="str">
            <v/>
          </cell>
          <cell r="F187" t="str">
            <v>Papua New Guinea</v>
          </cell>
          <cell r="G187" t="str">
            <v/>
          </cell>
          <cell r="H187" t="str">
            <v>Papua New Guinea</v>
          </cell>
          <cell r="I187" t="str">
            <v/>
          </cell>
          <cell r="K187">
            <v>0</v>
          </cell>
          <cell r="L187">
            <v>1</v>
          </cell>
          <cell r="M187">
            <v>0</v>
          </cell>
          <cell r="N187">
            <v>0</v>
          </cell>
          <cell r="P187">
            <v>0</v>
          </cell>
          <cell r="Q187">
            <v>0</v>
          </cell>
          <cell r="R187">
            <v>1</v>
          </cell>
          <cell r="T187">
            <v>0</v>
          </cell>
          <cell r="U187">
            <v>0</v>
          </cell>
          <cell r="V187">
            <v>0</v>
          </cell>
          <cell r="W187">
            <v>1</v>
          </cell>
          <cell r="X187">
            <v>0</v>
          </cell>
          <cell r="Y187">
            <v>0</v>
          </cell>
          <cell r="Z187">
            <v>0</v>
          </cell>
          <cell r="AB187">
            <v>0</v>
          </cell>
          <cell r="AC187">
            <v>0</v>
          </cell>
          <cell r="AD187">
            <v>0</v>
          </cell>
          <cell r="AE187">
            <v>0</v>
          </cell>
          <cell r="AF187">
            <v>0</v>
          </cell>
          <cell r="AG187">
            <v>0</v>
          </cell>
          <cell r="AI187"/>
          <cell r="AJ187" t="str">
            <v/>
          </cell>
          <cell r="AK187" t="str">
            <v>x</v>
          </cell>
          <cell r="AL187" t="str">
            <v/>
          </cell>
          <cell r="AM187" t="str">
            <v>x</v>
          </cell>
          <cell r="AN187" t="str">
            <v>x</v>
          </cell>
        </row>
        <row r="188">
          <cell r="B188" t="str">
            <v>Paraguay</v>
          </cell>
          <cell r="C188" t="str">
            <v>PRY</v>
          </cell>
          <cell r="D188" t="str">
            <v>PRY</v>
          </cell>
          <cell r="E188" t="str">
            <v/>
          </cell>
          <cell r="F188" t="str">
            <v>Paraguay</v>
          </cell>
          <cell r="G188" t="str">
            <v/>
          </cell>
          <cell r="H188" t="str">
            <v>Paraguay</v>
          </cell>
          <cell r="I188" t="str">
            <v/>
          </cell>
          <cell r="K188">
            <v>0</v>
          </cell>
          <cell r="L188">
            <v>0</v>
          </cell>
          <cell r="M188">
            <v>1</v>
          </cell>
          <cell r="N188">
            <v>0</v>
          </cell>
          <cell r="P188">
            <v>0</v>
          </cell>
          <cell r="Q188">
            <v>1</v>
          </cell>
          <cell r="R188">
            <v>0</v>
          </cell>
          <cell r="T188">
            <v>0</v>
          </cell>
          <cell r="U188">
            <v>0</v>
          </cell>
          <cell r="V188">
            <v>1</v>
          </cell>
          <cell r="W188">
            <v>0</v>
          </cell>
          <cell r="X188">
            <v>0</v>
          </cell>
          <cell r="Y188">
            <v>0</v>
          </cell>
          <cell r="Z188">
            <v>0</v>
          </cell>
          <cell r="AB188">
            <v>0</v>
          </cell>
          <cell r="AC188">
            <v>0</v>
          </cell>
          <cell r="AD188">
            <v>0</v>
          </cell>
          <cell r="AE188">
            <v>0</v>
          </cell>
          <cell r="AF188">
            <v>0</v>
          </cell>
          <cell r="AG188">
            <v>0</v>
          </cell>
          <cell r="AI188"/>
          <cell r="AJ188" t="str">
            <v/>
          </cell>
          <cell r="AK188" t="str">
            <v/>
          </cell>
          <cell r="AL188" t="str">
            <v/>
          </cell>
          <cell r="AM188" t="str">
            <v/>
          </cell>
          <cell r="AN188" t="str">
            <v/>
          </cell>
        </row>
        <row r="189">
          <cell r="B189" t="str">
            <v>Peru</v>
          </cell>
          <cell r="C189" t="str">
            <v>PER</v>
          </cell>
          <cell r="D189" t="str">
            <v>PER</v>
          </cell>
          <cell r="E189" t="str">
            <v/>
          </cell>
          <cell r="F189" t="str">
            <v>Peru</v>
          </cell>
          <cell r="G189" t="str">
            <v/>
          </cell>
          <cell r="H189" t="str">
            <v>Peru</v>
          </cell>
          <cell r="I189" t="str">
            <v/>
          </cell>
          <cell r="K189">
            <v>0</v>
          </cell>
          <cell r="L189">
            <v>0</v>
          </cell>
          <cell r="M189">
            <v>1</v>
          </cell>
          <cell r="N189">
            <v>0</v>
          </cell>
          <cell r="P189">
            <v>0</v>
          </cell>
          <cell r="Q189">
            <v>0</v>
          </cell>
          <cell r="R189">
            <v>0</v>
          </cell>
          <cell r="T189">
            <v>0</v>
          </cell>
          <cell r="U189">
            <v>0</v>
          </cell>
          <cell r="V189">
            <v>1</v>
          </cell>
          <cell r="W189">
            <v>0</v>
          </cell>
          <cell r="X189">
            <v>0</v>
          </cell>
          <cell r="Y189">
            <v>0</v>
          </cell>
          <cell r="Z189">
            <v>0</v>
          </cell>
          <cell r="AB189">
            <v>0</v>
          </cell>
          <cell r="AC189">
            <v>0</v>
          </cell>
          <cell r="AD189">
            <v>0</v>
          </cell>
          <cell r="AE189">
            <v>0</v>
          </cell>
          <cell r="AF189">
            <v>0</v>
          </cell>
          <cell r="AG189">
            <v>0</v>
          </cell>
          <cell r="AI189"/>
          <cell r="AJ189" t="str">
            <v/>
          </cell>
          <cell r="AK189" t="str">
            <v/>
          </cell>
          <cell r="AL189" t="str">
            <v/>
          </cell>
          <cell r="AM189" t="str">
            <v/>
          </cell>
          <cell r="AN189" t="str">
            <v/>
          </cell>
        </row>
        <row r="190">
          <cell r="B190" t="str">
            <v>Philippines</v>
          </cell>
          <cell r="C190" t="str">
            <v>PHL</v>
          </cell>
          <cell r="D190" t="str">
            <v>PHL</v>
          </cell>
          <cell r="E190" t="str">
            <v/>
          </cell>
          <cell r="F190" t="str">
            <v>Philippines</v>
          </cell>
          <cell r="G190" t="str">
            <v/>
          </cell>
          <cell r="H190" t="str">
            <v>Philippines</v>
          </cell>
          <cell r="I190" t="str">
            <v/>
          </cell>
          <cell r="K190">
            <v>0</v>
          </cell>
          <cell r="L190">
            <v>1</v>
          </cell>
          <cell r="M190">
            <v>0</v>
          </cell>
          <cell r="N190">
            <v>0</v>
          </cell>
          <cell r="P190">
            <v>0</v>
          </cell>
          <cell r="Q190">
            <v>0</v>
          </cell>
          <cell r="R190">
            <v>0</v>
          </cell>
          <cell r="T190">
            <v>0</v>
          </cell>
          <cell r="U190">
            <v>0</v>
          </cell>
          <cell r="V190">
            <v>0</v>
          </cell>
          <cell r="W190">
            <v>1</v>
          </cell>
          <cell r="X190">
            <v>0</v>
          </cell>
          <cell r="Y190">
            <v>0</v>
          </cell>
          <cell r="Z190">
            <v>0</v>
          </cell>
          <cell r="AB190">
            <v>0</v>
          </cell>
          <cell r="AC190">
            <v>0</v>
          </cell>
          <cell r="AD190">
            <v>0</v>
          </cell>
          <cell r="AE190">
            <v>0</v>
          </cell>
          <cell r="AF190">
            <v>0</v>
          </cell>
          <cell r="AG190">
            <v>0</v>
          </cell>
          <cell r="AI190"/>
          <cell r="AJ190" t="str">
            <v/>
          </cell>
          <cell r="AK190" t="str">
            <v>x</v>
          </cell>
          <cell r="AL190" t="str">
            <v/>
          </cell>
          <cell r="AM190" t="str">
            <v/>
          </cell>
          <cell r="AN190" t="str">
            <v>x</v>
          </cell>
        </row>
        <row r="191">
          <cell r="B191" t="str">
            <v>Poland</v>
          </cell>
          <cell r="C191" t="str">
            <v>POL</v>
          </cell>
          <cell r="D191" t="str">
            <v>POL</v>
          </cell>
          <cell r="E191" t="str">
            <v/>
          </cell>
          <cell r="F191" t="str">
            <v>Poland</v>
          </cell>
          <cell r="G191" t="str">
            <v/>
          </cell>
          <cell r="H191" t="str">
            <v>Poland</v>
          </cell>
          <cell r="I191" t="str">
            <v/>
          </cell>
          <cell r="K191">
            <v>0</v>
          </cell>
          <cell r="L191">
            <v>0</v>
          </cell>
          <cell r="M191">
            <v>0</v>
          </cell>
          <cell r="N191">
            <v>1</v>
          </cell>
          <cell r="P191">
            <v>0</v>
          </cell>
          <cell r="Q191">
            <v>0</v>
          </cell>
          <cell r="R191">
            <v>0</v>
          </cell>
          <cell r="T191">
            <v>1</v>
          </cell>
          <cell r="U191">
            <v>0</v>
          </cell>
          <cell r="V191">
            <v>0</v>
          </cell>
          <cell r="W191">
            <v>0</v>
          </cell>
          <cell r="X191">
            <v>0</v>
          </cell>
          <cell r="Y191">
            <v>0</v>
          </cell>
          <cell r="Z191">
            <v>0</v>
          </cell>
          <cell r="AB191">
            <v>1</v>
          </cell>
          <cell r="AC191">
            <v>1</v>
          </cell>
          <cell r="AD191">
            <v>0</v>
          </cell>
          <cell r="AE191">
            <v>0</v>
          </cell>
          <cell r="AF191">
            <v>0</v>
          </cell>
          <cell r="AG191">
            <v>0</v>
          </cell>
          <cell r="AI191"/>
          <cell r="AJ191" t="str">
            <v/>
          </cell>
          <cell r="AK191" t="str">
            <v/>
          </cell>
          <cell r="AL191" t="str">
            <v/>
          </cell>
          <cell r="AM191" t="str">
            <v/>
          </cell>
          <cell r="AN191" t="str">
            <v/>
          </cell>
        </row>
        <row r="192">
          <cell r="B192" t="str">
            <v>Portugal</v>
          </cell>
          <cell r="C192" t="str">
            <v>PRT</v>
          </cell>
          <cell r="D192" t="str">
            <v>PRT</v>
          </cell>
          <cell r="E192" t="str">
            <v/>
          </cell>
          <cell r="F192" t="str">
            <v>Portugal</v>
          </cell>
          <cell r="G192" t="str">
            <v/>
          </cell>
          <cell r="H192" t="str">
            <v>Portugal</v>
          </cell>
          <cell r="I192" t="str">
            <v/>
          </cell>
          <cell r="K192">
            <v>0</v>
          </cell>
          <cell r="L192">
            <v>0</v>
          </cell>
          <cell r="M192">
            <v>0</v>
          </cell>
          <cell r="N192">
            <v>1</v>
          </cell>
          <cell r="P192">
            <v>0</v>
          </cell>
          <cell r="Q192">
            <v>0</v>
          </cell>
          <cell r="R192">
            <v>0</v>
          </cell>
          <cell r="T192">
            <v>1</v>
          </cell>
          <cell r="U192">
            <v>0</v>
          </cell>
          <cell r="V192">
            <v>0</v>
          </cell>
          <cell r="W192">
            <v>0</v>
          </cell>
          <cell r="X192">
            <v>0</v>
          </cell>
          <cell r="Y192">
            <v>0</v>
          </cell>
          <cell r="Z192">
            <v>0</v>
          </cell>
          <cell r="AB192">
            <v>1</v>
          </cell>
          <cell r="AC192">
            <v>1</v>
          </cell>
          <cell r="AD192">
            <v>0</v>
          </cell>
          <cell r="AE192">
            <v>0</v>
          </cell>
          <cell r="AF192">
            <v>0</v>
          </cell>
          <cell r="AG192">
            <v>1</v>
          </cell>
          <cell r="AI192"/>
          <cell r="AJ192" t="str">
            <v/>
          </cell>
          <cell r="AK192" t="str">
            <v/>
          </cell>
          <cell r="AL192" t="str">
            <v/>
          </cell>
          <cell r="AM192" t="str">
            <v/>
          </cell>
          <cell r="AN192" t="str">
            <v/>
          </cell>
        </row>
        <row r="193">
          <cell r="B193" t="str">
            <v>Qatar</v>
          </cell>
          <cell r="C193" t="str">
            <v>QAT</v>
          </cell>
          <cell r="D193" t="str">
            <v>QAT</v>
          </cell>
          <cell r="E193" t="str">
            <v/>
          </cell>
          <cell r="F193" t="str">
            <v>Qatar</v>
          </cell>
          <cell r="G193" t="str">
            <v/>
          </cell>
          <cell r="H193" t="str">
            <v>Qatar</v>
          </cell>
          <cell r="I193" t="str">
            <v/>
          </cell>
          <cell r="K193">
            <v>0</v>
          </cell>
          <cell r="L193">
            <v>0</v>
          </cell>
          <cell r="M193">
            <v>0</v>
          </cell>
          <cell r="N193">
            <v>1</v>
          </cell>
          <cell r="P193">
            <v>0</v>
          </cell>
          <cell r="Q193">
            <v>0</v>
          </cell>
          <cell r="R193">
            <v>0</v>
          </cell>
          <cell r="T193">
            <v>0</v>
          </cell>
          <cell r="U193">
            <v>0</v>
          </cell>
          <cell r="V193">
            <v>0</v>
          </cell>
          <cell r="W193">
            <v>0</v>
          </cell>
          <cell r="X193">
            <v>0</v>
          </cell>
          <cell r="Y193">
            <v>1</v>
          </cell>
          <cell r="Z193">
            <v>0</v>
          </cell>
          <cell r="AB193">
            <v>0</v>
          </cell>
          <cell r="AC193">
            <v>0</v>
          </cell>
          <cell r="AD193">
            <v>0</v>
          </cell>
          <cell r="AE193">
            <v>0</v>
          </cell>
          <cell r="AF193">
            <v>0</v>
          </cell>
          <cell r="AG193">
            <v>0</v>
          </cell>
          <cell r="AI193"/>
          <cell r="AJ193" t="str">
            <v/>
          </cell>
          <cell r="AK193" t="str">
            <v/>
          </cell>
          <cell r="AL193" t="str">
            <v/>
          </cell>
          <cell r="AM193" t="str">
            <v/>
          </cell>
          <cell r="AN193" t="str">
            <v/>
          </cell>
        </row>
        <row r="194">
          <cell r="B194" t="str">
            <v>Reunion</v>
          </cell>
          <cell r="C194" t="str">
            <v>REU</v>
          </cell>
          <cell r="D194" t="str">
            <v>REU</v>
          </cell>
          <cell r="E194" t="str">
            <v/>
          </cell>
          <cell r="F194" t="str">
            <v>Réunion</v>
          </cell>
          <cell r="G194" t="str">
            <v>diff</v>
          </cell>
          <cell r="H194" t="e">
            <v>#N/A</v>
          </cell>
          <cell r="I194" t="str">
            <v/>
          </cell>
          <cell r="K194" t="str">
            <v/>
          </cell>
          <cell r="L194" t="str">
            <v/>
          </cell>
          <cell r="M194" t="str">
            <v/>
          </cell>
          <cell r="N194" t="str">
            <v/>
          </cell>
          <cell r="P194">
            <v>0</v>
          </cell>
          <cell r="Q194">
            <v>0</v>
          </cell>
          <cell r="R194">
            <v>0</v>
          </cell>
          <cell r="T194" t="str">
            <v/>
          </cell>
          <cell r="U194" t="str">
            <v/>
          </cell>
          <cell r="V194" t="str">
            <v/>
          </cell>
          <cell r="W194" t="str">
            <v/>
          </cell>
          <cell r="X194" t="str">
            <v/>
          </cell>
          <cell r="Y194" t="str">
            <v/>
          </cell>
          <cell r="Z194" t="str">
            <v/>
          </cell>
          <cell r="AB194">
            <v>0</v>
          </cell>
          <cell r="AC194">
            <v>0</v>
          </cell>
          <cell r="AD194">
            <v>0</v>
          </cell>
          <cell r="AE194">
            <v>0</v>
          </cell>
          <cell r="AF194">
            <v>0</v>
          </cell>
          <cell r="AG194">
            <v>0</v>
          </cell>
          <cell r="AI194"/>
          <cell r="AJ194" t="str">
            <v/>
          </cell>
          <cell r="AK194" t="str">
            <v/>
          </cell>
          <cell r="AL194" t="str">
            <v/>
          </cell>
          <cell r="AM194" t="str">
            <v/>
          </cell>
          <cell r="AN194" t="str">
            <v/>
          </cell>
        </row>
        <row r="195">
          <cell r="B195" t="str">
            <v>Romania</v>
          </cell>
          <cell r="C195" t="str">
            <v>ROU</v>
          </cell>
          <cell r="D195" t="str">
            <v>ROU</v>
          </cell>
          <cell r="E195" t="str">
            <v/>
          </cell>
          <cell r="F195" t="str">
            <v>Romania</v>
          </cell>
          <cell r="G195" t="str">
            <v/>
          </cell>
          <cell r="H195" t="str">
            <v>Romania</v>
          </cell>
          <cell r="I195" t="str">
            <v/>
          </cell>
          <cell r="K195">
            <v>0</v>
          </cell>
          <cell r="L195">
            <v>0</v>
          </cell>
          <cell r="M195">
            <v>0</v>
          </cell>
          <cell r="N195">
            <v>1</v>
          </cell>
          <cell r="P195">
            <v>0</v>
          </cell>
          <cell r="Q195">
            <v>0</v>
          </cell>
          <cell r="R195">
            <v>0</v>
          </cell>
          <cell r="T195">
            <v>1</v>
          </cell>
          <cell r="U195">
            <v>0</v>
          </cell>
          <cell r="V195">
            <v>0</v>
          </cell>
          <cell r="W195">
            <v>0</v>
          </cell>
          <cell r="X195">
            <v>0</v>
          </cell>
          <cell r="Y195">
            <v>0</v>
          </cell>
          <cell r="Z195">
            <v>0</v>
          </cell>
          <cell r="AB195">
            <v>0</v>
          </cell>
          <cell r="AC195">
            <v>1</v>
          </cell>
          <cell r="AD195">
            <v>0</v>
          </cell>
          <cell r="AE195">
            <v>0</v>
          </cell>
          <cell r="AF195">
            <v>0</v>
          </cell>
          <cell r="AG195">
            <v>0</v>
          </cell>
          <cell r="AI195"/>
          <cell r="AJ195" t="str">
            <v/>
          </cell>
          <cell r="AK195" t="str">
            <v/>
          </cell>
          <cell r="AL195" t="str">
            <v/>
          </cell>
          <cell r="AM195" t="str">
            <v/>
          </cell>
          <cell r="AN195" t="str">
            <v/>
          </cell>
        </row>
        <row r="196">
          <cell r="B196" t="str">
            <v>Russia</v>
          </cell>
          <cell r="C196" t="str">
            <v>RUS</v>
          </cell>
          <cell r="D196" t="str">
            <v>RUS</v>
          </cell>
          <cell r="E196" t="str">
            <v/>
          </cell>
          <cell r="F196" t="str">
            <v>Russian Federation</v>
          </cell>
          <cell r="G196" t="str">
            <v>diff</v>
          </cell>
          <cell r="H196" t="str">
            <v>Russian Federation</v>
          </cell>
          <cell r="I196" t="str">
            <v>diff</v>
          </cell>
          <cell r="K196">
            <v>0</v>
          </cell>
          <cell r="L196">
            <v>0</v>
          </cell>
          <cell r="M196">
            <v>1</v>
          </cell>
          <cell r="N196">
            <v>0</v>
          </cell>
          <cell r="P196">
            <v>0</v>
          </cell>
          <cell r="Q196">
            <v>0</v>
          </cell>
          <cell r="R196">
            <v>0</v>
          </cell>
          <cell r="T196">
            <v>1</v>
          </cell>
          <cell r="U196">
            <v>0</v>
          </cell>
          <cell r="V196">
            <v>0</v>
          </cell>
          <cell r="W196">
            <v>0</v>
          </cell>
          <cell r="X196">
            <v>0</v>
          </cell>
          <cell r="Y196">
            <v>0</v>
          </cell>
          <cell r="Z196">
            <v>0</v>
          </cell>
          <cell r="AB196">
            <v>0</v>
          </cell>
          <cell r="AC196">
            <v>0</v>
          </cell>
          <cell r="AD196">
            <v>1</v>
          </cell>
          <cell r="AE196">
            <v>0</v>
          </cell>
          <cell r="AF196">
            <v>1</v>
          </cell>
          <cell r="AG196">
            <v>0</v>
          </cell>
          <cell r="AI196"/>
          <cell r="AJ196" t="str">
            <v/>
          </cell>
          <cell r="AK196" t="str">
            <v/>
          </cell>
          <cell r="AL196" t="str">
            <v/>
          </cell>
          <cell r="AM196" t="str">
            <v/>
          </cell>
          <cell r="AN196" t="str">
            <v/>
          </cell>
        </row>
        <row r="197">
          <cell r="B197" t="str">
            <v>Rwanda</v>
          </cell>
          <cell r="C197" t="str">
            <v>RWA</v>
          </cell>
          <cell r="D197" t="str">
            <v>RWA</v>
          </cell>
          <cell r="E197" t="str">
            <v/>
          </cell>
          <cell r="F197" t="str">
            <v>Rwanda</v>
          </cell>
          <cell r="G197" t="str">
            <v/>
          </cell>
          <cell r="H197" t="str">
            <v>Rwanda</v>
          </cell>
          <cell r="I197" t="str">
            <v/>
          </cell>
          <cell r="K197">
            <v>1</v>
          </cell>
          <cell r="L197">
            <v>0</v>
          </cell>
          <cell r="M197">
            <v>0</v>
          </cell>
          <cell r="N197">
            <v>0</v>
          </cell>
          <cell r="P197">
            <v>1</v>
          </cell>
          <cell r="Q197">
            <v>1</v>
          </cell>
          <cell r="R197">
            <v>0</v>
          </cell>
          <cell r="T197">
            <v>0</v>
          </cell>
          <cell r="U197">
            <v>0</v>
          </cell>
          <cell r="V197">
            <v>0</v>
          </cell>
          <cell r="W197">
            <v>0</v>
          </cell>
          <cell r="X197">
            <v>0</v>
          </cell>
          <cell r="Y197">
            <v>0</v>
          </cell>
          <cell r="Z197">
            <v>1</v>
          </cell>
          <cell r="AB197">
            <v>0</v>
          </cell>
          <cell r="AC197">
            <v>0</v>
          </cell>
          <cell r="AD197">
            <v>0</v>
          </cell>
          <cell r="AE197">
            <v>0</v>
          </cell>
          <cell r="AF197">
            <v>0</v>
          </cell>
          <cell r="AG197">
            <v>0</v>
          </cell>
          <cell r="AI197"/>
          <cell r="AJ197" t="str">
            <v>x</v>
          </cell>
          <cell r="AK197" t="str">
            <v>x</v>
          </cell>
          <cell r="AL197" t="str">
            <v>x</v>
          </cell>
          <cell r="AM197" t="str">
            <v>x</v>
          </cell>
          <cell r="AN197" t="str">
            <v>x</v>
          </cell>
        </row>
        <row r="198">
          <cell r="B198" t="str">
            <v>Saint Helena</v>
          </cell>
          <cell r="C198" t="str">
            <v>SHN</v>
          </cell>
          <cell r="D198" t="str">
            <v>SHN</v>
          </cell>
          <cell r="E198" t="str">
            <v/>
          </cell>
          <cell r="F198" t="str">
            <v>Saint Helena</v>
          </cell>
          <cell r="G198" t="str">
            <v/>
          </cell>
          <cell r="H198" t="e">
            <v>#N/A</v>
          </cell>
          <cell r="I198" t="str">
            <v/>
          </cell>
          <cell r="K198" t="str">
            <v/>
          </cell>
          <cell r="L198" t="str">
            <v/>
          </cell>
          <cell r="M198" t="str">
            <v/>
          </cell>
          <cell r="N198" t="str">
            <v/>
          </cell>
          <cell r="P198">
            <v>0</v>
          </cell>
          <cell r="Q198">
            <v>0</v>
          </cell>
          <cell r="R198">
            <v>0</v>
          </cell>
          <cell r="T198" t="str">
            <v/>
          </cell>
          <cell r="U198" t="str">
            <v/>
          </cell>
          <cell r="V198" t="str">
            <v/>
          </cell>
          <cell r="W198" t="str">
            <v/>
          </cell>
          <cell r="X198" t="str">
            <v/>
          </cell>
          <cell r="Y198" t="str">
            <v/>
          </cell>
          <cell r="Z198" t="str">
            <v/>
          </cell>
          <cell r="AB198">
            <v>0</v>
          </cell>
          <cell r="AC198">
            <v>0</v>
          </cell>
          <cell r="AD198">
            <v>0</v>
          </cell>
          <cell r="AE198">
            <v>0</v>
          </cell>
          <cell r="AF198">
            <v>0</v>
          </cell>
          <cell r="AG198">
            <v>0</v>
          </cell>
          <cell r="AI198"/>
          <cell r="AJ198" t="str">
            <v/>
          </cell>
          <cell r="AK198" t="str">
            <v/>
          </cell>
          <cell r="AL198" t="str">
            <v/>
          </cell>
          <cell r="AM198" t="str">
            <v/>
          </cell>
          <cell r="AN198" t="str">
            <v/>
          </cell>
        </row>
        <row r="199">
          <cell r="B199" t="str">
            <v>Saint Kitts and Nevis</v>
          </cell>
          <cell r="C199" t="str">
            <v>KNA</v>
          </cell>
          <cell r="D199" t="str">
            <v>KNA</v>
          </cell>
          <cell r="E199" t="str">
            <v/>
          </cell>
          <cell r="F199" t="str">
            <v>Saint Kitts and Nevis</v>
          </cell>
          <cell r="G199" t="str">
            <v/>
          </cell>
          <cell r="H199" t="str">
            <v>St. Kitts and Nevis</v>
          </cell>
          <cell r="I199" t="str">
            <v>diff</v>
          </cell>
          <cell r="K199">
            <v>0</v>
          </cell>
          <cell r="L199">
            <v>0</v>
          </cell>
          <cell r="M199">
            <v>0</v>
          </cell>
          <cell r="N199">
            <v>1</v>
          </cell>
          <cell r="P199">
            <v>0</v>
          </cell>
          <cell r="Q199">
            <v>0</v>
          </cell>
          <cell r="R199">
            <v>1</v>
          </cell>
          <cell r="T199">
            <v>0</v>
          </cell>
          <cell r="U199">
            <v>0</v>
          </cell>
          <cell r="V199">
            <v>1</v>
          </cell>
          <cell r="W199">
            <v>0</v>
          </cell>
          <cell r="X199">
            <v>0</v>
          </cell>
          <cell r="Y199">
            <v>0</v>
          </cell>
          <cell r="Z199">
            <v>0</v>
          </cell>
          <cell r="AB199">
            <v>0</v>
          </cell>
          <cell r="AC199">
            <v>0</v>
          </cell>
          <cell r="AD199">
            <v>0</v>
          </cell>
          <cell r="AE199">
            <v>0</v>
          </cell>
          <cell r="AF199">
            <v>0</v>
          </cell>
          <cell r="AG199">
            <v>0</v>
          </cell>
          <cell r="AI199"/>
          <cell r="AJ199" t="str">
            <v/>
          </cell>
          <cell r="AK199" t="str">
            <v/>
          </cell>
          <cell r="AL199" t="str">
            <v/>
          </cell>
          <cell r="AM199" t="str">
            <v>x</v>
          </cell>
          <cell r="AN199" t="str">
            <v>x</v>
          </cell>
        </row>
        <row r="200">
          <cell r="B200" t="str">
            <v>Saint Lucia</v>
          </cell>
          <cell r="C200" t="str">
            <v>LCA</v>
          </cell>
          <cell r="D200" t="str">
            <v>LCA</v>
          </cell>
          <cell r="E200" t="str">
            <v/>
          </cell>
          <cell r="F200" t="str">
            <v>Saint Lucia</v>
          </cell>
          <cell r="G200" t="str">
            <v/>
          </cell>
          <cell r="H200" t="str">
            <v>St. Lucia</v>
          </cell>
          <cell r="I200" t="str">
            <v>diff</v>
          </cell>
          <cell r="K200">
            <v>0</v>
          </cell>
          <cell r="L200">
            <v>0</v>
          </cell>
          <cell r="M200">
            <v>1</v>
          </cell>
          <cell r="N200">
            <v>0</v>
          </cell>
          <cell r="P200">
            <v>0</v>
          </cell>
          <cell r="Q200">
            <v>0</v>
          </cell>
          <cell r="R200">
            <v>1</v>
          </cell>
          <cell r="T200">
            <v>0</v>
          </cell>
          <cell r="U200">
            <v>0</v>
          </cell>
          <cell r="V200">
            <v>1</v>
          </cell>
          <cell r="W200">
            <v>0</v>
          </cell>
          <cell r="X200">
            <v>0</v>
          </cell>
          <cell r="Y200">
            <v>0</v>
          </cell>
          <cell r="Z200">
            <v>0</v>
          </cell>
          <cell r="AB200">
            <v>0</v>
          </cell>
          <cell r="AC200">
            <v>0</v>
          </cell>
          <cell r="AD200">
            <v>0</v>
          </cell>
          <cell r="AE200">
            <v>0</v>
          </cell>
          <cell r="AF200">
            <v>0</v>
          </cell>
          <cell r="AG200">
            <v>0</v>
          </cell>
          <cell r="AI200"/>
          <cell r="AJ200" t="str">
            <v/>
          </cell>
          <cell r="AK200" t="str">
            <v/>
          </cell>
          <cell r="AL200" t="str">
            <v/>
          </cell>
          <cell r="AM200" t="str">
            <v>x</v>
          </cell>
          <cell r="AN200" t="str">
            <v>x</v>
          </cell>
        </row>
        <row r="201">
          <cell r="B201" t="str">
            <v>Saint Pierre and Miquelon</v>
          </cell>
          <cell r="C201" t="str">
            <v>SPM</v>
          </cell>
          <cell r="D201" t="str">
            <v>SPM</v>
          </cell>
          <cell r="E201" t="str">
            <v/>
          </cell>
          <cell r="F201" t="str">
            <v>Saint Pierre and Miquelon</v>
          </cell>
          <cell r="G201" t="str">
            <v/>
          </cell>
          <cell r="H201" t="e">
            <v>#N/A</v>
          </cell>
          <cell r="I201" t="str">
            <v/>
          </cell>
          <cell r="K201" t="str">
            <v/>
          </cell>
          <cell r="L201" t="str">
            <v/>
          </cell>
          <cell r="M201" t="str">
            <v/>
          </cell>
          <cell r="N201" t="str">
            <v/>
          </cell>
          <cell r="P201">
            <v>0</v>
          </cell>
          <cell r="Q201">
            <v>0</v>
          </cell>
          <cell r="R201">
            <v>0</v>
          </cell>
          <cell r="T201" t="str">
            <v/>
          </cell>
          <cell r="U201" t="str">
            <v/>
          </cell>
          <cell r="V201" t="str">
            <v/>
          </cell>
          <cell r="W201" t="str">
            <v/>
          </cell>
          <cell r="X201" t="str">
            <v/>
          </cell>
          <cell r="Y201" t="str">
            <v/>
          </cell>
          <cell r="Z201" t="str">
            <v/>
          </cell>
          <cell r="AB201">
            <v>0</v>
          </cell>
          <cell r="AC201">
            <v>0</v>
          </cell>
          <cell r="AD201">
            <v>0</v>
          </cell>
          <cell r="AE201">
            <v>0</v>
          </cell>
          <cell r="AF201">
            <v>0</v>
          </cell>
          <cell r="AG201">
            <v>0</v>
          </cell>
          <cell r="AI201"/>
          <cell r="AJ201" t="str">
            <v/>
          </cell>
          <cell r="AK201" t="str">
            <v/>
          </cell>
          <cell r="AL201" t="str">
            <v/>
          </cell>
          <cell r="AM201" t="str">
            <v/>
          </cell>
          <cell r="AN201" t="str">
            <v/>
          </cell>
        </row>
        <row r="202">
          <cell r="B202" t="str">
            <v>Saint Vincent and the Grenadines</v>
          </cell>
          <cell r="C202" t="str">
            <v>VCT</v>
          </cell>
          <cell r="D202" t="str">
            <v>VCT</v>
          </cell>
          <cell r="E202" t="str">
            <v/>
          </cell>
          <cell r="F202" t="str">
            <v>Saint Vincent and the Grenadines</v>
          </cell>
          <cell r="G202" t="str">
            <v/>
          </cell>
          <cell r="H202" t="str">
            <v>St. Vincent and the Grenadines</v>
          </cell>
          <cell r="I202" t="str">
            <v>diff</v>
          </cell>
          <cell r="K202">
            <v>0</v>
          </cell>
          <cell r="L202">
            <v>0</v>
          </cell>
          <cell r="M202">
            <v>1</v>
          </cell>
          <cell r="N202">
            <v>0</v>
          </cell>
          <cell r="P202">
            <v>0</v>
          </cell>
          <cell r="Q202">
            <v>0</v>
          </cell>
          <cell r="R202">
            <v>1</v>
          </cell>
          <cell r="T202">
            <v>0</v>
          </cell>
          <cell r="U202">
            <v>0</v>
          </cell>
          <cell r="V202">
            <v>1</v>
          </cell>
          <cell r="W202">
            <v>0</v>
          </cell>
          <cell r="X202">
            <v>0</v>
          </cell>
          <cell r="Y202">
            <v>0</v>
          </cell>
          <cell r="Z202">
            <v>0</v>
          </cell>
          <cell r="AB202">
            <v>0</v>
          </cell>
          <cell r="AC202">
            <v>0</v>
          </cell>
          <cell r="AD202">
            <v>0</v>
          </cell>
          <cell r="AE202">
            <v>0</v>
          </cell>
          <cell r="AF202">
            <v>0</v>
          </cell>
          <cell r="AG202">
            <v>0</v>
          </cell>
          <cell r="AI202"/>
          <cell r="AJ202" t="str">
            <v/>
          </cell>
          <cell r="AK202" t="str">
            <v/>
          </cell>
          <cell r="AL202" t="str">
            <v/>
          </cell>
          <cell r="AM202" t="str">
            <v>x</v>
          </cell>
          <cell r="AN202" t="str">
            <v>x</v>
          </cell>
        </row>
        <row r="203">
          <cell r="B203" t="str">
            <v>Samoa</v>
          </cell>
          <cell r="C203" t="str">
            <v>WSM</v>
          </cell>
          <cell r="D203" t="str">
            <v>WSM</v>
          </cell>
          <cell r="E203" t="str">
            <v/>
          </cell>
          <cell r="F203" t="str">
            <v>Samoa</v>
          </cell>
          <cell r="G203" t="str">
            <v/>
          </cell>
          <cell r="H203" t="str">
            <v>Samoa</v>
          </cell>
          <cell r="I203" t="str">
            <v/>
          </cell>
          <cell r="K203">
            <v>0</v>
          </cell>
          <cell r="L203">
            <v>1</v>
          </cell>
          <cell r="M203">
            <v>0</v>
          </cell>
          <cell r="N203">
            <v>0</v>
          </cell>
          <cell r="P203">
            <v>0</v>
          </cell>
          <cell r="Q203">
            <v>0</v>
          </cell>
          <cell r="R203">
            <v>1</v>
          </cell>
          <cell r="T203">
            <v>0</v>
          </cell>
          <cell r="U203">
            <v>0</v>
          </cell>
          <cell r="V203">
            <v>0</v>
          </cell>
          <cell r="W203">
            <v>1</v>
          </cell>
          <cell r="X203">
            <v>0</v>
          </cell>
          <cell r="Y203">
            <v>0</v>
          </cell>
          <cell r="Z203">
            <v>0</v>
          </cell>
          <cell r="AB203">
            <v>0</v>
          </cell>
          <cell r="AC203">
            <v>0</v>
          </cell>
          <cell r="AD203">
            <v>0</v>
          </cell>
          <cell r="AE203">
            <v>0</v>
          </cell>
          <cell r="AF203">
            <v>0</v>
          </cell>
          <cell r="AG203">
            <v>0</v>
          </cell>
          <cell r="AI203"/>
          <cell r="AJ203" t="str">
            <v/>
          </cell>
          <cell r="AK203" t="str">
            <v>x</v>
          </cell>
          <cell r="AL203" t="str">
            <v/>
          </cell>
          <cell r="AM203" t="str">
            <v>x</v>
          </cell>
          <cell r="AN203" t="str">
            <v>x</v>
          </cell>
        </row>
        <row r="204">
          <cell r="B204" t="str">
            <v>Sao Tome and Principe</v>
          </cell>
          <cell r="C204" t="str">
            <v>STP</v>
          </cell>
          <cell r="D204" t="str">
            <v>STP</v>
          </cell>
          <cell r="E204" t="str">
            <v/>
          </cell>
          <cell r="F204" t="str">
            <v>Sao Tome and Principe</v>
          </cell>
          <cell r="G204" t="str">
            <v/>
          </cell>
          <cell r="H204" t="str">
            <v>São Tomé and Principe</v>
          </cell>
          <cell r="I204" t="str">
            <v>diff</v>
          </cell>
          <cell r="K204">
            <v>0</v>
          </cell>
          <cell r="L204">
            <v>1</v>
          </cell>
          <cell r="M204">
            <v>0</v>
          </cell>
          <cell r="N204">
            <v>0</v>
          </cell>
          <cell r="P204">
            <v>1</v>
          </cell>
          <cell r="Q204">
            <v>0</v>
          </cell>
          <cell r="R204">
            <v>1</v>
          </cell>
          <cell r="T204">
            <v>0</v>
          </cell>
          <cell r="U204">
            <v>0</v>
          </cell>
          <cell r="V204">
            <v>0</v>
          </cell>
          <cell r="W204">
            <v>0</v>
          </cell>
          <cell r="X204">
            <v>0</v>
          </cell>
          <cell r="Y204">
            <v>0</v>
          </cell>
          <cell r="Z204">
            <v>1</v>
          </cell>
          <cell r="AB204">
            <v>0</v>
          </cell>
          <cell r="AC204">
            <v>0</v>
          </cell>
          <cell r="AD204">
            <v>0</v>
          </cell>
          <cell r="AE204">
            <v>0</v>
          </cell>
          <cell r="AF204">
            <v>0</v>
          </cell>
          <cell r="AG204">
            <v>0</v>
          </cell>
          <cell r="AI204"/>
          <cell r="AJ204" t="str">
            <v/>
          </cell>
          <cell r="AK204" t="str">
            <v>x</v>
          </cell>
          <cell r="AL204" t="str">
            <v>x</v>
          </cell>
          <cell r="AM204" t="str">
            <v>x</v>
          </cell>
          <cell r="AN204" t="str">
            <v>x</v>
          </cell>
        </row>
        <row r="205">
          <cell r="B205" t="str">
            <v>Saudi Arabia</v>
          </cell>
          <cell r="C205" t="str">
            <v>SAU</v>
          </cell>
          <cell r="D205" t="str">
            <v>SAU</v>
          </cell>
          <cell r="E205" t="str">
            <v/>
          </cell>
          <cell r="F205" t="str">
            <v>Saudi Arabia</v>
          </cell>
          <cell r="G205" t="str">
            <v/>
          </cell>
          <cell r="H205" t="str">
            <v>Saudi Arabia</v>
          </cell>
          <cell r="I205" t="str">
            <v/>
          </cell>
          <cell r="K205">
            <v>0</v>
          </cell>
          <cell r="L205">
            <v>0</v>
          </cell>
          <cell r="M205">
            <v>0</v>
          </cell>
          <cell r="N205">
            <v>1</v>
          </cell>
          <cell r="P205">
            <v>0</v>
          </cell>
          <cell r="Q205">
            <v>0</v>
          </cell>
          <cell r="R205">
            <v>0</v>
          </cell>
          <cell r="T205">
            <v>0</v>
          </cell>
          <cell r="U205">
            <v>0</v>
          </cell>
          <cell r="V205">
            <v>0</v>
          </cell>
          <cell r="W205">
            <v>0</v>
          </cell>
          <cell r="X205">
            <v>0</v>
          </cell>
          <cell r="Y205">
            <v>1</v>
          </cell>
          <cell r="Z205">
            <v>0</v>
          </cell>
          <cell r="AB205">
            <v>0</v>
          </cell>
          <cell r="AC205">
            <v>0</v>
          </cell>
          <cell r="AD205">
            <v>0</v>
          </cell>
          <cell r="AE205">
            <v>0</v>
          </cell>
          <cell r="AF205">
            <v>1</v>
          </cell>
          <cell r="AG205">
            <v>0</v>
          </cell>
          <cell r="AI205"/>
          <cell r="AJ205" t="str">
            <v/>
          </cell>
          <cell r="AK205" t="str">
            <v/>
          </cell>
          <cell r="AL205" t="str">
            <v/>
          </cell>
          <cell r="AM205" t="str">
            <v/>
          </cell>
          <cell r="AN205" t="str">
            <v/>
          </cell>
        </row>
        <row r="206">
          <cell r="B206" t="str">
            <v>Senegal</v>
          </cell>
          <cell r="C206" t="str">
            <v>SEN</v>
          </cell>
          <cell r="D206" t="str">
            <v>SEN</v>
          </cell>
          <cell r="E206" t="str">
            <v/>
          </cell>
          <cell r="F206" t="str">
            <v>Senegal</v>
          </cell>
          <cell r="G206" t="str">
            <v/>
          </cell>
          <cell r="H206" t="str">
            <v>Senegal</v>
          </cell>
          <cell r="I206" t="str">
            <v/>
          </cell>
          <cell r="K206">
            <v>0</v>
          </cell>
          <cell r="L206">
            <v>1</v>
          </cell>
          <cell r="M206">
            <v>0</v>
          </cell>
          <cell r="N206">
            <v>0</v>
          </cell>
          <cell r="P206">
            <v>1</v>
          </cell>
          <cell r="Q206">
            <v>0</v>
          </cell>
          <cell r="R206">
            <v>0</v>
          </cell>
          <cell r="T206">
            <v>0</v>
          </cell>
          <cell r="U206">
            <v>0</v>
          </cell>
          <cell r="V206">
            <v>0</v>
          </cell>
          <cell r="W206">
            <v>0</v>
          </cell>
          <cell r="X206">
            <v>0</v>
          </cell>
          <cell r="Y206">
            <v>0</v>
          </cell>
          <cell r="Z206">
            <v>1</v>
          </cell>
          <cell r="AB206">
            <v>0</v>
          </cell>
          <cell r="AC206">
            <v>0</v>
          </cell>
          <cell r="AD206">
            <v>0</v>
          </cell>
          <cell r="AE206">
            <v>0</v>
          </cell>
          <cell r="AF206">
            <v>0</v>
          </cell>
          <cell r="AG206">
            <v>0</v>
          </cell>
          <cell r="AI206"/>
          <cell r="AJ206" t="str">
            <v/>
          </cell>
          <cell r="AK206" t="str">
            <v>x</v>
          </cell>
          <cell r="AL206" t="str">
            <v>x</v>
          </cell>
          <cell r="AM206" t="str">
            <v>x</v>
          </cell>
          <cell r="AN206" t="str">
            <v>x</v>
          </cell>
        </row>
        <row r="207">
          <cell r="B207" t="str">
            <v>Serbia</v>
          </cell>
          <cell r="C207" t="str">
            <v>SRB</v>
          </cell>
          <cell r="D207" t="str">
            <v>SRB</v>
          </cell>
          <cell r="E207" t="str">
            <v/>
          </cell>
          <cell r="F207" t="str">
            <v>Serbia</v>
          </cell>
          <cell r="G207" t="str">
            <v/>
          </cell>
          <cell r="H207" t="str">
            <v>Serbia</v>
          </cell>
          <cell r="I207" t="str">
            <v/>
          </cell>
          <cell r="K207">
            <v>0</v>
          </cell>
          <cell r="L207">
            <v>0</v>
          </cell>
          <cell r="M207">
            <v>1</v>
          </cell>
          <cell r="N207">
            <v>0</v>
          </cell>
          <cell r="P207">
            <v>0</v>
          </cell>
          <cell r="Q207">
            <v>0</v>
          </cell>
          <cell r="R207">
            <v>0</v>
          </cell>
          <cell r="T207">
            <v>1</v>
          </cell>
          <cell r="U207">
            <v>0</v>
          </cell>
          <cell r="V207">
            <v>0</v>
          </cell>
          <cell r="W207">
            <v>0</v>
          </cell>
          <cell r="X207">
            <v>0</v>
          </cell>
          <cell r="Y207">
            <v>0</v>
          </cell>
          <cell r="Z207">
            <v>0</v>
          </cell>
          <cell r="AB207">
            <v>0</v>
          </cell>
          <cell r="AC207">
            <v>0</v>
          </cell>
          <cell r="AD207">
            <v>0</v>
          </cell>
          <cell r="AE207">
            <v>0</v>
          </cell>
          <cell r="AF207">
            <v>0</v>
          </cell>
          <cell r="AG207">
            <v>0</v>
          </cell>
          <cell r="AI207"/>
          <cell r="AJ207" t="str">
            <v/>
          </cell>
          <cell r="AK207" t="str">
            <v/>
          </cell>
          <cell r="AL207" t="str">
            <v/>
          </cell>
          <cell r="AM207" t="str">
            <v/>
          </cell>
          <cell r="AN207" t="str">
            <v/>
          </cell>
        </row>
        <row r="208">
          <cell r="B208" t="str">
            <v>Seychelles</v>
          </cell>
          <cell r="C208" t="str">
            <v>SYC</v>
          </cell>
          <cell r="D208" t="str">
            <v>SYC</v>
          </cell>
          <cell r="E208" t="str">
            <v/>
          </cell>
          <cell r="F208" t="str">
            <v>Seychelles</v>
          </cell>
          <cell r="G208" t="str">
            <v/>
          </cell>
          <cell r="H208" t="str">
            <v>Seychelles</v>
          </cell>
          <cell r="I208" t="str">
            <v/>
          </cell>
          <cell r="K208">
            <v>0</v>
          </cell>
          <cell r="L208">
            <v>0</v>
          </cell>
          <cell r="M208">
            <v>0</v>
          </cell>
          <cell r="N208">
            <v>1</v>
          </cell>
          <cell r="P208">
            <v>0</v>
          </cell>
          <cell r="Q208">
            <v>0</v>
          </cell>
          <cell r="R208">
            <v>1</v>
          </cell>
          <cell r="T208">
            <v>0</v>
          </cell>
          <cell r="U208">
            <v>0</v>
          </cell>
          <cell r="V208">
            <v>0</v>
          </cell>
          <cell r="W208">
            <v>0</v>
          </cell>
          <cell r="X208">
            <v>0</v>
          </cell>
          <cell r="Y208">
            <v>0</v>
          </cell>
          <cell r="Z208">
            <v>1</v>
          </cell>
          <cell r="AB208">
            <v>0</v>
          </cell>
          <cell r="AC208">
            <v>0</v>
          </cell>
          <cell r="AD208">
            <v>0</v>
          </cell>
          <cell r="AE208">
            <v>0</v>
          </cell>
          <cell r="AF208">
            <v>0</v>
          </cell>
          <cell r="AG208">
            <v>0</v>
          </cell>
          <cell r="AI208"/>
          <cell r="AJ208" t="str">
            <v/>
          </cell>
          <cell r="AK208" t="str">
            <v/>
          </cell>
          <cell r="AL208" t="str">
            <v/>
          </cell>
          <cell r="AM208" t="str">
            <v>x</v>
          </cell>
          <cell r="AN208" t="str">
            <v>x</v>
          </cell>
        </row>
        <row r="209">
          <cell r="B209" t="str">
            <v>Sierra Leone</v>
          </cell>
          <cell r="C209" t="str">
            <v>SLE</v>
          </cell>
          <cell r="D209" t="str">
            <v>SLE</v>
          </cell>
          <cell r="E209" t="str">
            <v/>
          </cell>
          <cell r="F209" t="str">
            <v>Sierra Leone</v>
          </cell>
          <cell r="G209" t="str">
            <v/>
          </cell>
          <cell r="H209" t="str">
            <v>Sierra Leone</v>
          </cell>
          <cell r="I209" t="str">
            <v/>
          </cell>
          <cell r="K209">
            <v>1</v>
          </cell>
          <cell r="L209">
            <v>0</v>
          </cell>
          <cell r="M209">
            <v>0</v>
          </cell>
          <cell r="N209">
            <v>0</v>
          </cell>
          <cell r="P209">
            <v>1</v>
          </cell>
          <cell r="Q209">
            <v>0</v>
          </cell>
          <cell r="R209">
            <v>0</v>
          </cell>
          <cell r="T209">
            <v>0</v>
          </cell>
          <cell r="U209">
            <v>0</v>
          </cell>
          <cell r="V209">
            <v>0</v>
          </cell>
          <cell r="W209">
            <v>0</v>
          </cell>
          <cell r="X209">
            <v>0</v>
          </cell>
          <cell r="Y209">
            <v>0</v>
          </cell>
          <cell r="Z209">
            <v>1</v>
          </cell>
          <cell r="AB209">
            <v>0</v>
          </cell>
          <cell r="AC209">
            <v>0</v>
          </cell>
          <cell r="AD209">
            <v>0</v>
          </cell>
          <cell r="AE209">
            <v>0</v>
          </cell>
          <cell r="AF209">
            <v>0</v>
          </cell>
          <cell r="AG209">
            <v>0</v>
          </cell>
          <cell r="AI209"/>
          <cell r="AJ209" t="str">
            <v>x</v>
          </cell>
          <cell r="AK209" t="str">
            <v>x</v>
          </cell>
          <cell r="AL209" t="str">
            <v>x</v>
          </cell>
          <cell r="AM209" t="str">
            <v>x</v>
          </cell>
          <cell r="AN209" t="str">
            <v>x</v>
          </cell>
        </row>
        <row r="210">
          <cell r="B210" t="str">
            <v>Singapore</v>
          </cell>
          <cell r="C210" t="str">
            <v>SGP</v>
          </cell>
          <cell r="D210" t="str">
            <v>SGP</v>
          </cell>
          <cell r="E210" t="str">
            <v/>
          </cell>
          <cell r="F210" t="str">
            <v>Singapore</v>
          </cell>
          <cell r="G210" t="str">
            <v/>
          </cell>
          <cell r="H210" t="str">
            <v>Singapore</v>
          </cell>
          <cell r="I210" t="str">
            <v/>
          </cell>
          <cell r="K210">
            <v>0</v>
          </cell>
          <cell r="L210">
            <v>0</v>
          </cell>
          <cell r="M210">
            <v>0</v>
          </cell>
          <cell r="N210">
            <v>1</v>
          </cell>
          <cell r="P210">
            <v>0</v>
          </cell>
          <cell r="Q210">
            <v>0</v>
          </cell>
          <cell r="R210">
            <v>1</v>
          </cell>
          <cell r="T210">
            <v>0</v>
          </cell>
          <cell r="U210">
            <v>0</v>
          </cell>
          <cell r="V210">
            <v>0</v>
          </cell>
          <cell r="W210">
            <v>1</v>
          </cell>
          <cell r="X210">
            <v>0</v>
          </cell>
          <cell r="Y210">
            <v>0</v>
          </cell>
          <cell r="Z210">
            <v>0</v>
          </cell>
          <cell r="AB210">
            <v>0</v>
          </cell>
          <cell r="AC210">
            <v>0</v>
          </cell>
          <cell r="AD210">
            <v>0</v>
          </cell>
          <cell r="AE210">
            <v>0</v>
          </cell>
          <cell r="AF210">
            <v>0</v>
          </cell>
          <cell r="AG210">
            <v>0</v>
          </cell>
          <cell r="AI210"/>
          <cell r="AJ210" t="str">
            <v/>
          </cell>
          <cell r="AK210" t="str">
            <v/>
          </cell>
          <cell r="AL210" t="str">
            <v/>
          </cell>
          <cell r="AM210" t="str">
            <v>x</v>
          </cell>
          <cell r="AN210" t="str">
            <v>x</v>
          </cell>
        </row>
        <row r="211">
          <cell r="B211" t="str">
            <v>Sint Maarten (Dutch part)</v>
          </cell>
          <cell r="C211" t="str">
            <v>SXM</v>
          </cell>
          <cell r="D211" t="str">
            <v>SXM</v>
          </cell>
          <cell r="E211" t="str">
            <v/>
          </cell>
          <cell r="F211" t="str">
            <v>Sint Maarten (Dutch part)</v>
          </cell>
          <cell r="G211" t="str">
            <v/>
          </cell>
          <cell r="H211" t="str">
            <v>Sint Maarten (Dutch part)</v>
          </cell>
          <cell r="I211" t="str">
            <v/>
          </cell>
          <cell r="K211">
            <v>0</v>
          </cell>
          <cell r="L211">
            <v>0</v>
          </cell>
          <cell r="M211">
            <v>0</v>
          </cell>
          <cell r="N211">
            <v>1</v>
          </cell>
          <cell r="P211">
            <v>0</v>
          </cell>
          <cell r="Q211">
            <v>0</v>
          </cell>
          <cell r="R211">
            <v>1</v>
          </cell>
          <cell r="T211">
            <v>0</v>
          </cell>
          <cell r="U211">
            <v>0</v>
          </cell>
          <cell r="V211">
            <v>1</v>
          </cell>
          <cell r="W211">
            <v>0</v>
          </cell>
          <cell r="X211">
            <v>0</v>
          </cell>
          <cell r="Y211">
            <v>0</v>
          </cell>
          <cell r="Z211">
            <v>0</v>
          </cell>
          <cell r="AB211">
            <v>0</v>
          </cell>
          <cell r="AC211">
            <v>0</v>
          </cell>
          <cell r="AD211">
            <v>0</v>
          </cell>
          <cell r="AE211">
            <v>0</v>
          </cell>
          <cell r="AF211">
            <v>0</v>
          </cell>
          <cell r="AG211">
            <v>0</v>
          </cell>
          <cell r="AI211"/>
          <cell r="AJ211" t="str">
            <v/>
          </cell>
          <cell r="AK211" t="str">
            <v/>
          </cell>
          <cell r="AL211" t="str">
            <v/>
          </cell>
          <cell r="AM211" t="str">
            <v>x</v>
          </cell>
          <cell r="AN211" t="str">
            <v>x</v>
          </cell>
        </row>
        <row r="212">
          <cell r="B212" t="str">
            <v>Slovakia</v>
          </cell>
          <cell r="C212" t="str">
            <v>SVK</v>
          </cell>
          <cell r="D212" t="str">
            <v>SVK</v>
          </cell>
          <cell r="E212" t="str">
            <v/>
          </cell>
          <cell r="F212" t="str">
            <v>Slovakia</v>
          </cell>
          <cell r="G212" t="str">
            <v/>
          </cell>
          <cell r="H212" t="str">
            <v>Slovak Republic</v>
          </cell>
          <cell r="I212" t="str">
            <v>diff</v>
          </cell>
          <cell r="K212">
            <v>0</v>
          </cell>
          <cell r="L212">
            <v>0</v>
          </cell>
          <cell r="M212">
            <v>0</v>
          </cell>
          <cell r="N212">
            <v>1</v>
          </cell>
          <cell r="P212">
            <v>0</v>
          </cell>
          <cell r="Q212">
            <v>0</v>
          </cell>
          <cell r="R212">
            <v>0</v>
          </cell>
          <cell r="T212">
            <v>1</v>
          </cell>
          <cell r="U212">
            <v>0</v>
          </cell>
          <cell r="V212">
            <v>0</v>
          </cell>
          <cell r="W212">
            <v>0</v>
          </cell>
          <cell r="X212">
            <v>0</v>
          </cell>
          <cell r="Y212">
            <v>0</v>
          </cell>
          <cell r="Z212">
            <v>0</v>
          </cell>
          <cell r="AB212">
            <v>1</v>
          </cell>
          <cell r="AC212">
            <v>1</v>
          </cell>
          <cell r="AD212">
            <v>0</v>
          </cell>
          <cell r="AE212">
            <v>0</v>
          </cell>
          <cell r="AF212">
            <v>0</v>
          </cell>
          <cell r="AG212">
            <v>0</v>
          </cell>
          <cell r="AI212"/>
          <cell r="AJ212" t="str">
            <v/>
          </cell>
          <cell r="AK212" t="str">
            <v/>
          </cell>
          <cell r="AL212" t="str">
            <v/>
          </cell>
          <cell r="AM212" t="str">
            <v/>
          </cell>
          <cell r="AN212" t="str">
            <v/>
          </cell>
        </row>
        <row r="213">
          <cell r="B213" t="str">
            <v>Slovenia</v>
          </cell>
          <cell r="C213" t="str">
            <v>SVN</v>
          </cell>
          <cell r="D213" t="str">
            <v>SVN</v>
          </cell>
          <cell r="E213" t="str">
            <v/>
          </cell>
          <cell r="F213" t="str">
            <v>Slovenia</v>
          </cell>
          <cell r="G213" t="str">
            <v/>
          </cell>
          <cell r="H213" t="str">
            <v>Slovenia</v>
          </cell>
          <cell r="I213" t="str">
            <v/>
          </cell>
          <cell r="K213">
            <v>0</v>
          </cell>
          <cell r="L213">
            <v>0</v>
          </cell>
          <cell r="M213">
            <v>0</v>
          </cell>
          <cell r="N213">
            <v>1</v>
          </cell>
          <cell r="P213">
            <v>0</v>
          </cell>
          <cell r="Q213">
            <v>0</v>
          </cell>
          <cell r="R213">
            <v>0</v>
          </cell>
          <cell r="T213">
            <v>1</v>
          </cell>
          <cell r="U213">
            <v>0</v>
          </cell>
          <cell r="V213">
            <v>0</v>
          </cell>
          <cell r="W213">
            <v>0</v>
          </cell>
          <cell r="X213">
            <v>0</v>
          </cell>
          <cell r="Y213">
            <v>0</v>
          </cell>
          <cell r="Z213">
            <v>0</v>
          </cell>
          <cell r="AB213">
            <v>1</v>
          </cell>
          <cell r="AC213">
            <v>1</v>
          </cell>
          <cell r="AD213">
            <v>0</v>
          </cell>
          <cell r="AE213">
            <v>0</v>
          </cell>
          <cell r="AF213">
            <v>0</v>
          </cell>
          <cell r="AG213">
            <v>0</v>
          </cell>
          <cell r="AI213"/>
          <cell r="AJ213" t="str">
            <v/>
          </cell>
          <cell r="AK213" t="str">
            <v/>
          </cell>
          <cell r="AL213" t="str">
            <v/>
          </cell>
          <cell r="AM213" t="str">
            <v/>
          </cell>
          <cell r="AN213" t="str">
            <v/>
          </cell>
        </row>
        <row r="214">
          <cell r="B214" t="str">
            <v>Solomon Islands</v>
          </cell>
          <cell r="C214" t="str">
            <v>SLB</v>
          </cell>
          <cell r="D214" t="str">
            <v>SLB</v>
          </cell>
          <cell r="E214" t="str">
            <v/>
          </cell>
          <cell r="F214" t="str">
            <v>Solomon Islands</v>
          </cell>
          <cell r="G214" t="str">
            <v/>
          </cell>
          <cell r="H214" t="str">
            <v>Solomon Islands</v>
          </cell>
          <cell r="I214" t="str">
            <v/>
          </cell>
          <cell r="K214">
            <v>0</v>
          </cell>
          <cell r="L214">
            <v>1</v>
          </cell>
          <cell r="M214">
            <v>0</v>
          </cell>
          <cell r="N214">
            <v>0</v>
          </cell>
          <cell r="P214">
            <v>1</v>
          </cell>
          <cell r="Q214">
            <v>0</v>
          </cell>
          <cell r="R214">
            <v>1</v>
          </cell>
          <cell r="T214">
            <v>0</v>
          </cell>
          <cell r="U214">
            <v>0</v>
          </cell>
          <cell r="V214">
            <v>0</v>
          </cell>
          <cell r="W214">
            <v>1</v>
          </cell>
          <cell r="X214">
            <v>0</v>
          </cell>
          <cell r="Y214">
            <v>0</v>
          </cell>
          <cell r="Z214">
            <v>0</v>
          </cell>
          <cell r="AB214">
            <v>0</v>
          </cell>
          <cell r="AC214">
            <v>0</v>
          </cell>
          <cell r="AD214">
            <v>0</v>
          </cell>
          <cell r="AE214">
            <v>0</v>
          </cell>
          <cell r="AF214">
            <v>0</v>
          </cell>
          <cell r="AG214">
            <v>0</v>
          </cell>
          <cell r="AI214"/>
          <cell r="AJ214" t="str">
            <v/>
          </cell>
          <cell r="AK214" t="str">
            <v>x</v>
          </cell>
          <cell r="AL214" t="str">
            <v>x</v>
          </cell>
          <cell r="AM214" t="str">
            <v>x</v>
          </cell>
          <cell r="AN214" t="str">
            <v>x</v>
          </cell>
        </row>
        <row r="215">
          <cell r="B215" t="str">
            <v>Somalia</v>
          </cell>
          <cell r="C215" t="str">
            <v>SOM</v>
          </cell>
          <cell r="D215" t="str">
            <v>SOM</v>
          </cell>
          <cell r="E215" t="str">
            <v/>
          </cell>
          <cell r="F215" t="str">
            <v>Somalia</v>
          </cell>
          <cell r="G215" t="str">
            <v/>
          </cell>
          <cell r="H215" t="str">
            <v>Somalia</v>
          </cell>
          <cell r="I215" t="str">
            <v/>
          </cell>
          <cell r="K215">
            <v>1</v>
          </cell>
          <cell r="L215">
            <v>0</v>
          </cell>
          <cell r="M215">
            <v>0</v>
          </cell>
          <cell r="N215">
            <v>0</v>
          </cell>
          <cell r="P215">
            <v>1</v>
          </cell>
          <cell r="Q215">
            <v>0</v>
          </cell>
          <cell r="R215">
            <v>0</v>
          </cell>
          <cell r="T215">
            <v>0</v>
          </cell>
          <cell r="U215">
            <v>0</v>
          </cell>
          <cell r="V215">
            <v>0</v>
          </cell>
          <cell r="W215">
            <v>0</v>
          </cell>
          <cell r="X215">
            <v>0</v>
          </cell>
          <cell r="Y215">
            <v>0</v>
          </cell>
          <cell r="Z215">
            <v>1</v>
          </cell>
          <cell r="AB215">
            <v>0</v>
          </cell>
          <cell r="AC215">
            <v>0</v>
          </cell>
          <cell r="AD215">
            <v>0</v>
          </cell>
          <cell r="AE215">
            <v>0</v>
          </cell>
          <cell r="AF215">
            <v>0</v>
          </cell>
          <cell r="AG215">
            <v>0</v>
          </cell>
          <cell r="AI215"/>
          <cell r="AJ215" t="str">
            <v>x</v>
          </cell>
          <cell r="AK215" t="str">
            <v>x</v>
          </cell>
          <cell r="AL215" t="str">
            <v>x</v>
          </cell>
          <cell r="AM215" t="str">
            <v>x</v>
          </cell>
          <cell r="AN215" t="str">
            <v>x</v>
          </cell>
        </row>
        <row r="216">
          <cell r="B216" t="str">
            <v>South Africa</v>
          </cell>
          <cell r="C216" t="str">
            <v>ZAF</v>
          </cell>
          <cell r="D216" t="str">
            <v>ZAF</v>
          </cell>
          <cell r="E216" t="str">
            <v/>
          </cell>
          <cell r="F216" t="str">
            <v>South Africa</v>
          </cell>
          <cell r="G216" t="str">
            <v/>
          </cell>
          <cell r="H216" t="str">
            <v>South Africa</v>
          </cell>
          <cell r="I216" t="str">
            <v/>
          </cell>
          <cell r="K216">
            <v>0</v>
          </cell>
          <cell r="L216">
            <v>0</v>
          </cell>
          <cell r="M216">
            <v>1</v>
          </cell>
          <cell r="N216">
            <v>0</v>
          </cell>
          <cell r="P216">
            <v>0</v>
          </cell>
          <cell r="Q216">
            <v>0</v>
          </cell>
          <cell r="R216">
            <v>0</v>
          </cell>
          <cell r="T216">
            <v>0</v>
          </cell>
          <cell r="U216">
            <v>0</v>
          </cell>
          <cell r="V216">
            <v>0</v>
          </cell>
          <cell r="W216">
            <v>0</v>
          </cell>
          <cell r="X216">
            <v>0</v>
          </cell>
          <cell r="Y216">
            <v>0</v>
          </cell>
          <cell r="Z216">
            <v>1</v>
          </cell>
          <cell r="AB216">
            <v>0</v>
          </cell>
          <cell r="AC216">
            <v>0</v>
          </cell>
          <cell r="AD216">
            <v>1</v>
          </cell>
          <cell r="AE216">
            <v>0</v>
          </cell>
          <cell r="AF216">
            <v>1</v>
          </cell>
          <cell r="AG216">
            <v>0</v>
          </cell>
          <cell r="AI216"/>
          <cell r="AJ216" t="str">
            <v/>
          </cell>
          <cell r="AK216" t="str">
            <v/>
          </cell>
          <cell r="AL216" t="str">
            <v/>
          </cell>
          <cell r="AM216" t="str">
            <v/>
          </cell>
          <cell r="AN216" t="str">
            <v/>
          </cell>
        </row>
        <row r="217">
          <cell r="B217" t="str">
            <v>South America</v>
          </cell>
          <cell r="D217" t="str">
            <v/>
          </cell>
          <cell r="E217" t="str">
            <v/>
          </cell>
          <cell r="F217" t="str">
            <v/>
          </cell>
          <cell r="G217" t="str">
            <v/>
          </cell>
          <cell r="H217" t="str">
            <v/>
          </cell>
          <cell r="I217" t="str">
            <v/>
          </cell>
          <cell r="K217" t="str">
            <v/>
          </cell>
          <cell r="L217" t="str">
            <v/>
          </cell>
          <cell r="M217" t="str">
            <v/>
          </cell>
          <cell r="N217" t="str">
            <v/>
          </cell>
          <cell r="P217" t="str">
            <v/>
          </cell>
          <cell r="Q217" t="str">
            <v/>
          </cell>
          <cell r="R217" t="str">
            <v/>
          </cell>
          <cell r="T217" t="str">
            <v/>
          </cell>
          <cell r="U217" t="str">
            <v/>
          </cell>
          <cell r="V217" t="str">
            <v/>
          </cell>
          <cell r="W217" t="str">
            <v/>
          </cell>
          <cell r="X217" t="str">
            <v/>
          </cell>
          <cell r="Y217" t="str">
            <v/>
          </cell>
          <cell r="Z217" t="str">
            <v/>
          </cell>
          <cell r="AB217">
            <v>0</v>
          </cell>
          <cell r="AC217">
            <v>0</v>
          </cell>
          <cell r="AD217">
            <v>0</v>
          </cell>
          <cell r="AE217">
            <v>0</v>
          </cell>
          <cell r="AF217">
            <v>0</v>
          </cell>
          <cell r="AG217">
            <v>0</v>
          </cell>
          <cell r="AI217"/>
          <cell r="AJ217" t="str">
            <v/>
          </cell>
          <cell r="AK217" t="str">
            <v/>
          </cell>
          <cell r="AL217" t="str">
            <v/>
          </cell>
          <cell r="AM217" t="str">
            <v/>
          </cell>
          <cell r="AN217" t="str">
            <v/>
          </cell>
        </row>
        <row r="218">
          <cell r="B218" t="str">
            <v>South America (GCP)</v>
          </cell>
          <cell r="D218" t="str">
            <v/>
          </cell>
          <cell r="E218" t="str">
            <v/>
          </cell>
          <cell r="F218" t="str">
            <v/>
          </cell>
          <cell r="G218" t="str">
            <v/>
          </cell>
          <cell r="H218" t="str">
            <v/>
          </cell>
          <cell r="I218" t="str">
            <v/>
          </cell>
          <cell r="K218" t="str">
            <v/>
          </cell>
          <cell r="L218" t="str">
            <v/>
          </cell>
          <cell r="M218" t="str">
            <v/>
          </cell>
          <cell r="N218" t="str">
            <v/>
          </cell>
          <cell r="P218" t="str">
            <v/>
          </cell>
          <cell r="Q218" t="str">
            <v/>
          </cell>
          <cell r="R218" t="str">
            <v/>
          </cell>
          <cell r="T218" t="str">
            <v/>
          </cell>
          <cell r="U218" t="str">
            <v/>
          </cell>
          <cell r="V218" t="str">
            <v/>
          </cell>
          <cell r="W218" t="str">
            <v/>
          </cell>
          <cell r="X218" t="str">
            <v/>
          </cell>
          <cell r="Y218" t="str">
            <v/>
          </cell>
          <cell r="Z218" t="str">
            <v/>
          </cell>
          <cell r="AB218">
            <v>0</v>
          </cell>
          <cell r="AC218">
            <v>0</v>
          </cell>
          <cell r="AD218">
            <v>0</v>
          </cell>
          <cell r="AE218">
            <v>0</v>
          </cell>
          <cell r="AF218">
            <v>0</v>
          </cell>
          <cell r="AG218">
            <v>0</v>
          </cell>
          <cell r="AI218"/>
          <cell r="AJ218" t="str">
            <v/>
          </cell>
          <cell r="AK218" t="str">
            <v/>
          </cell>
          <cell r="AL218" t="str">
            <v/>
          </cell>
          <cell r="AM218" t="str">
            <v/>
          </cell>
          <cell r="AN218" t="str">
            <v/>
          </cell>
        </row>
        <row r="219">
          <cell r="B219" t="str">
            <v>South Korea</v>
          </cell>
          <cell r="C219" t="str">
            <v>KOR</v>
          </cell>
          <cell r="D219" t="str">
            <v>KOR</v>
          </cell>
          <cell r="E219" t="str">
            <v/>
          </cell>
          <cell r="F219" t="str">
            <v>Republic of Korea</v>
          </cell>
          <cell r="G219" t="str">
            <v>diff</v>
          </cell>
          <cell r="H219" t="str">
            <v>Korea, Rep.</v>
          </cell>
          <cell r="I219" t="str">
            <v>diff</v>
          </cell>
          <cell r="K219">
            <v>0</v>
          </cell>
          <cell r="L219">
            <v>0</v>
          </cell>
          <cell r="M219">
            <v>0</v>
          </cell>
          <cell r="N219">
            <v>1</v>
          </cell>
          <cell r="P219">
            <v>0</v>
          </cell>
          <cell r="Q219">
            <v>0</v>
          </cell>
          <cell r="R219">
            <v>0</v>
          </cell>
          <cell r="T219">
            <v>0</v>
          </cell>
          <cell r="U219">
            <v>0</v>
          </cell>
          <cell r="V219">
            <v>0</v>
          </cell>
          <cell r="W219">
            <v>1</v>
          </cell>
          <cell r="X219">
            <v>0</v>
          </cell>
          <cell r="Y219">
            <v>0</v>
          </cell>
          <cell r="Z219">
            <v>0</v>
          </cell>
          <cell r="AB219">
            <v>1</v>
          </cell>
          <cell r="AC219">
            <v>0</v>
          </cell>
          <cell r="AD219">
            <v>0</v>
          </cell>
          <cell r="AE219">
            <v>0</v>
          </cell>
          <cell r="AF219">
            <v>1</v>
          </cell>
          <cell r="AG219">
            <v>0</v>
          </cell>
          <cell r="AI219"/>
          <cell r="AJ219" t="str">
            <v/>
          </cell>
          <cell r="AK219" t="str">
            <v/>
          </cell>
          <cell r="AL219" t="str">
            <v/>
          </cell>
          <cell r="AM219" t="str">
            <v/>
          </cell>
          <cell r="AN219" t="str">
            <v/>
          </cell>
        </row>
        <row r="220">
          <cell r="B220" t="str">
            <v>South Sudan</v>
          </cell>
          <cell r="C220" t="str">
            <v>SSD</v>
          </cell>
          <cell r="D220" t="str">
            <v>SSD</v>
          </cell>
          <cell r="E220" t="str">
            <v/>
          </cell>
          <cell r="F220" t="str">
            <v>South Sudan</v>
          </cell>
          <cell r="G220" t="str">
            <v/>
          </cell>
          <cell r="H220" t="str">
            <v>South Sudan</v>
          </cell>
          <cell r="I220" t="str">
            <v/>
          </cell>
          <cell r="K220">
            <v>1</v>
          </cell>
          <cell r="L220">
            <v>0</v>
          </cell>
          <cell r="M220">
            <v>0</v>
          </cell>
          <cell r="N220">
            <v>0</v>
          </cell>
          <cell r="P220">
            <v>1</v>
          </cell>
          <cell r="Q220">
            <v>1</v>
          </cell>
          <cell r="R220">
            <v>0</v>
          </cell>
          <cell r="T220">
            <v>0</v>
          </cell>
          <cell r="U220">
            <v>0</v>
          </cell>
          <cell r="V220">
            <v>0</v>
          </cell>
          <cell r="W220">
            <v>0</v>
          </cell>
          <cell r="X220">
            <v>0</v>
          </cell>
          <cell r="Y220">
            <v>0</v>
          </cell>
          <cell r="Z220">
            <v>1</v>
          </cell>
          <cell r="AB220">
            <v>0</v>
          </cell>
          <cell r="AC220">
            <v>0</v>
          </cell>
          <cell r="AD220">
            <v>0</v>
          </cell>
          <cell r="AE220">
            <v>0</v>
          </cell>
          <cell r="AF220">
            <v>0</v>
          </cell>
          <cell r="AG220">
            <v>0</v>
          </cell>
          <cell r="AI220"/>
          <cell r="AJ220" t="str">
            <v>x</v>
          </cell>
          <cell r="AK220" t="str">
            <v>x</v>
          </cell>
          <cell r="AL220" t="str">
            <v>x</v>
          </cell>
          <cell r="AM220" t="str">
            <v>x</v>
          </cell>
          <cell r="AN220" t="str">
            <v>x</v>
          </cell>
        </row>
        <row r="221">
          <cell r="B221" t="str">
            <v>Spain</v>
          </cell>
          <cell r="C221" t="str">
            <v>ESP</v>
          </cell>
          <cell r="D221" t="str">
            <v>ESP</v>
          </cell>
          <cell r="E221" t="str">
            <v/>
          </cell>
          <cell r="F221" t="str">
            <v>Spain</v>
          </cell>
          <cell r="G221" t="str">
            <v/>
          </cell>
          <cell r="H221" t="str">
            <v>Spain</v>
          </cell>
          <cell r="I221" t="str">
            <v/>
          </cell>
          <cell r="K221">
            <v>0</v>
          </cell>
          <cell r="L221">
            <v>0</v>
          </cell>
          <cell r="M221">
            <v>0</v>
          </cell>
          <cell r="N221">
            <v>1</v>
          </cell>
          <cell r="P221">
            <v>0</v>
          </cell>
          <cell r="Q221">
            <v>0</v>
          </cell>
          <cell r="R221">
            <v>0</v>
          </cell>
          <cell r="T221">
            <v>1</v>
          </cell>
          <cell r="U221">
            <v>0</v>
          </cell>
          <cell r="V221">
            <v>0</v>
          </cell>
          <cell r="W221">
            <v>0</v>
          </cell>
          <cell r="X221">
            <v>0</v>
          </cell>
          <cell r="Y221">
            <v>0</v>
          </cell>
          <cell r="Z221">
            <v>0</v>
          </cell>
          <cell r="AB221">
            <v>1</v>
          </cell>
          <cell r="AC221">
            <v>1</v>
          </cell>
          <cell r="AD221">
            <v>0</v>
          </cell>
          <cell r="AE221">
            <v>0</v>
          </cell>
          <cell r="AF221">
            <v>0</v>
          </cell>
          <cell r="AG221">
            <v>1</v>
          </cell>
          <cell r="AI221"/>
          <cell r="AJ221" t="str">
            <v/>
          </cell>
          <cell r="AK221" t="str">
            <v/>
          </cell>
          <cell r="AL221" t="str">
            <v/>
          </cell>
          <cell r="AM221" t="str">
            <v/>
          </cell>
          <cell r="AN221" t="str">
            <v/>
          </cell>
        </row>
        <row r="222">
          <cell r="B222" t="str">
            <v>Sri Lanka</v>
          </cell>
          <cell r="C222" t="str">
            <v>LKA</v>
          </cell>
          <cell r="D222" t="str">
            <v>LKA</v>
          </cell>
          <cell r="E222" t="str">
            <v/>
          </cell>
          <cell r="F222" t="str">
            <v>Sri Lanka</v>
          </cell>
          <cell r="G222" t="str">
            <v/>
          </cell>
          <cell r="H222" t="str">
            <v>Sri Lanka</v>
          </cell>
          <cell r="I222" t="str">
            <v/>
          </cell>
          <cell r="K222">
            <v>0</v>
          </cell>
          <cell r="L222">
            <v>1</v>
          </cell>
          <cell r="M222">
            <v>0</v>
          </cell>
          <cell r="N222">
            <v>0</v>
          </cell>
          <cell r="P222">
            <v>0</v>
          </cell>
          <cell r="Q222">
            <v>0</v>
          </cell>
          <cell r="R222">
            <v>0</v>
          </cell>
          <cell r="T222">
            <v>0</v>
          </cell>
          <cell r="U222">
            <v>0</v>
          </cell>
          <cell r="V222">
            <v>0</v>
          </cell>
          <cell r="W222">
            <v>0</v>
          </cell>
          <cell r="X222">
            <v>1</v>
          </cell>
          <cell r="Y222">
            <v>0</v>
          </cell>
          <cell r="Z222">
            <v>0</v>
          </cell>
          <cell r="AB222">
            <v>0</v>
          </cell>
          <cell r="AC222">
            <v>0</v>
          </cell>
          <cell r="AD222">
            <v>0</v>
          </cell>
          <cell r="AE222">
            <v>0</v>
          </cell>
          <cell r="AF222">
            <v>0</v>
          </cell>
          <cell r="AG222">
            <v>0</v>
          </cell>
          <cell r="AI222"/>
          <cell r="AJ222" t="str">
            <v/>
          </cell>
          <cell r="AK222" t="str">
            <v>x</v>
          </cell>
          <cell r="AL222" t="str">
            <v/>
          </cell>
          <cell r="AM222" t="str">
            <v/>
          </cell>
          <cell r="AN222" t="str">
            <v>x</v>
          </cell>
        </row>
        <row r="223">
          <cell r="B223" t="str">
            <v>Sudan</v>
          </cell>
          <cell r="C223" t="str">
            <v>SDN</v>
          </cell>
          <cell r="D223" t="str">
            <v>SDN</v>
          </cell>
          <cell r="E223" t="str">
            <v/>
          </cell>
          <cell r="F223" t="str">
            <v>Sudan</v>
          </cell>
          <cell r="G223" t="str">
            <v/>
          </cell>
          <cell r="H223" t="str">
            <v>Sudan</v>
          </cell>
          <cell r="I223" t="str">
            <v/>
          </cell>
          <cell r="K223">
            <v>1</v>
          </cell>
          <cell r="L223">
            <v>0</v>
          </cell>
          <cell r="M223">
            <v>0</v>
          </cell>
          <cell r="N223">
            <v>0</v>
          </cell>
          <cell r="P223">
            <v>1</v>
          </cell>
          <cell r="Q223">
            <v>0</v>
          </cell>
          <cell r="R223">
            <v>0</v>
          </cell>
          <cell r="T223">
            <v>0</v>
          </cell>
          <cell r="U223">
            <v>0</v>
          </cell>
          <cell r="V223">
            <v>0</v>
          </cell>
          <cell r="W223">
            <v>0</v>
          </cell>
          <cell r="X223">
            <v>0</v>
          </cell>
          <cell r="Y223">
            <v>0</v>
          </cell>
          <cell r="Z223">
            <v>1</v>
          </cell>
          <cell r="AB223">
            <v>0</v>
          </cell>
          <cell r="AC223">
            <v>0</v>
          </cell>
          <cell r="AD223">
            <v>0</v>
          </cell>
          <cell r="AE223">
            <v>0</v>
          </cell>
          <cell r="AF223">
            <v>0</v>
          </cell>
          <cell r="AG223">
            <v>0</v>
          </cell>
          <cell r="AI223"/>
          <cell r="AJ223" t="str">
            <v>x</v>
          </cell>
          <cell r="AK223" t="str">
            <v>x</v>
          </cell>
          <cell r="AL223" t="str">
            <v>x</v>
          </cell>
          <cell r="AM223" t="str">
            <v>x</v>
          </cell>
          <cell r="AN223" t="str">
            <v>x</v>
          </cell>
        </row>
        <row r="224">
          <cell r="B224" t="str">
            <v>Suriname</v>
          </cell>
          <cell r="C224" t="str">
            <v>SUR</v>
          </cell>
          <cell r="D224" t="str">
            <v>SUR</v>
          </cell>
          <cell r="E224" t="str">
            <v/>
          </cell>
          <cell r="F224" t="str">
            <v>Suriname</v>
          </cell>
          <cell r="G224" t="str">
            <v/>
          </cell>
          <cell r="H224" t="str">
            <v>Suriname</v>
          </cell>
          <cell r="I224" t="str">
            <v/>
          </cell>
          <cell r="K224">
            <v>0</v>
          </cell>
          <cell r="L224">
            <v>0</v>
          </cell>
          <cell r="M224">
            <v>1</v>
          </cell>
          <cell r="N224">
            <v>0</v>
          </cell>
          <cell r="P224">
            <v>0</v>
          </cell>
          <cell r="Q224">
            <v>0</v>
          </cell>
          <cell r="R224">
            <v>1</v>
          </cell>
          <cell r="T224">
            <v>0</v>
          </cell>
          <cell r="U224">
            <v>0</v>
          </cell>
          <cell r="V224">
            <v>1</v>
          </cell>
          <cell r="W224">
            <v>0</v>
          </cell>
          <cell r="X224">
            <v>0</v>
          </cell>
          <cell r="Y224">
            <v>0</v>
          </cell>
          <cell r="Z224">
            <v>0</v>
          </cell>
          <cell r="AB224">
            <v>0</v>
          </cell>
          <cell r="AC224">
            <v>0</v>
          </cell>
          <cell r="AD224">
            <v>0</v>
          </cell>
          <cell r="AE224">
            <v>0</v>
          </cell>
          <cell r="AF224">
            <v>0</v>
          </cell>
          <cell r="AG224">
            <v>0</v>
          </cell>
          <cell r="AI224"/>
          <cell r="AJ224" t="str">
            <v/>
          </cell>
          <cell r="AK224" t="str">
            <v/>
          </cell>
          <cell r="AL224" t="str">
            <v/>
          </cell>
          <cell r="AM224" t="str">
            <v>x</v>
          </cell>
          <cell r="AN224" t="str">
            <v>x</v>
          </cell>
        </row>
        <row r="225">
          <cell r="B225" t="str">
            <v>Sweden</v>
          </cell>
          <cell r="C225" t="str">
            <v>SWE</v>
          </cell>
          <cell r="D225" t="str">
            <v>SWE</v>
          </cell>
          <cell r="E225" t="str">
            <v/>
          </cell>
          <cell r="F225" t="str">
            <v>Sweden</v>
          </cell>
          <cell r="G225" t="str">
            <v/>
          </cell>
          <cell r="H225" t="str">
            <v>Sweden</v>
          </cell>
          <cell r="I225" t="str">
            <v/>
          </cell>
          <cell r="K225">
            <v>0</v>
          </cell>
          <cell r="L225">
            <v>0</v>
          </cell>
          <cell r="M225">
            <v>0</v>
          </cell>
          <cell r="N225">
            <v>1</v>
          </cell>
          <cell r="P225">
            <v>0</v>
          </cell>
          <cell r="Q225">
            <v>0</v>
          </cell>
          <cell r="R225">
            <v>0</v>
          </cell>
          <cell r="T225">
            <v>1</v>
          </cell>
          <cell r="U225">
            <v>0</v>
          </cell>
          <cell r="V225">
            <v>0</v>
          </cell>
          <cell r="W225">
            <v>0</v>
          </cell>
          <cell r="X225">
            <v>0</v>
          </cell>
          <cell r="Y225">
            <v>0</v>
          </cell>
          <cell r="Z225">
            <v>0</v>
          </cell>
          <cell r="AB225">
            <v>1</v>
          </cell>
          <cell r="AC225">
            <v>1</v>
          </cell>
          <cell r="AD225">
            <v>0</v>
          </cell>
          <cell r="AE225">
            <v>0</v>
          </cell>
          <cell r="AF225">
            <v>0</v>
          </cell>
          <cell r="AG225">
            <v>1</v>
          </cell>
          <cell r="AI225"/>
          <cell r="AJ225" t="str">
            <v/>
          </cell>
          <cell r="AK225" t="str">
            <v/>
          </cell>
          <cell r="AL225" t="str">
            <v/>
          </cell>
          <cell r="AM225" t="str">
            <v/>
          </cell>
          <cell r="AN225" t="str">
            <v/>
          </cell>
        </row>
        <row r="226">
          <cell r="B226" t="str">
            <v>Switzerland</v>
          </cell>
          <cell r="C226" t="str">
            <v>CHE</v>
          </cell>
          <cell r="D226" t="str">
            <v>CHE</v>
          </cell>
          <cell r="E226" t="str">
            <v/>
          </cell>
          <cell r="F226" t="str">
            <v>Switzerland</v>
          </cell>
          <cell r="G226" t="str">
            <v/>
          </cell>
          <cell r="H226" t="str">
            <v>Switzerland</v>
          </cell>
          <cell r="I226" t="str">
            <v/>
          </cell>
          <cell r="K226">
            <v>0</v>
          </cell>
          <cell r="L226">
            <v>0</v>
          </cell>
          <cell r="M226">
            <v>0</v>
          </cell>
          <cell r="N226">
            <v>1</v>
          </cell>
          <cell r="P226">
            <v>0</v>
          </cell>
          <cell r="Q226">
            <v>0</v>
          </cell>
          <cell r="R226">
            <v>0</v>
          </cell>
          <cell r="T226">
            <v>1</v>
          </cell>
          <cell r="U226">
            <v>0</v>
          </cell>
          <cell r="V226">
            <v>0</v>
          </cell>
          <cell r="W226">
            <v>0</v>
          </cell>
          <cell r="X226">
            <v>0</v>
          </cell>
          <cell r="Y226">
            <v>0</v>
          </cell>
          <cell r="Z226">
            <v>0</v>
          </cell>
          <cell r="AB226">
            <v>1</v>
          </cell>
          <cell r="AC226">
            <v>0</v>
          </cell>
          <cell r="AD226">
            <v>0</v>
          </cell>
          <cell r="AE226">
            <v>0</v>
          </cell>
          <cell r="AF226">
            <v>0</v>
          </cell>
          <cell r="AG226">
            <v>1</v>
          </cell>
          <cell r="AI226"/>
          <cell r="AJ226" t="str">
            <v/>
          </cell>
          <cell r="AK226" t="str">
            <v/>
          </cell>
          <cell r="AL226" t="str">
            <v/>
          </cell>
          <cell r="AM226" t="str">
            <v/>
          </cell>
          <cell r="AN226" t="str">
            <v/>
          </cell>
        </row>
        <row r="227">
          <cell r="B227" t="str">
            <v>Syria</v>
          </cell>
          <cell r="C227" t="str">
            <v>SYR</v>
          </cell>
          <cell r="D227" t="str">
            <v>SYR</v>
          </cell>
          <cell r="E227" t="str">
            <v/>
          </cell>
          <cell r="F227" t="str">
            <v>Syrian Arab Republic</v>
          </cell>
          <cell r="G227" t="str">
            <v>diff</v>
          </cell>
          <cell r="H227" t="str">
            <v>Syrian Arab Republic</v>
          </cell>
          <cell r="I227" t="str">
            <v>diff</v>
          </cell>
          <cell r="K227">
            <v>1</v>
          </cell>
          <cell r="L227">
            <v>0</v>
          </cell>
          <cell r="M227">
            <v>0</v>
          </cell>
          <cell r="N227">
            <v>0</v>
          </cell>
          <cell r="P227">
            <v>0</v>
          </cell>
          <cell r="Q227">
            <v>0</v>
          </cell>
          <cell r="R227">
            <v>0</v>
          </cell>
          <cell r="T227">
            <v>0</v>
          </cell>
          <cell r="U227">
            <v>0</v>
          </cell>
          <cell r="V227">
            <v>0</v>
          </cell>
          <cell r="W227">
            <v>0</v>
          </cell>
          <cell r="X227">
            <v>0</v>
          </cell>
          <cell r="Y227">
            <v>1</v>
          </cell>
          <cell r="Z227">
            <v>0</v>
          </cell>
          <cell r="AB227">
            <v>0</v>
          </cell>
          <cell r="AC227">
            <v>0</v>
          </cell>
          <cell r="AD227">
            <v>0</v>
          </cell>
          <cell r="AE227">
            <v>0</v>
          </cell>
          <cell r="AF227">
            <v>0</v>
          </cell>
          <cell r="AG227">
            <v>0</v>
          </cell>
          <cell r="AI227"/>
          <cell r="AJ227" t="str">
            <v>x</v>
          </cell>
          <cell r="AK227" t="str">
            <v>x</v>
          </cell>
          <cell r="AL227" t="str">
            <v>x</v>
          </cell>
          <cell r="AM227" t="str">
            <v>x</v>
          </cell>
          <cell r="AN227" t="str">
            <v>x</v>
          </cell>
        </row>
        <row r="228">
          <cell r="B228" t="str">
            <v>Taiwan</v>
          </cell>
          <cell r="C228" t="str">
            <v>TWN</v>
          </cell>
          <cell r="D228" t="str">
            <v>TWN</v>
          </cell>
          <cell r="E228" t="str">
            <v/>
          </cell>
          <cell r="F228" t="e">
            <v>#N/A</v>
          </cell>
          <cell r="G228" t="str">
            <v/>
          </cell>
          <cell r="H228">
            <v>0</v>
          </cell>
          <cell r="I228" t="str">
            <v>diff</v>
          </cell>
          <cell r="K228">
            <v>0</v>
          </cell>
          <cell r="L228">
            <v>0</v>
          </cell>
          <cell r="M228">
            <v>0</v>
          </cell>
          <cell r="N228">
            <v>1</v>
          </cell>
          <cell r="P228" t="str">
            <v/>
          </cell>
          <cell r="Q228" t="str">
            <v/>
          </cell>
          <cell r="R228" t="str">
            <v/>
          </cell>
          <cell r="T228">
            <v>0</v>
          </cell>
          <cell r="U228">
            <v>0</v>
          </cell>
          <cell r="V228">
            <v>0</v>
          </cell>
          <cell r="W228">
            <v>1</v>
          </cell>
          <cell r="X228">
            <v>0</v>
          </cell>
          <cell r="Y228">
            <v>0</v>
          </cell>
          <cell r="Z228">
            <v>0</v>
          </cell>
          <cell r="AB228">
            <v>0</v>
          </cell>
          <cell r="AC228">
            <v>0</v>
          </cell>
          <cell r="AD228">
            <v>0</v>
          </cell>
          <cell r="AE228">
            <v>0</v>
          </cell>
          <cell r="AF228">
            <v>0</v>
          </cell>
          <cell r="AG228">
            <v>0</v>
          </cell>
          <cell r="AI228"/>
          <cell r="AJ228" t="str">
            <v/>
          </cell>
          <cell r="AK228" t="str">
            <v/>
          </cell>
          <cell r="AL228" t="str">
            <v/>
          </cell>
          <cell r="AM228" t="str">
            <v/>
          </cell>
          <cell r="AN228" t="str">
            <v/>
          </cell>
        </row>
        <row r="229">
          <cell r="B229" t="str">
            <v>Tajikistan</v>
          </cell>
          <cell r="C229" t="str">
            <v>TJK</v>
          </cell>
          <cell r="D229" t="str">
            <v>TJK</v>
          </cell>
          <cell r="E229" t="str">
            <v/>
          </cell>
          <cell r="F229" t="str">
            <v>Tajikistan</v>
          </cell>
          <cell r="G229" t="str">
            <v/>
          </cell>
          <cell r="H229" t="str">
            <v>Tajikistan</v>
          </cell>
          <cell r="I229" t="str">
            <v/>
          </cell>
          <cell r="K229">
            <v>0</v>
          </cell>
          <cell r="L229">
            <v>1</v>
          </cell>
          <cell r="M229">
            <v>0</v>
          </cell>
          <cell r="N229">
            <v>0</v>
          </cell>
          <cell r="P229">
            <v>0</v>
          </cell>
          <cell r="Q229">
            <v>1</v>
          </cell>
          <cell r="R229">
            <v>0</v>
          </cell>
          <cell r="T229">
            <v>1</v>
          </cell>
          <cell r="U229">
            <v>0</v>
          </cell>
          <cell r="V229">
            <v>0</v>
          </cell>
          <cell r="W229">
            <v>0</v>
          </cell>
          <cell r="X229">
            <v>0</v>
          </cell>
          <cell r="Y229">
            <v>0</v>
          </cell>
          <cell r="Z229">
            <v>0</v>
          </cell>
          <cell r="AB229">
            <v>0</v>
          </cell>
          <cell r="AC229">
            <v>0</v>
          </cell>
          <cell r="AD229">
            <v>0</v>
          </cell>
          <cell r="AE229">
            <v>0</v>
          </cell>
          <cell r="AF229">
            <v>0</v>
          </cell>
          <cell r="AG229">
            <v>0</v>
          </cell>
          <cell r="AI229"/>
          <cell r="AJ229" t="str">
            <v/>
          </cell>
          <cell r="AK229" t="str">
            <v>x</v>
          </cell>
          <cell r="AL229" t="str">
            <v/>
          </cell>
          <cell r="AM229" t="str">
            <v/>
          </cell>
          <cell r="AN229" t="str">
            <v>x</v>
          </cell>
        </row>
        <row r="230">
          <cell r="B230" t="str">
            <v>Tanzania</v>
          </cell>
          <cell r="C230" t="str">
            <v>TZA</v>
          </cell>
          <cell r="D230" t="str">
            <v>TZA</v>
          </cell>
          <cell r="E230" t="str">
            <v/>
          </cell>
          <cell r="F230" t="str">
            <v>United Republic of Tanzania</v>
          </cell>
          <cell r="G230" t="str">
            <v>diff</v>
          </cell>
          <cell r="H230" t="str">
            <v>Tanzania</v>
          </cell>
          <cell r="I230" t="str">
            <v/>
          </cell>
          <cell r="K230">
            <v>0</v>
          </cell>
          <cell r="L230">
            <v>1</v>
          </cell>
          <cell r="M230">
            <v>0</v>
          </cell>
          <cell r="N230">
            <v>0</v>
          </cell>
          <cell r="P230">
            <v>1</v>
          </cell>
          <cell r="Q230">
            <v>0</v>
          </cell>
          <cell r="R230">
            <v>0</v>
          </cell>
          <cell r="T230">
            <v>0</v>
          </cell>
          <cell r="U230">
            <v>0</v>
          </cell>
          <cell r="V230">
            <v>0</v>
          </cell>
          <cell r="W230">
            <v>0</v>
          </cell>
          <cell r="X230">
            <v>0</v>
          </cell>
          <cell r="Y230">
            <v>0</v>
          </cell>
          <cell r="Z230">
            <v>1</v>
          </cell>
          <cell r="AB230">
            <v>0</v>
          </cell>
          <cell r="AC230">
            <v>0</v>
          </cell>
          <cell r="AD230">
            <v>0</v>
          </cell>
          <cell r="AE230">
            <v>0</v>
          </cell>
          <cell r="AF230">
            <v>0</v>
          </cell>
          <cell r="AG230">
            <v>0</v>
          </cell>
          <cell r="AI230"/>
          <cell r="AJ230" t="str">
            <v/>
          </cell>
          <cell r="AK230" t="str">
            <v>x</v>
          </cell>
          <cell r="AL230" t="str">
            <v>x</v>
          </cell>
          <cell r="AM230" t="str">
            <v>x</v>
          </cell>
          <cell r="AN230" t="str">
            <v>x</v>
          </cell>
        </row>
        <row r="231">
          <cell r="B231" t="str">
            <v>Thailand</v>
          </cell>
          <cell r="C231" t="str">
            <v>THA</v>
          </cell>
          <cell r="D231" t="str">
            <v>THA</v>
          </cell>
          <cell r="E231" t="str">
            <v/>
          </cell>
          <cell r="F231" t="str">
            <v>Thailand</v>
          </cell>
          <cell r="G231" t="str">
            <v/>
          </cell>
          <cell r="H231" t="str">
            <v>Thailand</v>
          </cell>
          <cell r="I231" t="str">
            <v/>
          </cell>
          <cell r="K231">
            <v>0</v>
          </cell>
          <cell r="L231">
            <v>0</v>
          </cell>
          <cell r="M231">
            <v>1</v>
          </cell>
          <cell r="N231">
            <v>0</v>
          </cell>
          <cell r="P231">
            <v>0</v>
          </cell>
          <cell r="Q231">
            <v>0</v>
          </cell>
          <cell r="R231">
            <v>0</v>
          </cell>
          <cell r="T231">
            <v>0</v>
          </cell>
          <cell r="U231">
            <v>0</v>
          </cell>
          <cell r="V231">
            <v>0</v>
          </cell>
          <cell r="W231">
            <v>1</v>
          </cell>
          <cell r="X231">
            <v>0</v>
          </cell>
          <cell r="Y231">
            <v>0</v>
          </cell>
          <cell r="Z231">
            <v>0</v>
          </cell>
          <cell r="AB231">
            <v>0</v>
          </cell>
          <cell r="AC231">
            <v>0</v>
          </cell>
          <cell r="AD231">
            <v>0</v>
          </cell>
          <cell r="AE231">
            <v>0</v>
          </cell>
          <cell r="AF231">
            <v>0</v>
          </cell>
          <cell r="AG231">
            <v>0</v>
          </cell>
          <cell r="AI231"/>
          <cell r="AJ231" t="str">
            <v/>
          </cell>
          <cell r="AK231" t="str">
            <v/>
          </cell>
          <cell r="AL231" t="str">
            <v/>
          </cell>
          <cell r="AM231" t="str">
            <v/>
          </cell>
          <cell r="AN231" t="str">
            <v/>
          </cell>
        </row>
        <row r="232">
          <cell r="B232" t="str">
            <v>Togo</v>
          </cell>
          <cell r="C232" t="str">
            <v>TGO</v>
          </cell>
          <cell r="D232" t="str">
            <v>TGO</v>
          </cell>
          <cell r="E232" t="str">
            <v/>
          </cell>
          <cell r="F232" t="str">
            <v>Togo</v>
          </cell>
          <cell r="G232" t="str">
            <v/>
          </cell>
          <cell r="H232" t="str">
            <v>Togo</v>
          </cell>
          <cell r="I232" t="str">
            <v/>
          </cell>
          <cell r="K232">
            <v>1</v>
          </cell>
          <cell r="L232">
            <v>0</v>
          </cell>
          <cell r="M232">
            <v>0</v>
          </cell>
          <cell r="N232">
            <v>0</v>
          </cell>
          <cell r="P232">
            <v>1</v>
          </cell>
          <cell r="Q232">
            <v>0</v>
          </cell>
          <cell r="R232">
            <v>0</v>
          </cell>
          <cell r="T232">
            <v>0</v>
          </cell>
          <cell r="U232">
            <v>0</v>
          </cell>
          <cell r="V232">
            <v>0</v>
          </cell>
          <cell r="W232">
            <v>0</v>
          </cell>
          <cell r="X232">
            <v>0</v>
          </cell>
          <cell r="Y232">
            <v>0</v>
          </cell>
          <cell r="Z232">
            <v>1</v>
          </cell>
          <cell r="AB232">
            <v>0</v>
          </cell>
          <cell r="AC232">
            <v>0</v>
          </cell>
          <cell r="AD232">
            <v>0</v>
          </cell>
          <cell r="AE232">
            <v>0</v>
          </cell>
          <cell r="AF232">
            <v>0</v>
          </cell>
          <cell r="AG232">
            <v>0</v>
          </cell>
          <cell r="AI232"/>
          <cell r="AJ232" t="str">
            <v>x</v>
          </cell>
          <cell r="AK232" t="str">
            <v>x</v>
          </cell>
          <cell r="AL232" t="str">
            <v>x</v>
          </cell>
          <cell r="AM232" t="str">
            <v>x</v>
          </cell>
          <cell r="AN232" t="str">
            <v>x</v>
          </cell>
        </row>
        <row r="233">
          <cell r="B233" t="str">
            <v>Tonga</v>
          </cell>
          <cell r="C233" t="str">
            <v>TON</v>
          </cell>
          <cell r="D233" t="str">
            <v>TON</v>
          </cell>
          <cell r="E233" t="str">
            <v/>
          </cell>
          <cell r="F233" t="str">
            <v>Tonga</v>
          </cell>
          <cell r="G233" t="str">
            <v/>
          </cell>
          <cell r="H233" t="str">
            <v>Tonga</v>
          </cell>
          <cell r="I233" t="str">
            <v/>
          </cell>
          <cell r="K233">
            <v>0</v>
          </cell>
          <cell r="L233">
            <v>0</v>
          </cell>
          <cell r="M233">
            <v>1</v>
          </cell>
          <cell r="N233">
            <v>0</v>
          </cell>
          <cell r="P233">
            <v>0</v>
          </cell>
          <cell r="Q233">
            <v>0</v>
          </cell>
          <cell r="R233">
            <v>1</v>
          </cell>
          <cell r="T233">
            <v>0</v>
          </cell>
          <cell r="U233">
            <v>0</v>
          </cell>
          <cell r="V233">
            <v>0</v>
          </cell>
          <cell r="W233">
            <v>1</v>
          </cell>
          <cell r="X233">
            <v>0</v>
          </cell>
          <cell r="Y233">
            <v>0</v>
          </cell>
          <cell r="Z233">
            <v>0</v>
          </cell>
          <cell r="AB233">
            <v>0</v>
          </cell>
          <cell r="AC233">
            <v>0</v>
          </cell>
          <cell r="AD233">
            <v>0</v>
          </cell>
          <cell r="AE233">
            <v>0</v>
          </cell>
          <cell r="AF233">
            <v>0</v>
          </cell>
          <cell r="AG233">
            <v>0</v>
          </cell>
          <cell r="AI233"/>
          <cell r="AJ233" t="str">
            <v/>
          </cell>
          <cell r="AK233" t="str">
            <v/>
          </cell>
          <cell r="AL233" t="str">
            <v/>
          </cell>
          <cell r="AM233" t="str">
            <v>x</v>
          </cell>
          <cell r="AN233" t="str">
            <v>x</v>
          </cell>
        </row>
        <row r="234">
          <cell r="B234" t="str">
            <v>Trinidad and Tobago</v>
          </cell>
          <cell r="C234" t="str">
            <v>TTO</v>
          </cell>
          <cell r="D234" t="str">
            <v>TTO</v>
          </cell>
          <cell r="E234" t="str">
            <v/>
          </cell>
          <cell r="F234" t="str">
            <v>Trinidad and Tobago</v>
          </cell>
          <cell r="G234" t="str">
            <v/>
          </cell>
          <cell r="H234" t="str">
            <v>Trinidad and Tobago</v>
          </cell>
          <cell r="I234" t="str">
            <v/>
          </cell>
          <cell r="K234">
            <v>0</v>
          </cell>
          <cell r="L234">
            <v>0</v>
          </cell>
          <cell r="M234">
            <v>0</v>
          </cell>
          <cell r="N234">
            <v>1</v>
          </cell>
          <cell r="P234">
            <v>0</v>
          </cell>
          <cell r="Q234">
            <v>0</v>
          </cell>
          <cell r="R234">
            <v>1</v>
          </cell>
          <cell r="T234">
            <v>0</v>
          </cell>
          <cell r="U234">
            <v>0</v>
          </cell>
          <cell r="V234">
            <v>1</v>
          </cell>
          <cell r="W234">
            <v>0</v>
          </cell>
          <cell r="X234">
            <v>0</v>
          </cell>
          <cell r="Y234">
            <v>0</v>
          </cell>
          <cell r="Z234">
            <v>0</v>
          </cell>
          <cell r="AB234">
            <v>0</v>
          </cell>
          <cell r="AC234">
            <v>0</v>
          </cell>
          <cell r="AD234">
            <v>0</v>
          </cell>
          <cell r="AE234">
            <v>0</v>
          </cell>
          <cell r="AF234">
            <v>0</v>
          </cell>
          <cell r="AG234">
            <v>0</v>
          </cell>
          <cell r="AI234"/>
          <cell r="AJ234" t="str">
            <v/>
          </cell>
          <cell r="AK234" t="str">
            <v/>
          </cell>
          <cell r="AL234" t="str">
            <v/>
          </cell>
          <cell r="AM234" t="str">
            <v>x</v>
          </cell>
          <cell r="AN234" t="str">
            <v>x</v>
          </cell>
        </row>
        <row r="235">
          <cell r="B235" t="str">
            <v>Tunisia</v>
          </cell>
          <cell r="C235" t="str">
            <v>TUN</v>
          </cell>
          <cell r="D235" t="str">
            <v>TUN</v>
          </cell>
          <cell r="E235" t="str">
            <v/>
          </cell>
          <cell r="F235" t="str">
            <v>Tunisia</v>
          </cell>
          <cell r="G235" t="str">
            <v/>
          </cell>
          <cell r="H235" t="str">
            <v>Tunisia</v>
          </cell>
          <cell r="I235" t="str">
            <v/>
          </cell>
          <cell r="K235">
            <v>0</v>
          </cell>
          <cell r="L235">
            <v>1</v>
          </cell>
          <cell r="M235">
            <v>0</v>
          </cell>
          <cell r="N235">
            <v>0</v>
          </cell>
          <cell r="P235">
            <v>0</v>
          </cell>
          <cell r="Q235">
            <v>0</v>
          </cell>
          <cell r="R235">
            <v>0</v>
          </cell>
          <cell r="T235">
            <v>0</v>
          </cell>
          <cell r="U235">
            <v>0</v>
          </cell>
          <cell r="V235">
            <v>0</v>
          </cell>
          <cell r="W235">
            <v>0</v>
          </cell>
          <cell r="X235">
            <v>0</v>
          </cell>
          <cell r="Y235">
            <v>1</v>
          </cell>
          <cell r="Z235">
            <v>0</v>
          </cell>
          <cell r="AB235">
            <v>0</v>
          </cell>
          <cell r="AC235">
            <v>0</v>
          </cell>
          <cell r="AD235">
            <v>0</v>
          </cell>
          <cell r="AE235">
            <v>0</v>
          </cell>
          <cell r="AF235">
            <v>0</v>
          </cell>
          <cell r="AG235">
            <v>0</v>
          </cell>
          <cell r="AI235"/>
          <cell r="AJ235" t="str">
            <v/>
          </cell>
          <cell r="AK235" t="str">
            <v>x</v>
          </cell>
          <cell r="AL235" t="str">
            <v/>
          </cell>
          <cell r="AM235" t="str">
            <v/>
          </cell>
          <cell r="AN235" t="str">
            <v>x</v>
          </cell>
        </row>
        <row r="236">
          <cell r="B236" t="str">
            <v>Turkey</v>
          </cell>
          <cell r="C236" t="str">
            <v>TUR</v>
          </cell>
          <cell r="D236" t="str">
            <v>TUR</v>
          </cell>
          <cell r="E236" t="str">
            <v/>
          </cell>
          <cell r="F236" t="str">
            <v>Türkiye</v>
          </cell>
          <cell r="G236" t="str">
            <v>diff</v>
          </cell>
          <cell r="H236" t="str">
            <v>Türkiye</v>
          </cell>
          <cell r="I236" t="str">
            <v>diff</v>
          </cell>
          <cell r="K236">
            <v>0</v>
          </cell>
          <cell r="L236">
            <v>0</v>
          </cell>
          <cell r="M236">
            <v>1</v>
          </cell>
          <cell r="N236">
            <v>0</v>
          </cell>
          <cell r="P236">
            <v>0</v>
          </cell>
          <cell r="Q236">
            <v>0</v>
          </cell>
          <cell r="R236">
            <v>0</v>
          </cell>
          <cell r="T236">
            <v>1</v>
          </cell>
          <cell r="U236">
            <v>0</v>
          </cell>
          <cell r="V236">
            <v>0</v>
          </cell>
          <cell r="W236">
            <v>0</v>
          </cell>
          <cell r="X236">
            <v>0</v>
          </cell>
          <cell r="Y236">
            <v>0</v>
          </cell>
          <cell r="Z236">
            <v>0</v>
          </cell>
          <cell r="AB236">
            <v>1</v>
          </cell>
          <cell r="AC236">
            <v>0</v>
          </cell>
          <cell r="AD236">
            <v>0</v>
          </cell>
          <cell r="AE236">
            <v>0</v>
          </cell>
          <cell r="AF236">
            <v>1</v>
          </cell>
          <cell r="AG236">
            <v>0</v>
          </cell>
          <cell r="AI236"/>
          <cell r="AJ236" t="str">
            <v/>
          </cell>
          <cell r="AK236" t="str">
            <v/>
          </cell>
          <cell r="AL236" t="str">
            <v/>
          </cell>
          <cell r="AM236" t="str">
            <v/>
          </cell>
          <cell r="AN236" t="str">
            <v/>
          </cell>
        </row>
        <row r="237">
          <cell r="B237" t="str">
            <v>Turkmenistan</v>
          </cell>
          <cell r="C237" t="str">
            <v>TKM</v>
          </cell>
          <cell r="D237" t="str">
            <v>TKM</v>
          </cell>
          <cell r="E237" t="str">
            <v/>
          </cell>
          <cell r="F237" t="str">
            <v>Turkmenistan</v>
          </cell>
          <cell r="G237" t="str">
            <v/>
          </cell>
          <cell r="H237" t="str">
            <v>Turkmenistan</v>
          </cell>
          <cell r="I237" t="str">
            <v/>
          </cell>
          <cell r="K237">
            <v>0</v>
          </cell>
          <cell r="L237">
            <v>0</v>
          </cell>
          <cell r="M237">
            <v>1</v>
          </cell>
          <cell r="N237">
            <v>0</v>
          </cell>
          <cell r="P237">
            <v>0</v>
          </cell>
          <cell r="Q237">
            <v>1</v>
          </cell>
          <cell r="R237">
            <v>0</v>
          </cell>
          <cell r="T237">
            <v>1</v>
          </cell>
          <cell r="U237">
            <v>0</v>
          </cell>
          <cell r="V237">
            <v>0</v>
          </cell>
          <cell r="W237">
            <v>0</v>
          </cell>
          <cell r="X237">
            <v>0</v>
          </cell>
          <cell r="Y237">
            <v>0</v>
          </cell>
          <cell r="Z237">
            <v>0</v>
          </cell>
          <cell r="AB237">
            <v>0</v>
          </cell>
          <cell r="AC237">
            <v>0</v>
          </cell>
          <cell r="AD237">
            <v>0</v>
          </cell>
          <cell r="AE237">
            <v>0</v>
          </cell>
          <cell r="AF237">
            <v>0</v>
          </cell>
          <cell r="AG237">
            <v>0</v>
          </cell>
          <cell r="AI237"/>
          <cell r="AJ237" t="str">
            <v/>
          </cell>
          <cell r="AK237" t="str">
            <v/>
          </cell>
          <cell r="AL237" t="str">
            <v/>
          </cell>
          <cell r="AM237" t="str">
            <v/>
          </cell>
          <cell r="AN237" t="str">
            <v/>
          </cell>
        </row>
        <row r="238">
          <cell r="B238" t="str">
            <v>Turks and Caicos Islands</v>
          </cell>
          <cell r="C238" t="str">
            <v>TCA</v>
          </cell>
          <cell r="D238" t="str">
            <v>TCA</v>
          </cell>
          <cell r="E238" t="str">
            <v/>
          </cell>
          <cell r="F238" t="str">
            <v>Turks and Caicos Islands</v>
          </cell>
          <cell r="G238" t="str">
            <v/>
          </cell>
          <cell r="H238" t="str">
            <v>Turks and Caicos Islands</v>
          </cell>
          <cell r="I238" t="str">
            <v/>
          </cell>
          <cell r="K238">
            <v>0</v>
          </cell>
          <cell r="L238">
            <v>0</v>
          </cell>
          <cell r="M238">
            <v>0</v>
          </cell>
          <cell r="N238">
            <v>1</v>
          </cell>
          <cell r="P238">
            <v>0</v>
          </cell>
          <cell r="Q238">
            <v>0</v>
          </cell>
          <cell r="R238">
            <v>0</v>
          </cell>
          <cell r="T238">
            <v>0</v>
          </cell>
          <cell r="U238">
            <v>0</v>
          </cell>
          <cell r="V238">
            <v>1</v>
          </cell>
          <cell r="W238">
            <v>0</v>
          </cell>
          <cell r="X238">
            <v>0</v>
          </cell>
          <cell r="Y238">
            <v>0</v>
          </cell>
          <cell r="Z238">
            <v>0</v>
          </cell>
          <cell r="AB238">
            <v>0</v>
          </cell>
          <cell r="AC238">
            <v>0</v>
          </cell>
          <cell r="AD238">
            <v>0</v>
          </cell>
          <cell r="AE238">
            <v>0</v>
          </cell>
          <cell r="AF238">
            <v>0</v>
          </cell>
          <cell r="AG238">
            <v>0</v>
          </cell>
          <cell r="AI238"/>
          <cell r="AJ238" t="str">
            <v/>
          </cell>
          <cell r="AK238" t="str">
            <v/>
          </cell>
          <cell r="AL238" t="str">
            <v/>
          </cell>
          <cell r="AM238" t="str">
            <v/>
          </cell>
          <cell r="AN238" t="str">
            <v/>
          </cell>
        </row>
        <row r="239">
          <cell r="B239" t="str">
            <v>Tuvalu</v>
          </cell>
          <cell r="C239" t="str">
            <v>TUV</v>
          </cell>
          <cell r="D239" t="str">
            <v>TUV</v>
          </cell>
          <cell r="E239" t="str">
            <v/>
          </cell>
          <cell r="F239" t="str">
            <v>Tuvalu</v>
          </cell>
          <cell r="G239" t="str">
            <v/>
          </cell>
          <cell r="H239" t="str">
            <v>Tuvalu</v>
          </cell>
          <cell r="I239" t="str">
            <v/>
          </cell>
          <cell r="K239">
            <v>0</v>
          </cell>
          <cell r="L239">
            <v>0</v>
          </cell>
          <cell r="M239">
            <v>1</v>
          </cell>
          <cell r="N239">
            <v>0</v>
          </cell>
          <cell r="P239">
            <v>1</v>
          </cell>
          <cell r="Q239">
            <v>0</v>
          </cell>
          <cell r="R239">
            <v>1</v>
          </cell>
          <cell r="T239">
            <v>0</v>
          </cell>
          <cell r="U239">
            <v>0</v>
          </cell>
          <cell r="V239">
            <v>0</v>
          </cell>
          <cell r="W239">
            <v>1</v>
          </cell>
          <cell r="X239">
            <v>0</v>
          </cell>
          <cell r="Y239">
            <v>0</v>
          </cell>
          <cell r="Z239">
            <v>0</v>
          </cell>
          <cell r="AB239">
            <v>0</v>
          </cell>
          <cell r="AC239">
            <v>0</v>
          </cell>
          <cell r="AD239">
            <v>0</v>
          </cell>
          <cell r="AE239">
            <v>0</v>
          </cell>
          <cell r="AF239">
            <v>0</v>
          </cell>
          <cell r="AG239">
            <v>0</v>
          </cell>
          <cell r="AI239"/>
          <cell r="AJ239" t="str">
            <v/>
          </cell>
          <cell r="AK239" t="str">
            <v/>
          </cell>
          <cell r="AL239" t="str">
            <v>x</v>
          </cell>
          <cell r="AM239" t="str">
            <v>x</v>
          </cell>
          <cell r="AN239" t="str">
            <v>x</v>
          </cell>
        </row>
        <row r="240">
          <cell r="B240" t="str">
            <v>Uganda</v>
          </cell>
          <cell r="C240" t="str">
            <v>UGA</v>
          </cell>
          <cell r="D240" t="str">
            <v>UGA</v>
          </cell>
          <cell r="E240" t="str">
            <v/>
          </cell>
          <cell r="F240" t="str">
            <v>Uganda</v>
          </cell>
          <cell r="G240" t="str">
            <v/>
          </cell>
          <cell r="H240" t="str">
            <v>Uganda</v>
          </cell>
          <cell r="I240" t="str">
            <v/>
          </cell>
          <cell r="K240">
            <v>1</v>
          </cell>
          <cell r="L240">
            <v>0</v>
          </cell>
          <cell r="M240">
            <v>0</v>
          </cell>
          <cell r="N240">
            <v>0</v>
          </cell>
          <cell r="P240">
            <v>1</v>
          </cell>
          <cell r="Q240">
            <v>1</v>
          </cell>
          <cell r="R240">
            <v>0</v>
          </cell>
          <cell r="T240">
            <v>0</v>
          </cell>
          <cell r="U240">
            <v>0</v>
          </cell>
          <cell r="V240">
            <v>0</v>
          </cell>
          <cell r="W240">
            <v>0</v>
          </cell>
          <cell r="X240">
            <v>0</v>
          </cell>
          <cell r="Y240">
            <v>0</v>
          </cell>
          <cell r="Z240">
            <v>1</v>
          </cell>
          <cell r="AB240">
            <v>0</v>
          </cell>
          <cell r="AC240">
            <v>0</v>
          </cell>
          <cell r="AD240">
            <v>0</v>
          </cell>
          <cell r="AE240">
            <v>0</v>
          </cell>
          <cell r="AF240">
            <v>0</v>
          </cell>
          <cell r="AG240">
            <v>0</v>
          </cell>
          <cell r="AI240"/>
          <cell r="AJ240" t="str">
            <v>x</v>
          </cell>
          <cell r="AK240" t="str">
            <v>x</v>
          </cell>
          <cell r="AL240" t="str">
            <v>x</v>
          </cell>
          <cell r="AM240" t="str">
            <v>x</v>
          </cell>
          <cell r="AN240" t="str">
            <v>x</v>
          </cell>
        </row>
        <row r="241">
          <cell r="B241" t="str">
            <v>Ukraine</v>
          </cell>
          <cell r="C241" t="str">
            <v>UKR</v>
          </cell>
          <cell r="D241" t="str">
            <v>UKR</v>
          </cell>
          <cell r="E241" t="str">
            <v/>
          </cell>
          <cell r="F241" t="str">
            <v>Ukraine</v>
          </cell>
          <cell r="G241" t="str">
            <v/>
          </cell>
          <cell r="H241" t="str">
            <v>Ukraine</v>
          </cell>
          <cell r="I241" t="str">
            <v/>
          </cell>
          <cell r="K241">
            <v>0</v>
          </cell>
          <cell r="L241">
            <v>1</v>
          </cell>
          <cell r="M241">
            <v>0</v>
          </cell>
          <cell r="N241">
            <v>0</v>
          </cell>
          <cell r="P241">
            <v>0</v>
          </cell>
          <cell r="Q241">
            <v>0</v>
          </cell>
          <cell r="R241">
            <v>0</v>
          </cell>
          <cell r="T241">
            <v>1</v>
          </cell>
          <cell r="U241">
            <v>0</v>
          </cell>
          <cell r="V241">
            <v>0</v>
          </cell>
          <cell r="W241">
            <v>0</v>
          </cell>
          <cell r="X241">
            <v>0</v>
          </cell>
          <cell r="Y241">
            <v>0</v>
          </cell>
          <cell r="Z241">
            <v>0</v>
          </cell>
          <cell r="AB241">
            <v>0</v>
          </cell>
          <cell r="AC241">
            <v>0</v>
          </cell>
          <cell r="AD241">
            <v>0</v>
          </cell>
          <cell r="AE241">
            <v>0</v>
          </cell>
          <cell r="AF241">
            <v>0</v>
          </cell>
          <cell r="AG241">
            <v>0</v>
          </cell>
          <cell r="AI241"/>
          <cell r="AJ241" t="str">
            <v/>
          </cell>
          <cell r="AK241" t="str">
            <v>x</v>
          </cell>
          <cell r="AL241" t="str">
            <v/>
          </cell>
          <cell r="AM241" t="str">
            <v/>
          </cell>
          <cell r="AN241" t="str">
            <v>x</v>
          </cell>
        </row>
        <row r="242">
          <cell r="B242" t="str">
            <v>United Arab Emirates</v>
          </cell>
          <cell r="C242" t="str">
            <v>ARE</v>
          </cell>
          <cell r="D242" t="str">
            <v>ARE</v>
          </cell>
          <cell r="E242" t="str">
            <v/>
          </cell>
          <cell r="F242" t="str">
            <v>United Arab Emirates</v>
          </cell>
          <cell r="G242" t="str">
            <v/>
          </cell>
          <cell r="H242" t="str">
            <v>United Arab Emirates</v>
          </cell>
          <cell r="I242" t="str">
            <v/>
          </cell>
          <cell r="K242">
            <v>0</v>
          </cell>
          <cell r="L242">
            <v>0</v>
          </cell>
          <cell r="M242">
            <v>0</v>
          </cell>
          <cell r="N242">
            <v>1</v>
          </cell>
          <cell r="P242">
            <v>0</v>
          </cell>
          <cell r="Q242">
            <v>0</v>
          </cell>
          <cell r="R242">
            <v>0</v>
          </cell>
          <cell r="T242">
            <v>0</v>
          </cell>
          <cell r="U242">
            <v>0</v>
          </cell>
          <cell r="V242">
            <v>0</v>
          </cell>
          <cell r="W242">
            <v>0</v>
          </cell>
          <cell r="X242">
            <v>0</v>
          </cell>
          <cell r="Y242">
            <v>1</v>
          </cell>
          <cell r="Z242">
            <v>0</v>
          </cell>
          <cell r="AB242">
            <v>0</v>
          </cell>
          <cell r="AC242">
            <v>0</v>
          </cell>
          <cell r="AD242">
            <v>0</v>
          </cell>
          <cell r="AE242">
            <v>0</v>
          </cell>
          <cell r="AF242">
            <v>0</v>
          </cell>
          <cell r="AG242">
            <v>0</v>
          </cell>
          <cell r="AI242"/>
          <cell r="AJ242" t="str">
            <v/>
          </cell>
          <cell r="AK242" t="str">
            <v/>
          </cell>
          <cell r="AL242" t="str">
            <v/>
          </cell>
          <cell r="AM242" t="str">
            <v/>
          </cell>
          <cell r="AN242" t="str">
            <v/>
          </cell>
        </row>
        <row r="243">
          <cell r="B243" t="str">
            <v>United Kingdom</v>
          </cell>
          <cell r="C243" t="str">
            <v>GBR</v>
          </cell>
          <cell r="D243" t="str">
            <v>GBR</v>
          </cell>
          <cell r="E243" t="str">
            <v/>
          </cell>
          <cell r="F243" t="str">
            <v>United Kingdom of Great Britain and Northern Ireland</v>
          </cell>
          <cell r="G243" t="str">
            <v>diff</v>
          </cell>
          <cell r="H243" t="str">
            <v>United Kingdom</v>
          </cell>
          <cell r="I243" t="str">
            <v/>
          </cell>
          <cell r="K243">
            <v>0</v>
          </cell>
          <cell r="L243">
            <v>0</v>
          </cell>
          <cell r="M243">
            <v>0</v>
          </cell>
          <cell r="N243">
            <v>1</v>
          </cell>
          <cell r="P243">
            <v>0</v>
          </cell>
          <cell r="Q243">
            <v>0</v>
          </cell>
          <cell r="R243">
            <v>0</v>
          </cell>
          <cell r="T243">
            <v>1</v>
          </cell>
          <cell r="U243">
            <v>0</v>
          </cell>
          <cell r="V243">
            <v>0</v>
          </cell>
          <cell r="W243">
            <v>0</v>
          </cell>
          <cell r="X243">
            <v>0</v>
          </cell>
          <cell r="Y243">
            <v>0</v>
          </cell>
          <cell r="Z243">
            <v>0</v>
          </cell>
          <cell r="AB243">
            <v>1</v>
          </cell>
          <cell r="AC243">
            <v>1</v>
          </cell>
          <cell r="AD243">
            <v>0</v>
          </cell>
          <cell r="AE243">
            <v>1</v>
          </cell>
          <cell r="AF243">
            <v>1</v>
          </cell>
          <cell r="AG243">
            <v>1</v>
          </cell>
          <cell r="AI243"/>
          <cell r="AJ243" t="str">
            <v/>
          </cell>
          <cell r="AK243" t="str">
            <v/>
          </cell>
          <cell r="AL243" t="str">
            <v/>
          </cell>
          <cell r="AM243" t="str">
            <v/>
          </cell>
          <cell r="AN243" t="str">
            <v/>
          </cell>
        </row>
        <row r="244">
          <cell r="B244" t="str">
            <v>United States</v>
          </cell>
          <cell r="C244" t="str">
            <v>USA</v>
          </cell>
          <cell r="D244" t="str">
            <v>USA</v>
          </cell>
          <cell r="E244" t="str">
            <v/>
          </cell>
          <cell r="F244" t="str">
            <v>United States of America</v>
          </cell>
          <cell r="G244" t="str">
            <v>diff</v>
          </cell>
          <cell r="H244" t="str">
            <v>United States</v>
          </cell>
          <cell r="I244" t="str">
            <v/>
          </cell>
          <cell r="K244">
            <v>0</v>
          </cell>
          <cell r="L244">
            <v>0</v>
          </cell>
          <cell r="M244">
            <v>0</v>
          </cell>
          <cell r="N244">
            <v>1</v>
          </cell>
          <cell r="P244">
            <v>0</v>
          </cell>
          <cell r="Q244">
            <v>0</v>
          </cell>
          <cell r="R244">
            <v>0</v>
          </cell>
          <cell r="T244">
            <v>0</v>
          </cell>
          <cell r="U244">
            <v>1</v>
          </cell>
          <cell r="V244">
            <v>0</v>
          </cell>
          <cell r="W244">
            <v>0</v>
          </cell>
          <cell r="X244">
            <v>0</v>
          </cell>
          <cell r="Y244">
            <v>0</v>
          </cell>
          <cell r="Z244">
            <v>0</v>
          </cell>
          <cell r="AB244">
            <v>1</v>
          </cell>
          <cell r="AC244">
            <v>0</v>
          </cell>
          <cell r="AD244">
            <v>0</v>
          </cell>
          <cell r="AE244">
            <v>1</v>
          </cell>
          <cell r="AF244">
            <v>1</v>
          </cell>
          <cell r="AG244">
            <v>1</v>
          </cell>
          <cell r="AI244"/>
          <cell r="AJ244" t="str">
            <v/>
          </cell>
          <cell r="AK244" t="str">
            <v/>
          </cell>
          <cell r="AL244" t="str">
            <v/>
          </cell>
          <cell r="AM244" t="str">
            <v/>
          </cell>
          <cell r="AN244" t="str">
            <v/>
          </cell>
        </row>
        <row r="245">
          <cell r="B245" t="str">
            <v>Upper-middle-income countries</v>
          </cell>
          <cell r="D245" t="str">
            <v/>
          </cell>
          <cell r="E245" t="str">
            <v/>
          </cell>
          <cell r="F245" t="str">
            <v/>
          </cell>
          <cell r="G245" t="str">
            <v/>
          </cell>
          <cell r="H245" t="str">
            <v/>
          </cell>
          <cell r="I245" t="str">
            <v/>
          </cell>
          <cell r="K245" t="str">
            <v/>
          </cell>
          <cell r="L245" t="str">
            <v/>
          </cell>
          <cell r="M245" t="str">
            <v/>
          </cell>
          <cell r="N245" t="str">
            <v/>
          </cell>
          <cell r="P245" t="str">
            <v/>
          </cell>
          <cell r="Q245" t="str">
            <v/>
          </cell>
          <cell r="R245" t="str">
            <v/>
          </cell>
          <cell r="T245" t="str">
            <v/>
          </cell>
          <cell r="U245" t="str">
            <v/>
          </cell>
          <cell r="V245" t="str">
            <v/>
          </cell>
          <cell r="W245" t="str">
            <v/>
          </cell>
          <cell r="X245" t="str">
            <v/>
          </cell>
          <cell r="Y245" t="str">
            <v/>
          </cell>
          <cell r="Z245" t="str">
            <v/>
          </cell>
          <cell r="AB245">
            <v>0</v>
          </cell>
          <cell r="AC245">
            <v>0</v>
          </cell>
          <cell r="AD245">
            <v>0</v>
          </cell>
          <cell r="AE245">
            <v>0</v>
          </cell>
          <cell r="AF245">
            <v>0</v>
          </cell>
          <cell r="AG245">
            <v>0</v>
          </cell>
          <cell r="AI245"/>
          <cell r="AJ245" t="str">
            <v/>
          </cell>
          <cell r="AK245" t="str">
            <v/>
          </cell>
          <cell r="AL245" t="str">
            <v/>
          </cell>
          <cell r="AM245" t="str">
            <v/>
          </cell>
          <cell r="AN245" t="str">
            <v/>
          </cell>
        </row>
        <row r="246">
          <cell r="B246" t="str">
            <v>Uruguay</v>
          </cell>
          <cell r="C246" t="str">
            <v>URY</v>
          </cell>
          <cell r="D246" t="str">
            <v>URY</v>
          </cell>
          <cell r="E246" t="str">
            <v/>
          </cell>
          <cell r="F246" t="str">
            <v>Uruguay</v>
          </cell>
          <cell r="G246" t="str">
            <v/>
          </cell>
          <cell r="H246" t="str">
            <v>Uruguay</v>
          </cell>
          <cell r="I246" t="str">
            <v/>
          </cell>
          <cell r="K246">
            <v>0</v>
          </cell>
          <cell r="L246">
            <v>0</v>
          </cell>
          <cell r="M246">
            <v>0</v>
          </cell>
          <cell r="N246">
            <v>1</v>
          </cell>
          <cell r="P246">
            <v>0</v>
          </cell>
          <cell r="Q246">
            <v>0</v>
          </cell>
          <cell r="R246">
            <v>0</v>
          </cell>
          <cell r="T246">
            <v>0</v>
          </cell>
          <cell r="U246">
            <v>0</v>
          </cell>
          <cell r="V246">
            <v>1</v>
          </cell>
          <cell r="W246">
            <v>0</v>
          </cell>
          <cell r="X246">
            <v>0</v>
          </cell>
          <cell r="Y246">
            <v>0</v>
          </cell>
          <cell r="Z246">
            <v>0</v>
          </cell>
          <cell r="AB246">
            <v>0</v>
          </cell>
          <cell r="AC246">
            <v>0</v>
          </cell>
          <cell r="AD246">
            <v>0</v>
          </cell>
          <cell r="AE246">
            <v>0</v>
          </cell>
          <cell r="AF246">
            <v>0</v>
          </cell>
          <cell r="AG246">
            <v>0</v>
          </cell>
          <cell r="AI246"/>
          <cell r="AJ246" t="str">
            <v/>
          </cell>
          <cell r="AK246" t="str">
            <v/>
          </cell>
          <cell r="AL246" t="str">
            <v/>
          </cell>
          <cell r="AM246" t="str">
            <v/>
          </cell>
          <cell r="AN246" t="str">
            <v/>
          </cell>
        </row>
        <row r="247">
          <cell r="B247" t="str">
            <v>Uzbekistan</v>
          </cell>
          <cell r="C247" t="str">
            <v>UZB</v>
          </cell>
          <cell r="D247" t="str">
            <v>UZB</v>
          </cell>
          <cell r="E247" t="str">
            <v/>
          </cell>
          <cell r="F247" t="str">
            <v>Uzbekistan</v>
          </cell>
          <cell r="G247" t="str">
            <v/>
          </cell>
          <cell r="H247" t="str">
            <v>Uzbekistan</v>
          </cell>
          <cell r="I247" t="str">
            <v/>
          </cell>
          <cell r="K247">
            <v>0</v>
          </cell>
          <cell r="L247">
            <v>1</v>
          </cell>
          <cell r="M247">
            <v>0</v>
          </cell>
          <cell r="N247">
            <v>0</v>
          </cell>
          <cell r="P247">
            <v>0</v>
          </cell>
          <cell r="Q247">
            <v>1</v>
          </cell>
          <cell r="R247">
            <v>0</v>
          </cell>
          <cell r="T247">
            <v>1</v>
          </cell>
          <cell r="U247">
            <v>0</v>
          </cell>
          <cell r="V247">
            <v>0</v>
          </cell>
          <cell r="W247">
            <v>0</v>
          </cell>
          <cell r="X247">
            <v>0</v>
          </cell>
          <cell r="Y247">
            <v>0</v>
          </cell>
          <cell r="Z247">
            <v>0</v>
          </cell>
          <cell r="AB247">
            <v>0</v>
          </cell>
          <cell r="AC247">
            <v>0</v>
          </cell>
          <cell r="AD247">
            <v>0</v>
          </cell>
          <cell r="AE247">
            <v>0</v>
          </cell>
          <cell r="AF247">
            <v>0</v>
          </cell>
          <cell r="AG247">
            <v>0</v>
          </cell>
          <cell r="AI247"/>
          <cell r="AJ247" t="str">
            <v/>
          </cell>
          <cell r="AK247" t="str">
            <v>x</v>
          </cell>
          <cell r="AL247" t="str">
            <v/>
          </cell>
          <cell r="AM247" t="str">
            <v/>
          </cell>
          <cell r="AN247" t="str">
            <v>x</v>
          </cell>
        </row>
        <row r="248">
          <cell r="B248" t="str">
            <v>Vanuatu</v>
          </cell>
          <cell r="C248" t="str">
            <v>VUT</v>
          </cell>
          <cell r="D248" t="str">
            <v>VUT</v>
          </cell>
          <cell r="E248" t="str">
            <v/>
          </cell>
          <cell r="F248" t="str">
            <v>Vanuatu</v>
          </cell>
          <cell r="G248" t="str">
            <v/>
          </cell>
          <cell r="H248" t="str">
            <v>Vanuatu</v>
          </cell>
          <cell r="I248" t="str">
            <v/>
          </cell>
          <cell r="K248">
            <v>0</v>
          </cell>
          <cell r="L248">
            <v>1</v>
          </cell>
          <cell r="M248">
            <v>0</v>
          </cell>
          <cell r="N248">
            <v>0</v>
          </cell>
          <cell r="P248">
            <v>0</v>
          </cell>
          <cell r="Q248">
            <v>0</v>
          </cell>
          <cell r="R248">
            <v>1</v>
          </cell>
          <cell r="T248">
            <v>0</v>
          </cell>
          <cell r="U248">
            <v>0</v>
          </cell>
          <cell r="V248">
            <v>0</v>
          </cell>
          <cell r="W248">
            <v>1</v>
          </cell>
          <cell r="X248">
            <v>0</v>
          </cell>
          <cell r="Y248">
            <v>0</v>
          </cell>
          <cell r="Z248">
            <v>0</v>
          </cell>
          <cell r="AB248">
            <v>0</v>
          </cell>
          <cell r="AC248">
            <v>0</v>
          </cell>
          <cell r="AD248">
            <v>0</v>
          </cell>
          <cell r="AE248">
            <v>0</v>
          </cell>
          <cell r="AF248">
            <v>0</v>
          </cell>
          <cell r="AG248">
            <v>0</v>
          </cell>
          <cell r="AI248"/>
          <cell r="AJ248" t="str">
            <v/>
          </cell>
          <cell r="AK248" t="str">
            <v>x</v>
          </cell>
          <cell r="AL248" t="str">
            <v/>
          </cell>
          <cell r="AM248" t="str">
            <v>x</v>
          </cell>
          <cell r="AN248" t="str">
            <v>x</v>
          </cell>
        </row>
        <row r="249">
          <cell r="B249" t="str">
            <v>Venezuela</v>
          </cell>
          <cell r="C249" t="str">
            <v>VEN</v>
          </cell>
          <cell r="D249" t="str">
            <v>VEN</v>
          </cell>
          <cell r="E249" t="str">
            <v/>
          </cell>
          <cell r="F249" t="str">
            <v>Venezuela (Bolivarian Republic of)</v>
          </cell>
          <cell r="G249" t="str">
            <v>diff</v>
          </cell>
          <cell r="H249" t="str">
            <v>Venezuela, RB</v>
          </cell>
          <cell r="I249" t="str">
            <v>diff</v>
          </cell>
          <cell r="K249">
            <v>0</v>
          </cell>
          <cell r="L249">
            <v>0</v>
          </cell>
          <cell r="M249">
            <v>0</v>
          </cell>
          <cell r="N249">
            <v>0</v>
          </cell>
          <cell r="P249">
            <v>0</v>
          </cell>
          <cell r="Q249">
            <v>0</v>
          </cell>
          <cell r="R249">
            <v>0</v>
          </cell>
          <cell r="T249">
            <v>0</v>
          </cell>
          <cell r="U249">
            <v>0</v>
          </cell>
          <cell r="V249">
            <v>1</v>
          </cell>
          <cell r="W249">
            <v>0</v>
          </cell>
          <cell r="X249">
            <v>0</v>
          </cell>
          <cell r="Y249">
            <v>0</v>
          </cell>
          <cell r="Z249">
            <v>0</v>
          </cell>
          <cell r="AB249">
            <v>0</v>
          </cell>
          <cell r="AC249">
            <v>0</v>
          </cell>
          <cell r="AD249">
            <v>0</v>
          </cell>
          <cell r="AE249">
            <v>0</v>
          </cell>
          <cell r="AF249">
            <v>0</v>
          </cell>
          <cell r="AG249">
            <v>0</v>
          </cell>
          <cell r="AI249"/>
          <cell r="AJ249" t="str">
            <v/>
          </cell>
          <cell r="AK249" t="str">
            <v/>
          </cell>
          <cell r="AL249" t="str">
            <v/>
          </cell>
          <cell r="AM249" t="str">
            <v/>
          </cell>
          <cell r="AN249" t="str">
            <v/>
          </cell>
        </row>
        <row r="250">
          <cell r="B250" t="str">
            <v>Vietnam</v>
          </cell>
          <cell r="C250" t="str">
            <v>VNM</v>
          </cell>
          <cell r="D250" t="str">
            <v>VNM</v>
          </cell>
          <cell r="E250" t="str">
            <v/>
          </cell>
          <cell r="F250" t="str">
            <v>Viet Nam</v>
          </cell>
          <cell r="G250" t="str">
            <v>diff</v>
          </cell>
          <cell r="H250" t="str">
            <v>Vietnam</v>
          </cell>
          <cell r="I250" t="str">
            <v/>
          </cell>
          <cell r="K250">
            <v>0</v>
          </cell>
          <cell r="L250">
            <v>1</v>
          </cell>
          <cell r="M250">
            <v>0</v>
          </cell>
          <cell r="N250">
            <v>0</v>
          </cell>
          <cell r="P250">
            <v>0</v>
          </cell>
          <cell r="Q250">
            <v>0</v>
          </cell>
          <cell r="R250">
            <v>0</v>
          </cell>
          <cell r="T250">
            <v>0</v>
          </cell>
          <cell r="U250">
            <v>0</v>
          </cell>
          <cell r="V250">
            <v>0</v>
          </cell>
          <cell r="W250">
            <v>1</v>
          </cell>
          <cell r="X250">
            <v>0</v>
          </cell>
          <cell r="Y250">
            <v>0</v>
          </cell>
          <cell r="Z250">
            <v>0</v>
          </cell>
          <cell r="AB250">
            <v>0</v>
          </cell>
          <cell r="AC250">
            <v>0</v>
          </cell>
          <cell r="AD250">
            <v>0</v>
          </cell>
          <cell r="AE250">
            <v>0</v>
          </cell>
          <cell r="AF250">
            <v>0</v>
          </cell>
          <cell r="AG250">
            <v>0</v>
          </cell>
          <cell r="AI250"/>
          <cell r="AJ250" t="str">
            <v/>
          </cell>
          <cell r="AK250" t="str">
            <v>x</v>
          </cell>
          <cell r="AL250" t="str">
            <v/>
          </cell>
          <cell r="AM250" t="str">
            <v/>
          </cell>
          <cell r="AN250" t="str">
            <v>x</v>
          </cell>
        </row>
        <row r="251">
          <cell r="B251" t="str">
            <v>Wallis and Futuna</v>
          </cell>
          <cell r="C251" t="str">
            <v>WLF</v>
          </cell>
          <cell r="D251" t="str">
            <v>WLF</v>
          </cell>
          <cell r="E251" t="str">
            <v/>
          </cell>
          <cell r="F251" t="str">
            <v>Wallis and Futuna Islands</v>
          </cell>
          <cell r="G251" t="str">
            <v>diff</v>
          </cell>
          <cell r="H251" t="e">
            <v>#N/A</v>
          </cell>
          <cell r="I251" t="str">
            <v/>
          </cell>
          <cell r="K251" t="str">
            <v/>
          </cell>
          <cell r="L251" t="str">
            <v/>
          </cell>
          <cell r="M251" t="str">
            <v/>
          </cell>
          <cell r="N251" t="str">
            <v/>
          </cell>
          <cell r="P251">
            <v>0</v>
          </cell>
          <cell r="Q251">
            <v>0</v>
          </cell>
          <cell r="R251">
            <v>0</v>
          </cell>
          <cell r="T251" t="str">
            <v/>
          </cell>
          <cell r="U251" t="str">
            <v/>
          </cell>
          <cell r="V251" t="str">
            <v/>
          </cell>
          <cell r="W251" t="str">
            <v/>
          </cell>
          <cell r="X251" t="str">
            <v/>
          </cell>
          <cell r="Y251" t="str">
            <v/>
          </cell>
          <cell r="Z251" t="str">
            <v/>
          </cell>
          <cell r="AB251">
            <v>0</v>
          </cell>
          <cell r="AC251">
            <v>0</v>
          </cell>
          <cell r="AD251">
            <v>0</v>
          </cell>
          <cell r="AE251">
            <v>0</v>
          </cell>
          <cell r="AF251">
            <v>0</v>
          </cell>
          <cell r="AG251">
            <v>0</v>
          </cell>
          <cell r="AI251"/>
          <cell r="AJ251" t="str">
            <v/>
          </cell>
          <cell r="AK251" t="str">
            <v/>
          </cell>
          <cell r="AL251" t="str">
            <v/>
          </cell>
          <cell r="AM251" t="str">
            <v/>
          </cell>
          <cell r="AN251" t="str">
            <v/>
          </cell>
        </row>
        <row r="252">
          <cell r="B252" t="str">
            <v>Yemen</v>
          </cell>
          <cell r="C252" t="str">
            <v>YEM</v>
          </cell>
          <cell r="D252" t="str">
            <v>YEM</v>
          </cell>
          <cell r="E252" t="str">
            <v/>
          </cell>
          <cell r="F252" t="str">
            <v>Yemen</v>
          </cell>
          <cell r="G252" t="str">
            <v/>
          </cell>
          <cell r="H252" t="str">
            <v>Yemen, Rep.</v>
          </cell>
          <cell r="I252" t="str">
            <v>diff</v>
          </cell>
          <cell r="K252">
            <v>1</v>
          </cell>
          <cell r="L252">
            <v>0</v>
          </cell>
          <cell r="M252">
            <v>0</v>
          </cell>
          <cell r="N252">
            <v>0</v>
          </cell>
          <cell r="P252">
            <v>1</v>
          </cell>
          <cell r="Q252">
            <v>0</v>
          </cell>
          <cell r="R252">
            <v>0</v>
          </cell>
          <cell r="T252">
            <v>0</v>
          </cell>
          <cell r="U252">
            <v>0</v>
          </cell>
          <cell r="V252">
            <v>0</v>
          </cell>
          <cell r="W252">
            <v>0</v>
          </cell>
          <cell r="X252">
            <v>0</v>
          </cell>
          <cell r="Y252">
            <v>1</v>
          </cell>
          <cell r="Z252">
            <v>0</v>
          </cell>
          <cell r="AB252">
            <v>0</v>
          </cell>
          <cell r="AC252">
            <v>0</v>
          </cell>
          <cell r="AD252">
            <v>0</v>
          </cell>
          <cell r="AE252">
            <v>0</v>
          </cell>
          <cell r="AF252">
            <v>0</v>
          </cell>
          <cell r="AG252">
            <v>0</v>
          </cell>
          <cell r="AI252"/>
          <cell r="AJ252" t="str">
            <v>x</v>
          </cell>
          <cell r="AK252" t="str">
            <v>x</v>
          </cell>
          <cell r="AL252" t="str">
            <v>x</v>
          </cell>
          <cell r="AM252" t="str">
            <v>x</v>
          </cell>
          <cell r="AN252" t="str">
            <v>x</v>
          </cell>
        </row>
        <row r="253">
          <cell r="B253" t="str">
            <v>Zambia</v>
          </cell>
          <cell r="C253" t="str">
            <v>ZMB</v>
          </cell>
          <cell r="D253" t="str">
            <v>ZMB</v>
          </cell>
          <cell r="E253" t="str">
            <v/>
          </cell>
          <cell r="F253" t="str">
            <v>Zambia</v>
          </cell>
          <cell r="G253" t="str">
            <v/>
          </cell>
          <cell r="H253" t="str">
            <v>Zambia</v>
          </cell>
          <cell r="I253" t="str">
            <v/>
          </cell>
          <cell r="K253">
            <v>1</v>
          </cell>
          <cell r="L253">
            <v>0</v>
          </cell>
          <cell r="M253">
            <v>0</v>
          </cell>
          <cell r="N253">
            <v>0</v>
          </cell>
          <cell r="P253">
            <v>1</v>
          </cell>
          <cell r="Q253">
            <v>1</v>
          </cell>
          <cell r="R253">
            <v>0</v>
          </cell>
          <cell r="T253">
            <v>0</v>
          </cell>
          <cell r="U253">
            <v>0</v>
          </cell>
          <cell r="V253">
            <v>0</v>
          </cell>
          <cell r="W253">
            <v>0</v>
          </cell>
          <cell r="X253">
            <v>0</v>
          </cell>
          <cell r="Y253">
            <v>0</v>
          </cell>
          <cell r="Z253">
            <v>1</v>
          </cell>
          <cell r="AB253">
            <v>0</v>
          </cell>
          <cell r="AC253">
            <v>0</v>
          </cell>
          <cell r="AD253">
            <v>0</v>
          </cell>
          <cell r="AE253">
            <v>0</v>
          </cell>
          <cell r="AF253">
            <v>0</v>
          </cell>
          <cell r="AG253">
            <v>0</v>
          </cell>
          <cell r="AI253"/>
          <cell r="AJ253" t="str">
            <v>x</v>
          </cell>
          <cell r="AK253" t="str">
            <v>x</v>
          </cell>
          <cell r="AL253" t="str">
            <v>x</v>
          </cell>
          <cell r="AM253" t="str">
            <v>x</v>
          </cell>
          <cell r="AN253" t="str">
            <v>x</v>
          </cell>
        </row>
        <row r="254">
          <cell r="B254" t="str">
            <v>Zimbabwe</v>
          </cell>
          <cell r="C254" t="str">
            <v>ZWE</v>
          </cell>
          <cell r="D254" t="str">
            <v>ZWE</v>
          </cell>
          <cell r="E254" t="str">
            <v/>
          </cell>
          <cell r="F254" t="str">
            <v>Zimbabwe</v>
          </cell>
          <cell r="G254" t="str">
            <v/>
          </cell>
          <cell r="H254" t="str">
            <v>Zimbabwe</v>
          </cell>
          <cell r="I254" t="str">
            <v/>
          </cell>
          <cell r="K254">
            <v>0</v>
          </cell>
          <cell r="L254">
            <v>1</v>
          </cell>
          <cell r="M254">
            <v>0</v>
          </cell>
          <cell r="N254">
            <v>0</v>
          </cell>
          <cell r="P254">
            <v>0</v>
          </cell>
          <cell r="Q254">
            <v>1</v>
          </cell>
          <cell r="R254">
            <v>0</v>
          </cell>
          <cell r="T254">
            <v>0</v>
          </cell>
          <cell r="U254">
            <v>0</v>
          </cell>
          <cell r="V254">
            <v>0</v>
          </cell>
          <cell r="W254">
            <v>0</v>
          </cell>
          <cell r="X254">
            <v>0</v>
          </cell>
          <cell r="Y254">
            <v>0</v>
          </cell>
          <cell r="Z254">
            <v>1</v>
          </cell>
          <cell r="AB254">
            <v>0</v>
          </cell>
          <cell r="AC254">
            <v>0</v>
          </cell>
          <cell r="AD254">
            <v>0</v>
          </cell>
          <cell r="AE254">
            <v>0</v>
          </cell>
          <cell r="AF254">
            <v>0</v>
          </cell>
          <cell r="AG254">
            <v>0</v>
          </cell>
          <cell r="AI254"/>
          <cell r="AJ254" t="str">
            <v/>
          </cell>
          <cell r="AK254" t="str">
            <v>x</v>
          </cell>
          <cell r="AL254" t="str">
            <v/>
          </cell>
          <cell r="AM254" t="str">
            <v/>
          </cell>
          <cell r="AN254" t="str">
            <v>x</v>
          </cell>
        </row>
      </sheetData>
      <sheetData sheetId="32"/>
      <sheetData sheetId="33"/>
      <sheetData sheetId="34"/>
      <sheetData sheetId="35" refreshError="1"/>
    </sheetDataSet>
  </externalBook>
</externalLink>
</file>

<file path=xl/persons/person.xml><?xml version="1.0" encoding="utf-8"?>
<personList xmlns="http://schemas.microsoft.com/office/spreadsheetml/2018/threadedcomments" xmlns:x="http://schemas.openxmlformats.org/spreadsheetml/2006/main">
  <person displayName="Mayer, Ben" id="{688BFC14-C4EF-47D7-9C58-16BA37531848}" userId="S::bm638@exeter.ac.uk::5b8d4dc4-f8b9-4259-82d2-820dd7ab900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4.367987152778" createdVersion="8" refreshedVersion="8" minRefreshableVersion="3" recordCount="217" xr:uid="{A16198E5-B52B-433D-93FC-2425C58729B5}">
  <cacheSource type="worksheet">
    <worksheetSource ref="A4:AC221" sheet="Scenario sets"/>
  </cacheSource>
  <cacheFields count="29">
    <cacheField name="iso3" numFmtId="0">
      <sharedItems/>
    </cacheField>
    <cacheField name="World Bank economy" numFmtId="0">
      <sharedItems/>
    </cacheField>
    <cacheField name="GDP 2025 (US$ millions)" numFmtId="169">
      <sharedItems containsSemiMixedTypes="0" containsString="0" containsNumber="1" minValue="0" maxValue="30769700"/>
    </cacheField>
    <cacheField name="2025 % of global GDP" numFmtId="0">
      <sharedItems containsSemiMixedTypes="0" containsString="0" containsNumber="1" minValue="0" maxValue="0.26265668854705321"/>
    </cacheField>
    <cacheField name="MINDSET country" numFmtId="0">
      <sharedItems/>
    </cacheField>
    <cacheField name="IPCC region" numFmtId="0">
      <sharedItems containsBlank="1" count="11">
        <s v="SAS"/>
        <s v="EUR"/>
        <s v="AFR"/>
        <m/>
        <s v="LAC"/>
        <s v="EEA"/>
        <s v="AJN"/>
        <s v="MEN"/>
        <s v="SEP"/>
        <s v="NAM"/>
        <s v="EAS"/>
      </sharedItems>
    </cacheField>
    <cacheField name="G77 + China" numFmtId="0">
      <sharedItems/>
    </cacheField>
    <cacheField name="CVF member" numFmtId="0">
      <sharedItems/>
    </cacheField>
    <cacheField name="Fair shares %" numFmtId="0">
      <sharedItems containsMixedTypes="1" containsNumber="1" minValue="0" maxValue="0.44369475213561244"/>
    </cacheField>
    <cacheField name="CVF Receipts (Lower)" numFmtId="2">
      <sharedItems containsMixedTypes="1" containsNumber="1" minValue="0" maxValue="0.48987725230706525"/>
    </cacheField>
    <cacheField name="CVF Receipts (Central)" numFmtId="2">
      <sharedItems containsMixedTypes="1" containsNumber="1" minValue="0" maxValue="15.79421304656122"/>
    </cacheField>
    <cacheField name="CVF Receipts (Upper)" numFmtId="2">
      <sharedItems containsMixedTypes="1" containsNumber="1" minValue="0" maxValue="66.641282991623356"/>
    </cacheField>
    <cacheField name="CVF Receipts (Max)" numFmtId="2">
      <sharedItems containsMixedTypes="1" containsNumber="1" minValue="0" maxValue="113.98966907310384"/>
    </cacheField>
    <cacheField name="Outgoings CVF (Lower)" numFmtId="43">
      <sharedItems containsSemiMixedTypes="0" containsString="0" containsNumber="1" minValue="0" maxValue="1.8782596192059511"/>
    </cacheField>
    <cacheField name="Outgoings CVF (Central)" numFmtId="43">
      <sharedItems containsSemiMixedTypes="0" containsString="0" containsNumber="1" minValue="0" maxValue="60.557277241966545"/>
    </cacheField>
    <cacheField name="Outgoings CVF (Upper)" numFmtId="43">
      <sharedItems containsSemiMixedTypes="0" containsString="0" containsNumber="1" minValue="0" maxValue="255.51223337225642"/>
    </cacheField>
    <cacheField name="Outgoings CVF (Max)" numFmtId="43">
      <sharedItems containsSemiMixedTypes="0" containsString="0" containsNumber="1" minValue="0" maxValue="437.05273396213289"/>
    </cacheField>
    <cacheField name="Net transfers CVF (lower)" numFmtId="43">
      <sharedItems containsSemiMixedTypes="0" containsString="0" containsNumber="1" minValue="-1.8782596192059511" maxValue="0.48987725230706525"/>
    </cacheField>
    <cacheField name="Net transfers CVF (central)" numFmtId="43">
      <sharedItems containsSemiMixedTypes="0" containsString="0" containsNumber="1" minValue="-60.557277241966545" maxValue="15.79421304656122"/>
    </cacheField>
    <cacheField name="Net transfers CVF (upper)" numFmtId="43">
      <sharedItems containsSemiMixedTypes="0" containsString="0" containsNumber="1" minValue="-255.51223337225642" maxValue="66.641282991623356"/>
    </cacheField>
    <cacheField name="G77 + China Receipts (Lower)" numFmtId="2">
      <sharedItems containsMixedTypes="1" containsNumber="1" minValue="0" maxValue="18.557796077692004"/>
    </cacheField>
    <cacheField name="G77 + China Receipts (Central)" numFmtId="2">
      <sharedItems containsMixedTypes="1" containsNumber="1" minValue="0" maxValue="598.3249549664348"/>
    </cacheField>
    <cacheField name="G77 + China  Receipts (Upper)" numFmtId="2">
      <sharedItems containsMixedTypes="1" containsNumber="1" minValue="0" maxValue="2524.5412688383249"/>
    </cacheField>
    <cacheField name="Outgoings G77 + China  (Lower)" numFmtId="43">
      <sharedItems containsSemiMixedTypes="0" containsString="0" containsNumber="1" minValue="0" maxValue="17.036392304162419"/>
    </cacheField>
    <cacheField name="Outgoings G77 + China  CVF (Central)" numFmtId="43">
      <sharedItems containsSemiMixedTypes="0" containsString="0" containsNumber="1" minValue="0" maxValue="549.2731257259411"/>
    </cacheField>
    <cacheField name="Outgoings G77 + China  (Upper)" numFmtId="43">
      <sharedItems containsSemiMixedTypes="0" containsString="0" containsNumber="1" minValue="0" maxValue="2317.5745257637614"/>
    </cacheField>
    <cacheField name="Net transfers G77 + China (lower)" numFmtId="43">
      <sharedItems containsSemiMixedTypes="0" containsString="0" containsNumber="1" minValue="-17.036392304162419" maxValue="15.315503708502478"/>
    </cacheField>
    <cacheField name="Net transfers G77 + China (central)" numFmtId="43">
      <sharedItems containsSemiMixedTypes="0" containsString="0" containsNumber="1" minValue="-549.2731257259411" maxValue="493.78967353205633"/>
    </cacheField>
    <cacheField name="Net transfers G77 + China (upper)" numFmtId="43">
      <sharedItems containsSemiMixedTypes="0" containsString="0" containsNumber="1" minValue="-2317.5745257637614" maxValue="2083.470526526529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s v="AFG"/>
    <s v="Afghanistan"/>
    <n v="17778.508875739601"/>
    <n v="1.5176112437255342E-4"/>
    <s v="Afghanistan"/>
    <x v="0"/>
    <s v="Yes"/>
    <s v="Yes"/>
    <s v=""/>
    <n v="1.6921185546673285E-2"/>
    <n v="0.54555872571324904"/>
    <n v="2.3019021790846232"/>
    <n v="3.9373951978909969"/>
    <n v="0"/>
    <n v="0"/>
    <n v="0"/>
    <n v="0"/>
    <n v="1.6921185546673285E-2"/>
    <n v="0.54555872571324904"/>
    <n v="2.3019021790846232"/>
    <n v="1.6921185546673285E-2"/>
    <n v="0.54555872571324904"/>
    <n v="2.3019021790846232"/>
    <n v="0"/>
    <n v="0"/>
    <n v="0"/>
    <n v="1.6921185546673285E-2"/>
    <n v="0.54555872571324904"/>
    <n v="2.3019021790846232"/>
  </r>
  <r>
    <s v="ALB"/>
    <s v="Albania"/>
    <n v="30540.1882713421"/>
    <n v="2.6069752772871587E-4"/>
    <s v="Albania"/>
    <x v="1"/>
    <s v="No"/>
    <s v="No"/>
    <n v="5.8332434313221465E-5"/>
    <b v="0"/>
    <b v="0"/>
    <b v="0"/>
    <b v="0"/>
    <n v="2.4693430637426188E-4"/>
    <n v="7.9614495774448166E-3"/>
    <n v="3.3592127239891606E-2"/>
    <n v="5.7459209901738459E-2"/>
    <n v="-2.4693430637426188E-4"/>
    <n v="-7.9614495774448166E-3"/>
    <n v="-3.3592127239891606E-2"/>
    <b v="0"/>
    <b v="0"/>
    <b v="0"/>
    <n v="2.2397700902107701E-3"/>
    <n v="7.2212795784055928E-2"/>
    <n v="0.30469092352210225"/>
    <n v="-2.2397700902107701E-3"/>
    <n v="-7.2212795784055928E-2"/>
    <n v="-0.30469092352210225"/>
  </r>
  <r>
    <s v="DZA"/>
    <s v="Algeria"/>
    <n v="287031.22598773602"/>
    <n v="2.450159453213376E-3"/>
    <s v="Algeria"/>
    <x v="2"/>
    <s v="Yes"/>
    <s v="No"/>
    <s v=""/>
    <b v="0"/>
    <b v="0"/>
    <b v="0"/>
    <b v="0"/>
    <n v="0"/>
    <n v="0"/>
    <n v="0"/>
    <n v="0"/>
    <n v="0"/>
    <n v="0"/>
    <n v="0"/>
    <n v="0.27318987585372179"/>
    <n v="8.8079597104718683"/>
    <n v="37.163848171097762"/>
    <n v="0"/>
    <n v="0"/>
    <n v="0"/>
    <n v="0.27318987585372179"/>
    <n v="8.8079597104718683"/>
    <n v="37.163848171097762"/>
  </r>
  <r>
    <s v="ASM"/>
    <s v="American Samoa"/>
    <n v="0"/>
    <n v="0"/>
    <s v="Not in MINDSET country list"/>
    <x v="3"/>
    <s v="No"/>
    <s v="No"/>
    <s v="Not in MINDSET country list"/>
    <b v="0"/>
    <b v="0"/>
    <b v="0"/>
    <b v="0"/>
    <n v="0"/>
    <n v="0"/>
    <n v="0"/>
    <n v="0"/>
    <n v="0"/>
    <n v="0"/>
    <n v="0"/>
    <b v="0"/>
    <b v="0"/>
    <b v="0"/>
    <n v="0"/>
    <n v="0"/>
    <n v="0"/>
    <n v="0"/>
    <n v="0"/>
    <n v="0"/>
  </r>
  <r>
    <s v="AND"/>
    <s v="Andorra"/>
    <n v="4500.9827318078414"/>
    <n v="3.8421343709692228E-5"/>
    <s v="Rest of Europe"/>
    <x v="1"/>
    <s v="No"/>
    <s v="No"/>
    <n v="2.3797814895476248E-5"/>
    <b v="0"/>
    <b v="0"/>
    <b v="0"/>
    <b v="0"/>
    <n v="1.0074149970980304E-4"/>
    <n v="3.2480232579759787E-3"/>
    <n v="1.3704540799851924E-2"/>
    <n v="2.3441566555228707E-2"/>
    <n v="-1.0074149970980304E-4"/>
    <n v="-3.2480232579759787E-3"/>
    <n v="-1.3704540799851924E-2"/>
    <b v="0"/>
    <b v="0"/>
    <b v="0"/>
    <n v="9.1375638001068042E-4"/>
    <n v="2.9460569705116502E-2"/>
    <n v="0.12430439915083766"/>
    <n v="-9.1375638001068042E-4"/>
    <n v="-2.9460569705116502E-2"/>
    <n v="-0.12430439915083766"/>
  </r>
  <r>
    <s v="AGO"/>
    <s v="Angola"/>
    <n v="122174.889423635"/>
    <n v="1.0429107816980459E-3"/>
    <s v="Angola"/>
    <x v="2"/>
    <s v="Yes"/>
    <s v="No"/>
    <s v=""/>
    <b v="0"/>
    <b v="0"/>
    <b v="0"/>
    <b v="0"/>
    <n v="0"/>
    <n v="0"/>
    <n v="0"/>
    <n v="0"/>
    <n v="0"/>
    <n v="0"/>
    <n v="0"/>
    <n v="0.11628331642046195"/>
    <n v="3.7491095262252463"/>
    <n v="15.818798199519344"/>
    <n v="0"/>
    <n v="0"/>
    <n v="0"/>
    <n v="0.11628331642046195"/>
    <n v="3.7491095262252463"/>
    <n v="15.818798199519344"/>
  </r>
  <r>
    <s v="ATG"/>
    <s v="Antigua and Barbuda"/>
    <n v="2338.1962962962998"/>
    <n v="1.995933975170933E-5"/>
    <s v="Rest of Americas"/>
    <x v="4"/>
    <s v="Yes"/>
    <s v="No"/>
    <s v=""/>
    <b v="0"/>
    <b v="0"/>
    <b v="0"/>
    <b v="0"/>
    <n v="0"/>
    <n v="0"/>
    <n v="0"/>
    <n v="0"/>
    <n v="0"/>
    <n v="0"/>
    <n v="0"/>
    <n v="2.2254427326109491E-3"/>
    <n v="7.1750865091703642E-2"/>
    <n v="0.3027418771276531"/>
    <n v="0"/>
    <n v="0"/>
    <n v="0"/>
    <n v="2.2254427326109491E-3"/>
    <n v="7.1750865091703642E-2"/>
    <n v="0.3027418771276531"/>
  </r>
  <r>
    <s v="ARG"/>
    <s v="Argentina"/>
    <n v="683097.89161859709"/>
    <n v="5.8310685565999849E-3"/>
    <s v="Argentina"/>
    <x v="4"/>
    <s v="Yes"/>
    <s v="No"/>
    <n v="3.9283122891778871E-3"/>
    <b v="0"/>
    <b v="0"/>
    <b v="0"/>
    <b v="0"/>
    <n v="1.662942892355454E-2"/>
    <n v="0.53615215245110825"/>
    <n v="2.2622125719547364"/>
    <n v="3.8695062710984853"/>
    <n v="-1.662942892355454E-2"/>
    <n v="-0.53615215245110825"/>
    <n v="-2.2622125719547364"/>
    <n v="0.65015723486195576"/>
    <n v="20.961826320394685"/>
    <n v="88.445242299857725"/>
    <n v="0.15083403382522279"/>
    <n v="4.8630648875578153"/>
    <n v="20.518963649722799"/>
    <n v="0.499323201036733"/>
    <n v="16.09876143283687"/>
    <n v="67.926278650134918"/>
  </r>
  <r>
    <s v="ARM"/>
    <s v="Armenia"/>
    <n v="29243.452882354501"/>
    <n v="2.4962831928036381E-4"/>
    <s v="Armenia"/>
    <x v="5"/>
    <s v="No"/>
    <s v="No"/>
    <n v="4.6169952860765271E-5"/>
    <b v="0"/>
    <b v="0"/>
    <b v="0"/>
    <b v="0"/>
    <n v="1.9544778851139654E-4"/>
    <n v="6.301464288636283E-3"/>
    <n v="2.6588071446335838E-2"/>
    <n v="4.5478798267446649E-2"/>
    <n v="-1.9544778851139654E-4"/>
    <n v="-6.301464288636283E-3"/>
    <n v="-2.6588071446335838E-2"/>
    <b v="0"/>
    <b v="0"/>
    <b v="0"/>
    <n v="1.7727715412786159E-3"/>
    <n v="5.7156218775156489E-2"/>
    <n v="0.2411619837530076"/>
    <n v="-1.7727715412786159E-3"/>
    <n v="-5.7156218775156489E-2"/>
    <n v="-0.2411619837530076"/>
  </r>
  <r>
    <s v="ABW"/>
    <s v="Aruba"/>
    <n v="4167.5880702921704"/>
    <n v="3.5575416132466197E-5"/>
    <s v="Rest of Americas"/>
    <x v="4"/>
    <s v="No"/>
    <s v="No"/>
    <s v=""/>
    <b v="0"/>
    <b v="0"/>
    <b v="0"/>
    <b v="0"/>
    <n v="0"/>
    <n v="0"/>
    <n v="0"/>
    <n v="0"/>
    <n v="0"/>
    <n v="0"/>
    <n v="0"/>
    <b v="0"/>
    <b v="0"/>
    <b v="0"/>
    <n v="0"/>
    <n v="0"/>
    <n v="0"/>
    <n v="0"/>
    <n v="0"/>
    <n v="0"/>
  </r>
  <r>
    <s v="AUS"/>
    <s v="Australia"/>
    <n v="1798518.9336892101"/>
    <n v="1.5352539264665729E-2"/>
    <s v="Australia"/>
    <x v="6"/>
    <s v="No"/>
    <s v="No"/>
    <n v="3.5702701628111629E-2"/>
    <b v="0"/>
    <b v="0"/>
    <b v="0"/>
    <b v="0"/>
    <n v="0.15113756122169439"/>
    <n v="4.8728509642592011"/>
    <n v="20.560254513972414"/>
    <n v="35.168239609088793"/>
    <n v="-0.15113756122169439"/>
    <n v="-4.8728509642592011"/>
    <n v="-20.560254513972414"/>
    <b v="0"/>
    <b v="0"/>
    <b v="0"/>
    <n v="1.3708641545281604"/>
    <n v="44.1982566296833"/>
    <n v="186.48783064480739"/>
    <n v="-1.3708641545281604"/>
    <n v="-44.1982566296833"/>
    <n v="-186.48783064480739"/>
  </r>
  <r>
    <s v="AUT"/>
    <s v="Austria"/>
    <n v="579470.02109541802"/>
    <n v="4.9464790639237154E-3"/>
    <s v="Austria"/>
    <x v="1"/>
    <s v="No"/>
    <s v="No"/>
    <n v="3.9375006082531692E-3"/>
    <b v="0"/>
    <b v="0"/>
    <b v="0"/>
    <b v="0"/>
    <n v="1.6668325143544556E-2"/>
    <n v="0.53740621187586213"/>
    <n v="2.2675038852203588"/>
    <n v="3.8785570429479144"/>
    <n v="-1.6668325143544556E-2"/>
    <n v="-0.53740621187586213"/>
    <n v="-2.2675038852203588"/>
    <b v="0"/>
    <b v="0"/>
    <b v="0"/>
    <n v="0.15118683450097764"/>
    <n v="4.8744395921590211"/>
    <n v="20.566957488101473"/>
    <n v="-0.15118683450097764"/>
    <n v="-4.8744395921590211"/>
    <n v="-20.566957488101473"/>
  </r>
  <r>
    <s v="AZE"/>
    <s v="Azerbaijan"/>
    <n v="75937.647058823495"/>
    <n v="6.4821986930407036E-4"/>
    <s v="Azerbaijan"/>
    <x v="5"/>
    <s v="Yes"/>
    <s v="No"/>
    <n v="2.791079530520719E-4"/>
    <b v="0"/>
    <b v="0"/>
    <b v="0"/>
    <b v="0"/>
    <n v="1.1815267029723789E-3"/>
    <n v="3.8093796719610752E-2"/>
    <n v="0.16073098925113422"/>
    <n v="0.27492976503517164"/>
    <n v="-1.1815267029723789E-3"/>
    <n v="-3.8093796719610752E-2"/>
    <n v="-0.16073098925113422"/>
    <n v="7.2275747355481521E-2"/>
    <n v="2.3302542554402357"/>
    <n v="9.8321538921521601"/>
    <n v="1.0716810511100006E-2"/>
    <n v="0.34552244995005849"/>
    <n v="1.4578794966992152"/>
    <n v="6.1558936844381518E-2"/>
    <n v="1.9847318054901772"/>
    <n v="8.3742743954529448"/>
  </r>
  <r>
    <s v="BHS"/>
    <s v="Bahamas, The"/>
    <n v="15832.8"/>
    <n v="1.3515214052875992E-4"/>
    <s v="Bahamas"/>
    <x v="4"/>
    <s v="Yes"/>
    <s v="No"/>
    <s v=""/>
    <b v="0"/>
    <b v="0"/>
    <b v="0"/>
    <b v="0"/>
    <n v="0"/>
    <n v="0"/>
    <n v="0"/>
    <n v="0"/>
    <n v="0"/>
    <n v="0"/>
    <n v="0"/>
    <n v="1.5069303527977878E-2"/>
    <n v="0.48585189302684939"/>
    <n v="2.0499782673418867"/>
    <n v="0"/>
    <n v="0"/>
    <n v="0"/>
    <n v="1.5069303527977878E-2"/>
    <n v="0.48585189302684939"/>
    <n v="2.0499782673418867"/>
  </r>
  <r>
    <s v="BHR"/>
    <s v="Bahrain"/>
    <n v="48965.725531914897"/>
    <n v="4.1798182369398015E-4"/>
    <s v="Bahrain"/>
    <x v="7"/>
    <s v="Yes"/>
    <s v="No"/>
    <n v="9.2212214362320257E-4"/>
    <b v="0"/>
    <b v="0"/>
    <b v="0"/>
    <b v="0"/>
    <n v="3.9035503079687586E-3"/>
    <n v="0.12585500737515881"/>
    <n v="0.53102608769905701"/>
    <n v="0.90831816688777067"/>
    <n v="-3.9035503079687586E-3"/>
    <n v="-0.12585500737515881"/>
    <n v="-0.53102608769905701"/>
    <n v="4.6604478077666718E-2"/>
    <n v="1.5025826412961691"/>
    <n v="6.3399192300195351"/>
    <n v="3.5406401620721742E-2"/>
    <n v="1.1415436168472286"/>
    <n v="4.8165699040105396"/>
    <n v="1.1198076456944976E-2"/>
    <n v="0.36103902444894054"/>
    <n v="1.5233493260089954"/>
  </r>
  <r>
    <s v="BGD"/>
    <s v="Bangladesh"/>
    <n v="456319.22925557801"/>
    <n v="3.8952377721139212E-3"/>
    <s v="Bangladesh"/>
    <x v="0"/>
    <s v="Yes"/>
    <s v="Yes"/>
    <s v=""/>
    <n v="0.43431439614630557"/>
    <n v="14.002801864381251"/>
    <n v="59.082695603060422"/>
    <n v="101.0607331882601"/>
    <n v="0"/>
    <n v="0"/>
    <n v="0"/>
    <n v="0"/>
    <n v="0.43431439614630557"/>
    <n v="14.002801864381251"/>
    <n v="59.082695603060422"/>
    <n v="0.43431439614630557"/>
    <n v="14.002801864381251"/>
    <n v="59.082695603060422"/>
    <n v="0"/>
    <n v="0"/>
    <n v="0"/>
    <n v="0.43431439614630557"/>
    <n v="14.002801864381251"/>
    <n v="59.082695603060422"/>
  </r>
  <r>
    <s v="BRB"/>
    <s v="Barbados"/>
    <n v="8016.55"/>
    <n v="6.8430971916264355E-5"/>
    <s v="Rest of Americas"/>
    <x v="4"/>
    <s v="Yes"/>
    <s v="Yes"/>
    <s v=""/>
    <n v="7.6299722852060953E-3"/>
    <n v="0.24599919111239898"/>
    <n v="1.0379562224659948"/>
    <n v="1.7754202950465368"/>
    <n v="0"/>
    <n v="0"/>
    <n v="0"/>
    <n v="0"/>
    <n v="7.6299722852060953E-3"/>
    <n v="0.24599919111239898"/>
    <n v="1.0379562224659948"/>
    <n v="7.6299722852060953E-3"/>
    <n v="0.24599919111239898"/>
    <n v="1.0379562224659948"/>
    <n v="0"/>
    <n v="0"/>
    <n v="0"/>
    <n v="7.6299722852060953E-3"/>
    <n v="0.24599919111239898"/>
    <n v="1.0379562224659948"/>
  </r>
  <r>
    <s v="BLR"/>
    <s v="Belarus"/>
    <n v="93397.215864197991"/>
    <n v="7.9725845355673103E-4"/>
    <s v="Belarus"/>
    <x v="5"/>
    <s v="No"/>
    <s v="No"/>
    <n v="7.5930173855065432E-4"/>
    <b v="0"/>
    <b v="0"/>
    <b v="0"/>
    <b v="0"/>
    <n v="3.214294934632606E-3"/>
    <n v="0.10363261154295847"/>
    <n v="0.43726206381006877"/>
    <n v="0.74793514942077743"/>
    <n v="-3.214294934632606E-3"/>
    <n v="-0.10363261154295847"/>
    <n v="-0.43726206381006877"/>
    <b v="0"/>
    <b v="0"/>
    <b v="0"/>
    <n v="2.9154643441056026E-2"/>
    <n v="0.93997965334371647"/>
    <n v="3.9661013752429501"/>
    <n v="-2.9154643441056026E-2"/>
    <n v="-0.93997965334371647"/>
    <n v="-3.9661013752429501"/>
  </r>
  <r>
    <s v="BEL"/>
    <s v="Belgium"/>
    <n v="725466.46285964595"/>
    <n v="6.1927356713474086E-3"/>
    <s v="Belgium"/>
    <x v="1"/>
    <s v="No"/>
    <s v="No"/>
    <n v="7.2560832492151407E-3"/>
    <b v="0"/>
    <b v="0"/>
    <b v="0"/>
    <b v="0"/>
    <n v="3.0716631411569984E-2"/>
    <n v="0.99033996435280869"/>
    <n v="4.1785890583968657"/>
    <n v="7.1474611918714537"/>
    <n v="-3.0716631411569984E-2"/>
    <n v="-0.99033996435280869"/>
    <n v="-4.1785890583968657"/>
    <b v="0"/>
    <b v="0"/>
    <b v="0"/>
    <n v="0.27860929215477348"/>
    <n v="8.9826880025975129"/>
    <n v="37.901087660514619"/>
    <n v="-0.27860929215477348"/>
    <n v="-8.9826880025975129"/>
    <n v="-37.901087660514619"/>
  </r>
  <r>
    <s v="BLZ"/>
    <s v="Belize"/>
    <n v="3326.5"/>
    <n v="2.8395709885106856E-5"/>
    <s v="Belize"/>
    <x v="4"/>
    <s v="Yes"/>
    <s v="No"/>
    <s v=""/>
    <b v="0"/>
    <b v="0"/>
    <b v="0"/>
    <b v="0"/>
    <n v="0"/>
    <n v="0"/>
    <n v="0"/>
    <n v="0"/>
    <n v="0"/>
    <n v="0"/>
    <n v="0"/>
    <n v="3.1660880062792693E-3"/>
    <n v="0.10207836403881908"/>
    <n v="0.43070415253857725"/>
    <n v="0"/>
    <n v="0"/>
    <n v="0"/>
    <n v="3.1660880062792693E-3"/>
    <n v="0.10207836403881908"/>
    <n v="0.43070415253857725"/>
  </r>
  <r>
    <s v="BEN"/>
    <s v="Benin"/>
    <n v="24566.420903533701"/>
    <n v="2.0970418184042315E-4"/>
    <s v="Benin"/>
    <x v="2"/>
    <s v="Yes"/>
    <s v="Yes"/>
    <s v=""/>
    <n v="2.3381767797951713E-2"/>
    <n v="0.75385542044844966"/>
    <n v="3.1807784446602954"/>
    <n v="5.4407098126736821"/>
    <n v="0"/>
    <n v="0"/>
    <n v="0"/>
    <n v="0"/>
    <n v="2.3381767797951713E-2"/>
    <n v="0.75385542044844966"/>
    <n v="3.1807784446602954"/>
    <n v="2.3381767797951713E-2"/>
    <n v="0.75385542044844966"/>
    <n v="3.1807784446602954"/>
    <n v="0"/>
    <n v="0"/>
    <n v="0"/>
    <n v="2.3381767797951713E-2"/>
    <n v="0.75385542044844966"/>
    <n v="3.1807784446602954"/>
  </r>
  <r>
    <s v="BMU"/>
    <s v="Bermuda"/>
    <n v="9194.4989999999998"/>
    <n v="7.8486194541681979E-5"/>
    <s v="Rest of Americas"/>
    <x v="4"/>
    <s v="No"/>
    <s v="No"/>
    <n v="0"/>
    <b v="0"/>
    <b v="0"/>
    <b v="0"/>
    <b v="0"/>
    <n v="0"/>
    <n v="0"/>
    <n v="0"/>
    <n v="0"/>
    <n v="0"/>
    <n v="0"/>
    <n v="0"/>
    <b v="0"/>
    <b v="0"/>
    <b v="0"/>
    <n v="0"/>
    <n v="0"/>
    <n v="0"/>
    <n v="0"/>
    <n v="0"/>
    <n v="0"/>
  </r>
  <r>
    <s v="BTN"/>
    <s v="Bhutan"/>
    <n v="3579.32014513077"/>
    <n v="3.0553836292515229E-5"/>
    <s v="Bhutan"/>
    <x v="0"/>
    <s v="Yes"/>
    <s v="Yes"/>
    <s v=""/>
    <n v="3.4067165435539772E-3"/>
    <n v="0.10983650827781075"/>
    <n v="0.46343846378259601"/>
    <n v="0.79270978514873414"/>
    <n v="0"/>
    <n v="0"/>
    <n v="0"/>
    <n v="0"/>
    <n v="3.4067165435539772E-3"/>
    <n v="0.10983650827781075"/>
    <n v="0.46343846378259601"/>
    <n v="3.4067165435539772E-3"/>
    <n v="0.10983650827781075"/>
    <n v="0.46343846378259601"/>
    <n v="0"/>
    <n v="0"/>
    <n v="0"/>
    <n v="3.4067165435539772E-3"/>
    <n v="0.10983650827781075"/>
    <n v="0.46343846378259601"/>
  </r>
  <r>
    <s v="BOL"/>
    <s v="Bolivia"/>
    <n v="64768.947525325602"/>
    <n v="5.5288148008202477E-4"/>
    <s v="Bolivia"/>
    <x v="4"/>
    <s v="Yes"/>
    <s v="No"/>
    <s v=""/>
    <b v="0"/>
    <b v="0"/>
    <b v="0"/>
    <b v="0"/>
    <n v="0"/>
    <n v="0"/>
    <n v="0"/>
    <n v="0"/>
    <n v="0"/>
    <n v="0"/>
    <n v="0"/>
    <n v="6.1645629923121815E-2"/>
    <n v="1.987526891297567"/>
    <n v="8.386067835476009"/>
    <n v="0"/>
    <n v="0"/>
    <n v="0"/>
    <n v="6.1645629923121815E-2"/>
    <n v="1.987526891297567"/>
    <n v="8.386067835476009"/>
  </r>
  <r>
    <s v="BIH"/>
    <s v="Bosnia and Herzegovina"/>
    <n v="32599.982936393098"/>
    <n v="2.7828037207913795E-4"/>
    <s v="Bosnia and Herzegovina"/>
    <x v="1"/>
    <s v="No"/>
    <s v="No"/>
    <n v="1.4741104213891287E-4"/>
    <b v="0"/>
    <b v="0"/>
    <b v="0"/>
    <b v="0"/>
    <n v="6.2402407633156199E-4"/>
    <n v="2.0119262858905612E-2"/>
    <n v="8.4890173749752315E-2"/>
    <n v="0.14520432949210887"/>
    <n v="-6.2402407633156199E-4"/>
    <n v="-2.0119262858905612E-2"/>
    <n v="-8.4890173749752315E-2"/>
    <b v="0"/>
    <b v="0"/>
    <b v="0"/>
    <n v="5.6600902574487936E-3"/>
    <n v="0.18248790073003041"/>
    <n v="0.76997997932825224"/>
    <n v="-5.6600902574487936E-3"/>
    <n v="-0.18248790073003041"/>
    <n v="-0.76997997932825224"/>
  </r>
  <r>
    <s v="BWA"/>
    <s v="Botswana"/>
    <n v="19928.479839447598"/>
    <n v="1.7011373274377121E-4"/>
    <s v="Botswana"/>
    <x v="2"/>
    <s v="Yes"/>
    <s v="No"/>
    <n v="1.2504070444792809E-4"/>
    <b v="0"/>
    <b v="0"/>
    <b v="0"/>
    <b v="0"/>
    <n v="5.293254084957628E-4"/>
    <n v="1.7066067537056667E-2"/>
    <n v="7.200767983427761E-2"/>
    <n v="0.12316887110446322"/>
    <n v="-5.293254084957628E-4"/>
    <n v="-1.7066067537056667E-2"/>
    <n v="-7.200767983427761E-2"/>
    <n v="1.8967479634166014E-2"/>
    <n v="0.61153362987867088"/>
    <n v="2.5802732663855101"/>
    <n v="4.8011442206840312E-3"/>
    <n v="0.15479448031446399"/>
    <n v="0.65313179819512679"/>
    <n v="1.4166335413481983E-2"/>
    <n v="0.45673914956420691"/>
    <n v="1.9271414681903833"/>
  </r>
  <r>
    <s v="BRA"/>
    <s v="Brazil"/>
    <n v="2279920.0924921301"/>
    <n v="1.9461881709794834E-2"/>
    <s v="Brazil"/>
    <x v="4"/>
    <s v="Yes"/>
    <s v="No"/>
    <n v="1.6636795131883535E-2"/>
    <b v="0"/>
    <b v="0"/>
    <b v="0"/>
    <b v="0"/>
    <n v="7.042729340118084E-2"/>
    <n v="2.2706579475416944"/>
    <n v="9.5806963229643589"/>
    <n v="16.387745768368294"/>
    <n v="-7.042729340118084E-2"/>
    <n v="-2.2706579475416944"/>
    <n v="-9.5806963229643589"/>
    <n v="2.1699767503726002"/>
    <n v="69.962577237585961"/>
    <n v="295.19646814745158"/>
    <n v="0.638797207283891"/>
    <n v="20.595565803218637"/>
    <n v="86.899861678371025"/>
    <n v="1.5311795430887092"/>
    <n v="49.367011434367328"/>
    <n v="208.29660646908056"/>
  </r>
  <r>
    <s v="VGB"/>
    <s v="British Virgin Islands"/>
    <n v="0"/>
    <n v="0"/>
    <s v="Rest of Americas"/>
    <x v="4"/>
    <s v="No"/>
    <s v="No"/>
    <s v="Immaterial"/>
    <b v="0"/>
    <b v="0"/>
    <b v="0"/>
    <b v="0"/>
    <n v="0"/>
    <n v="0"/>
    <n v="0"/>
    <n v="0"/>
    <n v="0"/>
    <n v="0"/>
    <n v="0"/>
    <b v="0"/>
    <b v="0"/>
    <b v="0"/>
    <n v="0"/>
    <n v="0"/>
    <n v="0"/>
    <n v="0"/>
    <n v="0"/>
    <n v="0"/>
  </r>
  <r>
    <s v="BRN"/>
    <s v="Brunei Darussalam"/>
    <n v="15031.9809941121"/>
    <n v="1.2831617956027277E-4"/>
    <s v="Brunei Darussalam"/>
    <x v="8"/>
    <s v="Yes"/>
    <s v="No"/>
    <n v="3.8437110264799275E-4"/>
    <b v="0"/>
    <b v="0"/>
    <b v="0"/>
    <b v="0"/>
    <n v="1.6271292761937636E-3"/>
    <n v="5.2460542557286265E-2"/>
    <n v="0.22134929117062835"/>
    <n v="0.37861714717103451"/>
    <n v="-1.6271292761937636E-3"/>
    <n v="-5.2460542557286265E-2"/>
    <n v="-0.22134929117062835"/>
    <n v="1.430710197988163E-2"/>
    <n v="0.46127762757901236"/>
    <n v="1.9462908868315203"/>
    <n v="1.475856287137974E-2"/>
    <n v="0.47583325241958374"/>
    <n v="2.0077061350151961"/>
    <n v="-4.5146089149811046E-4"/>
    <n v="-1.455562484057138E-2"/>
    <n v="-6.141524818367583E-2"/>
  </r>
  <r>
    <s v="BGR"/>
    <s v="Bulgaria"/>
    <n v="130777.235529606"/>
    <n v="1.1163422334811305E-3"/>
    <s v="Bulgaria"/>
    <x v="1"/>
    <s v="No"/>
    <s v="No"/>
    <n v="8.4384003170442923E-4"/>
    <b v="0"/>
    <b v="0"/>
    <b v="0"/>
    <b v="0"/>
    <n v="3.572164532014724E-3"/>
    <n v="0.11517074407987672"/>
    <n v="0.48594546154067225"/>
    <n v="0.83120792190571491"/>
    <n v="-3.572164532014724E-3"/>
    <n v="-0.11517074407987672"/>
    <n v="-0.48594546154067225"/>
    <b v="0"/>
    <b v="0"/>
    <b v="0"/>
    <n v="3.2400630732904362E-2"/>
    <n v="1.0446340633871272"/>
    <n v="4.4076747626262991"/>
    <n v="-3.2400630732904362E-2"/>
    <n v="-1.0446340633871272"/>
    <n v="-4.4076747626262991"/>
  </r>
  <r>
    <s v="BFA"/>
    <s v="Burkina Faso"/>
    <n v="27627.2974613181"/>
    <n v="2.3583247365733894E-4"/>
    <s v="Burkina Faso"/>
    <x v="2"/>
    <s v="Yes"/>
    <s v="Yes"/>
    <s v=""/>
    <n v="2.6295041376278049E-2"/>
    <n v="0.84778275294308469"/>
    <n v="3.5770905576456338"/>
    <n v="6.1186002220546021"/>
    <n v="0"/>
    <n v="0"/>
    <n v="0"/>
    <n v="0"/>
    <n v="2.6295041376278049E-2"/>
    <n v="0.84778275294308469"/>
    <n v="3.5770905576456338"/>
    <n v="2.6295041376278049E-2"/>
    <n v="0.84778275294308469"/>
    <n v="3.5770905576456338"/>
    <n v="0"/>
    <n v="0"/>
    <n v="0"/>
    <n v="2.6295041376278049E-2"/>
    <n v="0.84778275294308469"/>
    <n v="3.5770905576456338"/>
  </r>
  <r>
    <s v="BDI"/>
    <s v="Burundi"/>
    <n v="3364.7138640848798"/>
    <n v="2.8721911537938106E-5"/>
    <s v="Burundi"/>
    <x v="2"/>
    <s v="Yes"/>
    <s v="No"/>
    <s v=""/>
    <b v="0"/>
    <b v="0"/>
    <b v="0"/>
    <b v="0"/>
    <n v="0"/>
    <n v="0"/>
    <n v="0"/>
    <n v="0"/>
    <n v="0"/>
    <n v="0"/>
    <n v="0"/>
    <n v="3.2024591040555276E-3"/>
    <n v="0.10325101058305065"/>
    <n v="0.43565195652051092"/>
    <n v="0"/>
    <n v="0"/>
    <n v="0"/>
    <n v="3.2024591040555276E-3"/>
    <n v="0.10325101058305065"/>
    <n v="0.43565195652051092"/>
  </r>
  <r>
    <s v="CPV"/>
    <s v="Cabo Verde"/>
    <n v="3056.6304353246301"/>
    <n v="2.6092046014569691E-5"/>
    <s v="Rest of Africa"/>
    <x v="2"/>
    <s v="Yes"/>
    <s v="Yes"/>
    <s v=""/>
    <n v="2.9092322143121872E-3"/>
    <n v="9.3797034212896924E-2"/>
    <n v="0.39576233917634668"/>
    <n v="0.67695002330582088"/>
    <n v="0"/>
    <n v="0"/>
    <n v="0"/>
    <n v="0"/>
    <n v="2.9092322143121872E-3"/>
    <n v="9.3797034212896924E-2"/>
    <n v="0.39576233917634668"/>
    <n v="2.9092322143121872E-3"/>
    <n v="9.3797034212896924E-2"/>
    <n v="0.39576233917634668"/>
    <n v="0"/>
    <n v="0"/>
    <n v="0"/>
    <n v="2.9092322143121872E-3"/>
    <n v="9.3797034212896924E-2"/>
    <n v="0.39576233917634668"/>
  </r>
  <r>
    <s v="KHM"/>
    <s v="Cambodia"/>
    <n v="51267.065842964097"/>
    <n v="4.3762655293476019E-4"/>
    <s v="Cambodia"/>
    <x v="8"/>
    <s v="Yes"/>
    <s v="Yes"/>
    <s v=""/>
    <n v="4.8794842111089191E-2"/>
    <n v="1.5732025282790307"/>
    <n v="6.6378891167994265"/>
    <n v="11.354084882534949"/>
    <n v="0"/>
    <n v="0"/>
    <n v="0"/>
    <n v="0"/>
    <n v="4.8794842111089191E-2"/>
    <n v="1.5732025282790307"/>
    <n v="6.6378891167994265"/>
    <n v="4.8794842111089191E-2"/>
    <n v="1.5732025282790307"/>
    <n v="6.6378891167994265"/>
    <n v="0"/>
    <n v="0"/>
    <n v="0"/>
    <n v="4.8794842111089191E-2"/>
    <n v="1.5732025282790307"/>
    <n v="6.6378891167994265"/>
  </r>
  <r>
    <s v="CMR"/>
    <s v="Cameroon"/>
    <n v="58933.453923761001"/>
    <n v="5.0306846840415744E-4"/>
    <s v="Cameroon"/>
    <x v="2"/>
    <s v="Yes"/>
    <s v="No"/>
    <s v=""/>
    <b v="0"/>
    <b v="0"/>
    <b v="0"/>
    <b v="0"/>
    <n v="0"/>
    <n v="0"/>
    <n v="0"/>
    <n v="0"/>
    <n v="0"/>
    <n v="0"/>
    <n v="0"/>
    <n v="5.6091538144185063E-2"/>
    <n v="1.8084565049435279"/>
    <n v="7.6305075389763335"/>
    <n v="0"/>
    <n v="0"/>
    <n v="0"/>
    <n v="5.6091538144185063E-2"/>
    <n v="1.8084565049435279"/>
    <n v="7.6305075389763335"/>
  </r>
  <r>
    <s v="CAN"/>
    <s v="Canada"/>
    <n v="2319899.7724259198"/>
    <n v="1.9803156741419463E-2"/>
    <s v="Canada"/>
    <x v="9"/>
    <s v="No"/>
    <s v="No"/>
    <n v="3.7790172826932825E-2"/>
    <b v="0"/>
    <b v="0"/>
    <b v="0"/>
    <b v="0"/>
    <n v="0.15997429602671392"/>
    <n v="5.157757584211736"/>
    <n v="21.762374722840793"/>
    <n v="37.224461798151708"/>
    <n v="-0.15997429602671392"/>
    <n v="-5.157757584211736"/>
    <n v="-21.762374722840793"/>
    <b v="0"/>
    <b v="0"/>
    <b v="0"/>
    <n v="1.4510160564733259"/>
    <n v="46.782447280396575"/>
    <n v="197.39143058681185"/>
    <n v="-1.4510160564733259"/>
    <n v="-46.782447280396575"/>
    <n v="-197.39143058681185"/>
  </r>
  <r>
    <s v="CYM"/>
    <s v="Cayman Islands"/>
    <n v="7765.3365053431899"/>
    <n v="6.6286560218233804E-5"/>
    <s v="Rest of Americas"/>
    <x v="4"/>
    <s v="No"/>
    <s v="No"/>
    <s v="Outside G77 + China or CVF"/>
    <b v="0"/>
    <b v="0"/>
    <b v="0"/>
    <b v="0"/>
    <n v="0"/>
    <n v="0"/>
    <n v="0"/>
    <n v="0"/>
    <n v="0"/>
    <n v="0"/>
    <n v="0"/>
    <b v="0"/>
    <b v="0"/>
    <b v="0"/>
    <n v="0"/>
    <n v="0"/>
    <n v="0"/>
    <n v="0"/>
    <n v="0"/>
    <n v="0"/>
  </r>
  <r>
    <s v="CAF"/>
    <s v="Central African Republic"/>
    <n v="3066.1092264016502"/>
    <n v="2.6172958986607748E-5"/>
    <s v="Central African Republic"/>
    <x v="2"/>
    <s v="Yes"/>
    <s v="No"/>
    <s v=""/>
    <b v="0"/>
    <b v="0"/>
    <b v="0"/>
    <b v="0"/>
    <n v="0"/>
    <n v="0"/>
    <n v="0"/>
    <n v="0"/>
    <n v="0"/>
    <n v="0"/>
    <n v="0"/>
    <n v="2.9182539148211251E-3"/>
    <n v="9.408790434252505E-2"/>
    <n v="0.39698962150850309"/>
    <n v="0"/>
    <n v="0"/>
    <n v="0"/>
    <n v="2.9182539148211251E-3"/>
    <n v="9.408790434252505E-2"/>
    <n v="0.39698962150850309"/>
  </r>
  <r>
    <s v="TCD"/>
    <s v="Chad"/>
    <n v="21472.835225433799"/>
    <n v="1.8329667803160116E-4"/>
    <s v="Chad"/>
    <x v="2"/>
    <s v="Yes"/>
    <s v="Yes"/>
    <s v=""/>
    <n v="2.0437362413364482E-2"/>
    <n v="0.65892436226887385"/>
    <n v="2.7802312636016757"/>
    <n v="4.7555753349539813"/>
    <n v="0"/>
    <n v="0"/>
    <n v="0"/>
    <n v="0"/>
    <n v="2.0437362413364482E-2"/>
    <n v="0.65892436226887385"/>
    <n v="2.7802312636016757"/>
    <n v="2.0437362413364482E-2"/>
    <n v="0.65892436226887385"/>
    <n v="2.7802312636016757"/>
    <n v="0"/>
    <n v="0"/>
    <n v="0"/>
    <n v="2.0437362413364482E-2"/>
    <n v="0.65892436226887385"/>
    <n v="2.7802312636016757"/>
  </r>
  <r>
    <s v="CHI"/>
    <s v="Channel Islands"/>
    <n v="12507.3208383932"/>
    <n v="1.0676514473679987E-4"/>
    <s v="Not in MINDSET country list"/>
    <x v="3"/>
    <s v="No"/>
    <s v="No"/>
    <s v="Not in MINDSET country list"/>
    <b v="0"/>
    <b v="0"/>
    <b v="0"/>
    <b v="0"/>
    <n v="0"/>
    <n v="0"/>
    <n v="0"/>
    <n v="0"/>
    <n v="0"/>
    <n v="0"/>
    <n v="0"/>
    <b v="0"/>
    <b v="0"/>
    <b v="0"/>
    <n v="0"/>
    <n v="0"/>
    <n v="0"/>
    <n v="0"/>
    <n v="0"/>
    <n v="0"/>
  </r>
  <r>
    <s v="CHL"/>
    <s v="Chile"/>
    <n v="357371.15957486199"/>
    <n v="3.0505960524851972E-3"/>
    <s v="Chile"/>
    <x v="4"/>
    <s v="Yes"/>
    <s v="No"/>
    <n v="1.3603311555896714E-3"/>
    <b v="0"/>
    <b v="0"/>
    <b v="0"/>
    <b v="0"/>
    <n v="5.7585875559576409E-3"/>
    <n v="0.18566356832805217"/>
    <n v="0.7833792264109164"/>
    <n v="1.3399672810703365"/>
    <n v="-5.7585875559576409E-3"/>
    <n v="-0.18566356832805217"/>
    <n v="-0.7833792264109164"/>
    <n v="0.34013784521872392"/>
    <n v="10.966440199626533"/>
    <n v="46.271228746856927"/>
    <n v="5.2232159877151116E-2"/>
    <n v="1.6840256556037549"/>
    <n v="7.1054904697944448"/>
    <n v="0.28790568534157279"/>
    <n v="9.2824145440227781"/>
    <n v="39.165738277062481"/>
  </r>
  <r>
    <s v="CHN"/>
    <s v="China"/>
    <n v="19498039.388042599"/>
    <n v="0.16643940171088054"/>
    <s v="China"/>
    <x v="10"/>
    <s v="Yes"/>
    <s v="No"/>
    <n v="8.4442062815567556E-2"/>
    <b v="0"/>
    <b v="0"/>
    <b v="0"/>
    <b v="0"/>
    <n v="0.35746223272989397"/>
    <n v="11.524998626179254"/>
    <n v="48.627981189129486"/>
    <n v="83.177982694882076"/>
    <n v="-0.35746223272989397"/>
    <n v="-11.524998626179254"/>
    <n v="-48.627981189129486"/>
    <n v="18.557796077692004"/>
    <n v="598.3249549664348"/>
    <n v="2524.5412688383249"/>
    <n v="3.2422923691895265"/>
    <n v="104.53528143437849"/>
    <n v="441.07074231179564"/>
    <n v="15.315503708502478"/>
    <n v="493.78967353205633"/>
    <n v="2083.4705265265293"/>
  </r>
  <r>
    <s v="COL"/>
    <s v="Colombia"/>
    <n v="457410.03420252301"/>
    <n v="3.9045491146104459E-3"/>
    <s v="Colombia"/>
    <x v="4"/>
    <s v="Yes"/>
    <s v="Yes"/>
    <n v="1.3356125917594911E-3"/>
    <n v="0.43535259980171298"/>
    <n v="14.03627475915642"/>
    <n v="59.223929398418555"/>
    <n v="101.3023130749624"/>
    <n v="5.6539483190418934E-3"/>
    <n v="0.18228987748387929"/>
    <n v="0.76914445031855994"/>
    <n v="1.3156187490004871"/>
    <n v="0.42969865148267111"/>
    <n v="13.85398488167254"/>
    <n v="58.454784948099999"/>
    <n v="0.43535259980171298"/>
    <n v="14.03627475915642"/>
    <n v="59.223929398418555"/>
    <n v="5.128304982214258E-2"/>
    <n v="1.6534252422495093"/>
    <n v="6.9763766734951771"/>
    <n v="0.38406954997957038"/>
    <n v="12.38284951690691"/>
    <n v="52.247552724923381"/>
  </r>
  <r>
    <s v="COM"/>
    <s v="Comoros"/>
    <n v="1814.9208562702599"/>
    <n v="1.549254955631445E-5"/>
    <s v="Rest of Africa"/>
    <x v="2"/>
    <s v="Yes"/>
    <s v="Yes"/>
    <s v=""/>
    <n v="1.7274009184979318E-3"/>
    <n v="5.569341706538429E-2"/>
    <n v="0.23498991412129003"/>
    <n v="0.40194938248067535"/>
    <n v="0"/>
    <n v="0"/>
    <n v="0"/>
    <n v="0"/>
    <n v="1.7274009184979318E-3"/>
    <n v="5.569341706538429E-2"/>
    <n v="0.23498991412129003"/>
    <n v="1.7274009184979318E-3"/>
    <n v="5.569341706538429E-2"/>
    <n v="0.23498991412129003"/>
    <n v="0"/>
    <n v="0"/>
    <n v="0"/>
    <n v="1.7274009184979318E-3"/>
    <n v="5.569341706538429E-2"/>
    <n v="0.23498991412129003"/>
  </r>
  <r>
    <s v="COD"/>
    <s v="Congo, Dem. Rep."/>
    <n v="91030.531316993613"/>
    <n v="7.7705593205004806E-4"/>
    <s v="DR Congo"/>
    <x v="2"/>
    <s v="Yes"/>
    <s v="No"/>
    <s v=""/>
    <b v="0"/>
    <b v="0"/>
    <b v="0"/>
    <b v="0"/>
    <n v="0"/>
    <n v="0"/>
    <n v="0"/>
    <n v="0"/>
    <n v="0"/>
    <n v="0"/>
    <n v="0"/>
    <n v="8.6640815694562709E-2"/>
    <n v="2.793400785938132"/>
    <n v="11.786330330985166"/>
    <n v="0"/>
    <n v="0"/>
    <n v="0"/>
    <n v="8.6640815694562709E-2"/>
    <n v="2.793400785938132"/>
    <n v="11.786330330985166"/>
  </r>
  <r>
    <s v="COG"/>
    <s v="Congo, Rep."/>
    <n v="16306.633778765001"/>
    <n v="1.391968862120832E-4"/>
    <s v="Rep Congo"/>
    <x v="2"/>
    <s v="Yes"/>
    <s v="No"/>
    <s v=""/>
    <b v="0"/>
    <b v="0"/>
    <b v="0"/>
    <b v="0"/>
    <n v="0"/>
    <n v="0"/>
    <n v="0"/>
    <n v="0"/>
    <n v="0"/>
    <n v="0"/>
    <n v="0"/>
    <n v="1.5520287879072978E-2"/>
    <n v="0.50039215364992562"/>
    <n v="2.1113286885434897"/>
    <n v="0"/>
    <n v="0"/>
    <n v="0"/>
    <n v="1.5520287879072978E-2"/>
    <n v="0.50039215364992562"/>
    <n v="2.1113286885434897"/>
  </r>
  <r>
    <s v="CRI"/>
    <s v="Costa Rica"/>
    <n v="102904.92115747801"/>
    <n v="8.7841824348039682E-4"/>
    <s v="Costa Rica"/>
    <x v="4"/>
    <s v="Yes"/>
    <s v="Yes"/>
    <n v="2.0638952442529246E-4"/>
    <n v="9.7942593315438115E-2"/>
    <n v="3.1577832566658697"/>
    <n v="13.323786820736711"/>
    <n v="22.790288276521718"/>
    <n v="8.7369324899444272E-4"/>
    <n v="2.8168887710080488E-2"/>
    <n v="0.11885434316434335"/>
    <n v="0.20329991616319248"/>
    <n v="9.706890006644367E-2"/>
    <n v="3.1296143689557891"/>
    <n v="13.204932477572367"/>
    <n v="9.7942593315438115E-2"/>
    <n v="3.1577832566658697"/>
    <n v="13.323786820736711"/>
    <n v="7.9246664258587184E-3"/>
    <n v="0.25550047336039217"/>
    <n v="1.0780454397764865"/>
    <n v="9.0017926889579394E-2"/>
    <n v="2.9022827833054774"/>
    <n v="12.245741380960224"/>
  </r>
  <r>
    <s v="HRV"/>
    <s v="Croatia"/>
    <n v="105060.182186274"/>
    <n v="8.9681600896976041E-4"/>
    <s v="Croatia"/>
    <x v="1"/>
    <s v="No"/>
    <s v="No"/>
    <n v="4.2980291638068104E-4"/>
    <b v="0"/>
    <b v="0"/>
    <b v="0"/>
    <b v="0"/>
    <n v="1.8194523558575804E-3"/>
    <n v="5.8661262594143705E-2"/>
    <n v="0.24751228754847035"/>
    <n v="0.42336885609965602"/>
    <n v="-1.8194523558575804E-3"/>
    <n v="-5.8661262594143705E-2"/>
    <n v="-0.24751228754847035"/>
    <b v="0"/>
    <b v="0"/>
    <b v="0"/>
    <n v="1.6502992342574265E-2"/>
    <n v="0.53207568985261711"/>
    <n v="2.2450125571879358"/>
    <n v="-1.6502992342574265E-2"/>
    <n v="-0.53207568985261711"/>
    <n v="-2.2450125571879358"/>
  </r>
  <r>
    <s v="CUB"/>
    <s v="Cuba"/>
    <n v="0"/>
    <n v="0"/>
    <s v="Cuba"/>
    <x v="4"/>
    <s v="Yes"/>
    <s v="No"/>
    <s v=""/>
    <b v="0"/>
    <b v="0"/>
    <b v="0"/>
    <b v="0"/>
    <n v="0"/>
    <n v="0"/>
    <n v="0"/>
    <n v="0"/>
    <n v="0"/>
    <n v="0"/>
    <n v="0"/>
    <n v="0"/>
    <n v="0"/>
    <n v="0"/>
    <n v="0"/>
    <n v="0"/>
    <n v="0"/>
    <n v="0"/>
    <n v="0"/>
    <n v="0"/>
  </r>
  <r>
    <s v="CUW"/>
    <s v="Curaçao"/>
    <n v="3561.1782122905001"/>
    <n v="3.0398972904062684E-5"/>
    <s v="Rest of Americas"/>
    <x v="4"/>
    <s v="No"/>
    <s v="No"/>
    <s v="Outside G77 + China or CVF"/>
    <b v="0"/>
    <b v="0"/>
    <b v="0"/>
    <b v="0"/>
    <n v="0"/>
    <n v="0"/>
    <n v="0"/>
    <n v="0"/>
    <n v="0"/>
    <n v="0"/>
    <n v="0"/>
    <b v="0"/>
    <b v="0"/>
    <b v="0"/>
    <n v="0"/>
    <n v="0"/>
    <n v="0"/>
    <n v="0"/>
    <n v="0"/>
    <n v="0"/>
  </r>
  <r>
    <s v="CYP"/>
    <s v="Cyprus"/>
    <n v="41225.787247330903"/>
    <n v="3.519120680776631E-4"/>
    <s v="Cyprus"/>
    <x v="1"/>
    <s v="No"/>
    <s v="No"/>
    <n v="1.7050932632999455E-4"/>
    <b v="0"/>
    <b v="0"/>
    <b v="0"/>
    <b v="0"/>
    <n v="7.2180430532960908E-4"/>
    <n v="2.3271811300915452E-2"/>
    <n v="9.8191873065155727E-2"/>
    <n v="0.16795683717212093"/>
    <n v="-7.2180430532960908E-4"/>
    <n v="-2.3271811300915452E-2"/>
    <n v="-9.8191873065155727E-2"/>
    <b v="0"/>
    <b v="0"/>
    <b v="0"/>
    <n v="6.5469870015239318E-3"/>
    <n v="0.21108248449617723"/>
    <n v="0.89063048234285858"/>
    <n v="-6.5469870015239318E-3"/>
    <n v="-0.21108248449617723"/>
    <n v="-0.89063048234285858"/>
  </r>
  <r>
    <s v="CZE"/>
    <s v="Czechia"/>
    <n v="391026.96280047501"/>
    <n v="3.3378891305987555E-3"/>
    <s v="CSSR/Czech Republic (1990/1991)"/>
    <x v="1"/>
    <s v="No"/>
    <s v="No"/>
    <n v="3.5827559814317609E-3"/>
    <b v="0"/>
    <b v="0"/>
    <b v="0"/>
    <b v="0"/>
    <n v="1.5166611398944565E-2"/>
    <n v="0.48898921209589619"/>
    <n v="2.063215708631239"/>
    <n v="3.5291228694211436"/>
    <n v="-1.5166611398944565E-2"/>
    <n v="-0.48898921209589619"/>
    <n v="-2.063215708631239"/>
    <b v="0"/>
    <b v="0"/>
    <b v="0"/>
    <n v="0.13756582906597076"/>
    <n v="4.4352825161043503"/>
    <n v="18.714000908570906"/>
    <n v="-0.13756582906597076"/>
    <n v="-4.4352825161043503"/>
    <n v="-18.714000908570906"/>
  </r>
  <r>
    <s v="CIV"/>
    <s v="Côte d'Ivoire"/>
    <n v="99773.555666198808"/>
    <n v="8.5168824316937946E-4"/>
    <s v="Cote d'Ivoire"/>
    <x v="2"/>
    <s v="Yes"/>
    <s v="Yes"/>
    <s v=""/>
    <n v="9.4962229952980315E-2"/>
    <n v="3.0616928714088747"/>
    <n v="12.9183480351633"/>
    <n v="22.096786727298493"/>
    <n v="0"/>
    <n v="0"/>
    <n v="0"/>
    <n v="0"/>
    <n v="9.4962229952980315E-2"/>
    <n v="3.0616928714088747"/>
    <n v="12.9183480351633"/>
    <n v="9.4962229952980315E-2"/>
    <n v="3.0616928714088747"/>
    <n v="12.9183480351633"/>
    <n v="0"/>
    <n v="0"/>
    <n v="0"/>
    <n v="9.4962229952980315E-2"/>
    <n v="3.0616928714088747"/>
    <n v="12.9183480351633"/>
  </r>
  <r>
    <s v="DNK"/>
    <s v="Denmark"/>
    <n v="462526.66046839301"/>
    <n v="3.9482257221667852E-3"/>
    <s v="Denmark"/>
    <x v="1"/>
    <s v="No"/>
    <s v="No"/>
    <n v="4.5935746513612935E-3"/>
    <b v="0"/>
    <b v="0"/>
    <b v="0"/>
    <b v="0"/>
    <n v="1.9445634039915134E-2"/>
    <n v="0.62694988470166413"/>
    <n v="2.6453198120602739"/>
    <n v="4.5248097940608147"/>
    <n v="-1.9445634039915134E-2"/>
    <n v="-0.62694988470166413"/>
    <n v="-2.6453198120602739"/>
    <b v="0"/>
    <b v="0"/>
    <b v="0"/>
    <n v="0.17637788020338827"/>
    <n v="5.686628239040993"/>
    <n v="23.993864121555397"/>
    <n v="-0.17637788020338827"/>
    <n v="-5.686628239040993"/>
    <n v="-23.993864121555397"/>
  </r>
  <r>
    <s v="DJI"/>
    <s v="Djibouti"/>
    <n v="4624.5330923188603"/>
    <n v="3.9475995804467894E-5"/>
    <s v="Djibouti"/>
    <x v="2"/>
    <s v="Yes"/>
    <s v="No"/>
    <s v=""/>
    <b v="0"/>
    <b v="0"/>
    <b v="0"/>
    <b v="0"/>
    <n v="0"/>
    <n v="0"/>
    <n v="0"/>
    <n v="0"/>
    <n v="0"/>
    <n v="0"/>
    <n v="0"/>
    <n v="4.4015267573222078E-3"/>
    <n v="0.14191034796551641"/>
    <n v="0.59876915869947422"/>
    <n v="0"/>
    <n v="0"/>
    <n v="0"/>
    <n v="4.4015267573222078E-3"/>
    <n v="0.14191034796551641"/>
    <n v="0.59876915869947422"/>
  </r>
  <r>
    <s v="DMA"/>
    <s v="Dominica"/>
    <n v="723.85925925925903"/>
    <n v="6.1790162403650289E-6"/>
    <s v="Rest of Americas"/>
    <x v="4"/>
    <s v="Yes"/>
    <s v="Yes"/>
    <s v=""/>
    <n v="6.8895298932058796E-4"/>
    <n v="2.2212646619430801E-2"/>
    <n v="9.3722888566499754E-2"/>
    <n v="0.16031265564940542"/>
    <n v="0"/>
    <n v="0"/>
    <n v="0"/>
    <n v="0"/>
    <n v="6.8895298932058796E-4"/>
    <n v="2.2212646619430801E-2"/>
    <n v="9.3722888566499754E-2"/>
    <n v="6.8895298932058796E-4"/>
    <n v="2.2212646619430801E-2"/>
    <n v="9.3722888566499754E-2"/>
    <n v="0"/>
    <n v="0"/>
    <n v="0"/>
    <n v="6.8895298932058796E-4"/>
    <n v="2.2212646619430801E-2"/>
    <n v="9.3722888566499754E-2"/>
  </r>
  <r>
    <s v="DOM"/>
    <s v="Dominican Republic"/>
    <n v="127407.46375904301"/>
    <n v="1.0875771465802047E-3"/>
    <s v="Dominican Republic"/>
    <x v="4"/>
    <s v="Yes"/>
    <s v="Yes"/>
    <s v=""/>
    <n v="0.12126356317990883"/>
    <n v="3.9096784809434064"/>
    <n v="16.496294515384974"/>
    <n v="28.216851001766482"/>
    <n v="0"/>
    <n v="0"/>
    <n v="0"/>
    <n v="0"/>
    <n v="0.12126356317990883"/>
    <n v="3.9096784809434064"/>
    <n v="16.496294515384974"/>
    <n v="0.12126356317990883"/>
    <n v="3.9096784809434064"/>
    <n v="16.496294515384974"/>
    <n v="0"/>
    <n v="0"/>
    <n v="0"/>
    <n v="0.12126356317990883"/>
    <n v="3.9096784809434064"/>
    <n v="16.496294515384974"/>
  </r>
  <r>
    <s v="ECU"/>
    <s v="Ecuador"/>
    <n v="130320.5604"/>
    <n v="1.1124439576681031E-3"/>
    <s v="Ecuador"/>
    <x v="4"/>
    <s v="Yes"/>
    <s v="No"/>
    <n v="5.2862123662898329E-4"/>
    <b v="0"/>
    <b v="0"/>
    <b v="0"/>
    <b v="0"/>
    <n v="2.2377725177859741E-3"/>
    <n v="7.2148391723029268E-2"/>
    <n v="0.30441918036883275"/>
    <n v="0.52070788664303669"/>
    <n v="-2.2377725177859741E-3"/>
    <n v="-7.2148391723029268E-2"/>
    <n v="-0.30441918036883275"/>
    <n v="0.12403618315167084"/>
    <n v="3.9990709773798621"/>
    <n v="16.873472576411988"/>
    <n v="2.0297284843184864E-2"/>
    <n v="0.6544080982944962"/>
    <n v="2.7611755737300663"/>
    <n v="0.10373889830848597"/>
    <n v="3.3446628790853659"/>
    <n v="14.112297002681922"/>
  </r>
  <r>
    <s v="EGY"/>
    <s v="Egypt, Arab Rep."/>
    <n v="365254.630179737"/>
    <n v="3.1178910304451549E-3"/>
    <s v="Egypt"/>
    <x v="2"/>
    <s v="Yes"/>
    <s v="No"/>
    <s v=""/>
    <b v="0"/>
    <b v="0"/>
    <b v="0"/>
    <b v="0"/>
    <n v="0"/>
    <n v="0"/>
    <n v="0"/>
    <n v="0"/>
    <n v="0"/>
    <n v="0"/>
    <n v="0"/>
    <n v="0.3476411555238344"/>
    <n v="11.208355661010499"/>
    <n v="47.29195429200513"/>
    <n v="0"/>
    <n v="0"/>
    <n v="0"/>
    <n v="0.3476411555238344"/>
    <n v="11.208355661010499"/>
    <n v="47.29195429200513"/>
  </r>
  <r>
    <s v="SLV"/>
    <s v="El Salvador"/>
    <n v="36708.11"/>
    <n v="3.1334821644088076E-4"/>
    <s v="El Salvador"/>
    <x v="4"/>
    <s v="Yes"/>
    <s v="No"/>
    <s v=""/>
    <b v="0"/>
    <b v="0"/>
    <b v="0"/>
    <b v="0"/>
    <n v="0"/>
    <n v="0"/>
    <n v="0"/>
    <n v="0"/>
    <n v="0"/>
    <n v="0"/>
    <n v="0"/>
    <n v="3.4937954848693852E-2"/>
    <n v="1.1264403474393549"/>
    <n v="4.7528439527560113"/>
    <n v="0"/>
    <n v="0"/>
    <n v="0"/>
    <n v="3.4937954848693852E-2"/>
    <n v="1.1264403474393549"/>
    <n v="4.7528439527560113"/>
  </r>
  <r>
    <s v="GNQ"/>
    <s v="Equatorial Guinea"/>
    <n v="12823.210425921699"/>
    <n v="1.0946164528788519E-4"/>
    <s v="Equatorial Guinea"/>
    <x v="2"/>
    <s v="Yes"/>
    <s v="No"/>
    <n v="6.7138689528768223E-5"/>
    <b v="0"/>
    <b v="0"/>
    <b v="0"/>
    <b v="0"/>
    <n v="2.842131641659533E-4"/>
    <n v="9.1633633616051147E-3"/>
    <n v="3.8663419895349257E-2"/>
    <n v="6.6133637307962637E-2"/>
    <n v="-2.842131641659533E-4"/>
    <n v="-9.1633633616051147E-3"/>
    <n v="-3.8663419895349257E-2"/>
    <n v="1.2204843749137523E-2"/>
    <n v="0.39349837426833473"/>
    <n v="1.6603066223719987"/>
    <n v="2.5779007934938602E-3"/>
    <n v="8.3114523390483253E-2"/>
    <n v="0.3506891073110498"/>
    <n v="9.6269429556436626E-3"/>
    <n v="0.31038385087785147"/>
    <n v="1.3096175150609488"/>
  </r>
  <r>
    <s v="ERI"/>
    <s v="Eritrea"/>
    <n v="0"/>
    <n v="0"/>
    <s v="Eritrea"/>
    <x v="2"/>
    <s v="Yes"/>
    <s v="No"/>
    <s v=""/>
    <b v="0"/>
    <b v="0"/>
    <b v="0"/>
    <b v="0"/>
    <n v="0"/>
    <n v="0"/>
    <n v="0"/>
    <n v="0"/>
    <n v="0"/>
    <n v="0"/>
    <n v="0"/>
    <n v="0"/>
    <n v="0"/>
    <n v="0"/>
    <n v="0"/>
    <n v="0"/>
    <n v="0"/>
    <n v="0"/>
    <n v="0"/>
    <n v="0"/>
  </r>
  <r>
    <s v="EST"/>
    <s v="Estonia"/>
    <n v="47030.833798586602"/>
    <n v="4.0146517727321308E-4"/>
    <s v="Estonia"/>
    <x v="1"/>
    <s v="No"/>
    <s v="No"/>
    <n v="6.8476992761014603E-4"/>
    <b v="0"/>
    <b v="0"/>
    <b v="0"/>
    <b v="0"/>
    <n v="2.898785025709766E-3"/>
    <n v="9.3460204687240936E-2"/>
    <n v="0.39434113815335187"/>
    <n v="0.67451906419121443"/>
    <n v="-2.898785025709766E-3"/>
    <n v="-9.3460204687240936E-2"/>
    <n v="-0.39434113815335187"/>
    <b v="0"/>
    <b v="0"/>
    <b v="0"/>
    <n v="2.629287154898264E-2"/>
    <n v="0.84771279518444909"/>
    <n v="3.5767953815088434"/>
    <n v="-2.629287154898264E-2"/>
    <n v="-0.84771279518444909"/>
    <n v="-3.5767953815088434"/>
  </r>
  <r>
    <s v="SWZ"/>
    <s v="Eswatini"/>
    <n v="5160.6796128173401"/>
    <n v="4.4052656274025782E-5"/>
    <s v="Rest of Africa"/>
    <x v="2"/>
    <s v="Yes"/>
    <s v="Yes"/>
    <s v=""/>
    <n v="4.9118189768197571E-3"/>
    <n v="0.15836276332628296"/>
    <n v="0.6681876263825659"/>
    <n v="1.1429324735489468"/>
    <n v="0"/>
    <n v="0"/>
    <n v="0"/>
    <n v="0"/>
    <n v="4.9118189768197571E-3"/>
    <n v="0.15836276332628296"/>
    <n v="0.6681876263825659"/>
    <n v="4.9118189768197571E-3"/>
    <n v="0.15836276332628296"/>
    <n v="0.6681876263825659"/>
    <n v="0"/>
    <n v="0"/>
    <n v="0"/>
    <n v="4.9118189768197571E-3"/>
    <n v="0.15836276332628296"/>
    <n v="0.6681876263825659"/>
  </r>
  <r>
    <s v="ETH"/>
    <s v="Ethiopia"/>
    <n v="126358.75844835601"/>
    <n v="1.078625175512344E-3"/>
    <s v="Ethiopia/DR Ethiopia (1992/1993)"/>
    <x v="2"/>
    <s v="Yes"/>
    <s v="Yes"/>
    <s v=""/>
    <n v="0.12026542901298036"/>
    <n v="3.877497473135274"/>
    <n v="16.360511640861553"/>
    <n v="27.984594895072604"/>
    <n v="0"/>
    <n v="0"/>
    <n v="0"/>
    <n v="0"/>
    <n v="0.12026542901298036"/>
    <n v="3.877497473135274"/>
    <n v="16.360511640861553"/>
    <n v="0.12026542901298036"/>
    <n v="3.877497473135274"/>
    <n v="16.360511640861553"/>
    <n v="0"/>
    <n v="0"/>
    <n v="0"/>
    <n v="0.12026542901298036"/>
    <n v="3.877497473135274"/>
    <n v="16.360511640861553"/>
  </r>
  <r>
    <s v="FRO"/>
    <s v="Faroe Islands"/>
    <n v="4052.9371697653601"/>
    <n v="3.4596731716585975E-5"/>
    <s v="Not in MINDSET country list"/>
    <x v="3"/>
    <s v="No"/>
    <s v="No"/>
    <s v="Not in MINDSET country list"/>
    <b v="0"/>
    <b v="0"/>
    <b v="0"/>
    <b v="0"/>
    <n v="0"/>
    <n v="0"/>
    <n v="0"/>
    <n v="0"/>
    <n v="0"/>
    <n v="0"/>
    <n v="0"/>
    <b v="0"/>
    <b v="0"/>
    <b v="0"/>
    <n v="0"/>
    <n v="0"/>
    <n v="0"/>
    <n v="0"/>
    <n v="0"/>
    <n v="0"/>
  </r>
  <r>
    <s v="FJI"/>
    <s v="Fiji"/>
    <n v="6198.01306206553"/>
    <n v="5.290755471952971E-5"/>
    <s v="Rest of Asia-Pacific"/>
    <x v="8"/>
    <s v="Yes"/>
    <s v="Yes"/>
    <s v=""/>
    <n v="5.8991296613761981E-3"/>
    <n v="0.19019480945945616"/>
    <n v="0.80249811012173955"/>
    <n v="1.3726700612301639"/>
    <n v="0"/>
    <n v="0"/>
    <n v="0"/>
    <n v="0"/>
    <n v="5.8991296613761981E-3"/>
    <n v="0.19019480945945616"/>
    <n v="0.80249811012173955"/>
    <n v="5.8991296613761981E-3"/>
    <n v="0.19019480945945616"/>
    <n v="0.80249811012173955"/>
    <n v="0"/>
    <n v="0"/>
    <n v="0"/>
    <n v="5.8991296613761981E-3"/>
    <n v="0.19019480945945616"/>
    <n v="0.80249811012173955"/>
  </r>
  <r>
    <s v="FIN"/>
    <s v="Finland"/>
    <n v="317039.36881960701"/>
    <n v="2.7063153281704356E-3"/>
    <s v="Finland"/>
    <x v="1"/>
    <s v="No"/>
    <s v="No"/>
    <n v="4.7710227105911386E-3"/>
    <b v="0"/>
    <b v="0"/>
    <b v="0"/>
    <b v="0"/>
    <n v="2.0196811561293649E-2"/>
    <n v="0.65116872269131487"/>
    <n v="2.7475075203961441"/>
    <n v="4.69960149274418"/>
    <n v="-2.0196811561293649E-2"/>
    <n v="-0.65116872269131487"/>
    <n v="-2.7475075203961441"/>
    <b v="0"/>
    <b v="0"/>
    <b v="0"/>
    <n v="0.18319129130663231"/>
    <n v="5.9063005468112433"/>
    <n v="24.92073805850837"/>
    <n v="-0.18319129130663231"/>
    <n v="-5.9063005468112433"/>
    <n v="-24.92073805850837"/>
  </r>
  <r>
    <s v="FRA"/>
    <s v="France"/>
    <n v="3366315.9274473302"/>
    <n v="2.8735587090758699E-2"/>
    <s v="France"/>
    <x v="1"/>
    <s v="No"/>
    <s v="No"/>
    <n v="2.2112818755933177E-2"/>
    <b v="0"/>
    <b v="0"/>
    <b v="0"/>
    <b v="0"/>
    <n v="9.3608532298788114E-2"/>
    <n v="3.0180480827393654"/>
    <n v="12.734195478511072"/>
    <n v="21.781794457500915"/>
    <n v="-9.3608532298788114E-2"/>
    <n v="-3.0180480827393654"/>
    <n v="-12.734195478511072"/>
    <b v="0"/>
    <b v="0"/>
    <b v="0"/>
    <n v="0.84905817223138014"/>
    <n v="27.374624149195014"/>
    <n v="115.50306870863821"/>
    <n v="-0.84905817223138014"/>
    <n v="-27.374624149195014"/>
    <n v="-115.50306870863821"/>
  </r>
  <r>
    <s v="PYF"/>
    <s v="French Polynesia"/>
    <n v="6323.71635505009"/>
    <n v="5.3980584702752966E-5"/>
    <s v="Rest of Asia-Pacific"/>
    <x v="8"/>
    <s v="No"/>
    <s v="No"/>
    <s v=""/>
    <b v="0"/>
    <b v="0"/>
    <b v="0"/>
    <b v="0"/>
    <n v="0"/>
    <n v="0"/>
    <n v="0"/>
    <n v="0"/>
    <n v="0"/>
    <n v="0"/>
    <n v="0"/>
    <b v="0"/>
    <b v="0"/>
    <b v="0"/>
    <n v="0"/>
    <n v="0"/>
    <n v="0"/>
    <n v="0"/>
    <n v="0"/>
    <n v="0"/>
  </r>
  <r>
    <s v="GAB"/>
    <s v="Gabon"/>
    <n v="21427.119323276402"/>
    <n v="1.8290643738984633E-4"/>
    <s v="Gabon"/>
    <x v="2"/>
    <s v="Yes"/>
    <s v="Yes"/>
    <n v="1.6680152305976177E-4"/>
    <n v="2.039385104420267E-2"/>
    <n v="0.65752150506076146"/>
    <n v="2.7743121206898347"/>
    <n v="4.7454506628074089"/>
    <n v="7.0610834064912208E-4"/>
    <n v="2.2765755122623018E-2"/>
    <n v="9.6056645884933026E-2"/>
    <n v="0.16430453894580863"/>
    <n v="1.968774270355355E-2"/>
    <n v="0.63475574993813844"/>
    <n v="2.6782554748049017"/>
    <n v="2.039385104420267E-2"/>
    <n v="0.65752150506076146"/>
    <n v="2.7743121206898347"/>
    <n v="6.4046197754201728E-3"/>
    <n v="0.20649239934864058"/>
    <n v="0.87126331524368894"/>
    <n v="1.3989231268782498E-2"/>
    <n v="0.45102910571212085"/>
    <n v="1.9030488054461459"/>
  </r>
  <r>
    <s v="GMB"/>
    <s v="Gambia, The"/>
    <n v="2593.67398753306"/>
    <n v="2.2140151536611162E-5"/>
    <s v="Gambia"/>
    <x v="2"/>
    <s v="Yes"/>
    <s v="No"/>
    <s v=""/>
    <b v="0"/>
    <b v="0"/>
    <b v="0"/>
    <b v="0"/>
    <n v="0"/>
    <n v="0"/>
    <n v="0"/>
    <n v="0"/>
    <n v="0"/>
    <n v="0"/>
    <n v="0"/>
    <n v="2.468600662596407E-3"/>
    <n v="7.9590559897013441E-2"/>
    <n v="0.33582027859966301"/>
    <n v="0"/>
    <n v="0"/>
    <n v="0"/>
    <n v="2.468600662596407E-3"/>
    <n v="7.9590559897013441E-2"/>
    <n v="0.33582027859966301"/>
  </r>
  <r>
    <s v="GEO"/>
    <s v="Georgia"/>
    <n v="38143.6128551367"/>
    <n v="3.2560197342681324E-4"/>
    <s v="Georgia"/>
    <x v="5"/>
    <s v="No"/>
    <s v="No"/>
    <n v="5.0724685365281622E-5"/>
    <b v="0"/>
    <b v="0"/>
    <b v="0"/>
    <b v="0"/>
    <n v="2.147289950128047E-4"/>
    <n v="6.9231128380306418E-3"/>
    <n v="2.9211023079278475E-2"/>
    <n v="4.9965347373523594E-2"/>
    <n v="-2.147289950128047E-4"/>
    <n v="-6.9231128380306418E-3"/>
    <n v="-2.9211023079278475E-2"/>
    <b v="0"/>
    <b v="0"/>
    <b v="0"/>
    <n v="1.9476580131468789E-3"/>
    <n v="6.2794762272819007E-2"/>
    <n v="0.26495296161183274"/>
    <n v="-1.9476580131468789E-3"/>
    <n v="-6.2794762272819007E-2"/>
    <n v="-0.26495296161183274"/>
  </r>
  <r>
    <s v="DEU"/>
    <s v="Germany"/>
    <n v="5050922.9250470502"/>
    <n v="4.3115749896789832E-2"/>
    <s v="Germany"/>
    <x v="1"/>
    <s v="No"/>
    <s v="No"/>
    <n v="5.2862588588520026E-2"/>
    <b v="0"/>
    <b v="0"/>
    <b v="0"/>
    <b v="0"/>
    <n v="0.22377921991325972"/>
    <n v="7.2149026272562127"/>
    <n v="30.442185775420594"/>
    <n v="52.07124663008549"/>
    <n v="-0.22377921991325972"/>
    <n v="-7.2149026272562127"/>
    <n v="-30.442185775420594"/>
    <b v="0"/>
    <b v="0"/>
    <b v="0"/>
    <n v="2.029746335905068"/>
    <n v="65.441385385388088"/>
    <n v="276.11998584386868"/>
    <n v="-2.029746335905068"/>
    <n v="-65.441385385388088"/>
    <n v="-276.11998584386868"/>
  </r>
  <r>
    <s v="GHA"/>
    <s v="Ghana"/>
    <n v="114209.90527871699"/>
    <n v="9.749199868630639E-4"/>
    <s v="Ghana"/>
    <x v="2"/>
    <s v="Yes"/>
    <s v="Yes"/>
    <s v=""/>
    <n v="0.1087024233582556"/>
    <n v="3.5046927064121203"/>
    <n v="14.787518552406729"/>
    <n v="25.293996011647994"/>
    <n v="0"/>
    <n v="0"/>
    <n v="0"/>
    <n v="0"/>
    <n v="0.1087024233582556"/>
    <n v="3.5046927064121203"/>
    <n v="14.787518552406729"/>
    <n v="0.1087024233582556"/>
    <n v="3.5046927064121203"/>
    <n v="14.787518552406729"/>
    <n v="0"/>
    <n v="0"/>
    <n v="0"/>
    <n v="0.1087024233582556"/>
    <n v="3.5046927064121203"/>
    <n v="14.787518552406729"/>
  </r>
  <r>
    <s v="GIB"/>
    <s v="Gibraltar"/>
    <n v="0"/>
    <n v="0"/>
    <s v="Not in MINDSET country list"/>
    <x v="3"/>
    <s v="No"/>
    <s v="No"/>
    <s v="Not in MINDSET country list"/>
    <b v="0"/>
    <b v="0"/>
    <b v="0"/>
    <b v="0"/>
    <n v="0"/>
    <n v="0"/>
    <n v="0"/>
    <n v="0"/>
    <n v="0"/>
    <n v="0"/>
    <n v="0"/>
    <b v="0"/>
    <b v="0"/>
    <b v="0"/>
    <n v="0"/>
    <n v="0"/>
    <n v="0"/>
    <n v="0"/>
    <n v="0"/>
    <n v="0"/>
  </r>
  <r>
    <s v="GRC"/>
    <s v="Greece"/>
    <n v="280635.52132444101"/>
    <n v="2.3955643610354864E-3"/>
    <s v="Greece"/>
    <x v="1"/>
    <s v="No"/>
    <s v="No"/>
    <n v="1.9958010663303112E-3"/>
    <b v="0"/>
    <b v="0"/>
    <b v="0"/>
    <b v="0"/>
    <n v="8.4486745286332706E-3"/>
    <n v="0.27239510476931889"/>
    <n v="1.1493297709072865"/>
    <n v="1.9659243393926797"/>
    <n v="-8.4486745286332706E-3"/>
    <n v="-0.27239510476931889"/>
    <n v="-1.1493297709072865"/>
    <b v="0"/>
    <b v="0"/>
    <b v="0"/>
    <n v="7.6632075911226005E-2"/>
    <n v="2.4707073607563372"/>
    <n v="10.424774436830733"/>
    <n v="-7.6632075911226005E-2"/>
    <n v="-2.4707073607563372"/>
    <n v="-10.424774436830733"/>
  </r>
  <r>
    <s v="GRL"/>
    <s v="Greenland"/>
    <n v="3326.5439743919301"/>
    <n v="2.8396085259847763E-5"/>
    <s v="Rest of Europe"/>
    <x v="1"/>
    <s v="No"/>
    <s v="No"/>
    <n v="0"/>
    <b v="0"/>
    <b v="0"/>
    <b v="0"/>
    <b v="0"/>
    <n v="0"/>
    <n v="0"/>
    <n v="0"/>
    <n v="0"/>
    <n v="0"/>
    <n v="0"/>
    <n v="0"/>
    <b v="0"/>
    <b v="0"/>
    <b v="0"/>
    <n v="0"/>
    <n v="0"/>
    <n v="0"/>
    <n v="0"/>
    <n v="0"/>
    <n v="0"/>
  </r>
  <r>
    <s v="GRD"/>
    <s v="Grenada"/>
    <n v="1420.17322856948"/>
    <n v="1.212290004059958E-5"/>
    <s v="Rest of Americas"/>
    <x v="4"/>
    <s v="Yes"/>
    <s v="Yes"/>
    <s v=""/>
    <n v="1.3516889901736772E-3"/>
    <n v="4.3580027002585411E-2"/>
    <n v="0.18387930463520005"/>
    <n v="0.31452487322900979"/>
    <n v="0"/>
    <n v="0"/>
    <n v="0"/>
    <n v="0"/>
    <n v="1.3516889901736772E-3"/>
    <n v="4.3580027002585411E-2"/>
    <n v="0.18387930463520005"/>
    <n v="1.3516889901736772E-3"/>
    <n v="4.3580027002585411E-2"/>
    <n v="0.18387930463520005"/>
    <n v="0"/>
    <n v="0"/>
    <n v="0"/>
    <n v="1.3516889901736772E-3"/>
    <n v="4.3580027002585411E-2"/>
    <n v="0.18387930463520005"/>
  </r>
  <r>
    <s v="GUM"/>
    <s v="Guam"/>
    <n v="0"/>
    <n v="0"/>
    <s v="Not in MINDSET country list"/>
    <x v="3"/>
    <s v="No"/>
    <s v="No"/>
    <s v="Not in MINDSET country list"/>
    <b v="0"/>
    <b v="0"/>
    <b v="0"/>
    <b v="0"/>
    <n v="0"/>
    <n v="0"/>
    <n v="0"/>
    <n v="0"/>
    <n v="0"/>
    <n v="0"/>
    <n v="0"/>
    <b v="0"/>
    <b v="0"/>
    <b v="0"/>
    <n v="0"/>
    <n v="0"/>
    <n v="0"/>
    <n v="0"/>
    <n v="0"/>
    <n v="0"/>
  </r>
  <r>
    <s v="GTM"/>
    <s v="Guatemala"/>
    <n v="123306.008821471"/>
    <n v="1.0525662569021246E-3"/>
    <s v="Guatemala"/>
    <x v="4"/>
    <s v="Yes"/>
    <s v="Yes"/>
    <n v="2.8410511679924832E-4"/>
    <n v="0.11735989046500078"/>
    <n v="3.7838195270259893"/>
    <n v="15.965251775850293"/>
    <n v="27.308504351975216"/>
    <n v="1.2026808203733723E-3"/>
    <n v="3.877583009729825E-2"/>
    <n v="0.1636087254953025"/>
    <n v="0.27985212228020928"/>
    <n v="0.1161572096446274"/>
    <n v="3.7450436969286911"/>
    <n v="15.80164305035499"/>
    <n v="0.11735989046500078"/>
    <n v="3.7838195270259893"/>
    <n v="15.965251775850293"/>
    <n v="1.090868486074076E-2"/>
    <n v="0.35170870240845359"/>
    <n v="1.4839814493271934"/>
    <n v="0.10645120560426002"/>
    <n v="3.4321108246175358"/>
    <n v="14.481270326523099"/>
  </r>
  <r>
    <s v="GIN"/>
    <s v="Guinea"/>
    <n v="28346.0247532924"/>
    <n v="2.4196768233595331E-4"/>
    <s v="Guinea"/>
    <x v="2"/>
    <s v="Yes"/>
    <s v="Yes"/>
    <s v=""/>
    <n v="2.6979109874370764E-2"/>
    <n v="0.86983791787763665"/>
    <n v="3.6701489761624342"/>
    <n v="6.277776304131681"/>
    <n v="0"/>
    <n v="0"/>
    <n v="0"/>
    <n v="0"/>
    <n v="2.6979109874370764E-2"/>
    <n v="0.86983791787763665"/>
    <n v="3.6701489761624342"/>
    <n v="2.6979109874370764E-2"/>
    <n v="0.86983791787763665"/>
    <n v="3.6701489761624342"/>
    <n v="0"/>
    <n v="0"/>
    <n v="0"/>
    <n v="2.6979109874370764E-2"/>
    <n v="0.86983791787763665"/>
    <n v="3.6701489761624342"/>
  </r>
  <r>
    <s v="GNB"/>
    <s v="Guinea-Bissau"/>
    <n v="2527.9302729298802"/>
    <n v="2.1578949237906471E-5"/>
    <s v="Rest of Africa"/>
    <x v="2"/>
    <s v="Yes"/>
    <s v="No"/>
    <s v=""/>
    <b v="0"/>
    <b v="0"/>
    <b v="0"/>
    <b v="0"/>
    <n v="0"/>
    <n v="0"/>
    <n v="0"/>
    <n v="0"/>
    <n v="0"/>
    <n v="0"/>
    <n v="0"/>
    <n v="2.4060272712561467E-3"/>
    <n v="7.7573120897305753E-2"/>
    <n v="0.32730800116605391"/>
    <n v="0"/>
    <n v="0"/>
    <n v="0"/>
    <n v="2.4060272712561467E-3"/>
    <n v="7.7573120897305753E-2"/>
    <n v="0.32730800116605391"/>
  </r>
  <r>
    <s v="GUY"/>
    <s v="Guyana"/>
    <n v="27097.477218225398"/>
    <n v="2.3130981563415626E-4"/>
    <s v="Rest of Europe"/>
    <x v="1"/>
    <s v="Yes"/>
    <s v="Yes"/>
    <s v=""/>
    <n v="2.579077036556416E-2"/>
    <n v="0.83152446836483362"/>
    <n v="3.5084911953131441"/>
    <n v="6.0012612654818529"/>
    <n v="0"/>
    <n v="0"/>
    <n v="0"/>
    <n v="0"/>
    <n v="2.579077036556416E-2"/>
    <n v="0.83152446836483362"/>
    <n v="3.5084911953131441"/>
    <n v="2.579077036556416E-2"/>
    <n v="0.83152446836483362"/>
    <n v="3.5084911953131441"/>
    <n v="0"/>
    <n v="0"/>
    <n v="0"/>
    <n v="2.579077036556416E-2"/>
    <n v="0.83152446836483362"/>
    <n v="3.5084911953131441"/>
  </r>
  <r>
    <s v="HTI"/>
    <s v="Haiti"/>
    <n v="32077.278409233899"/>
    <n v="2.7381845531712244E-4"/>
    <s v="Haiti"/>
    <x v="4"/>
    <s v="Yes"/>
    <s v="Yes"/>
    <s v=""/>
    <n v="3.0530433321976972E-2"/>
    <n v="0.98433672112801129"/>
    <n v="4.1532592854330641"/>
    <n v="7.1041347085232367"/>
    <n v="0"/>
    <n v="0"/>
    <n v="0"/>
    <n v="0"/>
    <n v="3.0530433321976972E-2"/>
    <n v="0.98433672112801129"/>
    <n v="4.1532592854330641"/>
    <n v="3.0530433321976972E-2"/>
    <n v="0.98433672112801129"/>
    <n v="4.1532592854330641"/>
    <n v="0"/>
    <n v="0"/>
    <n v="0"/>
    <n v="3.0530433321976972E-2"/>
    <n v="0.98433672112801129"/>
    <n v="4.1532592854330641"/>
  </r>
  <r>
    <s v="HND"/>
    <s v="Honduras"/>
    <n v="39601.409103300502"/>
    <n v="3.3804603154629514E-4"/>
    <s v="Honduras"/>
    <x v="4"/>
    <s v="Yes"/>
    <s v="Yes"/>
    <s v=""/>
    <n v="3.7691731968651249E-2"/>
    <n v="1.215225328392278"/>
    <n v="5.1274586944748366"/>
    <n v="8.7704992090662923"/>
    <n v="0"/>
    <n v="0"/>
    <n v="0"/>
    <n v="0"/>
    <n v="3.7691731968651249E-2"/>
    <n v="1.215225328392278"/>
    <n v="5.1274586944748366"/>
    <n v="3.7691731968651249E-2"/>
    <n v="1.215225328392278"/>
    <n v="5.1274586944748366"/>
    <n v="0"/>
    <n v="0"/>
    <n v="0"/>
    <n v="3.7691731968651249E-2"/>
    <n v="1.215225328392278"/>
    <n v="5.1274586944748366"/>
  </r>
  <r>
    <s v="HKG"/>
    <s v="Hong Kong SAR, China"/>
    <n v="427310.31592199299"/>
    <n v="3.6476115321912731E-3"/>
    <s v="Hong Kong"/>
    <x v="10"/>
    <s v="No"/>
    <s v="No"/>
    <n v="2.1474647977608083E-3"/>
    <b v="0"/>
    <b v="0"/>
    <b v="0"/>
    <b v="0"/>
    <n v="9.0907011946528248E-3"/>
    <n v="0.29309479208268296"/>
    <n v="1.2366689574828629"/>
    <n v="2.1153176963020215"/>
    <n v="-9.0907011946528248E-3"/>
    <n v="-0.29309479208268296"/>
    <n v="-1.2366689574828629"/>
    <b v="0"/>
    <b v="0"/>
    <b v="0"/>
    <n v="8.2455455192875379E-2"/>
    <n v="2.6584598897667036"/>
    <n v="11.216967715551698"/>
    <n v="-8.2455455192875379E-2"/>
    <n v="-2.6584598897667036"/>
    <n v="-11.216967715551698"/>
  </r>
  <r>
    <s v="HUN"/>
    <s v="Hungary"/>
    <n v="246490.21351305401"/>
    <n v="2.1040927679046228E-3"/>
    <s v="Hungary"/>
    <x v="1"/>
    <s v="No"/>
    <s v="No"/>
    <n v="1.3800643390576815E-3"/>
    <b v="0"/>
    <b v="0"/>
    <b v="0"/>
    <b v="0"/>
    <n v="5.8421225571897882E-3"/>
    <n v="0.18835683403919054"/>
    <n v="0.79474305200314399"/>
    <n v="1.3594050628853311"/>
    <n v="-5.8421225571897882E-3"/>
    <n v="-0.18835683403919054"/>
    <n v="-0.79474305200314399"/>
    <b v="0"/>
    <b v="0"/>
    <b v="0"/>
    <n v="5.2989848025034106E-2"/>
    <n v="1.7084544037731373"/>
    <n v="7.2085638622507631"/>
    <n v="-5.2989848025034106E-2"/>
    <n v="-1.7084544037731373"/>
    <n v="-7.2085638622507631"/>
  </r>
  <r>
    <s v="ISL"/>
    <s v="Iceland"/>
    <n v="38582.528789003307"/>
    <n v="3.2934865297649815E-4"/>
    <s v="Iceland"/>
    <x v="1"/>
    <s v="No"/>
    <s v="No"/>
    <n v="2.4520937226482815E-4"/>
    <b v="0"/>
    <b v="0"/>
    <b v="0"/>
    <b v="0"/>
    <n v="1.0380263907991797E-3"/>
    <n v="3.3467179557785741E-2"/>
    <n v="0.14120968086646532"/>
    <n v="0.24153863895312852"/>
    <n v="-1.0380263907991797E-3"/>
    <n v="-3.3467179557785741E-2"/>
    <n v="-0.14120968086646532"/>
    <b v="0"/>
    <b v="0"/>
    <b v="0"/>
    <n v="9.4152185538678521E-3"/>
    <n v="0.30355760962444706"/>
    <n v="1.2808152269193265"/>
    <n v="-9.4152185538678521E-3"/>
    <n v="-0.30355760962444706"/>
    <n v="-1.2808152269193265"/>
  </r>
  <r>
    <s v="IND"/>
    <s v="India"/>
    <n v="3956067.1157716298"/>
    <n v="3.3769828379817415E-2"/>
    <s v="India"/>
    <x v="0"/>
    <s v="Yes"/>
    <s v="No"/>
    <s v=""/>
    <b v="0"/>
    <b v="0"/>
    <b v="0"/>
    <b v="0"/>
    <n v="0"/>
    <n v="0"/>
    <n v="0"/>
    <n v="0"/>
    <n v="0"/>
    <n v="0"/>
    <n v="0"/>
    <n v="3.7652958506780028"/>
    <n v="121.39752268322184"/>
    <n v="512.21840808181378"/>
    <n v="0"/>
    <n v="0"/>
    <n v="0"/>
    <n v="3.7652958506780028"/>
    <n v="121.39752268322184"/>
    <n v="512.21840808181378"/>
  </r>
  <r>
    <s v="IDN"/>
    <s v="Indonesia"/>
    <n v="1445642.5841638099"/>
    <n v="1.2340311864563872E-2"/>
    <s v="Indonesia"/>
    <x v="8"/>
    <s v="Yes"/>
    <s v="No"/>
    <s v=""/>
    <b v="0"/>
    <b v="0"/>
    <b v="0"/>
    <b v="0"/>
    <n v="0"/>
    <n v="0"/>
    <n v="0"/>
    <n v="0"/>
    <n v="0"/>
    <n v="0"/>
    <n v="0"/>
    <n v="1.3759301509357005"/>
    <n v="44.361590252906218"/>
    <n v="187.1769920595078"/>
    <n v="0"/>
    <n v="0"/>
    <n v="0"/>
    <n v="1.3759301509357005"/>
    <n v="44.361590252906218"/>
    <n v="187.1769920595078"/>
  </r>
  <r>
    <s v="IRN"/>
    <s v="Iran, Islamic Rep."/>
    <n v="362682.115433364"/>
    <n v="3.0959314986810883E-3"/>
    <s v="Iran"/>
    <x v="7"/>
    <s v="Yes"/>
    <s v="No"/>
    <s v=""/>
    <b v="0"/>
    <b v="0"/>
    <b v="0"/>
    <b v="0"/>
    <n v="0"/>
    <n v="0"/>
    <n v="0"/>
    <n v="0"/>
    <n v="0"/>
    <n v="0"/>
    <n v="0"/>
    <n v="0.34519269375186146"/>
    <n v="11.129414402397694"/>
    <n v="46.958873641552834"/>
    <n v="0"/>
    <n v="0"/>
    <n v="0"/>
    <n v="0.34519269375186146"/>
    <n v="11.129414402397694"/>
    <n v="46.958873641552834"/>
  </r>
  <r>
    <s v="IRQ"/>
    <s v="Iraq"/>
    <n v="254367.29353846199"/>
    <n v="2.1713331945221654E-3"/>
    <s v="Iraq"/>
    <x v="7"/>
    <s v="Yes"/>
    <s v="No"/>
    <n v="9.0742238363347618E-4"/>
    <b v="0"/>
    <b v="0"/>
    <b v="0"/>
    <b v="0"/>
    <n v="3.84132291972982E-3"/>
    <n v="0.12384872391833725"/>
    <n v="0.52256087938425788"/>
    <n v="0.89383845924828642"/>
    <n v="-3.84132291972982E-3"/>
    <n v="-0.12384872391833725"/>
    <n v="-0.52256087938425788"/>
    <n v="0.2421010783892508"/>
    <n v="7.80562067920886"/>
    <n v="32.934630872392844"/>
    <n v="3.4841980074700241E-2"/>
    <n v="1.1233460089690306"/>
    <n v="4.7397878615747109"/>
    <n v="0.20725909831455055"/>
    <n v="6.6822746702398295"/>
    <n v="28.194843010818133"/>
  </r>
  <r>
    <s v="IRL"/>
    <s v="Ireland"/>
    <n v="721701.35904631298"/>
    <n v="6.1605959462397242E-3"/>
    <s v="Ireland"/>
    <x v="1"/>
    <s v="No"/>
    <s v="No"/>
    <n v="4.2322418558795845E-3"/>
    <b v="0"/>
    <b v="0"/>
    <b v="0"/>
    <b v="0"/>
    <n v="1.7916031096491852E-2"/>
    <n v="0.57763370467636432"/>
    <n v="2.4372376810010508"/>
    <n v="4.168886075388583"/>
    <n v="-1.7916031096491852E-2"/>
    <n v="-0.57763370467636432"/>
    <n v="-2.4372376810010508"/>
    <b v="0"/>
    <b v="0"/>
    <b v="0"/>
    <n v="0.16250391115922749"/>
    <n v="5.2393153216665063"/>
    <n v="22.106495208353859"/>
    <n v="-0.16250391115922749"/>
    <n v="-5.2393153216665063"/>
    <n v="-22.106495208353859"/>
  </r>
  <r>
    <s v="IMN"/>
    <s v="Isle of Man"/>
    <n v="7576.1299327938104"/>
    <n v="6.4671452765214838E-5"/>
    <s v="Not in MINDSET country list"/>
    <x v="3"/>
    <s v="No"/>
    <s v="No"/>
    <s v="Not in MINDSET country list"/>
    <b v="0"/>
    <b v="0"/>
    <b v="0"/>
    <b v="0"/>
    <n v="0"/>
    <n v="0"/>
    <n v="0"/>
    <n v="0"/>
    <n v="0"/>
    <n v="0"/>
    <n v="0"/>
    <b v="0"/>
    <b v="0"/>
    <b v="0"/>
    <n v="0"/>
    <n v="0"/>
    <n v="0"/>
    <n v="0"/>
    <n v="0"/>
    <n v="0"/>
  </r>
  <r>
    <s v="ISR"/>
    <s v="Israel"/>
    <n v="610777.84287359496"/>
    <n v="5.2137292741590213E-3"/>
    <s v="Israel"/>
    <x v="7"/>
    <s v="No"/>
    <s v="No"/>
    <n v="2.858170274155311E-3"/>
    <b v="0"/>
    <b v="0"/>
    <b v="0"/>
    <b v="0"/>
    <n v="1.2099277228142448E-2"/>
    <n v="0.39009478670567865"/>
    <n v="1.6459457016169694"/>
    <n v="2.8153840595055684"/>
    <n v="-1.2099277228142448E-2"/>
    <n v="-0.39009478670567865"/>
    <n v="-1.6459457016169694"/>
    <b v="0"/>
    <b v="0"/>
    <b v="0"/>
    <n v="0.10974416494275474"/>
    <n v="3.538279668140909"/>
    <n v="14.929233635950208"/>
    <n v="-0.10974416494275474"/>
    <n v="-3.538279668140909"/>
    <n v="-14.929233635950208"/>
  </r>
  <r>
    <s v="ITA"/>
    <s v="Italy"/>
    <n v="2551556.9541003499"/>
    <n v="2.1780631601972179E-2"/>
    <s v="Italy"/>
    <x v="1"/>
    <s v="No"/>
    <s v="No"/>
    <n v="1.6580722198720577E-2"/>
    <b v="0"/>
    <b v="0"/>
    <b v="0"/>
    <b v="0"/>
    <n v="7.0189924071064849E-2"/>
    <n v="2.263004883936647"/>
    <n v="9.5484053834947371"/>
    <n v="16.332512235354461"/>
    <n v="-7.0189924071064849E-2"/>
    <n v="-2.263004883936647"/>
    <n v="-9.5484053834947371"/>
    <b v="0"/>
    <b v="0"/>
    <b v="0"/>
    <n v="0.63664419446953779"/>
    <n v="20.526150163031787"/>
    <n v="86.606972928035745"/>
    <n v="-0.63664419446953779"/>
    <n v="-20.526150163031787"/>
    <n v="-86.606972928035745"/>
  </r>
  <r>
    <s v="JAM"/>
    <s v="Jamaica"/>
    <n v="22704.9032175631"/>
    <n v="1.9381387185791403E-4"/>
    <s v="Jamaica"/>
    <x v="4"/>
    <s v="Yes"/>
    <s v="No"/>
    <s v=""/>
    <b v="0"/>
    <b v="0"/>
    <b v="0"/>
    <b v="0"/>
    <n v="0"/>
    <n v="0"/>
    <n v="0"/>
    <n v="0"/>
    <n v="0"/>
    <n v="0"/>
    <n v="0"/>
    <n v="2.1610017063237071E-2"/>
    <n v="0.69673211366558263"/>
    <n v="2.9397553280598019"/>
    <n v="0"/>
    <n v="0"/>
    <n v="0"/>
    <n v="2.1610017063237071E-2"/>
    <n v="0.69673211366558263"/>
    <n v="2.9397553280598019"/>
  </r>
  <r>
    <s v="JPN"/>
    <s v="Japan"/>
    <n v="4435162.9999769405"/>
    <n v="3.7859492511800812E-2"/>
    <s v="Japan"/>
    <x v="6"/>
    <s v="No"/>
    <s v="No"/>
    <n v="5.0547156608470638E-2"/>
    <b v="0"/>
    <b v="0"/>
    <b v="0"/>
    <b v="0"/>
    <n v="0.21397747588042607"/>
    <n v="6.8988829861045629"/>
    <n v="29.108788899310731"/>
    <n v="49.790476185285101"/>
    <n v="-0.21397747588042607"/>
    <n v="-6.8988829861045629"/>
    <n v="-29.108788899310731"/>
    <b v="0"/>
    <b v="0"/>
    <b v="0"/>
    <n v="1.9408415035268198"/>
    <n v="62.574990065258604"/>
    <n v="264.02566616288885"/>
    <n v="-1.9408415035268198"/>
    <n v="-62.574990065258604"/>
    <n v="-264.02566616288885"/>
  </r>
  <r>
    <s v="JOR"/>
    <s v="Jordan"/>
    <n v="61610.052535211304"/>
    <n v="5.2591648212717648E-4"/>
    <s v="Jordan"/>
    <x v="7"/>
    <s v="Yes"/>
    <s v="Yes"/>
    <n v="8.5388211004356785E-5"/>
    <n v="5.8639064601824192E-2"/>
    <n v="1.8905917243769932"/>
    <n v="7.9770646219856935"/>
    <n v="13.644739651084004"/>
    <n v="3.6146749068760922E-4"/>
    <n v="1.1654132806614596E-2"/>
    <n v="4.9172843249487508E-2"/>
    <n v="8.4109967242035927E-2"/>
    <n v="5.8277597111136586E-2"/>
    <n v="1.8789375915703785"/>
    <n v="7.927891778736206"/>
    <n v="5.8639064601824192E-2"/>
    <n v="1.8905917243769932"/>
    <n v="7.9770646219856935"/>
    <n v="3.2786212904681792E-3"/>
    <n v="0.10570656815921529"/>
    <n v="0.44601280874233395"/>
    <n v="5.5360443311356013E-2"/>
    <n v="1.7848851562177779"/>
    <n v="7.5310518132433595"/>
  </r>
  <r>
    <s v="KAZ"/>
    <s v="Kazakhstan"/>
    <n v="306239.20965002401"/>
    <n v="2.6141228776992327E-3"/>
    <s v="Kazakhstan"/>
    <x v="5"/>
    <s v="No"/>
    <s v="No"/>
    <n v="3.0097221509682854E-3"/>
    <b v="0"/>
    <b v="0"/>
    <b v="0"/>
    <b v="0"/>
    <n v="1.274083038842342E-2"/>
    <n v="0.41077920764266235"/>
    <n v="1.7332204740361947"/>
    <n v="2.964667236237752"/>
    <n v="-1.274083038842342E-2"/>
    <n v="-0.41077920764266235"/>
    <n v="-1.7332204740361947"/>
    <b v="0"/>
    <b v="0"/>
    <b v="0"/>
    <n v="0.11556324938175389"/>
    <n v="3.7258937264231498"/>
    <n v="15.720842658465951"/>
    <n v="-0.11556324938175389"/>
    <n v="-3.7258937264231498"/>
    <n v="-15.720842658465951"/>
  </r>
  <r>
    <s v="KEN"/>
    <s v="Kenya"/>
    <n v="135941.27887881501"/>
    <n v="1.1604236033227822E-3"/>
    <s v="Kenya"/>
    <x v="2"/>
    <s v="Yes"/>
    <s v="Yes"/>
    <s v=""/>
    <n v="0.12938585679136674"/>
    <n v="4.1715506848923214"/>
    <n v="17.601224504587528"/>
    <n v="30.106829678107076"/>
    <n v="0"/>
    <n v="0"/>
    <n v="0"/>
    <n v="0"/>
    <n v="0.12938585679136674"/>
    <n v="4.1715506848923214"/>
    <n v="17.601224504587528"/>
    <n v="0.12938585679136674"/>
    <n v="4.1715506848923214"/>
    <n v="17.601224504587528"/>
    <n v="0"/>
    <n v="0"/>
    <n v="0"/>
    <n v="0.12938585679136674"/>
    <n v="4.1715506848923214"/>
    <n v="17.601224504587528"/>
  </r>
  <r>
    <s v="KIR"/>
    <s v="Kiribati"/>
    <n v="349.22725415883298"/>
    <n v="2.9810779477128209E-6"/>
    <s v="Rest of Asia-Pacific"/>
    <x v="8"/>
    <s v="Yes"/>
    <s v="Yes"/>
    <s v=""/>
    <n v="3.3238665890819873E-4"/>
    <n v="1.0716532927191507E-2"/>
    <n v="4.5216782968842475E-2"/>
    <n v="7.7343140704787858E-2"/>
    <n v="0"/>
    <n v="0"/>
    <n v="0"/>
    <n v="0"/>
    <n v="3.3238665890819873E-4"/>
    <n v="1.0716532927191507E-2"/>
    <n v="4.5216782968842475E-2"/>
    <n v="3.3238665890819873E-4"/>
    <n v="1.0716532927191507E-2"/>
    <n v="4.5216782968842475E-2"/>
    <n v="0"/>
    <n v="0"/>
    <n v="0"/>
    <n v="3.3238665890819873E-4"/>
    <n v="1.0716532927191507E-2"/>
    <n v="4.5216782968842475E-2"/>
  </r>
  <r>
    <s v="PRK"/>
    <s v="Korea, Dem. People's Rep."/>
    <n v="0"/>
    <n v="0"/>
    <s v="North Korea"/>
    <x v="10"/>
    <s v="Yes"/>
    <s v="No"/>
    <s v="Immaterial"/>
    <b v="0"/>
    <b v="0"/>
    <b v="0"/>
    <b v="0"/>
    <n v="0"/>
    <n v="0"/>
    <n v="0"/>
    <n v="0"/>
    <n v="0"/>
    <n v="0"/>
    <n v="0"/>
    <n v="0"/>
    <n v="0"/>
    <n v="0"/>
    <n v="0"/>
    <n v="0"/>
    <n v="0"/>
    <n v="0"/>
    <n v="0"/>
    <n v="0"/>
  </r>
  <r>
    <s v="KOR"/>
    <s v="Korea, Rep."/>
    <n v="1872374.9615531501"/>
    <n v="1.5982989990801551E-2"/>
    <s v="South Korea"/>
    <x v="10"/>
    <s v="No"/>
    <s v="No"/>
    <n v="1.5741831525012077E-2"/>
    <b v="0"/>
    <b v="0"/>
    <b v="0"/>
    <b v="0"/>
    <n v="6.6638711283960331E-2"/>
    <n v="2.1485096485097048"/>
    <n v="9.0653101281131665"/>
    <n v="15.506179580584693"/>
    <n v="-6.6638711283960331E-2"/>
    <n v="-2.1485096485097048"/>
    <n v="-9.0653101281131665"/>
    <b v="0"/>
    <b v="0"/>
    <b v="0"/>
    <n v="0.604433602505554"/>
    <n v="19.487643170843217"/>
    <n v="82.225150411700483"/>
    <n v="-0.604433602505554"/>
    <n v="-19.487643170843217"/>
    <n v="-82.225150411700483"/>
  </r>
  <r>
    <s v="XKX"/>
    <s v="Kosovo"/>
    <n v="12456.4033068191"/>
    <n v="1.063305018825555E-4"/>
    <s v="Not in MINDSET country list"/>
    <x v="3"/>
    <s v="No"/>
    <s v="No"/>
    <n v="0"/>
    <b v="0"/>
    <b v="0"/>
    <b v="0"/>
    <b v="0"/>
    <n v="0"/>
    <n v="0"/>
    <n v="0"/>
    <n v="0"/>
    <n v="0"/>
    <n v="0"/>
    <n v="0"/>
    <b v="0"/>
    <b v="0"/>
    <b v="0"/>
    <n v="0"/>
    <n v="0"/>
    <n v="0"/>
    <n v="0"/>
    <n v="0"/>
    <n v="0"/>
  </r>
  <r>
    <s v="KWT"/>
    <s v="Kuwait"/>
    <n v="157209.02692641801"/>
    <n v="1.3419696136848093E-3"/>
    <s v="Kuwait"/>
    <x v="7"/>
    <s v="Yes"/>
    <s v="No"/>
    <n v="3.3967220078718373E-3"/>
    <b v="0"/>
    <b v="0"/>
    <b v="0"/>
    <b v="0"/>
    <n v="1.4379087772270626E-2"/>
    <n v="0.46359853334869822"/>
    <n v="1.9560835962079601"/>
    <n v="3.3458737857597871"/>
    <n v="-1.4379087772270626E-2"/>
    <n v="-0.46359853334869822"/>
    <n v="-1.9560835962079601"/>
    <n v="0.14962802183392956"/>
    <n v="4.824181656631116"/>
    <n v="20.354901762740791"/>
    <n v="0.13042274761140277"/>
    <n v="4.204981252326399"/>
    <n v="17.742279706158957"/>
    <n v="1.9205274222526797E-2"/>
    <n v="0.61920040430471701"/>
    <n v="2.6126220565818343"/>
  </r>
  <r>
    <s v="KGZ"/>
    <s v="Kyrgyz Republic"/>
    <n v="22623.752095461299"/>
    <n v="1.9312114865934087E-4"/>
    <s v="Kyrgyzstan"/>
    <x v="5"/>
    <s v="No"/>
    <s v="Yes"/>
    <s v=""/>
    <n v="2.1532779247399818E-2"/>
    <n v="0.69424187654426406"/>
    <n v="2.9292481507646237"/>
    <n v="5.0104681715181227"/>
    <n v="0"/>
    <n v="0"/>
    <n v="0"/>
    <n v="0"/>
    <n v="2.1532779247399818E-2"/>
    <n v="0.69424187654426406"/>
    <n v="2.9292481507646237"/>
    <b v="0"/>
    <b v="0"/>
    <b v="0"/>
    <n v="0"/>
    <n v="0"/>
    <n v="0"/>
    <n v="0"/>
    <n v="0"/>
    <n v="0"/>
  </r>
  <r>
    <s v="LAO"/>
    <s v="Lao PDR"/>
    <n v="18302.970218590199"/>
    <n v="1.5623803768610795E-4"/>
    <s v="Laos"/>
    <x v="8"/>
    <s v="Yes"/>
    <s v="No"/>
    <s v=""/>
    <b v="0"/>
    <b v="0"/>
    <b v="0"/>
    <b v="0"/>
    <n v="0"/>
    <n v="0"/>
    <n v="0"/>
    <n v="0"/>
    <n v="0"/>
    <n v="0"/>
    <n v="0"/>
    <n v="1.7420356076466283E-2"/>
    <n v="0.56165256484741155"/>
    <n v="2.3698076888431419"/>
    <n v="0"/>
    <n v="0"/>
    <n v="0"/>
    <n v="1.7420356076466283E-2"/>
    <n v="0.56165256484741155"/>
    <n v="2.3698076888431419"/>
  </r>
  <r>
    <s v="LVA"/>
    <s v="Latvia"/>
    <n v="48618.869160325397"/>
    <n v="4.1502098410298177E-4"/>
    <s v="Latvia"/>
    <x v="1"/>
    <s v="No"/>
    <s v="No"/>
    <n v="3.3477034271389862E-4"/>
    <b v="0"/>
    <b v="0"/>
    <b v="0"/>
    <b v="0"/>
    <n v="1.4171581101663981E-3"/>
    <n v="4.5690827665947849E-2"/>
    <n v="0.19278550742804326"/>
    <n v="0.32975890029871296"/>
    <n v="-1.4171581101663981E-3"/>
    <n v="-4.5690827665947849E-2"/>
    <n v="-0.19278550742804326"/>
    <b v="0"/>
    <b v="0"/>
    <b v="0"/>
    <n v="1.2854059830145811E-2"/>
    <n v="0.41442985669257087"/>
    <n v="1.7486238332109016"/>
    <n v="-1.2854059830145811E-2"/>
    <n v="-0.41442985669257087"/>
    <n v="-1.7486238332109016"/>
  </r>
  <r>
    <s v="LBN"/>
    <s v="Lebanon"/>
    <n v="25971.643441340799"/>
    <n v="2.2169945961213034E-4"/>
    <s v="Lebanon"/>
    <x v="7"/>
    <s v="Yes"/>
    <s v="Yes"/>
    <s v=""/>
    <n v="2.4719227056362768E-2"/>
    <n v="0.79697666432935343"/>
    <n v="3.3627219835974111"/>
    <n v="5.7519235658068286"/>
    <n v="0"/>
    <n v="0"/>
    <n v="0"/>
    <n v="0"/>
    <n v="2.4719227056362768E-2"/>
    <n v="0.79697666432935343"/>
    <n v="3.3627219835974111"/>
    <n v="2.4719227056362768E-2"/>
    <n v="0.79697666432935343"/>
    <n v="3.3627219835974111"/>
    <n v="0"/>
    <n v="0"/>
    <n v="0"/>
    <n v="2.4719227056362768E-2"/>
    <n v="0.79697666432935343"/>
    <n v="3.3627219835974111"/>
  </r>
  <r>
    <s v="LSO"/>
    <s v="Lesotho"/>
    <n v="2573.5729200515898"/>
    <n v="2.1968564559131893E-5"/>
    <s v="Rest of Africa"/>
    <x v="2"/>
    <s v="Yes"/>
    <s v="No"/>
    <s v=""/>
    <b v="0"/>
    <b v="0"/>
    <b v="0"/>
    <b v="0"/>
    <n v="0"/>
    <n v="0"/>
    <n v="0"/>
    <n v="0"/>
    <n v="0"/>
    <n v="0"/>
    <n v="0"/>
    <n v="2.4494689179198723E-3"/>
    <n v="7.8973730170892181E-2"/>
    <n v="0.33321765925959768"/>
    <n v="0"/>
    <n v="0"/>
    <n v="0"/>
    <n v="2.4494689179198723E-3"/>
    <n v="7.8973730170892181E-2"/>
    <n v="0.33321765925959768"/>
  </r>
  <r>
    <s v="LBR"/>
    <s v="Liberia"/>
    <n v="5245.9389000000001"/>
    <n v="4.4780447641484022E-5"/>
    <s v="Liberia"/>
    <x v="2"/>
    <s v="Yes"/>
    <s v="Yes"/>
    <s v=""/>
    <n v="4.9929668519356268E-3"/>
    <n v="0.16097906531176978"/>
    <n v="0.67922671522430667"/>
    <n v="1.1618147943484547"/>
    <n v="0"/>
    <n v="0"/>
    <n v="0"/>
    <n v="0"/>
    <n v="4.9929668519356268E-3"/>
    <n v="0.16097906531176978"/>
    <n v="0.67922671522430667"/>
    <n v="4.9929668519356268E-3"/>
    <n v="0.16097906531176978"/>
    <n v="0.67922671522430667"/>
    <n v="0"/>
    <n v="0"/>
    <n v="0"/>
    <n v="4.9929668519356268E-3"/>
    <n v="0.16097906531176978"/>
    <n v="0.67922671522430667"/>
  </r>
  <r>
    <s v="LBY"/>
    <s v="Libya"/>
    <n v="48098.9096136316"/>
    <n v="4.1058249907670525E-4"/>
    <s v="Libya"/>
    <x v="2"/>
    <s v="Yes"/>
    <s v="No"/>
    <n v="7.2658108808626855E-4"/>
    <b v="0"/>
    <b v="0"/>
    <b v="0"/>
    <b v="0"/>
    <n v="3.0757810662904715E-3"/>
    <n v="9.9166763136656691E-2"/>
    <n v="0.41841909477041506"/>
    <n v="0.71570432028960884"/>
    <n v="-3.0757810662904715E-3"/>
    <n v="-9.9166763136656691E-2"/>
    <n v="-0.41841909477041506"/>
    <n v="4.5779462150256918E-2"/>
    <n v="1.4759831671157495"/>
    <n v="6.2276867888678265"/>
    <n v="2.7898280062684869E-2"/>
    <n v="0.89947303506650522"/>
    <n v="3.7951898519092171"/>
    <n v="1.7881182087572049E-2"/>
    <n v="0.57651013204924428"/>
    <n v="2.4324969369586094"/>
  </r>
  <r>
    <s v="LIE"/>
    <s v="Liechtenstein"/>
    <n v="8905.7642704053997"/>
    <n v="7.6021493620196024E-5"/>
    <s v="Rest of Europe"/>
    <x v="1"/>
    <s v="No"/>
    <s v="No"/>
    <n v="2.0102516878451618E-5"/>
    <b v="0"/>
    <b v="0"/>
    <b v="0"/>
    <b v="0"/>
    <n v="8.5098472577068777E-5"/>
    <n v="2.7436738478656387E-3"/>
    <n v="1.1576515068735214E-2"/>
    <n v="1.980158638108449E-2"/>
    <n v="-8.5098472577068777E-5"/>
    <n v="-2.7436738478656387E-3"/>
    <n v="-1.1576515068735214E-2"/>
    <b v="0"/>
    <b v="0"/>
    <b v="0"/>
    <n v="7.7186931374314106E-4"/>
    <n v="2.4885965469816425E-2"/>
    <n v="0.10500255140947863"/>
    <n v="-7.7186931374314106E-4"/>
    <n v="-2.4885965469816425E-2"/>
    <n v="-0.10500255140947863"/>
  </r>
  <r>
    <s v="LTU"/>
    <s v="Lithuania"/>
    <n v="95210.150818351191"/>
    <n v="8.1273405103116482E-4"/>
    <s v="Lithuania"/>
    <x v="1"/>
    <s v="No"/>
    <s v="No"/>
    <n v="7.2894263196440691E-4"/>
    <b v="0"/>
    <b v="0"/>
    <b v="0"/>
    <b v="0"/>
    <n v="3.0857780123529177E-3"/>
    <n v="9.9489076318543923E-2"/>
    <n v="0.41977904628574264"/>
    <n v="0.71803051234697279"/>
    <n v="-3.0857780123529177E-3"/>
    <n v="-9.9489076318543923E-2"/>
    <n v="-0.41977904628574264"/>
    <b v="0"/>
    <b v="0"/>
    <b v="0"/>
    <n v="2.7988955437495619E-2"/>
    <n v="0.90239651473634708"/>
    <n v="3.8075250303333559"/>
    <n v="-2.7988955437495619E-2"/>
    <n v="-0.90239651473634708"/>
    <n v="-3.8075250303333559"/>
  </r>
  <r>
    <s v="LUX"/>
    <s v="Luxembourg"/>
    <n v="101157.829491107"/>
    <n v="8.6350469828245331E-4"/>
    <s v="Luxembourg"/>
    <x v="1"/>
    <s v="No"/>
    <s v="No"/>
    <n v="9.5984497937432747E-4"/>
    <b v="0"/>
    <b v="0"/>
    <b v="0"/>
    <b v="0"/>
    <n v="4.0632395510175933E-3"/>
    <n v="0.13100357451943695"/>
    <n v="0.55274968475651942"/>
    <n v="0.94547629963213653"/>
    <n v="-4.0632395510175933E-3"/>
    <n v="-0.13100357451943695"/>
    <n v="-0.55274968475651942"/>
    <b v="0"/>
    <b v="0"/>
    <b v="0"/>
    <n v="3.6854832159032958E-2"/>
    <n v="1.1882427040114005"/>
    <n v="5.0136096092483795"/>
    <n v="-3.6854832159032958E-2"/>
    <n v="-1.1882427040114005"/>
    <n v="-5.0136096092483795"/>
  </r>
  <r>
    <s v="MAC"/>
    <s v="Macao SAR, China"/>
    <n v="52061.007670168998"/>
    <n v="4.444038088466682E-4"/>
    <s v="Not in MINDSET country list"/>
    <x v="3"/>
    <s v="No"/>
    <s v="No"/>
    <s v="Not in MINDSET country list"/>
    <b v="0"/>
    <b v="0"/>
    <b v="0"/>
    <b v="0"/>
    <n v="0"/>
    <n v="0"/>
    <n v="0"/>
    <n v="0"/>
    <n v="0"/>
    <n v="0"/>
    <n v="0"/>
    <b v="0"/>
    <b v="0"/>
    <b v="0"/>
    <n v="0"/>
    <n v="0"/>
    <n v="0"/>
    <n v="0"/>
    <n v="0"/>
    <n v="0"/>
  </r>
  <r>
    <s v="MDG"/>
    <s v="Madagascar"/>
    <n v="19620.3520357899"/>
    <n v="1.6748348842686179E-4"/>
    <s v="Madagascar"/>
    <x v="2"/>
    <s v="Yes"/>
    <s v="Yes"/>
    <s v=""/>
    <n v="1.8674210509391685E-2"/>
    <n v="0.60207829180193784"/>
    <n v="2.5403779035272622"/>
    <n v="4.3453070460857877"/>
    <n v="0"/>
    <n v="0"/>
    <n v="0"/>
    <n v="0"/>
    <n v="1.8674210509391685E-2"/>
    <n v="0.60207829180193784"/>
    <n v="2.5403779035272622"/>
    <n v="1.8674210509391685E-2"/>
    <n v="0.60207829180193784"/>
    <n v="2.5403779035272622"/>
    <n v="0"/>
    <n v="0"/>
    <n v="0"/>
    <n v="1.8674210509391685E-2"/>
    <n v="0.60207829180193784"/>
    <n v="2.5403779035272622"/>
  </r>
  <r>
    <s v="MWI"/>
    <s v="Malawi"/>
    <n v="14918.276698303"/>
    <n v="1.2734557556313294E-4"/>
    <s v="Malawi"/>
    <x v="2"/>
    <s v="Yes"/>
    <s v="Yes"/>
    <s v=""/>
    <n v="1.4198880784263526E-2"/>
    <n v="0.45778845021530307"/>
    <n v="1.9315688329110472"/>
    <n v="3.3039413734445597"/>
    <n v="0"/>
    <n v="0"/>
    <n v="0"/>
    <n v="0"/>
    <n v="1.4198880784263526E-2"/>
    <n v="0.45778845021530307"/>
    <n v="1.9315688329110472"/>
    <n v="1.4198880784263526E-2"/>
    <n v="0.45778845021530307"/>
    <n v="1.9315688329110472"/>
    <n v="0"/>
    <n v="0"/>
    <n v="0"/>
    <n v="1.4198880784263526E-2"/>
    <n v="0.45778845021530307"/>
    <n v="1.9315688329110472"/>
  </r>
  <r>
    <s v="MYS"/>
    <s v="Malaysia"/>
    <n v="472193.12864459702"/>
    <n v="4.0307407457486595E-3"/>
    <s v="Malaysia"/>
    <x v="8"/>
    <s v="Yes"/>
    <s v="No"/>
    <n v="3.2416503796006053E-3"/>
    <b v="0"/>
    <b v="0"/>
    <b v="0"/>
    <b v="0"/>
    <n v="1.3722634712899421E-2"/>
    <n v="0.4424337223150217"/>
    <n v="1.8667818907414406"/>
    <n v="3.193123547516747"/>
    <n v="-1.3722634712899421E-2"/>
    <n v="-0.4424337223150217"/>
    <n v="-1.8667818907414406"/>
    <n v="0.44942281714990007"/>
    <n v="14.489914950371894"/>
    <n v="61.137995282552396"/>
    <n v="0.12446851650599071"/>
    <n v="4.0130099081489563"/>
    <n v="16.932285777629758"/>
    <n v="0.32495430064390934"/>
    <n v="10.476905042222938"/>
    <n v="44.205709504922638"/>
  </r>
  <r>
    <s v="MDV"/>
    <s v="Maldives"/>
    <n v="7741.0668606337003"/>
    <n v="6.6079389380961816E-5"/>
    <s v="Rest of Asia-Pacific"/>
    <x v="8"/>
    <s v="Yes"/>
    <s v="Yes"/>
    <s v=""/>
    <n v="7.3677736188962183E-3"/>
    <n v="0.23754560079621381"/>
    <n v="1.0022875821294761"/>
    <n v="1.7144092171421934"/>
    <n v="0"/>
    <n v="0"/>
    <n v="0"/>
    <n v="0"/>
    <n v="7.3677736188962183E-3"/>
    <n v="0.23754560079621381"/>
    <n v="1.0022875821294761"/>
    <n v="7.3677736188962183E-3"/>
    <n v="0.23754560079621381"/>
    <n v="1.0022875821294761"/>
    <n v="0"/>
    <n v="0"/>
    <n v="0"/>
    <n v="7.3677736188962183E-3"/>
    <n v="0.23754560079621381"/>
    <n v="1.0022875821294761"/>
  </r>
  <r>
    <s v="MLI"/>
    <s v="Mali"/>
    <n v="30069.1485807688"/>
    <n v="2.5667663297510398E-4"/>
    <s v="Mali"/>
    <x v="2"/>
    <s v="Yes"/>
    <s v="No"/>
    <s v=""/>
    <b v="0"/>
    <b v="0"/>
    <b v="0"/>
    <b v="0"/>
    <n v="0"/>
    <n v="0"/>
    <n v="0"/>
    <n v="0"/>
    <n v="0"/>
    <n v="0"/>
    <n v="0"/>
    <n v="2.8619140442086698E-2"/>
    <n v="0.92271441309636482"/>
    <n v="3.8932533164096164"/>
    <n v="0"/>
    <n v="0"/>
    <n v="0"/>
    <n v="2.8619140442086698E-2"/>
    <n v="0.92271441309636482"/>
    <n v="3.8932533164096164"/>
  </r>
  <r>
    <s v="MLT"/>
    <s v="Malta"/>
    <n v="27771.821560941102"/>
    <n v="2.3706616203981331E-4"/>
    <s v="Malta"/>
    <x v="1"/>
    <s v="No"/>
    <s v="No"/>
    <n v="6.9365602192231286E-5"/>
    <b v="0"/>
    <b v="0"/>
    <b v="0"/>
    <b v="0"/>
    <n v="2.93640186034363E-4"/>
    <n v="9.4673015238346311E-3"/>
    <n v="3.994584080618413E-2"/>
    <n v="6.8327213551938479E-2"/>
    <n v="-2.93640186034363E-4"/>
    <n v="-9.4673015238346311E-3"/>
    <n v="-3.994584080618413E-2"/>
    <b v="0"/>
    <b v="0"/>
    <b v="0"/>
    <n v="2.6634067806150879E-3"/>
    <n v="8.5871335981778416E-2"/>
    <n v="0.36232105931206265"/>
    <n v="-2.6634067806150879E-3"/>
    <n v="-8.5871335981778416E-2"/>
    <n v="-0.36232105931206265"/>
  </r>
  <r>
    <s v="MHL"/>
    <s v="Marshall Islands"/>
    <n v="308"/>
    <n v="2.6291533577672965E-6"/>
    <s v="Rest of Asia-Pacific"/>
    <x v="8"/>
    <s v="Yes"/>
    <s v="Yes"/>
    <s v=""/>
    <n v="2.9314748412265587E-4"/>
    <n v="9.4514162404798659E-3"/>
    <n v="3.9878815265859548E-2"/>
    <n v="6.8212566612112863E-2"/>
    <n v="0"/>
    <n v="0"/>
    <n v="0"/>
    <n v="0"/>
    <n v="2.9314748412265587E-4"/>
    <n v="9.4514162404798659E-3"/>
    <n v="3.9878815265859548E-2"/>
    <n v="2.9314748412265587E-4"/>
    <n v="9.4514162404798659E-3"/>
    <n v="3.9878815265859548E-2"/>
    <n v="0"/>
    <n v="0"/>
    <n v="0"/>
    <n v="2.9314748412265587E-4"/>
    <n v="9.4514162404798659E-3"/>
    <n v="3.9878815265859548E-2"/>
  </r>
  <r>
    <s v="MRT"/>
    <s v="Mauritania"/>
    <n v="11679.910946437099"/>
    <n v="9.9702198322234098E-5"/>
    <s v="Mauritania"/>
    <x v="2"/>
    <s v="Yes"/>
    <s v="No"/>
    <s v=""/>
    <b v="0"/>
    <b v="0"/>
    <b v="0"/>
    <b v="0"/>
    <n v="0"/>
    <n v="0"/>
    <n v="0"/>
    <n v="0"/>
    <n v="0"/>
    <n v="0"/>
    <n v="0"/>
    <n v="1.1116676976378909E-2"/>
    <n v="0.35841461041076028"/>
    <n v="1.5122760095930385"/>
    <n v="0"/>
    <n v="0"/>
    <n v="0"/>
    <n v="1.1116676976378909E-2"/>
    <n v="0.35841461041076028"/>
    <n v="1.5122760095930385"/>
  </r>
  <r>
    <s v="MUS"/>
    <s v="Mauritius"/>
    <n v="16157.804491761401"/>
    <n v="1.3792644783656492E-4"/>
    <s v="Rest of Africa"/>
    <x v="2"/>
    <s v="Yes"/>
    <s v="No"/>
    <s v=""/>
    <b v="0"/>
    <b v="0"/>
    <b v="0"/>
    <b v="0"/>
    <n v="0"/>
    <n v="0"/>
    <n v="0"/>
    <n v="0"/>
    <n v="0"/>
    <n v="0"/>
    <n v="0"/>
    <n v="1.5378635505537674E-2"/>
    <n v="0.49582511618159819"/>
    <n v="2.0920587676260669"/>
    <n v="0"/>
    <n v="0"/>
    <n v="0"/>
    <n v="1.5378635505537674E-2"/>
    <n v="0.49582511618159819"/>
    <n v="2.0920587676260669"/>
  </r>
  <r>
    <s v="MEX"/>
    <s v="Mexico"/>
    <n v="1832641.3647755201"/>
    <n v="1.564381557721688E-2"/>
    <s v="Mexico"/>
    <x v="4"/>
    <s v="No"/>
    <s v="No"/>
    <n v="6.5335542341098422E-3"/>
    <b v="0"/>
    <b v="0"/>
    <b v="0"/>
    <b v="0"/>
    <n v="2.7658003681030271E-2"/>
    <n v="0.89172624473476969"/>
    <n v="3.7625034467523424"/>
    <n v="6.4357482858729158"/>
    <n v="-2.7658003681030271E-2"/>
    <n v="-0.89172624473476969"/>
    <n v="-3.7625034467523424"/>
    <b v="0"/>
    <b v="0"/>
    <b v="0"/>
    <n v="0.25086659812193601"/>
    <n v="8.0882312423037295"/>
    <n v="34.127063218094769"/>
    <n v="-0.25086659812193601"/>
    <n v="-8.0882312423037295"/>
    <n v="-34.127063218094769"/>
  </r>
  <r>
    <s v="FSM"/>
    <s v="Micronesia, Fed. Sts."/>
    <n v="501.79759999999999"/>
    <n v="4.2834507953232812E-6"/>
    <s v="Rest of Asia-Pacific"/>
    <x v="8"/>
    <s v="No"/>
    <s v="No"/>
    <s v="Outside G77 + China or CVF"/>
    <b v="0"/>
    <b v="0"/>
    <b v="0"/>
    <b v="0"/>
    <n v="0"/>
    <n v="0"/>
    <n v="0"/>
    <n v="0"/>
    <n v="0"/>
    <n v="0"/>
    <n v="0"/>
    <b v="0"/>
    <b v="0"/>
    <b v="0"/>
    <n v="0"/>
    <n v="0"/>
    <n v="0"/>
    <n v="0"/>
    <n v="0"/>
    <n v="0"/>
  </r>
  <r>
    <s v="MDA"/>
    <s v="Moldova"/>
    <n v="20351.796275294299"/>
    <n v="1.7372725166813624E-4"/>
    <s v="Moldova"/>
    <x v="5"/>
    <s v="No"/>
    <s v="No"/>
    <n v="1.0971507438222196E-4"/>
    <b v="0"/>
    <b v="0"/>
    <b v="0"/>
    <b v="0"/>
    <n v="4.6444857154253607E-4"/>
    <n v="1.4974362768565012E-2"/>
    <n v="6.3182049269396121E-2"/>
    <n v="0.10807266253388743"/>
    <n v="-4.6444857154253607E-4"/>
    <n v="-1.4974362768565012E-2"/>
    <n v="-6.3182049269396121E-2"/>
    <b v="0"/>
    <b v="0"/>
    <b v="0"/>
    <n v="4.2126913601281454E-3"/>
    <n v="0.13582207487267736"/>
    <n v="0.57308061512252684"/>
    <n v="-4.2126913601281454E-3"/>
    <n v="-0.13582207487267736"/>
    <n v="-0.57308061512252684"/>
  </r>
  <r>
    <s v="MCO"/>
    <s v="Monaco"/>
    <n v="11125.7888382812"/>
    <n v="9.4972094422003011E-5"/>
    <s v="Rest of Europe"/>
    <x v="1"/>
    <s v="No"/>
    <s v="No"/>
    <s v="Outside G77 + China or CVF"/>
    <b v="0"/>
    <b v="0"/>
    <b v="0"/>
    <b v="0"/>
    <n v="0"/>
    <n v="0"/>
    <n v="0"/>
    <n v="0"/>
    <n v="0"/>
    <n v="0"/>
    <n v="0"/>
    <b v="0"/>
    <b v="0"/>
    <b v="0"/>
    <n v="0"/>
    <n v="0"/>
    <n v="0"/>
    <n v="0"/>
    <n v="0"/>
    <n v="0"/>
  </r>
  <r>
    <s v="MNG"/>
    <s v="Mongolia"/>
    <n v="25369.107325454901"/>
    <n v="2.1655608346843726E-4"/>
    <s v="Mongolia"/>
    <x v="10"/>
    <s v="Yes"/>
    <s v="Yes"/>
    <s v=""/>
    <n v="2.4145746710697222E-2"/>
    <n v="0.77848699020221168"/>
    <n v="3.2847076119856502"/>
    <n v="5.6184802705436123"/>
    <n v="0"/>
    <n v="0"/>
    <n v="0"/>
    <n v="0"/>
    <n v="2.4145746710697222E-2"/>
    <n v="0.77848699020221168"/>
    <n v="3.2847076119856502"/>
    <n v="2.4145746710697222E-2"/>
    <n v="0.77848699020221168"/>
    <n v="3.2847076119856502"/>
    <n v="0"/>
    <n v="0"/>
    <n v="0"/>
    <n v="2.4145746710697222E-2"/>
    <n v="0.77848699020221168"/>
    <n v="3.2847076119856502"/>
  </r>
  <r>
    <s v="MNE"/>
    <s v="Montenegro"/>
    <n v="9232.8014647925702"/>
    <n v="7.8813152508955191E-5"/>
    <s v="Not in MINDSET country list"/>
    <x v="3"/>
    <s v="No"/>
    <s v="No"/>
    <n v="2.3066283095747612E-5"/>
    <b v="0"/>
    <b v="0"/>
    <b v="0"/>
    <b v="0"/>
    <n v="9.7644761168312694E-5"/>
    <n v="3.1481808014351765E-3"/>
    <n v="1.3283270719392733E-2"/>
    <n v="2.2720985634420522E-2"/>
    <n v="-9.7644761168312694E-5"/>
    <n v="-3.1481808014351765E-3"/>
    <n v="-1.3283270719392733E-2"/>
    <b v="0"/>
    <b v="0"/>
    <b v="0"/>
    <n v="8.8566800920358575E-4"/>
    <n v="2.8554967923101148E-2"/>
    <n v="0.12048334998206357"/>
    <n v="-8.8566800920358575E-4"/>
    <n v="-2.8554967923101148E-2"/>
    <n v="-0.12048334998206357"/>
  </r>
  <r>
    <s v="MAR"/>
    <s v="Morocco"/>
    <n v="182374.25061228001"/>
    <n v="1.5567853031414624E-3"/>
    <s v="Morocco"/>
    <x v="2"/>
    <s v="Yes"/>
    <s v="Yes"/>
    <s v=""/>
    <n v="0.17357971667449554"/>
    <n v="5.5964121885787286"/>
    <n v="23.61321119940483"/>
    <n v="40.390310773455568"/>
    <n v="0"/>
    <n v="0"/>
    <n v="0"/>
    <n v="0"/>
    <n v="0.17357971667449554"/>
    <n v="5.5964121885787286"/>
    <n v="23.61321119940483"/>
    <n v="0.17357971667449554"/>
    <n v="5.5964121885787286"/>
    <n v="23.61321119940483"/>
    <n v="0"/>
    <n v="0"/>
    <n v="0"/>
    <n v="0.17357971667449554"/>
    <n v="5.5964121885787286"/>
    <n v="23.61321119940483"/>
  </r>
  <r>
    <s v="MOZ"/>
    <s v="Mozambique"/>
    <n v="22337.9970461913"/>
    <n v="1.9068188292139547E-4"/>
    <s v="Mozambique"/>
    <x v="2"/>
    <s v="Yes"/>
    <s v="Yes"/>
    <s v=""/>
    <n v="2.1260804007890582E-2"/>
    <n v="0.68547307812390834"/>
    <n v="2.8922495377090236"/>
    <n v="4.947182180176962"/>
    <n v="0"/>
    <n v="0"/>
    <n v="0"/>
    <n v="0"/>
    <n v="2.1260804007890582E-2"/>
    <n v="0.68547307812390834"/>
    <n v="2.8922495377090236"/>
    <n v="2.1260804007890582E-2"/>
    <n v="0.68547307812390834"/>
    <n v="2.8922495377090236"/>
    <n v="0"/>
    <n v="0"/>
    <n v="0"/>
    <n v="2.1260804007890582E-2"/>
    <n v="0.68547307812390834"/>
    <n v="2.8922495377090236"/>
  </r>
  <r>
    <s v="MMR"/>
    <s v="Myanmar"/>
    <n v="81665.773809523802"/>
    <n v="6.9711637475965605E-4"/>
    <s v="Myanmar"/>
    <x v="8"/>
    <s v="Yes"/>
    <s v="No"/>
    <s v=""/>
    <b v="0"/>
    <b v="0"/>
    <b v="0"/>
    <b v="0"/>
    <n v="0"/>
    <n v="0"/>
    <n v="0"/>
    <n v="0"/>
    <n v="0"/>
    <n v="0"/>
    <n v="0"/>
    <n v="7.7727649776596713E-2"/>
    <n v="2.5060299379048332"/>
    <n v="10.573812686017762"/>
    <n v="0"/>
    <n v="0"/>
    <n v="0"/>
    <n v="7.7727649776596713E-2"/>
    <n v="2.5060299379048332"/>
    <n v="10.573812686017762"/>
  </r>
  <r>
    <s v="NAM"/>
    <s v="Namibia"/>
    <n v="15080.340653527601"/>
    <n v="1.2872898787498948E-4"/>
    <s v="Namibia"/>
    <x v="2"/>
    <s v="Yes"/>
    <s v="Yes"/>
    <n v="6.5554318170262085E-5"/>
    <n v="1.4353129617838392E-2"/>
    <n v="0.4627616122231154"/>
    <n v="1.9525523346372045"/>
    <n v="3.3398335758509905"/>
    <n v="2.7750616407144015E-4"/>
    <n v="8.9471218686654769E-3"/>
    <n v="3.7751021760472944E-2"/>
    <n v="6.4572983659224509E-2"/>
    <n v="1.4075623453766952E-2"/>
    <n v="0.45381449035444993"/>
    <n v="1.9148013128767316"/>
    <n v="1.4353129617838392E-2"/>
    <n v="0.4627616122231154"/>
    <n v="1.9525523346372045"/>
    <n v="2.517066240258623E-3"/>
    <n v="8.1153146556052422E-2"/>
    <n v="0.34241337566863173"/>
    <n v="1.183606337757977E-2"/>
    <n v="0.38160846566706297"/>
    <n v="1.6101389589685726"/>
  </r>
  <r>
    <s v="NRU"/>
    <s v="Naoero"/>
    <n v="176.04004393234601"/>
    <n v="1.5027151707994477E-6"/>
    <s v="Rest of Asia-Pacific"/>
    <x v="8"/>
    <s v="No"/>
    <s v="No"/>
    <s v="Outside G77 + China or CVF"/>
    <b v="0"/>
    <b v="0"/>
    <b v="0"/>
    <b v="0"/>
    <n v="0"/>
    <n v="0"/>
    <n v="0"/>
    <n v="0"/>
    <n v="0"/>
    <n v="0"/>
    <n v="0"/>
    <b v="0"/>
    <b v="0"/>
    <b v="0"/>
    <n v="0"/>
    <n v="0"/>
    <n v="0"/>
    <n v="0"/>
    <n v="0"/>
    <n v="0"/>
  </r>
  <r>
    <s v="NPL"/>
    <s v="Nepal"/>
    <n v="45489.810283113198"/>
    <n v="3.8831067353910508E-4"/>
    <s v="Nepal"/>
    <x v="0"/>
    <s v="Yes"/>
    <s v="Yes"/>
    <s v=""/>
    <n v="4.3296179992569982E-2"/>
    <n v="1.3959192587213121"/>
    <n v="5.8898692881794465"/>
    <n v="10.074599721133881"/>
    <n v="0"/>
    <n v="0"/>
    <n v="0"/>
    <n v="0"/>
    <n v="4.3296179992569982E-2"/>
    <n v="1.3959192587213121"/>
    <n v="5.8898692881794465"/>
    <n v="4.3296179992569982E-2"/>
    <n v="1.3959192587213121"/>
    <n v="5.8898692881794465"/>
    <n v="0"/>
    <n v="0"/>
    <n v="0"/>
    <n v="4.3296179992569982E-2"/>
    <n v="1.3959192587213121"/>
    <n v="5.8898692881794465"/>
  </r>
  <r>
    <s v="NLD"/>
    <s v="Netherlands"/>
    <n v="1332767.6511003899"/>
    <n v="1.1376787483812411E-2"/>
    <s v="Netherlands"/>
    <x v="1"/>
    <s v="No"/>
    <s v="No"/>
    <n v="1.1811247925131647E-2"/>
    <b v="0"/>
    <b v="0"/>
    <b v="0"/>
    <b v="0"/>
    <n v="4.9999667391658197E-2"/>
    <n v="1.6120474982701296"/>
    <n v="6.8017895675750735"/>
    <n v="11.634435999832565"/>
    <n v="-4.9999667391658197E-2"/>
    <n v="-1.6120474982701296"/>
    <n v="-6.8017895675750735"/>
    <b v="0"/>
    <b v="0"/>
    <b v="0"/>
    <n v="0.45351235795722283"/>
    <n v="14.621766508020817"/>
    <n v="61.694322903324924"/>
    <n v="-0.45351235795722283"/>
    <n v="-14.621766508020817"/>
    <n v="-61.694322903324924"/>
  </r>
  <r>
    <s v="NCL"/>
    <s v="New Caledonia"/>
    <n v="8548.9193871260704"/>
    <n v="7.2975389973845613E-5"/>
    <s v="Rest of Asia-Pacific"/>
    <x v="8"/>
    <s v="No"/>
    <s v="No"/>
    <s v=""/>
    <b v="0"/>
    <b v="0"/>
    <b v="0"/>
    <b v="0"/>
    <n v="0"/>
    <n v="0"/>
    <n v="0"/>
    <n v="0"/>
    <n v="0"/>
    <n v="0"/>
    <n v="0"/>
    <b v="0"/>
    <b v="0"/>
    <b v="0"/>
    <n v="0"/>
    <n v="0"/>
    <n v="0"/>
    <n v="0"/>
    <n v="0"/>
    <n v="0"/>
  </r>
  <r>
    <s v="NZL"/>
    <s v="New Zealand"/>
    <n v="264057.41373996501"/>
    <n v="2.254050116810965E-3"/>
    <s v="New Zealand"/>
    <x v="6"/>
    <s v="No"/>
    <s v="No"/>
    <n v="3.1478830610178537E-3"/>
    <b v="0"/>
    <b v="0"/>
    <b v="0"/>
    <b v="0"/>
    <n v="1.3325696576382152E-2"/>
    <n v="0.4296359745834552"/>
    <n v="1.8127837380180027"/>
    <n v="3.1007599061943356"/>
    <n v="-1.3325696576382152E-2"/>
    <n v="-0.4296359745834552"/>
    <n v="-1.8127837380180027"/>
    <b v="0"/>
    <b v="0"/>
    <b v="0"/>
    <n v="0.12086816555075362"/>
    <n v="3.8969304009630199"/>
    <n v="16.442505928193675"/>
    <n v="-0.12086816555075362"/>
    <n v="-3.8969304009630199"/>
    <n v="-16.442505928193675"/>
  </r>
  <r>
    <s v="NIC"/>
    <s v="Nicaragua"/>
    <n v="22237.1671130916"/>
    <n v="1.8982117721628989E-4"/>
    <s v="Nicaragua"/>
    <x v="4"/>
    <s v="Yes"/>
    <s v="Yes"/>
    <s v=""/>
    <n v="2.1164836341616446E-2"/>
    <n v="0.68237896881473614"/>
    <n v="2.8791944134384004"/>
    <n v="4.9248514382027473"/>
    <n v="0"/>
    <n v="0"/>
    <n v="0"/>
    <n v="0"/>
    <n v="2.1164836341616446E-2"/>
    <n v="0.68237896881473614"/>
    <n v="2.8791944134384004"/>
    <n v="2.1164836341616446E-2"/>
    <n v="0.68237896881473614"/>
    <n v="2.8791944134384004"/>
    <n v="0"/>
    <n v="0"/>
    <n v="0"/>
    <n v="2.1164836341616446E-2"/>
    <n v="0.68237896881473614"/>
    <n v="2.8791944134384004"/>
  </r>
  <r>
    <s v="NER"/>
    <s v="Niger"/>
    <n v="21646.1913882507"/>
    <n v="1.8477648302367812E-4"/>
    <s v="Niger"/>
    <x v="2"/>
    <s v="Yes"/>
    <s v="Yes"/>
    <s v=""/>
    <n v="2.0602358916568808E-2"/>
    <n v="0.66424404166054574"/>
    <n v="2.8026768427970441"/>
    <n v="4.7939684154856961"/>
    <n v="0"/>
    <n v="0"/>
    <n v="0"/>
    <n v="0"/>
    <n v="2.0602358916568808E-2"/>
    <n v="0.66424404166054574"/>
    <n v="2.8026768427970441"/>
    <n v="2.0602358916568808E-2"/>
    <n v="0.66424404166054574"/>
    <n v="2.8026768427970441"/>
    <n v="0"/>
    <n v="0"/>
    <n v="0"/>
    <n v="2.0602358916568808E-2"/>
    <n v="0.66424404166054574"/>
    <n v="2.8026768427970441"/>
  </r>
  <r>
    <s v="NGA"/>
    <s v="Nigeria"/>
    <n v="290794.36154211202"/>
    <n v="2.4822823768449382E-3"/>
    <s v="Nigeria"/>
    <x v="2"/>
    <s v="Yes"/>
    <s v="No"/>
    <s v=""/>
    <b v="0"/>
    <b v="0"/>
    <b v="0"/>
    <b v="0"/>
    <n v="0"/>
    <n v="0"/>
    <n v="0"/>
    <n v="0"/>
    <n v="0"/>
    <n v="0"/>
    <n v="0"/>
    <n v="0.27677154377637714"/>
    <n v="8.923436854932115"/>
    <n v="37.651086442504734"/>
    <n v="0"/>
    <n v="0"/>
    <n v="0"/>
    <n v="0.27677154377637714"/>
    <n v="8.923436854932115"/>
    <n v="37.651086442504734"/>
  </r>
  <r>
    <s v="MKD"/>
    <s v="North Macedonia"/>
    <n v="19101.199817017401"/>
    <n v="1.6305189492303693E-4"/>
    <s v="Macedonia"/>
    <x v="1"/>
    <s v="No"/>
    <s v="No"/>
    <n v="7.7022002511289959E-5"/>
    <b v="0"/>
    <b v="0"/>
    <b v="0"/>
    <b v="0"/>
    <n v="3.2605144958558957E-4"/>
    <n v="1.0512278401665732E-2"/>
    <n v="4.4354962022287239E-2"/>
    <n v="7.5868999150363547E-2"/>
    <n v="-3.2605144958558957E-4"/>
    <n v="-1.0512278401665732E-2"/>
    <n v="-4.4354962022287239E-2"/>
    <b v="0"/>
    <b v="0"/>
    <b v="0"/>
    <n v="2.9573869073697321E-3"/>
    <n v="9.5349597590275142E-2"/>
    <n v="0.40231314453076833"/>
    <n v="-2.9573869073697321E-3"/>
    <n v="-9.5349597590275142E-2"/>
    <n v="-0.40231314453076833"/>
  </r>
  <r>
    <s v="MNP"/>
    <s v="Northern Mariana Islands"/>
    <n v="0"/>
    <n v="0"/>
    <s v="Not in MINDSET country list"/>
    <x v="3"/>
    <s v="No"/>
    <s v="No"/>
    <s v="Not in MINDSET country list"/>
    <b v="0"/>
    <b v="0"/>
    <b v="0"/>
    <b v="0"/>
    <n v="0"/>
    <n v="0"/>
    <n v="0"/>
    <n v="0"/>
    <n v="0"/>
    <n v="0"/>
    <n v="0"/>
    <b v="0"/>
    <b v="0"/>
    <b v="0"/>
    <n v="0"/>
    <n v="0"/>
    <n v="0"/>
    <n v="0"/>
    <n v="0"/>
    <n v="0"/>
  </r>
  <r>
    <s v="NOR"/>
    <s v="Norway"/>
    <n v="530755.71943887905"/>
    <n v="4.5306434477822271E-3"/>
    <s v="Norway"/>
    <x v="1"/>
    <s v="No"/>
    <s v="No"/>
    <n v="5.6546784307373987E-3"/>
    <b v="0"/>
    <b v="0"/>
    <b v="0"/>
    <b v="0"/>
    <n v="2.3937524852227023E-2"/>
    <n v="0.77177367502347838"/>
    <n v="3.25638179826394"/>
    <n v="5.5700290705153943"/>
    <n v="-2.3937524852227023E-2"/>
    <n v="-0.77177367502347838"/>
    <n v="-3.25638179826394"/>
    <b v="0"/>
    <b v="0"/>
    <b v="0"/>
    <n v="0.21712071111105585"/>
    <n v="7.0002245500457771"/>
    <n v="29.536384235748855"/>
    <n v="-0.21712071111105585"/>
    <n v="-7.0002245500457771"/>
    <n v="-29.536384235748855"/>
  </r>
  <r>
    <s v="OMN"/>
    <s v="Oman"/>
    <n v="109604.78069622999"/>
    <n v="9.3560966621701711E-4"/>
    <s v="Oman"/>
    <x v="7"/>
    <s v="Yes"/>
    <s v="No"/>
    <n v="1.019206874540363E-3"/>
    <b v="0"/>
    <b v="0"/>
    <b v="0"/>
    <b v="0"/>
    <n v="4.3145317965833539E-3"/>
    <n v="0.13910552913097005"/>
    <n v="0.58693465164665648"/>
    <n v="1.0039495595717982"/>
    <n v="-4.3145317965833539E-3"/>
    <n v="-0.13910552913097005"/>
    <n v="-0.58693465164665648"/>
    <n v="0.10431936918478982"/>
    <n v="3.3633779360603322"/>
    <n v="14.191262342987027"/>
    <n v="3.913413009776099E-2"/>
    <n v="1.2617299236594217"/>
    <n v="5.3236777706942329"/>
    <n v="6.5185239087028835E-2"/>
    <n v="2.1016480124009105"/>
    <n v="8.8675845722927953"/>
  </r>
  <r>
    <s v="PAK"/>
    <s v="Pakistan"/>
    <n v="407307.214476222"/>
    <n v="3.4768608135811803E-3"/>
    <s v="Pakistan"/>
    <x v="0"/>
    <s v="Yes"/>
    <s v="Yes"/>
    <s v=""/>
    <n v="0.38766586100230999"/>
    <n v="12.498798771964873"/>
    <n v="52.736782995289261"/>
    <n v="90.206073048874771"/>
    <n v="0"/>
    <n v="0"/>
    <n v="0"/>
    <n v="0"/>
    <n v="0.38766586100230999"/>
    <n v="12.498798771964873"/>
    <n v="52.736782995289261"/>
    <n v="0.38766586100230999"/>
    <n v="12.498798771964873"/>
    <n v="52.736782995289261"/>
    <n v="0"/>
    <n v="0"/>
    <n v="0"/>
    <n v="0.38766586100230999"/>
    <n v="12.498798771964873"/>
    <n v="52.736782995289261"/>
  </r>
  <r>
    <s v="PLW"/>
    <s v="Palau"/>
    <n v="345"/>
    <n v="2.9449932091873938E-6"/>
    <s v="Rest of Asia-Pacific"/>
    <x v="8"/>
    <s v="No"/>
    <s v="Yes"/>
    <s v=""/>
    <n v="3.2836325331920874E-4"/>
    <n v="1.0586813645992057E-2"/>
    <n v="4.4669452164680344E-2"/>
    <n v="7.6406933380451084E-2"/>
    <n v="0"/>
    <n v="0"/>
    <n v="0"/>
    <n v="0"/>
    <n v="3.2836325331920874E-4"/>
    <n v="1.0586813645992057E-2"/>
    <n v="4.4669452164680344E-2"/>
    <b v="0"/>
    <b v="0"/>
    <b v="0"/>
    <n v="0"/>
    <n v="0"/>
    <n v="0"/>
    <n v="0"/>
    <n v="0"/>
    <n v="0"/>
  </r>
  <r>
    <s v="PAN"/>
    <s v="Panama"/>
    <n v="90462.6"/>
    <n v="7.7220794981285664E-4"/>
    <s v="Panama"/>
    <x v="4"/>
    <s v="Yes"/>
    <s v="No"/>
    <n v="2.780099470439307E-4"/>
    <b v="0"/>
    <b v="0"/>
    <b v="0"/>
    <b v="0"/>
    <n v="1.1768785967308456E-3"/>
    <n v="3.7943936361947504E-2"/>
    <n v="0.16009867623402968"/>
    <n v="0.27384819594864279"/>
    <n v="-1.1768785967308456E-3"/>
    <n v="-3.7943936361947504E-2"/>
    <n v="-0.16009867623402968"/>
    <n v="8.610027141946161E-2"/>
    <n v="2.7759730090780326"/>
    <n v="11.712796473601774"/>
    <n v="1.0674650758213626E-2"/>
    <n v="0.34416317042454081"/>
    <n v="1.4521442232001369"/>
    <n v="7.5425620661247986E-2"/>
    <n v="2.4318098386534919"/>
    <n v="10.260652250401638"/>
  </r>
  <r>
    <s v="PNG"/>
    <s v="Papua New Guinea"/>
    <n v="32498.658653841499"/>
    <n v="2.774154465022097E-4"/>
    <s v="Papua New Guinea"/>
    <x v="8"/>
    <s v="Yes"/>
    <s v="Yes"/>
    <s v=""/>
    <n v="3.0931493577060442E-2"/>
    <n v="0.99726737076210747"/>
    <n v="4.2078181975479643"/>
    <n v="7.1974575267190959"/>
    <n v="0"/>
    <n v="0"/>
    <n v="0"/>
    <n v="0"/>
    <n v="3.0931493577060442E-2"/>
    <n v="0.99726737076210747"/>
    <n v="4.2078181975479643"/>
    <n v="3.0931493577060442E-2"/>
    <n v="0.99726737076210747"/>
    <n v="4.2078181975479643"/>
    <n v="0"/>
    <n v="0"/>
    <n v="0"/>
    <n v="3.0931493577060442E-2"/>
    <n v="0.99726737076210747"/>
    <n v="4.2078181975479643"/>
  </r>
  <r>
    <s v="PRY"/>
    <s v="Paraguay"/>
    <n v="49278.227554333898"/>
    <n v="4.2064940727044766E-4"/>
    <s v="Paraguay"/>
    <x v="4"/>
    <s v="Yes"/>
    <s v="Yes"/>
    <n v="5.7054664693838297E-4"/>
    <n v="4.6901910485638701E-2"/>
    <n v="1.512172208471084"/>
    <n v="6.3803809521697117"/>
    <n v="10.913618115509271"/>
    <n v="2.4152522035919442E-3"/>
    <n v="7.787054345768292E-2"/>
    <n v="0.32856293048451757"/>
    <n v="0.56200568227846226"/>
    <n v="4.4486658282046759E-2"/>
    <n v="1.4343016650134011"/>
    <n v="6.051818021685194"/>
    <n v="4.6901910485638701E-2"/>
    <n v="1.512172208471084"/>
    <n v="6.3803809521697117"/>
    <n v="2.1907080167799388E-2"/>
    <n v="0.70630977406853834"/>
    <n v="2.9801668113941981"/>
    <n v="2.4994830317839313E-2"/>
    <n v="0.80586243440254568"/>
    <n v="3.4002141407755135"/>
  </r>
  <r>
    <s v="PER"/>
    <s v="Peru"/>
    <n v="334854.65918189299"/>
    <n v="2.8583904271172003E-3"/>
    <s v="Peru"/>
    <x v="4"/>
    <s v="Yes"/>
    <s v="No"/>
    <n v="8.1470822248494272E-4"/>
    <b v="0"/>
    <b v="0"/>
    <b v="0"/>
    <b v="0"/>
    <n v="3.4488430353596337E-3"/>
    <n v="0.11119471542735546"/>
    <n v="0.46916921255413835"/>
    <n v="0.80251220981230631"/>
    <n v="-3.4488430353596337E-3"/>
    <n v="-0.11119471542735546"/>
    <n v="-0.46916921255413835"/>
    <n v="0.31870714573351078"/>
    <n v="10.275489493480825"/>
    <n v="43.355867189698287"/>
    <n v="3.1282066837333436E-2"/>
    <n v="1.0085702608944882"/>
    <n v="4.2555090256832209"/>
    <n v="0.28742507889617736"/>
    <n v="9.2669192325863357"/>
    <n v="39.100358164015063"/>
  </r>
  <r>
    <s v="PHL"/>
    <s v="Philippines"/>
    <n v="487086.12372041697"/>
    <n v="4.1578705120175041E-3"/>
    <s v="Philippines"/>
    <x v="8"/>
    <s v="Yes"/>
    <s v="Yes"/>
    <s v=""/>
    <n v="0.46359763545356153"/>
    <n v="14.946927598193295"/>
    <n v="63.066290735097787"/>
    <n v="107.87465798738566"/>
    <n v="0"/>
    <n v="0"/>
    <n v="0"/>
    <n v="0"/>
    <n v="0.46359763545356153"/>
    <n v="14.946927598193295"/>
    <n v="63.066290735097787"/>
    <n v="0.46359763545356153"/>
    <n v="14.946927598193295"/>
    <n v="63.066290735097787"/>
    <n v="0"/>
    <n v="0"/>
    <n v="0"/>
    <n v="0.46359763545356153"/>
    <n v="14.946927598193295"/>
    <n v="63.066290735097787"/>
  </r>
  <r>
    <s v="POL"/>
    <s v="Poland"/>
    <n v="1035491.78419744"/>
    <n v="8.8391776018284032E-3"/>
    <s v="Poland"/>
    <x v="1"/>
    <s v="No"/>
    <s v="No"/>
    <n v="7.5988302178317214E-3"/>
    <b v="0"/>
    <b v="0"/>
    <b v="0"/>
    <b v="0"/>
    <n v="3.2167556372163182E-2"/>
    <n v="1.0371194745959544"/>
    <n v="4.3759680966010999"/>
    <n v="7.4850773096418193"/>
    <n v="-3.2167556372163182E-2"/>
    <n v="-1.0371194745959544"/>
    <n v="-4.3759680966010999"/>
    <b v="0"/>
    <b v="0"/>
    <b v="0"/>
    <n v="0.29176962770147341"/>
    <n v="9.40699254503118"/>
    <n v="39.691376230359488"/>
    <n v="-0.29176962770147341"/>
    <n v="-9.40699254503118"/>
    <n v="-39.691376230359488"/>
  </r>
  <r>
    <s v="PRT"/>
    <s v="Portugal"/>
    <n v="346639.825141821"/>
    <n v="2.9589911045697637E-3"/>
    <s v="Portugal"/>
    <x v="1"/>
    <s v="No"/>
    <s v="No"/>
    <n v="1.4949514228066404E-3"/>
    <b v="0"/>
    <b v="0"/>
    <b v="0"/>
    <b v="0"/>
    <n v="6.3284654069426013E-3"/>
    <n v="0.20403709383180646"/>
    <n v="0.8609035265479269"/>
    <n v="1.472572310881251"/>
    <n v="-6.3284654069426013E-3"/>
    <n v="-0.20403709383180646"/>
    <n v="-0.8609035265479269"/>
    <b v="0"/>
    <b v="0"/>
    <b v="0"/>
    <n v="5.740112722093995E-2"/>
    <n v="1.8506791817147099"/>
    <n v="7.8086597104759283"/>
    <n v="-5.740112722093995E-2"/>
    <n v="-1.8506791817147099"/>
    <n v="-7.8086597104759283"/>
  </r>
  <r>
    <s v="PRI"/>
    <s v="Puerto Rico (US)"/>
    <n v="129368.484"/>
    <n v="1.104316831486574E-3"/>
    <s v="Rest of Americas"/>
    <x v="4"/>
    <s v="No"/>
    <s v="No"/>
    <s v="Outside G77 + China or CVF"/>
    <b v="0"/>
    <b v="0"/>
    <b v="0"/>
    <b v="0"/>
    <n v="0"/>
    <n v="0"/>
    <n v="0"/>
    <n v="0"/>
    <n v="0"/>
    <n v="0"/>
    <n v="0"/>
    <b v="0"/>
    <b v="0"/>
    <b v="0"/>
    <n v="0"/>
    <n v="0"/>
    <n v="0"/>
    <n v="0"/>
    <n v="0"/>
    <n v="0"/>
  </r>
  <r>
    <s v="QAT"/>
    <s v="Qatar"/>
    <n v="215559.615384615"/>
    <n v="1.8400626187905439E-3"/>
    <s v="Qatar"/>
    <x v="7"/>
    <s v="Yes"/>
    <s v="No"/>
    <n v="5.4381703332890908E-3"/>
    <b v="0"/>
    <b v="0"/>
    <b v="0"/>
    <b v="0"/>
    <n v="2.3020997409179938E-2"/>
    <n v="0.74222376301933424"/>
    <n v="3.1317004328524174"/>
    <n v="5.3567620542631911"/>
    <n v="-2.3020997409179938E-2"/>
    <n v="-0.74222376301933424"/>
    <n v="-3.1317004328524174"/>
    <n v="0.20516480171573778"/>
    <n v="6.6147521092134545"/>
    <n v="27.909941820463633"/>
    <n v="0.20880752537378161"/>
    <n v="6.7321977616783082"/>
    <n v="28.405485912402419"/>
    <n v="-3.6427236580438282E-3"/>
    <n v="-0.11744565246485372"/>
    <n v="-0.49554409193878612"/>
  </r>
  <r>
    <s v="ROU"/>
    <s v="Romania"/>
    <n v="428677.97785482602"/>
    <n v="3.6592861846685412E-3"/>
    <s v="Romania"/>
    <x v="1"/>
    <s v="No"/>
    <s v="No"/>
    <n v="2.3309718205842397E-3"/>
    <b v="0"/>
    <b v="0"/>
    <b v="0"/>
    <b v="0"/>
    <n v="9.8675276708528603E-3"/>
    <n v="0.31814058224242303"/>
    <n v="1.3423458648959519"/>
    <n v="2.2960776571539334"/>
    <n v="-9.8675276708528603E-3"/>
    <n v="-0.31814058224242303"/>
    <n v="-1.3423458648959519"/>
    <b v="0"/>
    <b v="0"/>
    <b v="0"/>
    <n v="8.9501510203310417E-2"/>
    <n v="2.8856329080044318"/>
    <n v="12.175489761051002"/>
    <n v="-8.9501510203310417E-2"/>
    <n v="-2.8856329080044318"/>
    <n v="-12.175489761051002"/>
  </r>
  <r>
    <s v="RUS"/>
    <s v="Russian Federation"/>
    <n v="2561310.1693587401"/>
    <n v="2.1863887117055371E-2"/>
    <s v="USSR/Russian Federation (1990/1991)"/>
    <x v="5"/>
    <s v="No"/>
    <s v="No"/>
    <n v="2.7044874542884713E-2"/>
    <b v="0"/>
    <b v="0"/>
    <b v="0"/>
    <b v="0"/>
    <n v="0.11448703306922479"/>
    <n v="3.6911952593189579"/>
    <n v="15.574437746815784"/>
    <n v="26.640018394939084"/>
    <n v="-0.11448703306922479"/>
    <n v="-3.6911952593189579"/>
    <n v="-15.574437746815784"/>
    <b v="0"/>
    <b v="0"/>
    <b v="0"/>
    <n v="1.0384325942818788"/>
    <n v="33.480276031067135"/>
    <n v="141.26493944627316"/>
    <n v="-1.0384325942818788"/>
    <n v="-33.480276031067135"/>
    <n v="-141.26493944627316"/>
  </r>
  <r>
    <s v="RWA"/>
    <s v="Rwanda"/>
    <n v="16372.132990227101"/>
    <n v="1.3975600138009192E-4"/>
    <s v="Rwanda"/>
    <x v="2"/>
    <s v="Yes"/>
    <s v="Yes"/>
    <s v=""/>
    <n v="1.558262855781367E-2"/>
    <n v="0.50240208972444356"/>
    <n v="2.1198093085238678"/>
    <n v="3.6259260135657034"/>
    <n v="0"/>
    <n v="0"/>
    <n v="0"/>
    <n v="0"/>
    <n v="1.558262855781367E-2"/>
    <n v="0.50240208972444356"/>
    <n v="2.1198093085238678"/>
    <n v="1.558262855781367E-2"/>
    <n v="0.50240208972444356"/>
    <n v="2.1198093085238678"/>
    <n v="0"/>
    <n v="0"/>
    <n v="0"/>
    <n v="1.558262855781367E-2"/>
    <n v="0.50240208972444356"/>
    <n v="2.1198093085238678"/>
  </r>
  <r>
    <s v="WSM"/>
    <s v="Samoa"/>
    <n v="1287.9366216461899"/>
    <n v="1.0994100303222559E-5"/>
    <s v="Rest of Asia-Pacific"/>
    <x v="8"/>
    <s v="Yes"/>
    <s v="Yes"/>
    <s v=""/>
    <n v="1.2258291569643297E-3"/>
    <n v="3.9522159423816795E-2"/>
    <n v="0.1667577487297521"/>
    <n v="0.28523851492279323"/>
    <n v="0"/>
    <n v="0"/>
    <n v="0"/>
    <n v="0"/>
    <n v="1.2258291569643297E-3"/>
    <n v="3.9522159423816795E-2"/>
    <n v="0.1667577487297521"/>
    <n v="1.2258291569643297E-3"/>
    <n v="3.9522159423816795E-2"/>
    <n v="0.1667577487297521"/>
    <n v="0"/>
    <n v="0"/>
    <n v="0"/>
    <n v="1.2258291569643297E-3"/>
    <n v="3.9522159423816795E-2"/>
    <n v="0.1667577487297521"/>
  </r>
  <r>
    <s v="SMR"/>
    <s v="San Marino"/>
    <n v="2027.2431935116001"/>
    <n v="1.7304978081921819E-5"/>
    <s v="Rest of Europe"/>
    <x v="1"/>
    <s v="No"/>
    <s v="No"/>
    <s v="Outside G77 + China or CVF"/>
    <b v="0"/>
    <b v="0"/>
    <b v="0"/>
    <b v="0"/>
    <n v="0"/>
    <n v="0"/>
    <n v="0"/>
    <n v="0"/>
    <n v="0"/>
    <n v="0"/>
    <n v="0"/>
    <b v="0"/>
    <b v="0"/>
    <b v="0"/>
    <n v="0"/>
    <n v="0"/>
    <n v="0"/>
    <n v="0"/>
    <n v="0"/>
    <n v="0"/>
  </r>
  <r>
    <s v="SAU"/>
    <s v="Saudi Arabia"/>
    <n v="1276942.9333333301"/>
    <n v="1.0900255846917357E-2"/>
    <s v="Saudi Arabia"/>
    <x v="7"/>
    <s v="Yes"/>
    <s v="No"/>
    <n v="9.7091966380408682E-3"/>
    <b v="0"/>
    <b v="0"/>
    <b v="0"/>
    <b v="0"/>
    <n v="4.1101211795690804E-2"/>
    <n v="1.325150928147339"/>
    <n v="5.591273066213728"/>
    <n v="9.5638519833895472"/>
    <n v="-4.1101211795690804E-2"/>
    <n v="-1.325150928147339"/>
    <n v="-5.591273066213728"/>
    <n v="1.2153656112820457"/>
    <n v="39.184802526859208"/>
    <n v="165.33432254365155"/>
    <n v="0.37280062945924292"/>
    <n v="12.019526397360925"/>
    <n v="50.714566006580007"/>
    <n v="0.84256498182280271"/>
    <n v="27.165276129498281"/>
    <n v="114.61975653707154"/>
  </r>
  <r>
    <s v="SEN"/>
    <s v="Senegal"/>
    <n v="37006.536238373097"/>
    <n v="3.1589564613784338E-4"/>
    <s v="Senegal"/>
    <x v="2"/>
    <s v="Yes"/>
    <s v="Yes"/>
    <s v=""/>
    <n v="3.5221990241470671E-2"/>
    <n v="1.1355979792443707"/>
    <n v="4.7914831892188889"/>
    <n v="8.1958143449467311"/>
    <n v="0"/>
    <n v="0"/>
    <n v="0"/>
    <n v="0"/>
    <n v="3.5221990241470671E-2"/>
    <n v="1.1355979792443707"/>
    <n v="4.7914831892188889"/>
    <n v="3.5221990241470671E-2"/>
    <n v="1.1355979792443707"/>
    <n v="4.7914831892188889"/>
    <n v="0"/>
    <n v="0"/>
    <n v="0"/>
    <n v="3.5221990241470671E-2"/>
    <n v="1.1355979792443707"/>
    <n v="4.7914831892188889"/>
  </r>
  <r>
    <s v="SRB"/>
    <s v="Serbia"/>
    <n v="99953.324472904205"/>
    <n v="8.5322278785045517E-4"/>
    <s v="Yugoslavia/Serbia (1991/1992)"/>
    <x v="1"/>
    <s v="No"/>
    <s v="No"/>
    <n v="4.8875068913151675E-4"/>
    <b v="0"/>
    <b v="0"/>
    <b v="0"/>
    <b v="0"/>
    <n v="2.0689915281536346E-3"/>
    <n v="6.6706696082114589E-2"/>
    <n v="0.28145877214264176"/>
    <n v="0.48143419295055678"/>
    <n v="-2.0689915281536346E-3"/>
    <n v="-6.6706696082114589E-2"/>
    <n v="-0.28145877214264176"/>
    <b v="0"/>
    <b v="0"/>
    <b v="0"/>
    <n v="1.8766389367682434E-2"/>
    <n v="0.60505024552988984"/>
    <n v="2.5529176108769462"/>
    <n v="-1.8766389367682434E-2"/>
    <n v="-0.60505024552988984"/>
    <n v="-2.5529176108769462"/>
  </r>
  <r>
    <s v="SYC"/>
    <s v="Seychelles"/>
    <n v="2387.0228534858302"/>
    <n v="2.0376133604901119E-5"/>
    <s v="Rest of Africa"/>
    <x v="2"/>
    <s v="Yes"/>
    <s v="No"/>
    <s v=""/>
    <b v="0"/>
    <b v="0"/>
    <b v="0"/>
    <b v="0"/>
    <n v="0"/>
    <n v="0"/>
    <n v="0"/>
    <n v="0"/>
    <n v="0"/>
    <n v="0"/>
    <n v="0"/>
    <n v="2.2719147533852408E-3"/>
    <n v="7.3249177155300535E-2"/>
    <n v="0.30906377730372186"/>
    <n v="0"/>
    <n v="0"/>
    <n v="0"/>
    <n v="2.2719147533852408E-3"/>
    <n v="7.3249177155300535E-2"/>
    <n v="0.30906377730372186"/>
  </r>
  <r>
    <s v="SLE"/>
    <s v="Sierra Leone"/>
    <n v="7464.1579044350901"/>
    <n v="6.3715635770619563E-5"/>
    <s v="Sierra Leone"/>
    <x v="2"/>
    <s v="Yes"/>
    <s v="Yes"/>
    <s v=""/>
    <n v="7.104217892140852E-3"/>
    <n v="0.22904825727105191"/>
    <n v="0.96643433177328686"/>
    <n v="1.6530823644792445"/>
    <n v="0"/>
    <n v="0"/>
    <n v="0"/>
    <n v="0"/>
    <n v="7.104217892140852E-3"/>
    <n v="0.22904825727105191"/>
    <n v="0.96643433177328686"/>
    <n v="7.104217892140852E-3"/>
    <n v="0.22904825727105191"/>
    <n v="0.96643433177328686"/>
    <n v="0"/>
    <n v="0"/>
    <n v="0"/>
    <n v="7.104217892140852E-3"/>
    <n v="0.22904825727105191"/>
    <n v="0.96643433177328686"/>
  </r>
  <r>
    <s v="SGP"/>
    <s v="Singapore"/>
    <n v="603869.51699873805"/>
    <n v="5.1547583385407394E-3"/>
    <s v="Singapore"/>
    <x v="8"/>
    <s v="Yes"/>
    <s v="No"/>
    <s v=""/>
    <b v="0"/>
    <b v="0"/>
    <b v="0"/>
    <b v="0"/>
    <n v="0"/>
    <n v="0"/>
    <n v="0"/>
    <n v="0"/>
    <n v="0"/>
    <n v="0"/>
    <n v="0"/>
    <n v="0.57474944690436192"/>
    <n v="18.530591428872096"/>
    <n v="78.18701595154711"/>
    <n v="0"/>
    <n v="0"/>
    <n v="0"/>
    <n v="0.57474944690436192"/>
    <n v="18.530591428872096"/>
    <n v="78.18701595154711"/>
  </r>
  <r>
    <s v="SXM"/>
    <s v="Sint Maarten (Dutch part)"/>
    <n v="1887.72848044693"/>
    <n v="1.6114050886103903E-5"/>
    <s v="Rest of Americas"/>
    <x v="4"/>
    <s v="No"/>
    <s v="No"/>
    <s v=""/>
    <b v="0"/>
    <b v="0"/>
    <b v="0"/>
    <b v="0"/>
    <n v="0"/>
    <n v="0"/>
    <n v="0"/>
    <n v="0"/>
    <n v="0"/>
    <n v="0"/>
    <n v="0"/>
    <b v="0"/>
    <b v="0"/>
    <b v="0"/>
    <n v="0"/>
    <n v="0"/>
    <n v="0"/>
    <n v="0"/>
    <n v="0"/>
    <n v="0"/>
  </r>
  <r>
    <s v="SVK"/>
    <s v="Slovak Republic"/>
    <n v="154530.066506895"/>
    <n v="1.3191014390669046E-3"/>
    <s v="Slovakia"/>
    <x v="1"/>
    <s v="No"/>
    <s v="No"/>
    <n v="1.122019615934527E-3"/>
    <b v="0"/>
    <b v="0"/>
    <b v="0"/>
    <b v="0"/>
    <n v="4.7497612410855507E-3"/>
    <n v="0.15313783321986324"/>
    <n v="0.64614182740499826"/>
    <n v="1.1052232156071238"/>
    <n v="-4.7497612410855507E-3"/>
    <n v="-0.15313783321986324"/>
    <n v="-0.64614182740499826"/>
    <b v="0"/>
    <b v="0"/>
    <b v="0"/>
    <n v="4.3081794990858541E-2"/>
    <n v="1.3890072366278765"/>
    <n v="5.8607050608124274"/>
    <n v="-4.3081794990858541E-2"/>
    <n v="-1.3890072366278765"/>
    <n v="-5.8607050608124274"/>
  </r>
  <r>
    <s v="SVN"/>
    <s v="Slovenia"/>
    <n v="79648.204979361806"/>
    <n v="6.7989397909619159E-4"/>
    <s v="Slovenia"/>
    <x v="1"/>
    <s v="No"/>
    <s v="No"/>
    <n v="5.7927302880082083E-4"/>
    <b v="0"/>
    <b v="0"/>
    <b v="0"/>
    <b v="0"/>
    <n v="2.4521929395260457E-3"/>
    <n v="7.9061555799432234E-2"/>
    <n v="0.33358822615952516"/>
    <n v="0.57060143201906399"/>
    <n v="-2.4521929395260457E-3"/>
    <n v="-7.9061555799432234E-2"/>
    <n v="-0.33358822615952516"/>
    <b v="0"/>
    <b v="0"/>
    <b v="0"/>
    <n v="2.2242144001862901E-2"/>
    <n v="0.71711262224014438"/>
    <n v="3.02574778842656"/>
    <n v="-2.2242144001862901E-2"/>
    <n v="-0.71711262224014438"/>
    <n v="-3.02574778842656"/>
  </r>
  <r>
    <s v="SLB"/>
    <s v="Solomon Islands"/>
    <n v="1749.5724429501599"/>
    <n v="1.4934721633245276E-5"/>
    <s v="Rest of Asia-Pacific"/>
    <x v="8"/>
    <s v="Yes"/>
    <s v="Yes"/>
    <s v=""/>
    <n v="1.6652037660427545E-3"/>
    <n v="5.3688108445438885E-2"/>
    <n v="0.22652881898262345"/>
    <n v="0.38747671041381432"/>
    <n v="0"/>
    <n v="0"/>
    <n v="0"/>
    <n v="0"/>
    <n v="1.6652037660427545E-3"/>
    <n v="5.3688108445438885E-2"/>
    <n v="0.22652881898262345"/>
    <n v="1.6652037660427545E-3"/>
    <n v="5.3688108445438885E-2"/>
    <n v="0.22652881898262345"/>
    <n v="0"/>
    <n v="0"/>
    <n v="0"/>
    <n v="1.6652037660427545E-3"/>
    <n v="5.3688108445438885E-2"/>
    <n v="0.22652881898262345"/>
  </r>
  <r>
    <s v="SOM"/>
    <s v="Somalia, Fed. Rep."/>
    <n v="12995.200000265801"/>
    <n v="1.1092978479076754E-4"/>
    <s v="Somalia"/>
    <x v="2"/>
    <s v="Yes"/>
    <s v="No"/>
    <s v=""/>
    <b v="0"/>
    <b v="0"/>
    <b v="0"/>
    <b v="0"/>
    <n v="0"/>
    <n v="0"/>
    <n v="0"/>
    <n v="0"/>
    <n v="0"/>
    <n v="0"/>
    <n v="0"/>
    <n v="1.2368539564119015E-2"/>
    <n v="0.39877611795713042"/>
    <n v="1.6825752602386292"/>
    <n v="0"/>
    <n v="0"/>
    <n v="0"/>
    <n v="1.2368539564119015E-2"/>
    <n v="0.39877611795713042"/>
    <n v="1.6825752602386292"/>
  </r>
  <r>
    <s v="ZAF"/>
    <s v="South Africa"/>
    <n v="427184.32599730702"/>
    <n v="3.6465360554590234E-3"/>
    <s v="South Africa"/>
    <x v="2"/>
    <s v="Yes"/>
    <s v="No"/>
    <n v="3.2381375865885016E-3"/>
    <b v="0"/>
    <b v="0"/>
    <b v="0"/>
    <b v="0"/>
    <n v="1.3707764270475873E-2"/>
    <n v="0.4419542819355633"/>
    <n v="1.864758964881766"/>
    <n v="3.1896633402855517"/>
    <n v="-1.3707764270475873E-2"/>
    <n v="-0.4419542819355633"/>
    <n v="-1.864758964881766"/>
    <n v="0.40658444942449035"/>
    <n v="13.10875609223829"/>
    <n v="55.310405262718611"/>
    <n v="0.12433363702060246"/>
    <n v="4.008661236481105"/>
    <n v="16.913937218040203"/>
    <n v="0.28225081240388789"/>
    <n v="9.1000948557571846"/>
    <n v="38.396468044678407"/>
  </r>
  <r>
    <s v="SSD"/>
    <s v="South Sudan"/>
    <n v="0"/>
    <n v="0"/>
    <s v="South Sudan"/>
    <x v="2"/>
    <s v="Yes"/>
    <s v="Yes"/>
    <s v=""/>
    <n v="0"/>
    <n v="0"/>
    <n v="0"/>
    <n v="0"/>
    <n v="0"/>
    <n v="0"/>
    <n v="0"/>
    <n v="0"/>
    <n v="0"/>
    <n v="0"/>
    <n v="0"/>
    <n v="0"/>
    <n v="0"/>
    <n v="0"/>
    <n v="0"/>
    <n v="0"/>
    <n v="0"/>
    <n v="0"/>
    <n v="0"/>
    <n v="0"/>
  </r>
  <r>
    <s v="ESP"/>
    <s v="Spain"/>
    <n v="1906453.30998588"/>
    <n v="1.6273890004467381E-2"/>
    <s v="Spain"/>
    <x v="1"/>
    <s v="No"/>
    <s v="No"/>
    <n v="9.3551966142338856E-3"/>
    <b v="0"/>
    <b v="0"/>
    <b v="0"/>
    <b v="0"/>
    <n v="3.9602650123022255E-2"/>
    <n v="1.2768355548368382"/>
    <n v="5.3874136870766307"/>
    <n v="9.2151512663249164"/>
    <n v="-3.9602650123022255E-2"/>
    <n v="-1.2768355548368382"/>
    <n v="-5.3874136870766307"/>
    <b v="0"/>
    <b v="0"/>
    <b v="0"/>
    <n v="0.35920821428590477"/>
    <n v="11.581291104634071"/>
    <n v="48.865498751792934"/>
    <n v="-0.35920821428590477"/>
    <n v="-11.581291104634071"/>
    <n v="-48.865498751792934"/>
  </r>
  <r>
    <s v="LKA"/>
    <s v="Sri Lanka"/>
    <n v="108825.231671196"/>
    <n v="9.2895527031860037E-4"/>
    <s v="Sri Lanka"/>
    <x v="0"/>
    <s v="Yes"/>
    <s v="Yes"/>
    <s v=""/>
    <n v="0.10357741192687105"/>
    <n v="3.3394563701010576"/>
    <n v="14.090328928831148"/>
    <n v="24.101455728733995"/>
    <n v="0"/>
    <n v="0"/>
    <n v="0"/>
    <n v="0"/>
    <n v="0.10357741192687105"/>
    <n v="3.3394563701010576"/>
    <n v="14.090328928831148"/>
    <n v="0.10357741192687105"/>
    <n v="3.3394563701010576"/>
    <n v="14.090328928831148"/>
    <n v="0"/>
    <n v="0"/>
    <n v="0"/>
    <n v="0.10357741192687105"/>
    <n v="3.3394563701010576"/>
    <n v="14.090328928831148"/>
  </r>
  <r>
    <s v="KNA"/>
    <s v="St. Kitts and Nevis"/>
    <n v="1183.5148148148101"/>
    <n v="1.0102733601745773E-5"/>
    <s v="Rest of Americas"/>
    <x v="4"/>
    <s v="No"/>
    <s v="No"/>
    <s v="Outside G77 + China or CVF"/>
    <b v="0"/>
    <b v="0"/>
    <b v="0"/>
    <b v="0"/>
    <n v="0"/>
    <n v="0"/>
    <n v="0"/>
    <n v="0"/>
    <n v="0"/>
    <n v="0"/>
    <n v="0"/>
    <b v="0"/>
    <b v="0"/>
    <b v="0"/>
    <n v="0"/>
    <n v="0"/>
    <n v="0"/>
    <n v="0"/>
    <n v="0"/>
    <n v="0"/>
  </r>
  <r>
    <s v="LCA"/>
    <s v="St. Lucia"/>
    <n v="2656.4444444444398"/>
    <n v="2.2675973476731753E-5"/>
    <s v="Rest of Americas"/>
    <x v="4"/>
    <s v="No"/>
    <s v="No"/>
    <s v="Outside G77 + China or CVF"/>
    <b v="0"/>
    <b v="0"/>
    <b v="0"/>
    <b v="0"/>
    <n v="0"/>
    <n v="0"/>
    <n v="0"/>
    <n v="0"/>
    <n v="0"/>
    <n v="0"/>
    <n v="0"/>
    <b v="0"/>
    <b v="0"/>
    <b v="0"/>
    <n v="0"/>
    <n v="0"/>
    <n v="0"/>
    <n v="0"/>
    <n v="0"/>
    <n v="0"/>
  </r>
  <r>
    <s v="MAF"/>
    <s v="St. Martin (French part)"/>
    <n v="0"/>
    <n v="0"/>
    <s v="Not in MINDSET country list"/>
    <x v="3"/>
    <s v="No"/>
    <s v="No"/>
    <s v="Not in MINDSET country list"/>
    <b v="0"/>
    <b v="0"/>
    <b v="0"/>
    <b v="0"/>
    <n v="0"/>
    <n v="0"/>
    <n v="0"/>
    <n v="0"/>
    <n v="0"/>
    <n v="0"/>
    <n v="0"/>
    <b v="0"/>
    <b v="0"/>
    <b v="0"/>
    <n v="0"/>
    <n v="0"/>
    <n v="0"/>
    <n v="0"/>
    <n v="0"/>
    <n v="0"/>
  </r>
  <r>
    <s v="VCT"/>
    <s v="St. Vincent and the Grenadines"/>
    <n v="1255.2222222222199"/>
    <n v="1.0714843247726224E-5"/>
    <s v="Rest of Americas"/>
    <x v="4"/>
    <s v="No"/>
    <s v="No"/>
    <s v="Outside G77 + China or CVF"/>
    <b v="0"/>
    <b v="0"/>
    <b v="0"/>
    <b v="0"/>
    <n v="0"/>
    <n v="0"/>
    <n v="0"/>
    <n v="0"/>
    <n v="0"/>
    <n v="0"/>
    <n v="0"/>
    <b v="0"/>
    <b v="0"/>
    <b v="0"/>
    <n v="0"/>
    <n v="0"/>
    <n v="0"/>
    <n v="0"/>
    <n v="0"/>
    <n v="0"/>
  </r>
  <r>
    <s v="SDN"/>
    <s v="Sudan"/>
    <n v="60162.634574468902"/>
    <n v="5.1356101527140182E-4"/>
    <s v="Sudan/North Sudan (2010/2011)"/>
    <x v="2"/>
    <s v="Yes"/>
    <s v="Yes"/>
    <s v=""/>
    <n v="5.7261444687325559E-2"/>
    <n v="1.8461756541791914"/>
    <n v="7.789657760073573"/>
    <n v="13.324180904127154"/>
    <n v="0"/>
    <n v="0"/>
    <n v="0"/>
    <n v="0"/>
    <n v="5.7261444687325559E-2"/>
    <n v="1.8461756541791914"/>
    <n v="7.789657760073573"/>
    <n v="5.7261444687325559E-2"/>
    <n v="1.8461756541791914"/>
    <n v="7.789657760073573"/>
    <n v="0"/>
    <n v="0"/>
    <n v="0"/>
    <n v="5.7261444687325559E-2"/>
    <n v="1.8461756541791914"/>
    <n v="7.789657760073573"/>
  </r>
  <r>
    <s v="SUR"/>
    <s v="Suriname"/>
    <n v="4523.6577968642096"/>
    <n v="3.8614902876674507E-5"/>
    <s v="Rest of Americas"/>
    <x v="4"/>
    <s v="Yes"/>
    <s v="Yes"/>
    <s v=""/>
    <n v="4.3055159161772055E-3"/>
    <n v="0.13881484664823299"/>
    <n v="0.58570816106205525"/>
    <n v="1.0018516519448166"/>
    <n v="0"/>
    <n v="0"/>
    <n v="0"/>
    <n v="0"/>
    <n v="4.3055159161772055E-3"/>
    <n v="0.13881484664823299"/>
    <n v="0.58570816106205525"/>
    <n v="4.3055159161772055E-3"/>
    <n v="0.13881484664823299"/>
    <n v="0.58570816106205525"/>
    <n v="0"/>
    <n v="0"/>
    <n v="0"/>
    <n v="4.3055159161772055E-3"/>
    <n v="0.13881484664823299"/>
    <n v="0.58570816106205525"/>
  </r>
  <r>
    <s v="SWE"/>
    <s v="Sweden"/>
    <n v="668998.66408208106"/>
    <n v="5.7107145584845429E-3"/>
    <s v="Sweden"/>
    <x v="1"/>
    <s v="No"/>
    <s v="No"/>
    <n v="4.7067729535080309E-3"/>
    <b v="0"/>
    <b v="0"/>
    <b v="0"/>
    <b v="0"/>
    <n v="1.9924827897542519E-2"/>
    <n v="0.642399652663591"/>
    <n v="2.7105077613345085"/>
    <n v="4.6363135411639176"/>
    <n v="-1.9924827897542519E-2"/>
    <n v="-0.642399652663591"/>
    <n v="-2.7105077613345085"/>
    <b v="0"/>
    <b v="0"/>
    <b v="0"/>
    <n v="0.18072431584242757"/>
    <n v="5.8267623852028212"/>
    <n v="24.585138866528723"/>
    <n v="-0.18072431584242757"/>
    <n v="-5.8267623852028212"/>
    <n v="-24.585138866528723"/>
  </r>
  <r>
    <s v="CHE"/>
    <s v="Switzerland"/>
    <n v="1043529.89925092"/>
    <n v="8.9077926576172899E-3"/>
    <s v="Switzerland"/>
    <x v="1"/>
    <s v="No"/>
    <s v="No"/>
    <n v="4.4831444075847712E-3"/>
    <b v="0"/>
    <b v="0"/>
    <b v="0"/>
    <b v="0"/>
    <n v="1.8978157995571215E-2"/>
    <n v="0.61187791268467517"/>
    <n v="2.5817259153928691"/>
    <n v="4.4160326680697404"/>
    <n v="-1.8978157995571215E-2"/>
    <n v="-0.61187791268467517"/>
    <n v="-2.5817259153928691"/>
    <b v="0"/>
    <b v="0"/>
    <b v="0"/>
    <n v="0.17213772873401478"/>
    <n v="5.5499208182706239"/>
    <n v="23.417047923891364"/>
    <n v="-0.17213772873401478"/>
    <n v="-5.5499208182706239"/>
    <n v="-23.417047923891364"/>
  </r>
  <r>
    <s v="SYR"/>
    <s v="Syrian Arab Republic"/>
    <n v="0"/>
    <n v="0"/>
    <s v="Syria"/>
    <x v="7"/>
    <s v="Yes"/>
    <s v="No"/>
    <s v=""/>
    <b v="0"/>
    <b v="0"/>
    <b v="0"/>
    <b v="0"/>
    <n v="0"/>
    <n v="0"/>
    <n v="0"/>
    <n v="0"/>
    <n v="0"/>
    <n v="0"/>
    <n v="0"/>
    <n v="0"/>
    <n v="0"/>
    <n v="0"/>
    <n v="0"/>
    <n v="0"/>
    <n v="0"/>
    <n v="0"/>
    <n v="0"/>
    <n v="0"/>
  </r>
  <r>
    <s v="STP"/>
    <s v="São Tomé and Principe"/>
    <n v="981.293586906408"/>
    <n v="8.3765302888652509E-6"/>
    <s v="Rest of Africa"/>
    <x v="2"/>
    <s v="No"/>
    <s v="No"/>
    <s v="Outside G77 + China or CVF"/>
    <b v="0"/>
    <b v="0"/>
    <b v="0"/>
    <b v="0"/>
    <n v="0"/>
    <n v="0"/>
    <n v="0"/>
    <n v="0"/>
    <n v="0"/>
    <n v="0"/>
    <n v="0"/>
    <b v="0"/>
    <b v="0"/>
    <b v="0"/>
    <n v="0"/>
    <n v="0"/>
    <n v="0"/>
    <n v="0"/>
    <n v="0"/>
    <n v="0"/>
  </r>
  <r>
    <s v="TJK"/>
    <s v="Tajikistan"/>
    <n v="17660.626562483201"/>
    <n v="1.5075485593190591E-4"/>
    <s v="Tajikistan"/>
    <x v="5"/>
    <s v="Yes"/>
    <s v="No"/>
    <s v=""/>
    <b v="0"/>
    <b v="0"/>
    <b v="0"/>
    <b v="0"/>
    <n v="0"/>
    <n v="0"/>
    <n v="0"/>
    <n v="0"/>
    <n v="0"/>
    <n v="0"/>
    <n v="0"/>
    <n v="1.680898780786266E-2"/>
    <n v="0.54194133996657101"/>
    <n v="2.2866391693655839"/>
    <n v="0"/>
    <n v="0"/>
    <n v="0"/>
    <n v="1.680898780786266E-2"/>
    <n v="0.54194133996657101"/>
    <n v="2.2866391693655839"/>
  </r>
  <r>
    <s v="TZA"/>
    <s v="Tanzania"/>
    <n v="90143.496090441098"/>
    <n v="7.6948401112683889E-4"/>
    <s v="Tanzania"/>
    <x v="2"/>
    <s v="Yes"/>
    <s v="No"/>
    <s v=""/>
    <b v="0"/>
    <b v="0"/>
    <b v="0"/>
    <b v="0"/>
    <n v="0"/>
    <n v="0"/>
    <n v="0"/>
    <n v="0"/>
    <n v="0"/>
    <n v="0"/>
    <n v="0"/>
    <n v="8.57965554835496E-2"/>
    <n v="2.766180853645547"/>
    <n v="11.67147996106959"/>
    <n v="0"/>
    <n v="0"/>
    <n v="0"/>
    <n v="8.57965554835496E-2"/>
    <n v="2.766180853645547"/>
    <n v="11.67147996106959"/>
  </r>
  <r>
    <s v="THA"/>
    <s v="Thailand"/>
    <n v="577009.98111201497"/>
    <n v="4.9254796406035667E-3"/>
    <s v="Thailand"/>
    <x v="8"/>
    <s v="Yes"/>
    <s v="No"/>
    <n v="2.5759203537115043E-3"/>
    <b v="0"/>
    <b v="0"/>
    <b v="0"/>
    <b v="0"/>
    <n v="1.0904449870951483E-2"/>
    <n v="0.35157216140626008"/>
    <n v="1.483405335307439"/>
    <n v="2.5373593616771468"/>
    <n v="-1.0904449870951483E-2"/>
    <n v="-0.35157216140626008"/>
    <n v="-1.483405335307439"/>
    <n v="0.54918514375535199"/>
    <n v="17.706368527276233"/>
    <n v="74.709332608192057"/>
    <n v="9.8906713407989608E-2"/>
    <n v="3.1888676111087735"/>
    <n v="13.45494253295451"/>
    <n v="0.45027843034736237"/>
    <n v="14.51750091616746"/>
    <n v="61.254390075237545"/>
  </r>
  <r>
    <s v="TLS"/>
    <s v="Timor-Leste"/>
    <n v="1902.18025782737"/>
    <n v="1.6237414324498349E-5"/>
    <s v="Rest of Asia-Pacific"/>
    <x v="8"/>
    <s v="Yes"/>
    <s v="Yes"/>
    <s v=""/>
    <n v="1.8104524575645407E-3"/>
    <n v="5.837109539334346E-2"/>
    <n v="0.24628797111773632"/>
    <n v="0.42127466735485547"/>
    <n v="0"/>
    <n v="0"/>
    <n v="0"/>
    <n v="0"/>
    <n v="1.8104524575645407E-3"/>
    <n v="5.837109539334346E-2"/>
    <n v="0.24628797111773632"/>
    <n v="1.8104524575645407E-3"/>
    <n v="5.837109539334346E-2"/>
    <n v="0.24628797111773632"/>
    <n v="0"/>
    <n v="0"/>
    <n v="0"/>
    <n v="1.8104524575645407E-3"/>
    <n v="5.837109539334346E-2"/>
    <n v="0.24628797111773632"/>
  </r>
  <r>
    <s v="TGO"/>
    <s v="Togo"/>
    <n v="11889.949067469701"/>
    <n v="1.0149512829357176E-4"/>
    <s v="Togo"/>
    <x v="2"/>
    <s v="Yes"/>
    <s v="Yes"/>
    <s v=""/>
    <n v="1.131658654375085E-2"/>
    <n v="0.36485992764532982"/>
    <n v="1.5394710466951402"/>
    <n v="2.6332595544785908"/>
    <n v="0"/>
    <n v="0"/>
    <n v="0"/>
    <n v="0"/>
    <n v="1.131658654375085E-2"/>
    <n v="0.36485992764532982"/>
    <n v="1.5394710466951402"/>
    <n v="1.131658654375085E-2"/>
    <n v="0.36485992764532982"/>
    <n v="1.5394710466951402"/>
    <n v="0"/>
    <n v="0"/>
    <n v="0"/>
    <n v="1.131658654375085E-2"/>
    <n v="0.36485992764532982"/>
    <n v="1.5394710466951402"/>
  </r>
  <r>
    <s v="TON"/>
    <s v="Tonga"/>
    <n v="679.21821857801694"/>
    <n v="5.7979508442568663E-6"/>
    <s v="Rest of Asia-Pacific"/>
    <x v="8"/>
    <s v="Yes"/>
    <s v="Yes"/>
    <s v=""/>
    <n v="6.4646464917668129E-4"/>
    <n v="2.0842773058110626E-2"/>
    <n v="8.7942915142464134E-2"/>
    <n v="0.15042603239907015"/>
    <n v="0"/>
    <n v="0"/>
    <n v="0"/>
    <n v="0"/>
    <n v="6.4646464917668129E-4"/>
    <n v="2.0842773058110626E-2"/>
    <n v="8.7942915142464134E-2"/>
    <n v="6.4646464917668129E-4"/>
    <n v="2.0842773058110626E-2"/>
    <n v="8.7942915142464134E-2"/>
    <n v="0"/>
    <n v="0"/>
    <n v="0"/>
    <n v="6.4646464917668129E-4"/>
    <n v="2.0842773058110626E-2"/>
    <n v="8.7942915142464134E-2"/>
  </r>
  <r>
    <s v="TTO"/>
    <s v="Trinidad and Tobago"/>
    <n v="25942.749718468502"/>
    <n v="2.2145281666242873E-4"/>
    <s v="Rest of Americas"/>
    <x v="4"/>
    <s v="Yes"/>
    <s v="Yes"/>
    <s v=""/>
    <n v="2.469172665971682E-2"/>
    <n v="0.79609001951895364"/>
    <n v="3.3589809204910237"/>
    <n v="5.7455244911441712"/>
    <n v="0"/>
    <n v="0"/>
    <n v="0"/>
    <n v="0"/>
    <n v="2.469172665971682E-2"/>
    <n v="0.79609001951895364"/>
    <n v="3.3589809204910237"/>
    <n v="2.469172665971682E-2"/>
    <n v="0.79609001951895364"/>
    <n v="3.3589809204910237"/>
    <n v="0"/>
    <n v="0"/>
    <n v="0"/>
    <n v="2.469172665971682E-2"/>
    <n v="0.79609001951895364"/>
    <n v="3.3589809204910237"/>
  </r>
  <r>
    <s v="TUN"/>
    <s v="Tunisia"/>
    <n v="57502.836548087798"/>
    <n v="4.9085641490762683E-4"/>
    <s v="Tunisia"/>
    <x v="2"/>
    <s v="Yes"/>
    <s v="Yes"/>
    <s v=""/>
    <n v="5.4729908649312486E-2"/>
    <n v="1.7645559844943384"/>
    <n v="7.4452759609224355"/>
    <n v="12.735117105265834"/>
    <n v="0"/>
    <n v="0"/>
    <n v="0"/>
    <n v="0"/>
    <n v="5.4729908649312486E-2"/>
    <n v="1.7645559844943384"/>
    <n v="7.4452759609224355"/>
    <n v="5.4729908649312486E-2"/>
    <n v="1.7645559844943384"/>
    <n v="7.4452759609224355"/>
    <n v="0"/>
    <n v="0"/>
    <n v="0"/>
    <n v="5.4729908649312486E-2"/>
    <n v="1.7645559844943384"/>
    <n v="7.4452759609224355"/>
  </r>
  <r>
    <s v="TKM"/>
    <s v="Turkmenistan"/>
    <n v="49828.621355651601"/>
    <n v="4.253476855523592E-4"/>
    <s v="Turkmenistan"/>
    <x v="5"/>
    <s v="Yes"/>
    <s v="No"/>
    <n v="6.2659941967031557E-4"/>
    <b v="0"/>
    <b v="0"/>
    <b v="0"/>
    <b v="0"/>
    <n v="2.6525361900717726E-3"/>
    <n v="8.5520855484522276E-2"/>
    <n v="0.36084226008782588"/>
    <n v="0.61721935665872985"/>
    <n v="-2.6525361900717726E-3"/>
    <n v="-8.5520855484522276E-2"/>
    <n v="-0.36084226008782588"/>
    <n v="4.7425762947109443E-2"/>
    <n v="1.5290618218231409"/>
    <n v="6.4516441103717348"/>
    <n v="2.4059318889129568E-2"/>
    <n v="0.7757004565949438"/>
    <n v="3.2729502566720172"/>
    <n v="2.3366444057979874E-2"/>
    <n v="0.75336136522819708"/>
    <n v="3.1786938536997176"/>
  </r>
  <r>
    <s v="TCA"/>
    <s v="Turks and Caicos Islands"/>
    <n v="1745.3779999999999"/>
    <n v="1.4898916978159637E-5"/>
    <s v="Rest of Americas"/>
    <x v="4"/>
    <s v="No"/>
    <s v="No"/>
    <n v="3.6227941436559083E-6"/>
    <b v="0"/>
    <b v="0"/>
    <b v="0"/>
    <b v="0"/>
    <n v="1.5336101939391272E-5"/>
    <n v="4.9445378448129476E-4"/>
    <n v="2.0862726418060672E-3"/>
    <n v="3.5685616686827017E-3"/>
    <n v="-1.5336101939391272E-5"/>
    <n v="-4.9445378448129476E-4"/>
    <n v="-2.0862726418060672E-3"/>
    <b v="0"/>
    <b v="0"/>
    <b v="0"/>
    <n v="1.3910316038554378E-4"/>
    <n v="4.4848478679759404E-3"/>
    <n v="1.8923134382389229E-2"/>
    <n v="-1.3910316038554378E-4"/>
    <n v="-4.4848478679759404E-3"/>
    <n v="-1.8923134382389229E-2"/>
  </r>
  <r>
    <s v="TUV"/>
    <s v="Tuvalu"/>
    <n v="57.3454347234984"/>
    <n v="4.8951279953217903E-7"/>
    <s v="Rest of Asia-Pacific"/>
    <x v="8"/>
    <s v="No"/>
    <s v="Yes"/>
    <s v=""/>
    <n v="5.4580097126992033E-5"/>
    <n v="1.7597258865683471E-3"/>
    <n v="7.4248960963597425E-3"/>
    <n v="1.2700257422003911E-2"/>
    <n v="0"/>
    <n v="0"/>
    <n v="0"/>
    <n v="0"/>
    <n v="5.4580097126992033E-5"/>
    <n v="1.7597258865683471E-3"/>
    <n v="7.4248960963597425E-3"/>
    <b v="0"/>
    <b v="0"/>
    <b v="0"/>
    <n v="0"/>
    <n v="0"/>
    <n v="0"/>
    <n v="0"/>
    <n v="0"/>
    <n v="0"/>
  </r>
  <r>
    <s v="TUR"/>
    <s v="Türkiye"/>
    <n v="1597293.2292869999"/>
    <n v="1.3634833951684688E-2"/>
    <s v="Turkey"/>
    <x v="1"/>
    <s v="No"/>
    <s v="No"/>
    <n v="3.2730978439065896E-3"/>
    <b v="0"/>
    <b v="0"/>
    <b v="0"/>
    <b v="0"/>
    <n v="1.3855758898047091E-2"/>
    <n v="0.44672580105917659"/>
    <n v="1.8848916650852681"/>
    <n v="3.224100249821547"/>
    <n v="-1.3855758898047091E-2"/>
    <n v="-0.44672580105917659"/>
    <n v="-1.8848916650852681"/>
    <b v="0"/>
    <b v="0"/>
    <b v="0"/>
    <n v="0.1256759938004802"/>
    <n v="4.0519403821569595"/>
    <n v="17.096546999617658"/>
    <n v="-0.1256759938004802"/>
    <n v="-4.0519403821569595"/>
    <n v="-17.096546999617658"/>
  </r>
  <r>
    <s v="UGA"/>
    <s v="Uganda"/>
    <n v="61985.829288149587"/>
    <n v="5.2912419223028872E-4"/>
    <s v="Uganda"/>
    <x v="2"/>
    <s v="Yes"/>
    <s v="Yes"/>
    <s v=""/>
    <n v="5.8996720477524314E-2"/>
    <n v="1.9021229662780184"/>
    <n v="8.0257189457247531"/>
    <n v="13.727962692613506"/>
    <n v="0"/>
    <n v="0"/>
    <n v="0"/>
    <n v="0"/>
    <n v="5.8996720477524314E-2"/>
    <n v="1.9021229662780184"/>
    <n v="8.0257189457247531"/>
    <n v="5.8996720477524314E-2"/>
    <n v="1.9021229662780184"/>
    <n v="8.0257189457247531"/>
    <n v="0"/>
    <n v="0"/>
    <n v="0"/>
    <n v="5.8996720477524314E-2"/>
    <n v="1.9021229662780184"/>
    <n v="8.0257189457247531"/>
  </r>
  <r>
    <s v="UKR"/>
    <s v="Ukraine"/>
    <n v="214233.31278439701"/>
    <n v="1.8287410183529509E-3"/>
    <s v="Ukraine"/>
    <x v="5"/>
    <s v="No"/>
    <s v="No"/>
    <s v=""/>
    <b v="0"/>
    <b v="0"/>
    <b v="0"/>
    <b v="0"/>
    <n v="0"/>
    <n v="0"/>
    <n v="0"/>
    <n v="0"/>
    <n v="0"/>
    <n v="0"/>
    <n v="0"/>
    <b v="0"/>
    <b v="0"/>
    <b v="0"/>
    <n v="0"/>
    <n v="0"/>
    <n v="0"/>
    <n v="0"/>
    <n v="0"/>
    <n v="0"/>
  </r>
  <r>
    <s v="ARE"/>
    <s v="United Arab Emirates"/>
    <n v="552324.91909587197"/>
    <n v="4.7147627130502022E-3"/>
    <s v="United Arab Emirates"/>
    <x v="7"/>
    <s v="Yes"/>
    <s v="No"/>
    <n v="6.0987690089690178E-3"/>
    <b v="0"/>
    <b v="0"/>
    <b v="0"/>
    <b v="0"/>
    <n v="2.58174600922709E-2"/>
    <n v="0.83238497623241803"/>
    <n v="3.5121219775592234"/>
    <n v="6.0074717051391877"/>
    <n v="-2.58174600922709E-2"/>
    <n v="-0.83238497623241803"/>
    <n v="-3.5121219775592234"/>
    <n v="0.52569045601040376"/>
    <n v="16.948872436248227"/>
    <n v="71.513192906997091"/>
    <n v="0.23417230181146553"/>
    <n v="7.5499876897643361"/>
    <n v="31.856026301127006"/>
    <n v="0.29151815419893823"/>
    <n v="9.3988847464838905"/>
    <n v="39.657166605870088"/>
  </r>
  <r>
    <s v="GBR"/>
    <s v="United Kingdom"/>
    <n v="4002587.5418460099"/>
    <n v="3.4166936608448009E-2"/>
    <s v="United Kingdom"/>
    <x v="1"/>
    <s v="No"/>
    <s v="No"/>
    <n v="2.9424545506581197E-2"/>
    <b v="0"/>
    <b v="0"/>
    <b v="0"/>
    <b v="0"/>
    <n v="0.1245607151594333"/>
    <n v="4.0159825000956539"/>
    <n v="16.944828177846521"/>
    <n v="28.984066179159822"/>
    <n v="-0.1245607151594333"/>
    <n v="-4.0159825000956539"/>
    <n v="-16.944828177846521"/>
    <b v="0"/>
    <b v="0"/>
    <b v="0"/>
    <n v="1.1298039884604749"/>
    <n v="36.426196175800619"/>
    <n v="153.6948020457682"/>
    <n v="-1.1298039884604749"/>
    <n v="-36.426196175800619"/>
    <n v="-153.6948020457682"/>
  </r>
  <r>
    <s v="USA"/>
    <s v="United States"/>
    <n v="30769700"/>
    <n v="0.26265668854705321"/>
    <s v="United States of America"/>
    <x v="9"/>
    <s v="No"/>
    <s v="No"/>
    <n v="0.44369475213561244"/>
    <b v="0"/>
    <b v="0"/>
    <b v="0"/>
    <b v="0"/>
    <n v="1.8782596192059511"/>
    <n v="60.557277241966545"/>
    <n v="255.51223337225642"/>
    <n v="437.05273396213289"/>
    <n v="-1.8782596192059511"/>
    <n v="-60.557277241966545"/>
    <n v="-255.51223337225642"/>
    <b v="0"/>
    <b v="0"/>
    <b v="0"/>
    <n v="17.036392304162419"/>
    <n v="549.2731257259411"/>
    <n v="2317.5745257637614"/>
    <n v="-17.036392304162419"/>
    <n v="-549.2731257259411"/>
    <n v="-2317.5745257637614"/>
  </r>
  <r>
    <s v="URY"/>
    <s v="Uruguay"/>
    <n v="85347.6962776859"/>
    <n v="7.2854604625383534E-4"/>
    <s v="Uruguay"/>
    <x v="4"/>
    <s v="Yes"/>
    <s v="No"/>
    <n v="5.5303723561854468E-4"/>
    <b v="0"/>
    <b v="0"/>
    <b v="0"/>
    <b v="0"/>
    <n v="2.3411309297210556E-3"/>
    <n v="7.5480787278382894E-2"/>
    <n v="0.31847971726229329"/>
    <n v="0.54475838320501302"/>
    <n v="-2.3411309297210556E-3"/>
    <n v="-7.5480787278382894E-2"/>
    <n v="-0.31847971726229329"/>
    <n v="8.1232020907364227E-2"/>
    <n v="2.6190149437872194"/>
    <n v="11.050535757222484"/>
    <n v="2.1234777421769758E-2"/>
    <n v="0.68463395068100086"/>
    <n v="2.8887089669174304"/>
    <n v="5.9997243485594473E-2"/>
    <n v="1.9343809931062186"/>
    <n v="8.161826790305053"/>
  </r>
  <r>
    <s v="UZB"/>
    <s v="Uzbekistan"/>
    <n v="147038.08112940501"/>
    <n v="1.2551482620812835E-3"/>
    <s v="Uzbekistan"/>
    <x v="5"/>
    <s v="No"/>
    <s v="No"/>
    <s v=""/>
    <b v="0"/>
    <b v="0"/>
    <b v="0"/>
    <b v="0"/>
    <n v="0"/>
    <n v="0"/>
    <n v="0"/>
    <n v="0"/>
    <n v="0"/>
    <n v="0"/>
    <n v="0"/>
    <b v="0"/>
    <b v="0"/>
    <b v="0"/>
    <n v="0"/>
    <n v="0"/>
    <n v="0"/>
    <n v="0"/>
    <n v="0"/>
    <n v="0"/>
  </r>
  <r>
    <s v="VUT"/>
    <s v="Vanuatu"/>
    <n v="1353.6588406399301"/>
    <n v="1.1555119110843695E-5"/>
    <s v="Rest of Asia-Pacific"/>
    <x v="8"/>
    <s v="Yes"/>
    <s v="Yes"/>
    <s v=""/>
    <n v="1.2883820892661906E-3"/>
    <n v="4.1538938800303196E-2"/>
    <n v="0.17526724298336815"/>
    <n v="0.29979397349748926"/>
    <n v="0"/>
    <n v="0"/>
    <n v="0"/>
    <n v="0"/>
    <n v="1.2883820892661906E-3"/>
    <n v="4.1538938800303196E-2"/>
    <n v="0.17526724298336815"/>
    <n v="1.2883820892661906E-3"/>
    <n v="4.1538938800303196E-2"/>
    <n v="0.17526724298336815"/>
    <n v="0"/>
    <n v="0"/>
    <n v="0"/>
    <n v="1.2883820892661906E-3"/>
    <n v="4.1538938800303196E-2"/>
    <n v="0.17526724298336815"/>
  </r>
  <r>
    <s v="VEN"/>
    <s v="Venezuela, RB"/>
    <n v="99661.2441556306"/>
    <n v="8.5072952828260564E-4"/>
    <s v="Venezuela"/>
    <x v="4"/>
    <s v="Yes"/>
    <s v="No"/>
    <n v="3.2589312331123741E-3"/>
    <b v="0"/>
    <b v="0"/>
    <b v="0"/>
    <b v="0"/>
    <n v="1.3795788450193677E-2"/>
    <n v="0.44479228398845377"/>
    <n v="1.8767334834842397"/>
    <n v="3.2101457102449849"/>
    <n v="-1.3795788450193677E-2"/>
    <n v="-0.44479228398845377"/>
    <n v="-1.8767334834842397"/>
    <n v="9.4855334379080697E-2"/>
    <n v="3.0582464336329749"/>
    <n v="12.903806314441939"/>
    <n v="0.12513204339775633"/>
    <n v="4.0344027877760746"/>
    <n v="17.022549783885321"/>
    <n v="-3.0276709018675629E-2"/>
    <n v="-0.97615635414309976"/>
    <n v="-4.1187434694433822"/>
  </r>
  <r>
    <s v="VNM"/>
    <s v="Viet Nam"/>
    <n v="514697.21516506502"/>
    <n v="4.3935646476776216E-3"/>
    <s v="Viet Nam"/>
    <x v="8"/>
    <s v="Yes"/>
    <s v="Yes"/>
    <s v=""/>
    <n v="0.48987725230706525"/>
    <n v="15.79421304656122"/>
    <n v="66.641282991623356"/>
    <n v="113.98966907310384"/>
    <n v="0"/>
    <n v="0"/>
    <n v="0"/>
    <n v="0"/>
    <n v="0.48987725230706525"/>
    <n v="15.79421304656122"/>
    <n v="66.641282991623356"/>
    <n v="0.48987725230706525"/>
    <n v="15.79421304656122"/>
    <n v="66.641282991623356"/>
    <n v="0"/>
    <n v="0"/>
    <n v="0"/>
    <n v="0.48987725230706525"/>
    <n v="15.79421304656122"/>
    <n v="66.641282991623356"/>
  </r>
  <r>
    <s v="VIR"/>
    <s v="Virgin Islands (U.S.)"/>
    <n v="0"/>
    <n v="0"/>
    <s v="Not in MINDSET country list"/>
    <x v="3"/>
    <s v="No"/>
    <s v="No"/>
    <s v="Not in MINDSET country list"/>
    <b v="0"/>
    <b v="0"/>
    <b v="0"/>
    <b v="0"/>
    <n v="0"/>
    <n v="0"/>
    <n v="0"/>
    <n v="0"/>
    <n v="0"/>
    <n v="0"/>
    <n v="0"/>
    <b v="0"/>
    <b v="0"/>
    <b v="0"/>
    <n v="0"/>
    <n v="0"/>
    <n v="0"/>
    <n v="0"/>
    <n v="0"/>
    <n v="0"/>
  </r>
  <r>
    <s v="PSE"/>
    <s v="West Bank and Gaza"/>
    <n v="17167.099999999999"/>
    <n v="1.4654200846794466E-4"/>
    <s v="Palestine"/>
    <x v="7"/>
    <s v="Yes"/>
    <s v="No"/>
    <s v=""/>
    <b v="0"/>
    <b v="0"/>
    <b v="0"/>
    <b v="0"/>
    <n v="0"/>
    <n v="0"/>
    <n v="0"/>
    <n v="0"/>
    <n v="0"/>
    <n v="0"/>
    <n v="0"/>
    <n v="1.6339260307409238E-2"/>
    <n v="0.52679677838292827"/>
    <n v="2.2227389920471996"/>
    <n v="0"/>
    <n v="0"/>
    <n v="0"/>
    <n v="1.6339260307409238E-2"/>
    <n v="0.52679677838292827"/>
    <n v="2.2227389920471996"/>
  </r>
  <r>
    <s v="YEM"/>
    <s v="Yemen, Rep."/>
    <n v="0"/>
    <n v="0"/>
    <s v="Yemen Arab Republic/Yemen (1990/1991)"/>
    <x v="7"/>
    <s v="Yes"/>
    <s v="No"/>
    <s v=""/>
    <b v="0"/>
    <b v="0"/>
    <b v="0"/>
    <b v="0"/>
    <n v="0"/>
    <n v="0"/>
    <n v="0"/>
    <n v="0"/>
    <n v="0"/>
    <n v="0"/>
    <n v="0"/>
    <n v="0"/>
    <n v="0"/>
    <n v="0"/>
    <n v="0"/>
    <n v="0"/>
    <n v="0"/>
    <n v="0"/>
    <n v="0"/>
    <n v="0"/>
  </r>
  <r>
    <s v="ZMB"/>
    <s v="Zambia"/>
    <n v="28879.8062201264"/>
    <n v="2.465241542055655E-4"/>
    <s v="Zambia"/>
    <x v="2"/>
    <s v="Yes"/>
    <s v="No"/>
    <s v=""/>
    <b v="0"/>
    <b v="0"/>
    <b v="0"/>
    <b v="0"/>
    <n v="0"/>
    <n v="0"/>
    <n v="0"/>
    <n v="0"/>
    <n v="0"/>
    <n v="0"/>
    <n v="0"/>
    <n v="2.7487151088895722E-2"/>
    <n v="0.88621775821692905"/>
    <n v="3.739261224565722"/>
    <n v="0"/>
    <n v="0"/>
    <n v="0"/>
    <n v="2.7487151088895722E-2"/>
    <n v="0.88621775821692905"/>
    <n v="3.739261224565722"/>
  </r>
  <r>
    <s v="ZWE"/>
    <s v="Zimbabwe"/>
    <n v="51215.6439055886"/>
    <n v="4.3718760436555989E-4"/>
    <s v="Zimbabwe"/>
    <x v="2"/>
    <s v="Yes"/>
    <s v="No"/>
    <s v=""/>
    <b v="0"/>
    <b v="0"/>
    <b v="0"/>
    <b v="0"/>
    <n v="0"/>
    <n v="0"/>
    <n v="0"/>
    <n v="0"/>
    <n v="0"/>
    <n v="0"/>
    <n v="0"/>
    <n v="4.8745899865730954E-2"/>
    <n v="1.5716245732984215"/>
    <n v="6.6312311754318625"/>
    <n v="0"/>
    <n v="0"/>
    <n v="0"/>
    <n v="4.8745899865730954E-2"/>
    <n v="1.5716245732984215"/>
    <n v="6.6312311754318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AA9D32-7C9F-4070-9D3B-95599B7FD715}" name="PivotTable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E36" firstHeaderRow="0" firstDataRow="1" firstDataCol="1"/>
  <pivotFields count="29">
    <pivotField showAll="0"/>
    <pivotField showAll="0"/>
    <pivotField numFmtId="169" showAll="0"/>
    <pivotField showAll="0"/>
    <pivotField showAll="0"/>
    <pivotField axis="axisRow" showAll="0">
      <items count="12">
        <item x="8"/>
        <item x="2"/>
        <item x="6"/>
        <item x="10"/>
        <item x="5"/>
        <item x="1"/>
        <item x="4"/>
        <item x="7"/>
        <item x="9"/>
        <item x="0"/>
        <item x="3"/>
        <item t="default"/>
      </items>
    </pivotField>
    <pivotField showAll="0"/>
    <pivotField showAll="0"/>
    <pivotField showAll="0"/>
    <pivotField showAll="0"/>
    <pivotField showAll="0"/>
    <pivotField showAll="0"/>
    <pivotField showAll="0"/>
    <pivotField numFmtId="43" showAll="0"/>
    <pivotField numFmtId="43" showAll="0"/>
    <pivotField numFmtId="43" showAll="0"/>
    <pivotField numFmtId="43" showAll="0"/>
    <pivotField dataField="1" numFmtId="43" showAll="0"/>
    <pivotField dataField="1" numFmtId="43" showAll="0"/>
    <pivotField dataField="1" numFmtId="43" showAll="0"/>
    <pivotField showAll="0"/>
    <pivotField showAll="0"/>
    <pivotField showAll="0"/>
    <pivotField numFmtId="43" showAll="0"/>
    <pivotField numFmtId="43" showAll="0"/>
    <pivotField numFmtId="43" showAll="0"/>
    <pivotField numFmtId="43" showAll="0"/>
    <pivotField numFmtId="43" showAll="0"/>
    <pivotField numFmtId="43" showAll="0"/>
  </pivotFields>
  <rowFields count="1">
    <field x="5"/>
  </rowFields>
  <rowItems count="12">
    <i>
      <x/>
    </i>
    <i>
      <x v="1"/>
    </i>
    <i>
      <x v="2"/>
    </i>
    <i>
      <x v="3"/>
    </i>
    <i>
      <x v="4"/>
    </i>
    <i>
      <x v="5"/>
    </i>
    <i>
      <x v="6"/>
    </i>
    <i>
      <x v="7"/>
    </i>
    <i>
      <x v="8"/>
    </i>
    <i>
      <x v="9"/>
    </i>
    <i>
      <x v="10"/>
    </i>
    <i t="grand">
      <x/>
    </i>
  </rowItems>
  <colFields count="1">
    <field x="-2"/>
  </colFields>
  <colItems count="3">
    <i>
      <x/>
    </i>
    <i i="1">
      <x v="1"/>
    </i>
    <i i="2">
      <x v="2"/>
    </i>
  </colItems>
  <dataFields count="3">
    <dataField name="Sum of Net transfers CVF (lower)" fld="17" baseField="0" baseItem="0" numFmtId="43"/>
    <dataField name="Sum of Net transfers CVF (central)" fld="18" baseField="0" baseItem="0" numFmtId="43"/>
    <dataField name="Sum of Net transfers CVF (upper)" fld="19" baseField="0" baseItem="0" numFmtId="43"/>
  </dataFields>
  <formats count="12">
    <format dxfId="18">
      <pivotArea collapsedLevelsAreSubtotals="1" fieldPosition="0">
        <references count="1">
          <reference field="5" count="0"/>
        </references>
      </pivotArea>
    </format>
    <format dxfId="17">
      <pivotArea field="5" type="button" dataOnly="0" labelOnly="1" outline="0" axis="axisRow" fieldPosition="0"/>
    </format>
    <format dxfId="16">
      <pivotArea dataOnly="0" labelOnly="1" outline="0" fieldPosition="0">
        <references count="1">
          <reference field="4294967294" count="3">
            <x v="0"/>
            <x v="1"/>
            <x v="2"/>
          </reference>
        </references>
      </pivotArea>
    </format>
    <format dxfId="15">
      <pivotArea field="5" type="button" dataOnly="0" labelOnly="1" outline="0" axis="axisRow" fieldPosition="0"/>
    </format>
    <format dxfId="14">
      <pivotArea dataOnly="0" labelOnly="1" outline="0" fieldPosition="0">
        <references count="1">
          <reference field="4294967294" count="3">
            <x v="0"/>
            <x v="1"/>
            <x v="2"/>
          </reference>
        </references>
      </pivotArea>
    </format>
    <format dxfId="13">
      <pivotArea field="5" type="button" dataOnly="0" labelOnly="1" outline="0" axis="axisRow" fieldPosition="0"/>
    </format>
    <format dxfId="12">
      <pivotArea dataOnly="0" labelOnly="1" outline="0" fieldPosition="0">
        <references count="1">
          <reference field="4294967294" count="3">
            <x v="0"/>
            <x v="1"/>
            <x v="2"/>
          </reference>
        </references>
      </pivotArea>
    </format>
    <format dxfId="11">
      <pivotArea dataOnly="0" labelOnly="1" outline="0" fieldPosition="0">
        <references count="1">
          <reference field="4294967294" count="1">
            <x v="0"/>
          </reference>
        </references>
      </pivotArea>
    </format>
    <format dxfId="10">
      <pivotArea dataOnly="0" labelOnly="1" outline="0" fieldPosition="0">
        <references count="1">
          <reference field="4294967294" count="1">
            <x v="2"/>
          </reference>
        </references>
      </pivotArea>
    </format>
    <format dxfId="9">
      <pivotArea dataOnly="0" labelOnly="1" outline="0" fieldPosition="0">
        <references count="1">
          <reference field="4294967294" count="1">
            <x v="1"/>
          </reference>
        </references>
      </pivotArea>
    </format>
    <format dxfId="8">
      <pivotArea dataOnly="0" labelOnly="1" outline="0" fieldPosition="0">
        <references count="1">
          <reference field="4294967294" count="3">
            <x v="0"/>
            <x v="1"/>
            <x v="2"/>
          </reference>
        </references>
      </pivotArea>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8BC041-D8FA-4E9A-8D3A-CA491023D16A}" name="PivotTable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2:E54" firstHeaderRow="0" firstDataRow="1" firstDataCol="1"/>
  <pivotFields count="29">
    <pivotField showAll="0"/>
    <pivotField showAll="0"/>
    <pivotField numFmtId="169" showAll="0"/>
    <pivotField showAll="0"/>
    <pivotField showAll="0"/>
    <pivotField axis="axisRow" showAll="0">
      <items count="12">
        <item x="8"/>
        <item x="2"/>
        <item x="6"/>
        <item x="10"/>
        <item x="5"/>
        <item x="1"/>
        <item x="4"/>
        <item x="7"/>
        <item x="9"/>
        <item x="0"/>
        <item x="3"/>
        <item t="default"/>
      </items>
    </pivotField>
    <pivotField showAll="0"/>
    <pivotField showAll="0"/>
    <pivotField showAll="0"/>
    <pivotField showAll="0"/>
    <pivotField showAll="0"/>
    <pivotField showAll="0"/>
    <pivotField showAll="0"/>
    <pivotField numFmtId="43" showAll="0"/>
    <pivotField numFmtId="43" showAll="0"/>
    <pivotField numFmtId="43" showAll="0"/>
    <pivotField numFmtId="43" showAll="0"/>
    <pivotField numFmtId="43" showAll="0"/>
    <pivotField numFmtId="43" showAll="0"/>
    <pivotField numFmtId="43" showAll="0"/>
    <pivotField showAll="0"/>
    <pivotField showAll="0"/>
    <pivotField showAll="0"/>
    <pivotField numFmtId="43" showAll="0"/>
    <pivotField numFmtId="43" showAll="0"/>
    <pivotField numFmtId="43" showAll="0"/>
    <pivotField dataField="1" numFmtId="43" showAll="0"/>
    <pivotField dataField="1" numFmtId="43" showAll="0"/>
    <pivotField dataField="1" numFmtId="43" showAll="0"/>
  </pivotFields>
  <rowFields count="1">
    <field x="5"/>
  </rowFields>
  <rowItems count="12">
    <i>
      <x/>
    </i>
    <i>
      <x v="1"/>
    </i>
    <i>
      <x v="2"/>
    </i>
    <i>
      <x v="3"/>
    </i>
    <i>
      <x v="4"/>
    </i>
    <i>
      <x v="5"/>
    </i>
    <i>
      <x v="6"/>
    </i>
    <i>
      <x v="7"/>
    </i>
    <i>
      <x v="8"/>
    </i>
    <i>
      <x v="9"/>
    </i>
    <i>
      <x v="10"/>
    </i>
    <i t="grand">
      <x/>
    </i>
  </rowItems>
  <colFields count="1">
    <field x="-2"/>
  </colFields>
  <colItems count="3">
    <i>
      <x/>
    </i>
    <i i="1">
      <x v="1"/>
    </i>
    <i i="2">
      <x v="2"/>
    </i>
  </colItems>
  <dataFields count="3">
    <dataField name="Sum of Net transfers G77 + China (lower)" fld="26" baseField="0" baseItem="0" numFmtId="43"/>
    <dataField name="Sum of Net transfers G77 + China (central)" fld="27" baseField="0" baseItem="0" numFmtId="43"/>
    <dataField name="Sum of Net transfers G77 + China (upper)" fld="28" baseField="0" baseItem="0" numFmtId="43"/>
  </dataFields>
  <formats count="11">
    <format dxfId="29">
      <pivotArea collapsedLevelsAreSubtotals="1" fieldPosition="0">
        <references count="1">
          <reference field="5" count="0"/>
        </references>
      </pivotArea>
    </format>
    <format dxfId="28">
      <pivotArea field="5" type="button" dataOnly="0" labelOnly="1" outline="0" axis="axisRow" fieldPosition="0"/>
    </format>
    <format dxfId="27">
      <pivotArea field="5" type="button" dataOnly="0" labelOnly="1" outline="0" axis="axisRow" fieldPosition="0"/>
    </format>
    <format dxfId="26">
      <pivotArea field="5" type="button" dataOnly="0" labelOnly="1" outline="0" axis="axisRow" fieldPosition="0"/>
    </format>
    <format dxfId="25">
      <pivotArea dataOnly="0" labelOnly="1" outline="0" fieldPosition="0">
        <references count="1">
          <reference field="4294967294" count="3">
            <x v="0"/>
            <x v="1"/>
            <x v="2"/>
          </reference>
        </references>
      </pivotArea>
    </format>
    <format dxfId="24">
      <pivotArea dataOnly="0" labelOnly="1" outline="0" fieldPosition="0">
        <references count="1">
          <reference field="4294967294" count="3">
            <x v="0"/>
            <x v="1"/>
            <x v="2"/>
          </reference>
        </references>
      </pivotArea>
    </format>
    <format dxfId="23">
      <pivotArea field="5" type="button" dataOnly="0" labelOnly="1" outline="0" axis="axisRow" fieldPosition="0"/>
    </format>
    <format dxfId="22">
      <pivotArea outline="0" collapsedLevelsAreSubtotals="1" fieldPosition="0"/>
    </format>
    <format dxfId="21">
      <pivotArea dataOnly="0" labelOnly="1" fieldPosition="0">
        <references count="1">
          <reference field="5" count="0"/>
        </references>
      </pivotArea>
    </format>
    <format dxfId="20">
      <pivotArea dataOnly="0" labelOnly="1" grandRow="1" outline="0" fieldPosition="0"/>
    </format>
    <format dxfId="1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271EBE-41FA-4761-ADDD-2D76135D5C6B}" name="PivotTable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O21" firstHeaderRow="1" firstDataRow="2" firstDataCol="1"/>
  <pivotFields count="29">
    <pivotField showAll="0"/>
    <pivotField showAll="0"/>
    <pivotField numFmtId="169" showAll="0"/>
    <pivotField showAll="0"/>
    <pivotField showAll="0"/>
    <pivotField axis="axisCol" showAll="0">
      <items count="12">
        <item x="2"/>
        <item x="8"/>
        <item x="0"/>
        <item x="4"/>
        <item x="7"/>
        <item x="1"/>
        <item x="10"/>
        <item x="5"/>
        <item x="6"/>
        <item x="9"/>
        <item h="1" x="3"/>
        <item t="default"/>
      </items>
    </pivotField>
    <pivotField showAll="0"/>
    <pivotField showAll="0"/>
    <pivotField showAll="0"/>
    <pivotField showAll="0"/>
    <pivotField dataField="1" showAll="0"/>
    <pivotField showAll="0"/>
    <pivotField showAll="0"/>
    <pivotField numFmtId="43" showAll="0"/>
    <pivotField numFmtId="43" showAll="0"/>
    <pivotField numFmtId="43" showAll="0"/>
    <pivotField numFmtId="43" showAll="0"/>
    <pivotField numFmtId="43" showAll="0"/>
    <pivotField numFmtId="43" showAll="0"/>
    <pivotField numFmtId="43" showAll="0"/>
    <pivotField showAll="0"/>
    <pivotField showAll="0"/>
    <pivotField showAll="0"/>
    <pivotField numFmtId="43" showAll="0"/>
    <pivotField numFmtId="43" showAll="0"/>
    <pivotField numFmtId="43" showAll="0"/>
    <pivotField numFmtId="43" showAll="0"/>
    <pivotField numFmtId="43" showAll="0"/>
    <pivotField numFmtId="43" showAll="0"/>
  </pivotFields>
  <rowItems count="1">
    <i/>
  </rowItems>
  <colFields count="1">
    <field x="5"/>
  </colFields>
  <colItems count="11">
    <i>
      <x/>
    </i>
    <i>
      <x v="1"/>
    </i>
    <i>
      <x v="2"/>
    </i>
    <i>
      <x v="3"/>
    </i>
    <i>
      <x v="4"/>
    </i>
    <i>
      <x v="5"/>
    </i>
    <i>
      <x v="6"/>
    </i>
    <i>
      <x v="7"/>
    </i>
    <i>
      <x v="8"/>
    </i>
    <i>
      <x v="9"/>
    </i>
    <i t="grand">
      <x/>
    </i>
  </colItems>
  <dataFields count="1">
    <dataField name="Sum of CVF Receipts (Central)" fld="10" baseField="5" baseItem="0"/>
  </dataFields>
  <formats count="5">
    <format dxfId="6">
      <pivotArea collapsedLevelsAreSubtotals="1" fieldPosition="0">
        <references count="1">
          <reference field="5" count="0"/>
        </references>
      </pivotArea>
    </format>
    <format dxfId="5">
      <pivotArea field="5" type="button" dataOnly="0" labelOnly="1" outline="0" axis="axisCol" fieldPosition="0"/>
    </format>
    <format dxfId="4">
      <pivotArea field="5" type="button" dataOnly="0" labelOnly="1" outline="0" axis="axisCol" fieldPosition="0"/>
    </format>
    <format dxfId="3">
      <pivotArea field="5" type="button" dataOnly="0" labelOnly="1" outline="0" axis="axisCol"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2" dT="2026-07-23T13:06:33.62" personId="{688BFC14-C4EF-47D7-9C58-16BA37531848}" id="{23AD7505-9BA0-4A39-8219-377BD3FB2702}">
    <text xml:space="preserve">Was left blank - treated as ‘prefer not to quantify’
</text>
  </threadedComment>
  <threadedComment ref="F26" dT="2026-07-23T11:43:41.03" personId="{688BFC14-C4EF-47D7-9C58-16BA37531848}" id="{38C44FFC-1C42-4286-A770-984F1B4441A8}">
    <text>Updated from 175 to 200</text>
  </threadedComment>
  <threadedComment ref="F27" dT="2026-07-23T11:43:41.03" personId="{688BFC14-C4EF-47D7-9C58-16BA37531848}" id="{11C2A493-F816-4E64-ADC3-692A8ECE250D}">
    <text>Updated from 175 to 200</text>
  </threadedComment>
  <threadedComment ref="E28" dT="2026-07-23T14:55:01.82" personId="{688BFC14-C4EF-47D7-9C58-16BA37531848}" id="{1FCF740C-E9C7-4BEF-8AF3-93195932DF54}">
    <text>Updated to $57b correlated to qualitative answer in Q 1b</text>
  </threadedComment>
  <threadedComment ref="D30" dT="2026-07-23T11:44:06.96" personId="{688BFC14-C4EF-47D7-9C58-16BA37531848}" id="{4F4A5D0C-A6C2-4D05-B12A-08F67D1769B3}">
    <text>Used rule of shared band to allocate lower end of band</text>
  </threadedComment>
  <threadedComment ref="E30" dT="2026-07-23T11:43:41.03" personId="{688BFC14-C4EF-47D7-9C58-16BA37531848}" id="{34343CC5-C1AF-413D-93D6-D02F33D42668}">
    <text>Updated from 175 to 200</text>
  </threadedComment>
  <threadedComment ref="F33" dT="2026-07-23T16:05:36.95" personId="{688BFC14-C4EF-47D7-9C58-16BA37531848}" id="{DEC6836C-8272-461C-B9D0-5CA5D1654657}">
    <text>Previously coded as 600 in Qualtrics, recoded as 500 for a more coherent output in PERT analysis</text>
  </threadedComment>
  <threadedComment ref="E34" dT="2026-07-23T11:43:41.03" personId="{688BFC14-C4EF-47D7-9C58-16BA37531848}" id="{F1167561-530A-43CE-9813-8B226A14A81D}">
    <text>Updated from 175 to 200</text>
  </threadedComment>
  <threadedComment ref="F34" dT="2026-07-23T16:05:36.95" personId="{688BFC14-C4EF-47D7-9C58-16BA37531848}" id="{6BD3219C-5FAA-44D1-BC71-E11E8DEF4C17}">
    <text>Previously coded as 600 in Qualtrics, recoded as 500 for a more coherent output in PERT analysis</text>
  </threadedComment>
  <threadedComment ref="E36" dT="2026-07-23T14:58:14.42" personId="{688BFC14-C4EF-47D7-9C58-16BA37531848}" id="{DD41D1AF-1A03-4672-AD1F-887160A9043B}">
    <text>Updated to be $80b based on qualitative answer to Q1b</text>
  </threadedComment>
  <threadedComment ref="D38" dT="2026-07-23T11:45:05.17" personId="{688BFC14-C4EF-47D7-9C58-16BA37531848}" id="{5917006C-5380-421E-8734-4FFE37BC521A}">
    <text>Removed embedded value as the respondent chose ‘prefer not to quantify’</text>
  </threadedComment>
  <threadedComment ref="E38" dT="2026-07-23T11:45:05.17" personId="{688BFC14-C4EF-47D7-9C58-16BA37531848}" id="{14CBE8FC-8F5B-4087-B169-202F355F687F}">
    <text>Removed embedded value as the respondent chose ‘prefer not to quantify’</text>
  </threadedComment>
  <threadedComment ref="F38" dT="2026-07-23T11:45:05.17" personId="{688BFC14-C4EF-47D7-9C58-16BA37531848}" id="{22B60932-9308-42EB-AA12-C71ACBB37180}">
    <text>Removed embedded value as the respondent chose ‘prefer not to quantify’</text>
  </threadedComment>
  <threadedComment ref="D39" dT="2026-07-23T11:44:06.96" personId="{688BFC14-C4EF-47D7-9C58-16BA37531848}" id="{D8674499-F26D-443B-AFDA-563E605CA1EA}">
    <text>Used rule of shared band to allocate lower end of band</text>
  </threadedComment>
  <threadedComment ref="E39" dT="2026-07-23T11:43:41.03" personId="{688BFC14-C4EF-47D7-9C58-16BA37531848}" id="{70034777-3A58-40FB-A9FE-5000B72D0C13}">
    <text>Updated from 175 to 200</text>
  </threadedComment>
  <threadedComment ref="F111" dT="2026-07-23T13:50:13.66" personId="{688BFC14-C4EF-47D7-9C58-16BA37531848}" id="{84B2850F-BB55-479B-98B3-150F91D2E94D}">
    <text>Used rule of shared band to allocate lower end of band</text>
  </threadedComment>
  <threadedComment ref="F115" dT="2026-07-23T14:00:40.90" personId="{688BFC14-C4EF-47D7-9C58-16BA37531848}" id="{B0D2D8EC-734F-4D72-BF97-D1D48FE66798}">
    <text>Numeric scaling factor did not transfer from selected answer - corresponding scaling factor has been added</text>
  </threadedComment>
  <threadedComment ref="G115" dT="2026-07-23T14:00:48.02" personId="{688BFC14-C4EF-47D7-9C58-16BA37531848}" id="{6E5ADD9B-10BB-4443-AEC9-A66D44E8DC76}">
    <text>Numeric scaling factor did not transfer from selected answer - corresponding scaling factor has been added</text>
  </threadedComment>
  <threadedComment ref="H115" dT="2026-07-23T14:00:52.40" personId="{688BFC14-C4EF-47D7-9C58-16BA37531848}" id="{F58C320F-8CA2-4DEF-9470-4F55B7665525}">
    <text>Numeric scaling factor did not transfer from selected answer - corresponding scaling factor has been added</text>
  </threadedComment>
  <threadedComment ref="H123" dT="2026-07-23T13:46:27.72" personId="{688BFC14-C4EF-47D7-9C58-16BA37531848}" id="{A3826B7C-D5EE-4792-A793-D18DAD80BDA3}">
    <text>Used rule of shared band to allocate upper end of band</text>
  </threadedComment>
</ThreadedComments>
</file>

<file path=xl/threadedComments/threadedComment2.xml><?xml version="1.0" encoding="utf-8"?>
<ThreadedComments xmlns="http://schemas.microsoft.com/office/spreadsheetml/2018/threadedcomments" xmlns:x="http://schemas.openxmlformats.org/spreadsheetml/2006/main">
  <threadedComment ref="N4" dT="2026-07-23T11:43:41.03" personId="{688BFC14-C4EF-47D7-9C58-16BA37531848}" id="{91C5F464-6D72-4DE5-BDB0-D88ECC9929F3}">
    <text>Updated from 175 to 200</text>
  </threadedComment>
  <threadedComment ref="N5" dT="2026-07-23T11:43:41.03" personId="{688BFC14-C4EF-47D7-9C58-16BA37531848}" id="{4A953160-4B36-4DE1-8237-76F61B949D96}">
    <text>Updated from 175 to 200</text>
  </threadedComment>
  <threadedComment ref="AN5" dT="2026-07-23T13:50:13.66" personId="{688BFC14-C4EF-47D7-9C58-16BA37531848}" id="{0D10AA32-0B96-4241-A435-0113CAB79A9A}">
    <text>Used rule of shared band to allocate lower end of band</text>
  </threadedComment>
  <threadedComment ref="M6" dT="2026-07-23T14:55:01.82" personId="{688BFC14-C4EF-47D7-9C58-16BA37531848}" id="{599920BB-3EF1-4F34-956C-81D2E16CB98F}">
    <text>Updated to $57b correlated to qualitative answer in Q 1b</text>
  </threadedComment>
  <threadedComment ref="L8" dT="2026-07-23T11:44:06.96" personId="{688BFC14-C4EF-47D7-9C58-16BA37531848}" id="{6AA74A56-084A-42B7-9572-80AC98204481}">
    <text>Used rule of shared band to allocate lower end of band</text>
  </threadedComment>
  <threadedComment ref="M8" dT="2026-07-23T11:43:41.03" personId="{688BFC14-C4EF-47D7-9C58-16BA37531848}" id="{AC163ACD-968B-48C9-B072-1D6667629B06}">
    <text>Updated from 175 to 200</text>
  </threadedComment>
  <threadedComment ref="AN9" dT="2026-07-23T14:00:40.90" personId="{688BFC14-C4EF-47D7-9C58-16BA37531848}" id="{84584EC5-0487-408C-9868-A31F07FEB396}">
    <text>Numeric scaling factor did not transfer from selected answer - corresponding scaling factor has been added</text>
  </threadedComment>
  <threadedComment ref="AO9" dT="2026-07-23T14:00:48.02" personId="{688BFC14-C4EF-47D7-9C58-16BA37531848}" id="{B89E7BF6-6F56-4DAF-8E3E-FA92005E26B6}">
    <text>Numeric scaling factor did not transfer from selected answer - corresponding scaling factor has been added</text>
  </threadedComment>
  <threadedComment ref="AP9" dT="2026-07-23T14:00:52.40" personId="{688BFC14-C4EF-47D7-9C58-16BA37531848}" id="{9958BA10-5EC2-4C72-B963-D3897BDEF5F0}">
    <text>Numeric scaling factor did not transfer from selected answer - corresponding scaling factor has been added</text>
  </threadedComment>
  <threadedComment ref="M14" dT="2026-07-23T14:58:14.42" personId="{688BFC14-C4EF-47D7-9C58-16BA37531848}" id="{47209021-4C9B-4F73-BF55-61405631E33C}">
    <text>Updated to be $80b based on qualitative answer to Q1b</text>
  </threadedComment>
  <threadedComment ref="L16" dT="2026-07-23T11:45:05.17" personId="{688BFC14-C4EF-47D7-9C58-16BA37531848}" id="{260F52D4-E8A9-4A68-B3AF-973A92E890D6}">
    <text>Removed embedded value as the respondent chose ‘prefer not to quantify’</text>
  </threadedComment>
  <threadedComment ref="M16" dT="2026-07-23T11:45:05.17" personId="{688BFC14-C4EF-47D7-9C58-16BA37531848}" id="{7BC92DA5-9A0C-4F5B-BDDF-1D29AF067622}">
    <text>Removed embedded value as the respondent chose ‘prefer not to quantify’</text>
  </threadedComment>
  <threadedComment ref="N16" dT="2026-07-23T11:45:05.17" personId="{688BFC14-C4EF-47D7-9C58-16BA37531848}" id="{CF709E1E-381E-4840-858E-D4EFD88BCA84}">
    <text>Removed embedded value as the respondent chose ‘prefer not to quantify’</text>
  </threadedComment>
  <threadedComment ref="L17" dT="2026-07-23T11:44:06.96" personId="{688BFC14-C4EF-47D7-9C58-16BA37531848}" id="{258FA1B4-C94A-445F-A398-0EDF9822AC7F}">
    <text>Used rule of shared band to allocate lower end of band</text>
  </threadedComment>
  <threadedComment ref="M17" dT="2026-07-23T11:43:41.03" personId="{688BFC14-C4EF-47D7-9C58-16BA37531848}" id="{1419D9E5-93A7-4431-9C93-9C2F3D6EF7DD}">
    <text>Updated from 175 to 200</text>
  </threadedComment>
  <threadedComment ref="AP17" dT="2026-07-23T13:46:27.72" personId="{688BFC14-C4EF-47D7-9C58-16BA37531848}" id="{E5E3AF5B-80BD-4143-AE81-FC06DAFB7471}">
    <text>Used rule of shared band to allocate upper end of band</text>
  </threadedComment>
</ThreadedComments>
</file>

<file path=xl/worksheets/_rels/sheet16.xml.rels><?xml version="1.0" encoding="UTF-8" standalone="yes"?>
<Relationships xmlns="http://schemas.openxmlformats.org/package/2006/relationships"><Relationship Id="rId3" Type="http://schemas.openxmlformats.org/officeDocument/2006/relationships/hyperlink" Target="https://www.finance.gov.pk/dpco/annual_debt_review_2025.pdf" TargetMode="External"/><Relationship Id="rId2" Type="http://schemas.openxmlformats.org/officeDocument/2006/relationships/hyperlink" Target="https://londondaily.com/uk-civil-service-budget-cuts-target-2-billion-annual-savings-by-2030" TargetMode="External"/><Relationship Id="rId1" Type="http://schemas.openxmlformats.org/officeDocument/2006/relationships/hyperlink" Target="https://www.ons.gov.uk/peoplepopulationandcommunity/populationandmigration/populationestimates/timeseries/ukpop/pop"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data.worldbank.org/data-catalog/global-economic-prospects" TargetMode="External"/><Relationship Id="rId1" Type="http://schemas.openxmlformats.org/officeDocument/2006/relationships/hyperlink" Target="http://data.worldbank.org/data-catalog/world-development-indicators" TargetMode="Externa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5.bin"/><Relationship Id="rId6" Type="http://schemas.openxmlformats.org/officeDocument/2006/relationships/comments" Target="../comments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bls.gov/data/inflation_calculator.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E183-E5A5-4F6E-A915-32377D89309A}">
  <sheetPr>
    <tabColor theme="1"/>
  </sheetPr>
  <dimension ref="A1"/>
  <sheetViews>
    <sheetView workbookViewId="0">
      <selection activeCell="E26" sqref="E26"/>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2531-7ABE-44A6-B74C-CFD7972432CA}">
  <sheetPr>
    <tabColor theme="1" tint="0.499984740745262"/>
  </sheetPr>
  <dimension ref="A1:AQ1037"/>
  <sheetViews>
    <sheetView zoomScale="85" zoomScaleNormal="85" workbookViewId="0">
      <pane xSplit="3" ySplit="15" topLeftCell="D16" activePane="bottomRight" state="frozen"/>
      <selection activeCell="U46" sqref="U46"/>
      <selection pane="topRight" activeCell="U46" sqref="U46"/>
      <selection pane="bottomLeft" activeCell="U46" sqref="U46"/>
      <selection pane="bottomRight" activeCell="U46" sqref="U46"/>
    </sheetView>
  </sheetViews>
  <sheetFormatPr defaultRowHeight="14.4" outlineLevelCol="1" x14ac:dyDescent="0.3"/>
  <cols>
    <col min="1" max="1" width="4.33203125" style="16" customWidth="1"/>
    <col min="2" max="7" width="15.6640625" customWidth="1"/>
    <col min="8" max="8" width="27.88671875" customWidth="1"/>
    <col min="9" max="9" width="15.6640625" customWidth="1"/>
    <col min="10" max="10" width="19.5546875" customWidth="1"/>
    <col min="11" max="11" width="19.109375" customWidth="1"/>
    <col min="12" max="12" width="20.6640625" hidden="1" customWidth="1" outlineLevel="1"/>
    <col min="13" max="22" width="7.33203125" hidden="1" customWidth="1" outlineLevel="1"/>
    <col min="23" max="23" width="18" bestFit="1" customWidth="1" collapsed="1"/>
    <col min="24" max="24" width="20.5546875" bestFit="1" customWidth="1"/>
    <col min="25" max="25" width="18.6640625" customWidth="1"/>
    <col min="26" max="38" width="18.6640625" bestFit="1" customWidth="1"/>
  </cols>
  <sheetData>
    <row r="1" spans="2:43" s="166" customFormat="1" ht="5.0999999999999996" customHeight="1" x14ac:dyDescent="0.3"/>
    <row r="2" spans="2:43" s="166" customFormat="1" x14ac:dyDescent="0.3">
      <c r="B2" s="167" t="s">
        <v>1222</v>
      </c>
      <c r="H2" s="270" t="s">
        <v>1353</v>
      </c>
      <c r="I2" s="201">
        <f>1/3</f>
        <v>0.33333333333333331</v>
      </c>
      <c r="J2" s="166" t="s">
        <v>1302</v>
      </c>
    </row>
    <row r="3" spans="2:43" s="166" customFormat="1" x14ac:dyDescent="0.3">
      <c r="B3" s="168" t="s">
        <v>1223</v>
      </c>
      <c r="H3" s="271">
        <v>2</v>
      </c>
      <c r="I3" s="201">
        <f>1/3</f>
        <v>0.33333333333333331</v>
      </c>
      <c r="J3" s="166" t="s">
        <v>1303</v>
      </c>
    </row>
    <row r="4" spans="2:43" s="170" customFormat="1" ht="5.0999999999999996" customHeight="1" thickBot="1" x14ac:dyDescent="0.35">
      <c r="B4" s="169"/>
    </row>
    <row r="5" spans="2:43" s="166" customFormat="1" ht="14.4" customHeight="1" x14ac:dyDescent="0.3">
      <c r="B5" s="171" t="s">
        <v>1224</v>
      </c>
      <c r="C5" s="171" t="s">
        <v>1225</v>
      </c>
      <c r="D5" s="171"/>
      <c r="E5" s="171"/>
      <c r="F5" s="171" t="s">
        <v>1226</v>
      </c>
      <c r="G5" s="171" t="s">
        <v>1227</v>
      </c>
      <c r="H5" s="171" t="s">
        <v>1228</v>
      </c>
      <c r="I5" s="171" t="s">
        <v>1229</v>
      </c>
      <c r="J5" s="171" t="s">
        <v>1230</v>
      </c>
      <c r="K5" s="171" t="s">
        <v>1231</v>
      </c>
    </row>
    <row r="6" spans="2:43" x14ac:dyDescent="0.3">
      <c r="B6" t="s">
        <v>590</v>
      </c>
      <c r="C6" t="str">
        <f>_xlfn.IFNA(INDEX('[1]Country list'!$A$2:$A$166,MATCH(B6,'[1]Country list'!$B$2:$B$166,0)),"")</f>
        <v>ITA</v>
      </c>
      <c r="F6" t="s">
        <v>1232</v>
      </c>
      <c r="G6" t="str">
        <f>_xlfn.IFNA(INDEX('[1]Sector list'!$A$2:$A$122,MATCH(F6,'[1]Sector list'!$B$2:$B$122,0)),"")</f>
        <v>ALL</v>
      </c>
      <c r="H6" t="s">
        <v>1233</v>
      </c>
      <c r="I6" t="str">
        <f>_xlfn.IFNA(INDEX('[1]FD list'!$A$2:$A$122,MATCH(H6,'[1]FD list'!$B$2:$B$122,0)),"")</f>
        <v>FD_1</v>
      </c>
      <c r="J6" s="172" t="s">
        <v>1234</v>
      </c>
      <c r="K6" t="s">
        <v>1235</v>
      </c>
    </row>
    <row r="7" spans="2:43" x14ac:dyDescent="0.3">
      <c r="C7" t="s">
        <v>589</v>
      </c>
      <c r="F7" t="s">
        <v>1236</v>
      </c>
      <c r="G7">
        <f>_xlfn.IFNA(INDEX('[1]Sector list'!$A$2:$A$122,MATCH(F7,'[1]Sector list'!$B$2:$B$122,0)),"")</f>
        <v>43</v>
      </c>
      <c r="H7" t="s">
        <v>1232</v>
      </c>
      <c r="I7" t="str">
        <f>_xlfn.IFNA(INDEX('[1]FD list'!$A$2:$A$122,MATCH(H7,'[1]FD list'!$B$2:$B$122,0)),"")</f>
        <v>ALL</v>
      </c>
      <c r="J7" s="172" t="s">
        <v>1234</v>
      </c>
      <c r="K7" t="s">
        <v>1237</v>
      </c>
    </row>
    <row r="8" spans="2:43" x14ac:dyDescent="0.3">
      <c r="B8" t="s">
        <v>579</v>
      </c>
      <c r="C8" t="str">
        <f>_xlfn.IFNA(INDEX('[1]Country list'!$A$2:$A$166,MATCH(B8,'[1]Country list'!$B$2:$B$166,0)),"")</f>
        <v>DEU</v>
      </c>
      <c r="G8" s="173" t="s">
        <v>1238</v>
      </c>
      <c r="I8" t="s">
        <v>1239</v>
      </c>
      <c r="J8" t="s">
        <v>1240</v>
      </c>
      <c r="K8" t="s">
        <v>1241</v>
      </c>
    </row>
    <row r="9" spans="2:43" x14ac:dyDescent="0.3">
      <c r="B9" t="s">
        <v>866</v>
      </c>
      <c r="C9" t="str">
        <f>_xlfn.IFNA(INDEX('[1]Country list'!$A$2:$A$166,MATCH(B9,'[1]Country list'!$B$2:$B$166,0)),"")</f>
        <v>MWI</v>
      </c>
      <c r="F9" t="s">
        <v>1242</v>
      </c>
      <c r="G9">
        <f>_xlfn.IFNA(INDEX('[1]Sector list'!$A$2:$A$122,MATCH(F9,'[1]Sector list'!$B$2:$B$122,0)),"")</f>
        <v>98</v>
      </c>
      <c r="H9" t="s">
        <v>1243</v>
      </c>
      <c r="I9" t="str">
        <f>_xlfn.IFNA(INDEX('[1]FD list'!$A$2:$A$122,MATCH(H9,'[1]FD list'!$B$2:$B$122,0)),"")</f>
        <v>FD_4</v>
      </c>
      <c r="J9" s="172" t="s">
        <v>1234</v>
      </c>
      <c r="K9" t="s">
        <v>1244</v>
      </c>
    </row>
    <row r="10" spans="2:43" x14ac:dyDescent="0.3">
      <c r="J10" s="172"/>
    </row>
    <row r="11" spans="2:43" x14ac:dyDescent="0.3">
      <c r="J11" s="172"/>
    </row>
    <row r="12" spans="2:43" x14ac:dyDescent="0.3">
      <c r="J12" s="172"/>
    </row>
    <row r="13" spans="2:43" ht="14.4" customHeight="1" x14ac:dyDescent="0.3">
      <c r="C13" s="174" t="s">
        <v>1245</v>
      </c>
      <c r="E13" s="174" t="s">
        <v>1246</v>
      </c>
      <c r="G13" s="174" t="s">
        <v>1247</v>
      </c>
      <c r="I13" s="174" t="s">
        <v>1248</v>
      </c>
      <c r="J13" s="172" t="s">
        <v>1249</v>
      </c>
    </row>
    <row r="14" spans="2:43" s="176" customFormat="1" ht="14.4" customHeight="1" thickBot="1" x14ac:dyDescent="0.35">
      <c r="B14" s="175" t="s">
        <v>1250</v>
      </c>
      <c r="J14" s="177"/>
    </row>
    <row r="15" spans="2:43" s="166" customFormat="1" ht="14.4" customHeight="1" x14ac:dyDescent="0.3">
      <c r="B15" s="171" t="s">
        <v>1251</v>
      </c>
      <c r="C15" s="171" t="s">
        <v>1252</v>
      </c>
      <c r="D15" s="171" t="s">
        <v>1253</v>
      </c>
      <c r="E15" s="171" t="s">
        <v>1254</v>
      </c>
      <c r="F15" s="171" t="s">
        <v>1226</v>
      </c>
      <c r="G15" s="171" t="s">
        <v>1227</v>
      </c>
      <c r="H15" s="171" t="s">
        <v>1228</v>
      </c>
      <c r="I15" s="171" t="s">
        <v>1229</v>
      </c>
      <c r="J15" s="171" t="s">
        <v>1230</v>
      </c>
      <c r="K15" s="171" t="s">
        <v>1231</v>
      </c>
      <c r="L15" s="166">
        <v>2019</v>
      </c>
      <c r="M15" s="166">
        <v>2020</v>
      </c>
      <c r="N15" s="166">
        <v>2021</v>
      </c>
      <c r="O15" s="166">
        <v>2022</v>
      </c>
      <c r="P15" s="166">
        <v>2023</v>
      </c>
      <c r="Q15" s="166">
        <v>2024</v>
      </c>
      <c r="R15" s="166">
        <v>2025</v>
      </c>
      <c r="S15" s="166">
        <v>2026</v>
      </c>
      <c r="T15" s="166">
        <v>2027</v>
      </c>
      <c r="U15" s="166">
        <v>2028</v>
      </c>
      <c r="V15" s="166">
        <v>2029</v>
      </c>
      <c r="W15" s="166">
        <v>2030</v>
      </c>
      <c r="X15" s="166">
        <v>2031</v>
      </c>
      <c r="Y15" s="166">
        <v>2032</v>
      </c>
      <c r="Z15" s="166">
        <v>2033</v>
      </c>
      <c r="AA15" s="166">
        <v>2034</v>
      </c>
      <c r="AB15" s="166">
        <v>2035</v>
      </c>
      <c r="AC15" s="166">
        <v>2036</v>
      </c>
      <c r="AD15" s="166">
        <v>2037</v>
      </c>
      <c r="AE15" s="166">
        <v>2038</v>
      </c>
      <c r="AF15" s="166">
        <v>2039</v>
      </c>
      <c r="AG15" s="166">
        <v>2040</v>
      </c>
      <c r="AH15" s="166">
        <v>2041</v>
      </c>
      <c r="AI15" s="166">
        <v>2042</v>
      </c>
      <c r="AJ15" s="166">
        <v>2043</v>
      </c>
      <c r="AK15" s="166">
        <v>2044</v>
      </c>
      <c r="AL15" s="166">
        <v>2045</v>
      </c>
      <c r="AM15" s="166">
        <v>2046</v>
      </c>
      <c r="AN15" s="166">
        <v>2047</v>
      </c>
      <c r="AO15" s="166">
        <v>2048</v>
      </c>
      <c r="AP15" s="166">
        <v>2049</v>
      </c>
      <c r="AQ15" s="166">
        <v>2050</v>
      </c>
    </row>
    <row r="16" spans="2:43" x14ac:dyDescent="0.3">
      <c r="C16" s="161" t="s">
        <v>1058</v>
      </c>
      <c r="E16" s="161" t="s">
        <v>1058</v>
      </c>
      <c r="F16" t="s">
        <v>1232</v>
      </c>
      <c r="G16" t="s">
        <v>1232</v>
      </c>
      <c r="H16" t="s">
        <v>1233</v>
      </c>
      <c r="I16" t="s">
        <v>1239</v>
      </c>
      <c r="J16" t="s">
        <v>1240</v>
      </c>
      <c r="K16" s="266">
        <f>SUM(X16:AL16)/1000000</f>
        <v>0.34262128725836932</v>
      </c>
      <c r="X16" s="202">
        <f>VLOOKUP($C16,'MSET pivots'!$B$4:$H$14,$H$3,FALSE)*1000000*$I$2*'MSET pivots'!E$65</f>
        <v>11420.880885066061</v>
      </c>
      <c r="Y16" s="202">
        <f>VLOOKUP($C16,'MSET pivots'!$B$4:$H$14,$H$3,FALSE)*1000000*$I2*'MSET pivots'!F$65</f>
        <v>13052.386351564903</v>
      </c>
      <c r="Z16" s="202">
        <f>VLOOKUP($C16,'MSET pivots'!$B$4:$H$14,$H$3,FALSE)*1000000*$I2*'MSET pivots'!G$65</f>
        <v>14683.891818063747</v>
      </c>
      <c r="AA16" s="202">
        <f>VLOOKUP($C16,'MSET pivots'!$B$4:$H$14,$H$3,FALSE)*1000000*$I2*'MSET pivots'!H$65</f>
        <v>16315.397284562589</v>
      </c>
      <c r="AB16" s="202">
        <f>VLOOKUP($C16,'MSET pivots'!$B$4:$H$14,$H$3,FALSE)*1000000*$I2*'MSET pivots'!I$65</f>
        <v>17946.902751061432</v>
      </c>
      <c r="AC16" s="202">
        <f>VLOOKUP($C16,'MSET pivots'!$B$4:$H$14,$H$3,FALSE)*1000000*$I2*'MSET pivots'!J$65</f>
        <v>19578.408217560274</v>
      </c>
      <c r="AD16" s="202">
        <f>VLOOKUP($C16,'MSET pivots'!$B$4:$H$14,$H$3,FALSE)*1000000*$I2*'MSET pivots'!K$65</f>
        <v>21209.91368405912</v>
      </c>
      <c r="AE16" s="202">
        <f>VLOOKUP($C16,'MSET pivots'!$B$4:$H$14,$H$3,FALSE)*1000000*$I2*'MSET pivots'!L$65</f>
        <v>22841.419150557958</v>
      </c>
      <c r="AF16" s="202">
        <f>VLOOKUP($C16,'MSET pivots'!$B$4:$H$14,$H$3,FALSE)*1000000*$I2*'MSET pivots'!M$65</f>
        <v>24472.9246170568</v>
      </c>
      <c r="AG16" s="202">
        <f>VLOOKUP($C16,'MSET pivots'!$B$4:$H$14,$H$3,FALSE)*1000000*$I2*'MSET pivots'!N$65</f>
        <v>26104.430083555642</v>
      </c>
      <c r="AH16" s="202">
        <f>VLOOKUP($C16,'MSET pivots'!$B$4:$H$14,$H$3,FALSE)*1000000*$I2*'MSET pivots'!O$65</f>
        <v>27735.935550054481</v>
      </c>
      <c r="AI16" s="202">
        <f>VLOOKUP($C16,'MSET pivots'!$B$4:$H$14,$H$3,FALSE)*1000000*$I2*'MSET pivots'!P$65</f>
        <v>29367.441016553323</v>
      </c>
      <c r="AJ16" s="202">
        <f>VLOOKUP($C16,'MSET pivots'!$B$4:$H$14,$H$3,FALSE)*1000000*$I2*'MSET pivots'!Q$65</f>
        <v>30998.946483052165</v>
      </c>
      <c r="AK16" s="202">
        <f>VLOOKUP($C16,'MSET pivots'!$B$4:$H$14,$H$3,FALSE)*1000000*$I2*'MSET pivots'!R$65</f>
        <v>32630.451949551003</v>
      </c>
      <c r="AL16" s="202">
        <f>VLOOKUP($C16,'MSET pivots'!$B$4:$H$14,$H$3,FALSE)*1000000*$I2*'MSET pivots'!S$65</f>
        <v>34261.95741604986</v>
      </c>
    </row>
    <row r="17" spans="1:38" x14ac:dyDescent="0.3">
      <c r="C17" s="161" t="s">
        <v>1058</v>
      </c>
      <c r="E17" s="161" t="s">
        <v>1058</v>
      </c>
      <c r="F17" t="s">
        <v>1232</v>
      </c>
      <c r="G17" t="s">
        <v>1232</v>
      </c>
      <c r="H17" t="s">
        <v>1255</v>
      </c>
      <c r="I17" t="s">
        <v>1256</v>
      </c>
      <c r="J17" t="s">
        <v>1240</v>
      </c>
      <c r="K17" s="266">
        <f t="shared" ref="K17:K23" si="0">SUM(X17:AL17)/1000000</f>
        <v>0.34262128725836932</v>
      </c>
      <c r="X17" s="202">
        <f>VLOOKUP($C17,'MSET pivots'!$B$4:$H$14,$H$3,FALSE)*1000000*$I$3*'MSET pivots'!E$65</f>
        <v>11420.880885066061</v>
      </c>
      <c r="Y17" s="202">
        <f>VLOOKUP($C17,'MSET pivots'!$B$4:$H$14,$H$3,FALSE)*1000000*$I3*'MSET pivots'!F$65</f>
        <v>13052.386351564903</v>
      </c>
      <c r="Z17" s="202">
        <f>VLOOKUP($C17,'MSET pivots'!$B$4:$H$14,$H$3,FALSE)*1000000*$I3*'MSET pivots'!G$65</f>
        <v>14683.891818063747</v>
      </c>
      <c r="AA17" s="202">
        <f>VLOOKUP($C17,'MSET pivots'!$B$4:$H$14,$H$3,FALSE)*1000000*$I3*'MSET pivots'!H$65</f>
        <v>16315.397284562589</v>
      </c>
      <c r="AB17" s="202">
        <f>VLOOKUP($C17,'MSET pivots'!$B$4:$H$14,$H$3,FALSE)*1000000*$I3*'MSET pivots'!I$65</f>
        <v>17946.902751061432</v>
      </c>
      <c r="AC17" s="202">
        <f>VLOOKUP($C17,'MSET pivots'!$B$4:$H$14,$H$3,FALSE)*1000000*$I3*'MSET pivots'!J$65</f>
        <v>19578.408217560274</v>
      </c>
      <c r="AD17" s="202">
        <f>VLOOKUP($C17,'MSET pivots'!$B$4:$H$14,$H$3,FALSE)*1000000*$I3*'MSET pivots'!K$65</f>
        <v>21209.91368405912</v>
      </c>
      <c r="AE17" s="202">
        <f>VLOOKUP($C17,'MSET pivots'!$B$4:$H$14,$H$3,FALSE)*1000000*$I3*'MSET pivots'!L$65</f>
        <v>22841.419150557958</v>
      </c>
      <c r="AF17" s="202">
        <f>VLOOKUP($C17,'MSET pivots'!$B$4:$H$14,$H$3,FALSE)*1000000*$I3*'MSET pivots'!M$65</f>
        <v>24472.9246170568</v>
      </c>
      <c r="AG17" s="202">
        <f>VLOOKUP($C17,'MSET pivots'!$B$4:$H$14,$H$3,FALSE)*1000000*$I3*'MSET pivots'!N$65</f>
        <v>26104.430083555642</v>
      </c>
      <c r="AH17" s="202">
        <f>VLOOKUP($C17,'MSET pivots'!$B$4:$H$14,$H$3,FALSE)*1000000*$I3*'MSET pivots'!O$65</f>
        <v>27735.935550054481</v>
      </c>
      <c r="AI17" s="202">
        <f>VLOOKUP($C17,'MSET pivots'!$B$4:$H$14,$H$3,FALSE)*1000000*$I3*'MSET pivots'!P$65</f>
        <v>29367.441016553323</v>
      </c>
      <c r="AJ17" s="202">
        <f>VLOOKUP($C17,'MSET pivots'!$B$4:$H$14,$H$3,FALSE)*1000000*$I3*'MSET pivots'!Q$65</f>
        <v>30998.946483052165</v>
      </c>
      <c r="AK17" s="202">
        <f>VLOOKUP($C17,'MSET pivots'!$B$4:$H$14,$H$3,FALSE)*1000000*$I3*'MSET pivots'!R$65</f>
        <v>32630.451949551003</v>
      </c>
      <c r="AL17" s="202">
        <f>VLOOKUP($C17,'MSET pivots'!$B$4:$H$14,$H$3,FALSE)*1000000*$I3*'MSET pivots'!S$65</f>
        <v>34261.95741604986</v>
      </c>
    </row>
    <row r="18" spans="1:38" x14ac:dyDescent="0.3">
      <c r="C18" t="s">
        <v>1048</v>
      </c>
      <c r="E18" t="s">
        <v>1048</v>
      </c>
      <c r="F18" t="s">
        <v>1232</v>
      </c>
      <c r="G18" t="s">
        <v>1232</v>
      </c>
      <c r="H18" t="s">
        <v>1233</v>
      </c>
      <c r="I18" t="s">
        <v>1239</v>
      </c>
      <c r="J18" t="s">
        <v>1240</v>
      </c>
      <c r="K18" s="266">
        <f t="shared" si="0"/>
        <v>0.35655057932030099</v>
      </c>
      <c r="X18" s="202">
        <f>VLOOKUP($C18,'MSET pivots'!$B$4:$H$14,$H$3,FALSE)*1000000*$I$2*'MSET pivots'!E$65</f>
        <v>11885.19758507499</v>
      </c>
      <c r="Y18" s="202">
        <f>VLOOKUP($C18,'MSET pivots'!$B$4:$H$14,$H$3,FALSE)*1000000*$I$2*'MSET pivots'!F$65</f>
        <v>13583.03201882905</v>
      </c>
      <c r="Z18" s="202">
        <f>VLOOKUP($C18,'MSET pivots'!$B$4:$H$14,$H$3,FALSE)*1000000*$I$2*'MSET pivots'!G$65</f>
        <v>15280.86645258311</v>
      </c>
      <c r="AA18" s="202">
        <f>VLOOKUP($C18,'MSET pivots'!$B$4:$H$14,$H$3,FALSE)*1000000*$I$2*'MSET pivots'!H$65</f>
        <v>16978.70088633717</v>
      </c>
      <c r="AB18" s="202">
        <f>VLOOKUP($C18,'MSET pivots'!$B$4:$H$14,$H$3,FALSE)*1000000*$I$2*'MSET pivots'!I$65</f>
        <v>18676.535320091229</v>
      </c>
      <c r="AC18" s="202">
        <f>VLOOKUP($C18,'MSET pivots'!$B$4:$H$14,$H$3,FALSE)*1000000*$I$2*'MSET pivots'!J$65</f>
        <v>20374.369753845287</v>
      </c>
      <c r="AD18" s="202">
        <f>VLOOKUP($C18,'MSET pivots'!$B$4:$H$14,$H$3,FALSE)*1000000*$I$2*'MSET pivots'!K$65</f>
        <v>22072.204187599345</v>
      </c>
      <c r="AE18" s="202">
        <f>VLOOKUP($C18,'MSET pivots'!$B$4:$H$14,$H$3,FALSE)*1000000*$I$2*'MSET pivots'!L$65</f>
        <v>23770.038621353404</v>
      </c>
      <c r="AF18" s="202">
        <f>VLOOKUP($C18,'MSET pivots'!$B$4:$H$14,$H$3,FALSE)*1000000*$I$2*'MSET pivots'!M$65</f>
        <v>25467.873055107462</v>
      </c>
      <c r="AG18" s="202">
        <f>VLOOKUP($C18,'MSET pivots'!$B$4:$H$14,$H$3,FALSE)*1000000*$I$2*'MSET pivots'!N$65</f>
        <v>27165.707488861517</v>
      </c>
      <c r="AH18" s="202">
        <f>VLOOKUP($C18,'MSET pivots'!$B$4:$H$14,$H$3,FALSE)*1000000*$I$2*'MSET pivots'!O$65</f>
        <v>28863.541922615575</v>
      </c>
      <c r="AI18" s="202">
        <f>VLOOKUP($C18,'MSET pivots'!$B$4:$H$14,$H$3,FALSE)*1000000*$I$2*'MSET pivots'!P$65</f>
        <v>30561.37635636963</v>
      </c>
      <c r="AJ18" s="202">
        <f>VLOOKUP($C18,'MSET pivots'!$B$4:$H$14,$H$3,FALSE)*1000000*$I$2*'MSET pivots'!Q$65</f>
        <v>32259.210790123689</v>
      </c>
      <c r="AK18" s="202">
        <f>VLOOKUP($C18,'MSET pivots'!$B$4:$H$14,$H$3,FALSE)*1000000*$I$2*'MSET pivots'!R$65</f>
        <v>33957.045223877743</v>
      </c>
      <c r="AL18" s="202">
        <f>VLOOKUP($C18,'MSET pivots'!$B$4:$H$14,$H$3,FALSE)*1000000*$I$2*'MSET pivots'!S$65</f>
        <v>35654.87965763182</v>
      </c>
    </row>
    <row r="19" spans="1:38" x14ac:dyDescent="0.3">
      <c r="C19" t="s">
        <v>1048</v>
      </c>
      <c r="E19" t="s">
        <v>1048</v>
      </c>
      <c r="F19" t="s">
        <v>1232</v>
      </c>
      <c r="G19" t="s">
        <v>1232</v>
      </c>
      <c r="H19" t="s">
        <v>1255</v>
      </c>
      <c r="I19" t="s">
        <v>1256</v>
      </c>
      <c r="J19" t="s">
        <v>1240</v>
      </c>
      <c r="K19" s="266">
        <f t="shared" si="0"/>
        <v>0.35655057932030099</v>
      </c>
      <c r="X19" s="202">
        <f>VLOOKUP($C19,'MSET pivots'!$B$4:$H$14,$H$3,FALSE)*1000000*$I$3*'MSET pivots'!E$65</f>
        <v>11885.19758507499</v>
      </c>
      <c r="Y19" s="202">
        <f>VLOOKUP($C19,'MSET pivots'!$B$4:$H$14,$H$3,FALSE)*1000000*$I$3*'MSET pivots'!F$65</f>
        <v>13583.03201882905</v>
      </c>
      <c r="Z19" s="202">
        <f>VLOOKUP($C19,'MSET pivots'!$B$4:$H$14,$H$3,FALSE)*1000000*$I$3*'MSET pivots'!G$65</f>
        <v>15280.86645258311</v>
      </c>
      <c r="AA19" s="202">
        <f>VLOOKUP($C19,'MSET pivots'!$B$4:$H$14,$H$3,FALSE)*1000000*$I$3*'MSET pivots'!H$65</f>
        <v>16978.70088633717</v>
      </c>
      <c r="AB19" s="202">
        <f>VLOOKUP($C19,'MSET pivots'!$B$4:$H$14,$H$3,FALSE)*1000000*$I$3*'MSET pivots'!I$65</f>
        <v>18676.535320091229</v>
      </c>
      <c r="AC19" s="202">
        <f>VLOOKUP($C19,'MSET pivots'!$B$4:$H$14,$H$3,FALSE)*1000000*$I$3*'MSET pivots'!J$65</f>
        <v>20374.369753845287</v>
      </c>
      <c r="AD19" s="202">
        <f>VLOOKUP($C19,'MSET pivots'!$B$4:$H$14,$H$3,FALSE)*1000000*$I$3*'MSET pivots'!K$65</f>
        <v>22072.204187599345</v>
      </c>
      <c r="AE19" s="202">
        <f>VLOOKUP($C19,'MSET pivots'!$B$4:$H$14,$H$3,FALSE)*1000000*$I$3*'MSET pivots'!L$65</f>
        <v>23770.038621353404</v>
      </c>
      <c r="AF19" s="202">
        <f>VLOOKUP($C19,'MSET pivots'!$B$4:$H$14,$H$3,FALSE)*1000000*$I$3*'MSET pivots'!M$65</f>
        <v>25467.873055107462</v>
      </c>
      <c r="AG19" s="202">
        <f>VLOOKUP($C19,'MSET pivots'!$B$4:$H$14,$H$3,FALSE)*1000000*$I$3*'MSET pivots'!N$65</f>
        <v>27165.707488861517</v>
      </c>
      <c r="AH19" s="202">
        <f>VLOOKUP($C19,'MSET pivots'!$B$4:$H$14,$H$3,FALSE)*1000000*$I$3*'MSET pivots'!O$65</f>
        <v>28863.541922615575</v>
      </c>
      <c r="AI19" s="202">
        <f>VLOOKUP($C19,'MSET pivots'!$B$4:$H$14,$H$3,FALSE)*1000000*$I$3*'MSET pivots'!P$65</f>
        <v>30561.37635636963</v>
      </c>
      <c r="AJ19" s="202">
        <f>VLOOKUP($C19,'MSET pivots'!$B$4:$H$14,$H$3,FALSE)*1000000*$I$3*'MSET pivots'!Q$65</f>
        <v>32259.210790123689</v>
      </c>
      <c r="AK19" s="202">
        <f>VLOOKUP($C19,'MSET pivots'!$B$4:$H$14,$H$3,FALSE)*1000000*$I$3*'MSET pivots'!R$65</f>
        <v>33957.045223877743</v>
      </c>
      <c r="AL19" s="202">
        <f>VLOOKUP($C19,'MSET pivots'!$B$4:$H$14,$H$3,FALSE)*1000000*$I$3*'MSET pivots'!S$65</f>
        <v>35654.87965763182</v>
      </c>
    </row>
    <row r="20" spans="1:38" x14ac:dyDescent="0.3">
      <c r="C20" s="161" t="s">
        <v>1052</v>
      </c>
      <c r="E20" s="161" t="s">
        <v>1052</v>
      </c>
      <c r="F20" t="s">
        <v>1232</v>
      </c>
      <c r="G20" t="s">
        <v>1232</v>
      </c>
      <c r="H20" t="s">
        <v>1233</v>
      </c>
      <c r="I20" t="s">
        <v>1239</v>
      </c>
      <c r="J20" t="s">
        <v>1240</v>
      </c>
      <c r="K20" s="266">
        <f t="shared" si="0"/>
        <v>0.26441491471299089</v>
      </c>
      <c r="W20" s="178"/>
      <c r="X20" s="202">
        <f>VLOOKUP($C20,'MSET pivots'!$B$4:$H$14,$H$3,FALSE)*1000000*$I$2*'MSET pivots'!E$65</f>
        <v>8813.9626972293536</v>
      </c>
      <c r="Y20" s="202">
        <f>VLOOKUP($C20,'MSET pivots'!$B$4:$H$14,$H$3,FALSE)*1000000*$I$2*'MSET pivots'!F$65</f>
        <v>10073.062452034597</v>
      </c>
      <c r="Z20" s="202">
        <f>VLOOKUP($C20,'MSET pivots'!$B$4:$H$14,$H$3,FALSE)*1000000*$I$2*'MSET pivots'!G$65</f>
        <v>11332.162206839841</v>
      </c>
      <c r="AA20" s="202">
        <f>VLOOKUP($C20,'MSET pivots'!$B$4:$H$14,$H$3,FALSE)*1000000*$I$2*'MSET pivots'!H$65</f>
        <v>12591.261961645087</v>
      </c>
      <c r="AB20" s="202">
        <f>VLOOKUP($C20,'MSET pivots'!$B$4:$H$14,$H$3,FALSE)*1000000*$I$2*'MSET pivots'!I$65</f>
        <v>13850.36171645033</v>
      </c>
      <c r="AC20" s="202">
        <f>VLOOKUP($C20,'MSET pivots'!$B$4:$H$14,$H$3,FALSE)*1000000*$I$2*'MSET pivots'!J$65</f>
        <v>15109.461471255574</v>
      </c>
      <c r="AD20" s="202">
        <f>VLOOKUP($C20,'MSET pivots'!$B$4:$H$14,$H$3,FALSE)*1000000*$I$2*'MSET pivots'!K$65</f>
        <v>16368.56122606082</v>
      </c>
      <c r="AE20" s="202">
        <f>VLOOKUP($C20,'MSET pivots'!$B$4:$H$14,$H$3,FALSE)*1000000*$I$2*'MSET pivots'!L$65</f>
        <v>17627.660980866061</v>
      </c>
      <c r="AF20" s="202">
        <f>VLOOKUP($C20,'MSET pivots'!$B$4:$H$14,$H$3,FALSE)*1000000*$I$2*'MSET pivots'!M$65</f>
        <v>18886.760735671305</v>
      </c>
      <c r="AG20" s="202">
        <f>VLOOKUP($C20,'MSET pivots'!$B$4:$H$14,$H$3,FALSE)*1000000*$I$2*'MSET pivots'!N$65</f>
        <v>20145.860490476545</v>
      </c>
      <c r="AH20" s="202">
        <f>VLOOKUP($C20,'MSET pivots'!$B$4:$H$14,$H$3,FALSE)*1000000*$I$2*'MSET pivots'!O$65</f>
        <v>21404.960245281789</v>
      </c>
      <c r="AI20" s="202">
        <f>VLOOKUP($C20,'MSET pivots'!$B$4:$H$14,$H$3,FALSE)*1000000*$I$2*'MSET pivots'!P$65</f>
        <v>22664.060000087029</v>
      </c>
      <c r="AJ20" s="202">
        <f>VLOOKUP($C20,'MSET pivots'!$B$4:$H$14,$H$3,FALSE)*1000000*$I$2*'MSET pivots'!Q$65</f>
        <v>23923.159754892273</v>
      </c>
      <c r="AK20" s="202">
        <f>VLOOKUP($C20,'MSET pivots'!$B$4:$H$14,$H$3,FALSE)*1000000*$I$2*'MSET pivots'!R$65</f>
        <v>25182.259509697516</v>
      </c>
      <c r="AL20" s="202">
        <f>VLOOKUP($C20,'MSET pivots'!$B$4:$H$14,$H$3,FALSE)*1000000*$I$2*'MSET pivots'!S$65</f>
        <v>26441.359264502767</v>
      </c>
    </row>
    <row r="21" spans="1:38" x14ac:dyDescent="0.3">
      <c r="C21" s="161" t="s">
        <v>1052</v>
      </c>
      <c r="E21" s="161" t="s">
        <v>1052</v>
      </c>
      <c r="F21" t="s">
        <v>1232</v>
      </c>
      <c r="G21" t="s">
        <v>1232</v>
      </c>
      <c r="H21" t="s">
        <v>1255</v>
      </c>
      <c r="I21" t="s">
        <v>1256</v>
      </c>
      <c r="J21" t="s">
        <v>1240</v>
      </c>
      <c r="K21" s="266">
        <f t="shared" si="0"/>
        <v>0.26441491471299089</v>
      </c>
      <c r="W21" s="178"/>
      <c r="X21" s="202">
        <f>VLOOKUP($C21,'MSET pivots'!$B$4:$H$14,$H$3,FALSE)*1000000*$I$3*'MSET pivots'!E$65</f>
        <v>8813.9626972293536</v>
      </c>
      <c r="Y21" s="202">
        <f>VLOOKUP($C21,'MSET pivots'!$B$4:$H$14,$H$3,FALSE)*1000000*$I$3*'MSET pivots'!F$65</f>
        <v>10073.062452034597</v>
      </c>
      <c r="Z21" s="202">
        <f>VLOOKUP($C21,'MSET pivots'!$B$4:$H$14,$H$3,FALSE)*1000000*$I$3*'MSET pivots'!G$65</f>
        <v>11332.162206839841</v>
      </c>
      <c r="AA21" s="202">
        <f>VLOOKUP($C21,'MSET pivots'!$B$4:$H$14,$H$3,FALSE)*1000000*$I$3*'MSET pivots'!H$65</f>
        <v>12591.261961645087</v>
      </c>
      <c r="AB21" s="202">
        <f>VLOOKUP($C21,'MSET pivots'!$B$4:$H$14,$H$3,FALSE)*1000000*$I$3*'MSET pivots'!I$65</f>
        <v>13850.36171645033</v>
      </c>
      <c r="AC21" s="202">
        <f>VLOOKUP($C21,'MSET pivots'!$B$4:$H$14,$H$3,FALSE)*1000000*$I$3*'MSET pivots'!J$65</f>
        <v>15109.461471255574</v>
      </c>
      <c r="AD21" s="202">
        <f>VLOOKUP($C21,'MSET pivots'!$B$4:$H$14,$H$3,FALSE)*1000000*$I$3*'MSET pivots'!K$65</f>
        <v>16368.56122606082</v>
      </c>
      <c r="AE21" s="202">
        <f>VLOOKUP($C21,'MSET pivots'!$B$4:$H$14,$H$3,FALSE)*1000000*$I$3*'MSET pivots'!L$65</f>
        <v>17627.660980866061</v>
      </c>
      <c r="AF21" s="202">
        <f>VLOOKUP($C21,'MSET pivots'!$B$4:$H$14,$H$3,FALSE)*1000000*$I$3*'MSET pivots'!M$65</f>
        <v>18886.760735671305</v>
      </c>
      <c r="AG21" s="202">
        <f>VLOOKUP($C21,'MSET pivots'!$B$4:$H$14,$H$3,FALSE)*1000000*$I$3*'MSET pivots'!N$65</f>
        <v>20145.860490476545</v>
      </c>
      <c r="AH21" s="202">
        <f>VLOOKUP($C21,'MSET pivots'!$B$4:$H$14,$H$3,FALSE)*1000000*$I$3*'MSET pivots'!O$65</f>
        <v>21404.960245281789</v>
      </c>
      <c r="AI21" s="202">
        <f>VLOOKUP($C21,'MSET pivots'!$B$4:$H$14,$H$3,FALSE)*1000000*$I$3*'MSET pivots'!P$65</f>
        <v>22664.060000087029</v>
      </c>
      <c r="AJ21" s="202">
        <f>VLOOKUP($C21,'MSET pivots'!$B$4:$H$14,$H$3,FALSE)*1000000*$I$3*'MSET pivots'!Q$65</f>
        <v>23923.159754892273</v>
      </c>
      <c r="AK21" s="202">
        <f>VLOOKUP($C21,'MSET pivots'!$B$4:$H$14,$H$3,FALSE)*1000000*$I$3*'MSET pivots'!R$65</f>
        <v>25182.259509697516</v>
      </c>
      <c r="AL21" s="202">
        <f>VLOOKUP($C21,'MSET pivots'!$B$4:$H$14,$H$3,FALSE)*1000000*$I$3*'MSET pivots'!S$65</f>
        <v>26441.359264502767</v>
      </c>
    </row>
    <row r="22" spans="1:38" x14ac:dyDescent="0.3">
      <c r="B22" t="s">
        <v>653</v>
      </c>
      <c r="C22" t="s">
        <v>1021</v>
      </c>
      <c r="E22" t="s">
        <v>1021</v>
      </c>
      <c r="F22" t="s">
        <v>1232</v>
      </c>
      <c r="G22" t="s">
        <v>1232</v>
      </c>
      <c r="H22" t="s">
        <v>1233</v>
      </c>
      <c r="I22" t="s">
        <v>1239</v>
      </c>
      <c r="J22" t="s">
        <v>1240</v>
      </c>
      <c r="K22" s="266">
        <f t="shared" si="0"/>
        <v>0.32972889902234648</v>
      </c>
      <c r="W22" s="261">
        <f>'Preliminary results'!$C$31*1000000*I2</f>
        <v>902060.73048874759</v>
      </c>
      <c r="X22" s="202">
        <f>VLOOKUP($C22,'MSET pivots'!$B$4:$H$14,$H$3,FALSE)*1000000*$I$2*'MSET pivots'!E$65</f>
        <v>10991.128164370079</v>
      </c>
      <c r="Y22" s="202">
        <f>VLOOKUP($C22,'MSET pivots'!$B$4:$H$14,$H$3,FALSE)*1000000*$I$2*'MSET pivots'!F$65</f>
        <v>12561.24222681575</v>
      </c>
      <c r="Z22" s="202">
        <f>VLOOKUP($C22,'MSET pivots'!$B$4:$H$14,$H$3,FALSE)*1000000*$I$2*'MSET pivots'!G$65</f>
        <v>14131.356289261421</v>
      </c>
      <c r="AA22" s="202">
        <f>VLOOKUP($C22,'MSET pivots'!$B$4:$H$14,$H$3,FALSE)*1000000*$I$2*'MSET pivots'!H$65</f>
        <v>15701.47035170709</v>
      </c>
      <c r="AB22" s="202">
        <f>VLOOKUP($C22,'MSET pivots'!$B$4:$H$14,$H$3,FALSE)*1000000*$I$2*'MSET pivots'!I$65</f>
        <v>17271.584414152763</v>
      </c>
      <c r="AC22" s="202">
        <f>VLOOKUP($C22,'MSET pivots'!$B$4:$H$14,$H$3,FALSE)*1000000*$I$2*'MSET pivots'!J$65</f>
        <v>18841.698476598431</v>
      </c>
      <c r="AD22" s="202">
        <f>VLOOKUP($C22,'MSET pivots'!$B$4:$H$14,$H$3,FALSE)*1000000*$I$2*'MSET pivots'!K$65</f>
        <v>20411.812539044102</v>
      </c>
      <c r="AE22" s="202">
        <f>VLOOKUP($C22,'MSET pivots'!$B$4:$H$14,$H$3,FALSE)*1000000*$I$2*'MSET pivots'!L$65</f>
        <v>21981.926601489769</v>
      </c>
      <c r="AF22" s="202">
        <f>VLOOKUP($C22,'MSET pivots'!$B$4:$H$14,$H$3,FALSE)*1000000*$I$2*'MSET pivots'!M$65</f>
        <v>23552.040663935441</v>
      </c>
      <c r="AG22" s="202">
        <f>VLOOKUP($C22,'MSET pivots'!$B$4:$H$14,$H$3,FALSE)*1000000*$I$2*'MSET pivots'!N$65</f>
        <v>25122.154726381108</v>
      </c>
      <c r="AH22" s="202">
        <f>VLOOKUP($C22,'MSET pivots'!$B$4:$H$14,$H$3,FALSE)*1000000*$I$2*'MSET pivots'!O$65</f>
        <v>26692.268788826776</v>
      </c>
      <c r="AI22" s="202">
        <f>VLOOKUP($C22,'MSET pivots'!$B$4:$H$14,$H$3,FALSE)*1000000*$I$2*'MSET pivots'!P$65</f>
        <v>28262.382851272443</v>
      </c>
      <c r="AJ22" s="202">
        <f>VLOOKUP($C22,'MSET pivots'!$B$4:$H$14,$H$3,FALSE)*1000000*$I$2*'MSET pivots'!Q$65</f>
        <v>29832.496913718114</v>
      </c>
      <c r="AK22" s="202">
        <f>VLOOKUP($C22,'MSET pivots'!$B$4:$H$14,$H$3,FALSE)*1000000*$I$2*'MSET pivots'!R$65</f>
        <v>31402.610976163782</v>
      </c>
      <c r="AL22" s="202">
        <f>VLOOKUP($C22,'MSET pivots'!$B$4:$H$14,$H$3,FALSE)*1000000*$I$2*'MSET pivots'!S$65</f>
        <v>32972.72503860946</v>
      </c>
    </row>
    <row r="23" spans="1:38" x14ac:dyDescent="0.3">
      <c r="B23" t="s">
        <v>653</v>
      </c>
      <c r="C23" t="s">
        <v>1021</v>
      </c>
      <c r="E23" t="s">
        <v>1021</v>
      </c>
      <c r="F23" t="s">
        <v>1232</v>
      </c>
      <c r="G23" t="s">
        <v>1232</v>
      </c>
      <c r="H23" t="s">
        <v>1255</v>
      </c>
      <c r="I23" t="s">
        <v>1256</v>
      </c>
      <c r="J23" t="s">
        <v>1240</v>
      </c>
      <c r="K23" s="266">
        <f t="shared" si="0"/>
        <v>0.32972889902234648</v>
      </c>
      <c r="W23" s="261">
        <f>'Preliminary results'!$C$31*1000000*I3</f>
        <v>902060.73048874759</v>
      </c>
      <c r="X23" s="202">
        <f>VLOOKUP($C23,'MSET pivots'!$B$4:$H$14,$H$3,FALSE)*1000000*$I$3*'MSET pivots'!E$65</f>
        <v>10991.128164370079</v>
      </c>
      <c r="Y23" s="202">
        <f>VLOOKUP($C23,'MSET pivots'!$B$4:$H$14,$H$3,FALSE)*1000000*$I$3*'MSET pivots'!F$65</f>
        <v>12561.24222681575</v>
      </c>
      <c r="Z23" s="202">
        <f>VLOOKUP($C23,'MSET pivots'!$B$4:$H$14,$H$3,FALSE)*1000000*$I$3*'MSET pivots'!G$65</f>
        <v>14131.356289261421</v>
      </c>
      <c r="AA23" s="202">
        <f>VLOOKUP($C23,'MSET pivots'!$B$4:$H$14,$H$3,FALSE)*1000000*$I$3*'MSET pivots'!H$65</f>
        <v>15701.47035170709</v>
      </c>
      <c r="AB23" s="202">
        <f>VLOOKUP($C23,'MSET pivots'!$B$4:$H$14,$H$3,FALSE)*1000000*$I$3*'MSET pivots'!I$65</f>
        <v>17271.584414152763</v>
      </c>
      <c r="AC23" s="202">
        <f>VLOOKUP($C23,'MSET pivots'!$B$4:$H$14,$H$3,FALSE)*1000000*$I$3*'MSET pivots'!J$65</f>
        <v>18841.698476598431</v>
      </c>
      <c r="AD23" s="202">
        <f>VLOOKUP($C23,'MSET pivots'!$B$4:$H$14,$H$3,FALSE)*1000000*$I$3*'MSET pivots'!K$65</f>
        <v>20411.812539044102</v>
      </c>
      <c r="AE23" s="202">
        <f>VLOOKUP($C23,'MSET pivots'!$B$4:$H$14,$H$3,FALSE)*1000000*$I$3*'MSET pivots'!L$65</f>
        <v>21981.926601489769</v>
      </c>
      <c r="AF23" s="202">
        <f>VLOOKUP($C23,'MSET pivots'!$B$4:$H$14,$H$3,FALSE)*1000000*$I$3*'MSET pivots'!M$65</f>
        <v>23552.040663935441</v>
      </c>
      <c r="AG23" s="202">
        <f>VLOOKUP($C23,'MSET pivots'!$B$4:$H$14,$H$3,FALSE)*1000000*$I$3*'MSET pivots'!N$65</f>
        <v>25122.154726381108</v>
      </c>
      <c r="AH23" s="202">
        <f>VLOOKUP($C23,'MSET pivots'!$B$4:$H$14,$H$3,FALSE)*1000000*$I$3*'MSET pivots'!O$65</f>
        <v>26692.268788826776</v>
      </c>
      <c r="AI23" s="202">
        <f>VLOOKUP($C23,'MSET pivots'!$B$4:$H$14,$H$3,FALSE)*1000000*$I$3*'MSET pivots'!P$65</f>
        <v>28262.382851272443</v>
      </c>
      <c r="AJ23" s="202">
        <f>VLOOKUP($C23,'MSET pivots'!$B$4:$H$14,$H$3,FALSE)*1000000*$I$3*'MSET pivots'!Q$65</f>
        <v>29832.496913718114</v>
      </c>
      <c r="AK23" s="202">
        <f>VLOOKUP($C23,'MSET pivots'!$B$4:$H$14,$H$3,FALSE)*1000000*$I$3*'MSET pivots'!R$65</f>
        <v>31402.610976163782</v>
      </c>
      <c r="AL23" s="202">
        <f>VLOOKUP($C23,'MSET pivots'!$B$4:$H$14,$H$3,FALSE)*1000000*$I$3*'MSET pivots'!S$65</f>
        <v>32972.72503860946</v>
      </c>
    </row>
    <row r="24" spans="1:38" x14ac:dyDescent="0.3">
      <c r="A24" s="180"/>
      <c r="B24" s="180"/>
      <c r="C24" s="179" t="s">
        <v>1054</v>
      </c>
      <c r="D24" s="180"/>
      <c r="E24" s="179" t="s">
        <v>1054</v>
      </c>
      <c r="F24" s="180" t="s">
        <v>1232</v>
      </c>
      <c r="G24" s="180" t="s">
        <v>1232</v>
      </c>
      <c r="H24" s="180" t="s">
        <v>1255</v>
      </c>
      <c r="I24" s="180" t="s">
        <v>1256</v>
      </c>
      <c r="J24" s="181" t="s">
        <v>1234</v>
      </c>
      <c r="K24" s="231">
        <f t="shared" ref="K24:K29" si="1">SUM(X24:AL24)</f>
        <v>-2.7375815150524539E-4</v>
      </c>
      <c r="L24" s="180"/>
      <c r="M24" s="180"/>
      <c r="N24" s="180"/>
      <c r="O24" s="180"/>
      <c r="P24" s="180"/>
      <c r="Q24" s="180"/>
      <c r="R24" s="180"/>
      <c r="S24" s="180"/>
      <c r="T24" s="180"/>
      <c r="U24" s="180"/>
      <c r="V24" s="180"/>
      <c r="W24" s="180"/>
      <c r="X24" s="203">
        <f>VLOOKUP($C24,'MSET pivots'!$J$4:$P$14,'Final demand(2)'!$H$3,FALSE)*'MSET pivots'!E$65</f>
        <v>-9.1254085952328738E-6</v>
      </c>
      <c r="Y24" s="203">
        <f>VLOOKUP($C24,'MSET pivots'!$J$4:$P$14,'Final demand(2)'!$H$3,FALSE)*'MSET pivots'!F$65</f>
        <v>-1.0428999286440038E-5</v>
      </c>
      <c r="Z24" s="203">
        <f>VLOOKUP($C24,'MSET pivots'!$J$4:$P$14,'Final demand(2)'!$H$3,FALSE)*'MSET pivots'!G$65</f>
        <v>-1.1732589977647203E-5</v>
      </c>
      <c r="AA24" s="203">
        <f>VLOOKUP($C24,'MSET pivots'!$J$4:$P$14,'Final demand(2)'!$H$3,FALSE)*'MSET pivots'!H$65</f>
        <v>-1.3036180668854369E-5</v>
      </c>
      <c r="AB24" s="203">
        <f>VLOOKUP($C24,'MSET pivots'!$J$4:$P$14,'Final demand(2)'!$H$3,FALSE)*'MSET pivots'!I$65</f>
        <v>-1.4339771360061532E-5</v>
      </c>
      <c r="AC24" s="203">
        <f>VLOOKUP($C24,'MSET pivots'!$J$4:$P$14,'Final demand(2)'!$H$3,FALSE)*'MSET pivots'!J$65</f>
        <v>-1.5643362051268698E-5</v>
      </c>
      <c r="AD24" s="203">
        <f>VLOOKUP($C24,'MSET pivots'!$J$4:$P$14,'Final demand(2)'!$H$3,FALSE)*'MSET pivots'!K$65</f>
        <v>-1.6946952742475862E-5</v>
      </c>
      <c r="AE24" s="203">
        <f>VLOOKUP($C24,'MSET pivots'!$J$4:$P$14,'Final demand(2)'!$H$3,FALSE)*'MSET pivots'!L$65</f>
        <v>-1.8250543433683026E-5</v>
      </c>
      <c r="AF24" s="203">
        <f>VLOOKUP($C24,'MSET pivots'!$J$4:$P$14,'Final demand(2)'!$H$3,FALSE)*'MSET pivots'!M$65</f>
        <v>-1.955413412489019E-5</v>
      </c>
      <c r="AG24" s="203">
        <f>VLOOKUP($C24,'MSET pivots'!$J$4:$P$14,'Final demand(2)'!$H$3,FALSE)*'MSET pivots'!N$65</f>
        <v>-2.085772481609735E-5</v>
      </c>
      <c r="AH24" s="203">
        <f>VLOOKUP($C24,'MSET pivots'!$J$4:$P$14,'Final demand(2)'!$H$3,FALSE)*'MSET pivots'!O$65</f>
        <v>-2.2161315507304514E-5</v>
      </c>
      <c r="AI24" s="203">
        <f>VLOOKUP($C24,'MSET pivots'!$J$4:$P$14,'Final demand(2)'!$H$3,FALSE)*'MSET pivots'!P$65</f>
        <v>-2.3464906198511678E-5</v>
      </c>
      <c r="AJ24" s="203">
        <f>VLOOKUP($C24,'MSET pivots'!$J$4:$P$14,'Final demand(2)'!$H$3,FALSE)*'MSET pivots'!Q$65</f>
        <v>-2.4768496889718841E-5</v>
      </c>
      <c r="AK24" s="203">
        <f>VLOOKUP($C24,'MSET pivots'!$J$4:$P$14,'Final demand(2)'!$H$3,FALSE)*'MSET pivots'!R$65</f>
        <v>-2.6072087580926002E-5</v>
      </c>
      <c r="AL24" s="203">
        <f>VLOOKUP($C24,'MSET pivots'!$J$4:$P$14,'Final demand(2)'!$H$3,FALSE)*'MSET pivots'!S$65</f>
        <v>-2.7375678272133176E-5</v>
      </c>
    </row>
    <row r="25" spans="1:38" x14ac:dyDescent="0.3">
      <c r="A25" s="180"/>
      <c r="B25" s="180"/>
      <c r="C25" s="179" t="s">
        <v>1011</v>
      </c>
      <c r="D25" s="180"/>
      <c r="E25" s="179" t="s">
        <v>1011</v>
      </c>
      <c r="F25" s="180" t="s">
        <v>1232</v>
      </c>
      <c r="G25" s="180" t="s">
        <v>1232</v>
      </c>
      <c r="H25" s="180" t="s">
        <v>1255</v>
      </c>
      <c r="I25" s="180" t="s">
        <v>1256</v>
      </c>
      <c r="J25" s="181" t="s">
        <v>1234</v>
      </c>
      <c r="K25" s="231">
        <f t="shared" si="1"/>
        <v>-1.4098549735446847E-4</v>
      </c>
      <c r="L25" s="180"/>
      <c r="M25" s="180"/>
      <c r="N25" s="180"/>
      <c r="O25" s="180"/>
      <c r="P25" s="180"/>
      <c r="Q25" s="180"/>
      <c r="R25" s="180"/>
      <c r="S25" s="180"/>
      <c r="T25" s="180"/>
      <c r="U25" s="180"/>
      <c r="V25" s="180"/>
      <c r="W25" s="180"/>
      <c r="X25" s="203">
        <f>VLOOKUP($C25,'MSET pivots'!$J$4:$P$14,'Final demand(2)'!$H$3,FALSE)*'MSET pivots'!E$65</f>
        <v>-4.6995870708784974E-6</v>
      </c>
      <c r="Y25" s="203">
        <f>VLOOKUP($C25,'MSET pivots'!$J$4:$P$14,'Final demand(2)'!$H$3,FALSE)*'MSET pivots'!F$65</f>
        <v>-5.3709365117479357E-6</v>
      </c>
      <c r="Z25" s="203">
        <f>VLOOKUP($C25,'MSET pivots'!$J$4:$P$14,'Final demand(2)'!$H$3,FALSE)*'MSET pivots'!G$65</f>
        <v>-6.042285952617374E-6</v>
      </c>
      <c r="AA25" s="203">
        <f>VLOOKUP($C25,'MSET pivots'!$J$4:$P$14,'Final demand(2)'!$H$3,FALSE)*'MSET pivots'!H$65</f>
        <v>-6.7136353934868122E-6</v>
      </c>
      <c r="AB25" s="203">
        <f>VLOOKUP($C25,'MSET pivots'!$J$4:$P$14,'Final demand(2)'!$H$3,FALSE)*'MSET pivots'!I$65</f>
        <v>-7.3849848343562505E-6</v>
      </c>
      <c r="AC25" s="203">
        <f>VLOOKUP($C25,'MSET pivots'!$J$4:$P$14,'Final demand(2)'!$H$3,FALSE)*'MSET pivots'!J$65</f>
        <v>-8.0563342752256896E-6</v>
      </c>
      <c r="AD25" s="203">
        <f>VLOOKUP($C25,'MSET pivots'!$J$4:$P$14,'Final demand(2)'!$H$3,FALSE)*'MSET pivots'!K$65</f>
        <v>-8.7276837160951278E-6</v>
      </c>
      <c r="AE25" s="203">
        <f>VLOOKUP($C25,'MSET pivots'!$J$4:$P$14,'Final demand(2)'!$H$3,FALSE)*'MSET pivots'!L$65</f>
        <v>-9.3990331569645644E-6</v>
      </c>
      <c r="AF25" s="203">
        <f>VLOOKUP($C25,'MSET pivots'!$J$4:$P$14,'Final demand(2)'!$H$3,FALSE)*'MSET pivots'!M$65</f>
        <v>-1.0070382597834003E-5</v>
      </c>
      <c r="AG25" s="203">
        <f>VLOOKUP($C25,'MSET pivots'!$J$4:$P$14,'Final demand(2)'!$H$3,FALSE)*'MSET pivots'!N$65</f>
        <v>-1.0741732038703439E-5</v>
      </c>
      <c r="AH25" s="203">
        <f>VLOOKUP($C25,'MSET pivots'!$J$4:$P$14,'Final demand(2)'!$H$3,FALSE)*'MSET pivots'!O$65</f>
        <v>-1.1413081479572876E-5</v>
      </c>
      <c r="AI25" s="203">
        <f>VLOOKUP($C25,'MSET pivots'!$J$4:$P$14,'Final demand(2)'!$H$3,FALSE)*'MSET pivots'!P$65</f>
        <v>-1.2084430920442314E-5</v>
      </c>
      <c r="AJ25" s="203">
        <f>VLOOKUP($C25,'MSET pivots'!$J$4:$P$14,'Final demand(2)'!$H$3,FALSE)*'MSET pivots'!Q$65</f>
        <v>-1.2755780361311751E-5</v>
      </c>
      <c r="AK25" s="203">
        <f>VLOOKUP($C25,'MSET pivots'!$J$4:$P$14,'Final demand(2)'!$H$3,FALSE)*'MSET pivots'!R$65</f>
        <v>-1.3427129802181189E-5</v>
      </c>
      <c r="AL25" s="203">
        <f>VLOOKUP($C25,'MSET pivots'!$J$4:$P$14,'Final demand(2)'!$H$3,FALSE)*'MSET pivots'!S$65</f>
        <v>-1.4098479243050632E-5</v>
      </c>
    </row>
    <row r="26" spans="1:38" x14ac:dyDescent="0.3">
      <c r="A26" s="180"/>
      <c r="B26" s="180"/>
      <c r="C26" s="179" t="s">
        <v>1053</v>
      </c>
      <c r="D26" s="180"/>
      <c r="E26" s="179" t="s">
        <v>1053</v>
      </c>
      <c r="F26" s="180" t="s">
        <v>1232</v>
      </c>
      <c r="G26" s="180" t="s">
        <v>1232</v>
      </c>
      <c r="H26" s="180" t="s">
        <v>1255</v>
      </c>
      <c r="I26" s="180" t="s">
        <v>1256</v>
      </c>
      <c r="J26" s="181" t="s">
        <v>1234</v>
      </c>
      <c r="K26" s="231">
        <f t="shared" si="1"/>
        <v>-2.9291557121032658E-4</v>
      </c>
      <c r="L26" s="180"/>
      <c r="M26" s="180"/>
      <c r="N26" s="180"/>
      <c r="O26" s="180"/>
      <c r="P26" s="180"/>
      <c r="Q26" s="180"/>
      <c r="R26" s="180"/>
      <c r="S26" s="180"/>
      <c r="T26" s="180"/>
      <c r="U26" s="180"/>
      <c r="V26" s="180"/>
      <c r="W26" s="180"/>
      <c r="X26" s="203">
        <f>VLOOKUP($C26,'MSET pivots'!$J$4:$P$14,'Final demand(2)'!$H$3,FALSE)*'MSET pivots'!E$65</f>
        <v>-9.7639988307308728E-6</v>
      </c>
      <c r="Y26" s="203">
        <f>VLOOKUP($C26,'MSET pivots'!$J$4:$P$14,'Final demand(2)'!$H$3,FALSE)*'MSET pivots'!F$65</f>
        <v>-1.1158813961677193E-5</v>
      </c>
      <c r="Z26" s="203">
        <f>VLOOKUP($C26,'MSET pivots'!$J$4:$P$14,'Final demand(2)'!$H$3,FALSE)*'MSET pivots'!G$65</f>
        <v>-1.2553629092623511E-5</v>
      </c>
      <c r="AA26" s="203">
        <f>VLOOKUP($C26,'MSET pivots'!$J$4:$P$14,'Final demand(2)'!$H$3,FALSE)*'MSET pivots'!H$65</f>
        <v>-1.3948444223569831E-5</v>
      </c>
      <c r="AB26" s="203">
        <f>VLOOKUP($C26,'MSET pivots'!$J$4:$P$14,'Final demand(2)'!$H$3,FALSE)*'MSET pivots'!I$65</f>
        <v>-1.534325935451615E-5</v>
      </c>
      <c r="AC26" s="203">
        <f>VLOOKUP($C26,'MSET pivots'!$J$4:$P$14,'Final demand(2)'!$H$3,FALSE)*'MSET pivots'!J$65</f>
        <v>-1.673807448546247E-5</v>
      </c>
      <c r="AD26" s="203">
        <f>VLOOKUP($C26,'MSET pivots'!$J$4:$P$14,'Final demand(2)'!$H$3,FALSE)*'MSET pivots'!K$65</f>
        <v>-1.813288961640879E-5</v>
      </c>
      <c r="AE26" s="203">
        <f>VLOOKUP($C26,'MSET pivots'!$J$4:$P$14,'Final demand(2)'!$H$3,FALSE)*'MSET pivots'!L$65</f>
        <v>-1.9527704747355106E-5</v>
      </c>
      <c r="AF26" s="203">
        <f>VLOOKUP($C26,'MSET pivots'!$J$4:$P$14,'Final demand(2)'!$H$3,FALSE)*'MSET pivots'!M$65</f>
        <v>-2.0922519878301423E-5</v>
      </c>
      <c r="AG26" s="203">
        <f>VLOOKUP($C26,'MSET pivots'!$J$4:$P$14,'Final demand(2)'!$H$3,FALSE)*'MSET pivots'!N$65</f>
        <v>-2.2317335009247739E-5</v>
      </c>
      <c r="AH26" s="203">
        <f>VLOOKUP($C26,'MSET pivots'!$J$4:$P$14,'Final demand(2)'!$H$3,FALSE)*'MSET pivots'!O$65</f>
        <v>-2.3712150140194059E-5</v>
      </c>
      <c r="AI26" s="203">
        <f>VLOOKUP($C26,'MSET pivots'!$J$4:$P$14,'Final demand(2)'!$H$3,FALSE)*'MSET pivots'!P$65</f>
        <v>-2.5106965271140376E-5</v>
      </c>
      <c r="AJ26" s="203">
        <f>VLOOKUP($C26,'MSET pivots'!$J$4:$P$14,'Final demand(2)'!$H$3,FALSE)*'MSET pivots'!Q$65</f>
        <v>-2.6501780402086692E-5</v>
      </c>
      <c r="AK26" s="203">
        <f>VLOOKUP($C26,'MSET pivots'!$J$4:$P$14,'Final demand(2)'!$H$3,FALSE)*'MSET pivots'!R$65</f>
        <v>-2.7896595533033009E-5</v>
      </c>
      <c r="AL26" s="203">
        <f>VLOOKUP($C26,'MSET pivots'!$J$4:$P$14,'Final demand(2)'!$H$3,FALSE)*'MSET pivots'!S$65</f>
        <v>-2.9291410663979339E-5</v>
      </c>
    </row>
    <row r="27" spans="1:38" x14ac:dyDescent="0.3">
      <c r="A27" s="180"/>
      <c r="B27" s="180" t="s">
        <v>317</v>
      </c>
      <c r="C27" s="180" t="s">
        <v>1046</v>
      </c>
      <c r="D27" s="180"/>
      <c r="E27" s="180" t="s">
        <v>1046</v>
      </c>
      <c r="F27" s="180" t="s">
        <v>1232</v>
      </c>
      <c r="G27" s="180" t="s">
        <v>1232</v>
      </c>
      <c r="H27" s="180" t="s">
        <v>1255</v>
      </c>
      <c r="I27" s="180" t="s">
        <v>1256</v>
      </c>
      <c r="J27" s="181" t="s">
        <v>1234</v>
      </c>
      <c r="K27" s="231">
        <f t="shared" si="1"/>
        <v>-2.1328803964283519E-4</v>
      </c>
      <c r="L27" s="180"/>
      <c r="M27" s="180"/>
      <c r="N27" s="180"/>
      <c r="O27" s="180"/>
      <c r="P27" s="180"/>
      <c r="Q27" s="180"/>
      <c r="R27" s="180"/>
      <c r="S27" s="180"/>
      <c r="T27" s="180"/>
      <c r="U27" s="180"/>
      <c r="V27" s="180"/>
      <c r="W27" s="204">
        <f>('Preliminary results'!$C$31)/'Baseline govt spend'!$E$51</f>
        <v>6.6729533221219594E-4</v>
      </c>
      <c r="X27" s="203">
        <f>VLOOKUP($C27,'MSET pivots'!$J$4:$P$14,'Final demand(2)'!$H$3,FALSE)*'MSET pivots'!E$65</f>
        <v>-7.1097079649144445E-6</v>
      </c>
      <c r="Y27" s="203">
        <f>VLOOKUP($C27,'MSET pivots'!$J$4:$P$14,'Final demand(2)'!$H$3,FALSE)*'MSET pivots'!F$65</f>
        <v>-8.125350061763193E-6</v>
      </c>
      <c r="Z27" s="203">
        <f>VLOOKUP($C27,'MSET pivots'!$J$4:$P$14,'Final demand(2)'!$H$3,FALSE)*'MSET pivots'!G$65</f>
        <v>-9.1409921586119414E-6</v>
      </c>
      <c r="AA27" s="203">
        <f>VLOOKUP($C27,'MSET pivots'!$J$4:$P$14,'Final demand(2)'!$H$3,FALSE)*'MSET pivots'!H$65</f>
        <v>-1.015663425546069E-5</v>
      </c>
      <c r="AB27" s="203">
        <f>VLOOKUP($C27,'MSET pivots'!$J$4:$P$14,'Final demand(2)'!$H$3,FALSE)*'MSET pivots'!I$65</f>
        <v>-1.1172276352309437E-5</v>
      </c>
      <c r="AC27" s="203">
        <f>VLOOKUP($C27,'MSET pivots'!$J$4:$P$14,'Final demand(2)'!$H$3,FALSE)*'MSET pivots'!J$65</f>
        <v>-1.2187918449158185E-5</v>
      </c>
      <c r="AD27" s="203">
        <f>VLOOKUP($C27,'MSET pivots'!$J$4:$P$14,'Final demand(2)'!$H$3,FALSE)*'MSET pivots'!K$65</f>
        <v>-1.3203560546006934E-5</v>
      </c>
      <c r="AE27" s="203">
        <f>VLOOKUP($C27,'MSET pivots'!$J$4:$P$14,'Final demand(2)'!$H$3,FALSE)*'MSET pivots'!L$65</f>
        <v>-1.4219202642855681E-5</v>
      </c>
      <c r="AF27" s="203">
        <f>VLOOKUP($C27,'MSET pivots'!$J$4:$P$14,'Final demand(2)'!$H$3,FALSE)*'MSET pivots'!M$65</f>
        <v>-1.5234844739704427E-5</v>
      </c>
      <c r="AG27" s="203">
        <f>VLOOKUP($C27,'MSET pivots'!$J$4:$P$14,'Final demand(2)'!$H$3,FALSE)*'MSET pivots'!N$65</f>
        <v>-1.6250486836553176E-5</v>
      </c>
      <c r="AH27" s="203">
        <f>VLOOKUP($C27,'MSET pivots'!$J$4:$P$14,'Final demand(2)'!$H$3,FALSE)*'MSET pivots'!O$65</f>
        <v>-1.7266128933401923E-5</v>
      </c>
      <c r="AI27" s="203">
        <f>VLOOKUP($C27,'MSET pivots'!$J$4:$P$14,'Final demand(2)'!$H$3,FALSE)*'MSET pivots'!P$65</f>
        <v>-1.8281771030250669E-5</v>
      </c>
      <c r="AJ27" s="203">
        <f>VLOOKUP($C27,'MSET pivots'!$J$4:$P$14,'Final demand(2)'!$H$3,FALSE)*'MSET pivots'!Q$65</f>
        <v>-1.9297413127099416E-5</v>
      </c>
      <c r="AK27" s="203">
        <f>VLOOKUP($C27,'MSET pivots'!$J$4:$P$14,'Final demand(2)'!$H$3,FALSE)*'MSET pivots'!R$65</f>
        <v>-2.0313055223948163E-5</v>
      </c>
      <c r="AL27" s="203">
        <f>VLOOKUP($C27,'MSET pivots'!$J$4:$P$14,'Final demand(2)'!$H$3,FALSE)*'MSET pivots'!S$65</f>
        <v>-2.1328697320796917E-5</v>
      </c>
    </row>
    <row r="28" spans="1:38" x14ac:dyDescent="0.3">
      <c r="A28" s="180"/>
      <c r="B28" s="180"/>
      <c r="C28" s="179" t="s">
        <v>1056</v>
      </c>
      <c r="D28" s="180"/>
      <c r="E28" s="179" t="s">
        <v>1056</v>
      </c>
      <c r="F28" s="180" t="s">
        <v>1232</v>
      </c>
      <c r="G28" s="180" t="s">
        <v>1232</v>
      </c>
      <c r="H28" s="180" t="s">
        <v>1255</v>
      </c>
      <c r="I28" s="180" t="s">
        <v>1256</v>
      </c>
      <c r="J28" s="181" t="s">
        <v>1234</v>
      </c>
      <c r="K28" s="231">
        <f t="shared" si="1"/>
        <v>-7.4304333819656622E-5</v>
      </c>
      <c r="L28" s="180"/>
      <c r="M28" s="180"/>
      <c r="N28" s="180"/>
      <c r="O28" s="180"/>
      <c r="P28" s="180"/>
      <c r="Q28" s="180"/>
      <c r="R28" s="180"/>
      <c r="S28" s="180"/>
      <c r="T28" s="180"/>
      <c r="U28" s="180"/>
      <c r="V28" s="180"/>
      <c r="W28" s="180"/>
      <c r="X28" s="203">
        <f>VLOOKUP($C28,'MSET pivots'!$J$4:$P$14,'Final demand(2)'!$H$3,FALSE)*'MSET pivots'!E$65</f>
        <v>-2.476848279303038E-6</v>
      </c>
      <c r="Y28" s="203">
        <f>VLOOKUP($C28,'MSET pivots'!$J$4:$P$14,'Final demand(2)'!$H$3,FALSE)*'MSET pivots'!F$65</f>
        <v>-2.8306731329231437E-6</v>
      </c>
      <c r="Z28" s="203">
        <f>VLOOKUP($C28,'MSET pivots'!$J$4:$P$14,'Final demand(2)'!$H$3,FALSE)*'MSET pivots'!G$65</f>
        <v>-3.1844979865432491E-6</v>
      </c>
      <c r="AA28" s="203">
        <f>VLOOKUP($C28,'MSET pivots'!$J$4:$P$14,'Final demand(2)'!$H$3,FALSE)*'MSET pivots'!H$65</f>
        <v>-3.5383228401633545E-6</v>
      </c>
      <c r="AB28" s="203">
        <f>VLOOKUP($C28,'MSET pivots'!$J$4:$P$14,'Final demand(2)'!$H$3,FALSE)*'MSET pivots'!I$65</f>
        <v>-3.8921476937834602E-6</v>
      </c>
      <c r="AC28" s="203">
        <f>VLOOKUP($C28,'MSET pivots'!$J$4:$P$14,'Final demand(2)'!$H$3,FALSE)*'MSET pivots'!J$65</f>
        <v>-4.2459725474035656E-6</v>
      </c>
      <c r="AD28" s="203">
        <f>VLOOKUP($C28,'MSET pivots'!$J$4:$P$14,'Final demand(2)'!$H$3,FALSE)*'MSET pivots'!K$65</f>
        <v>-4.599797401023671E-6</v>
      </c>
      <c r="AE28" s="203">
        <f>VLOOKUP($C28,'MSET pivots'!$J$4:$P$14,'Final demand(2)'!$H$3,FALSE)*'MSET pivots'!L$65</f>
        <v>-4.9536222546437763E-6</v>
      </c>
      <c r="AF28" s="203">
        <f>VLOOKUP($C28,'MSET pivots'!$J$4:$P$14,'Final demand(2)'!$H$3,FALSE)*'MSET pivots'!M$65</f>
        <v>-5.3074471082638808E-6</v>
      </c>
      <c r="AG28" s="203">
        <f>VLOOKUP($C28,'MSET pivots'!$J$4:$P$14,'Final demand(2)'!$H$3,FALSE)*'MSET pivots'!N$65</f>
        <v>-5.6612719618839862E-6</v>
      </c>
      <c r="AH28" s="203">
        <f>VLOOKUP($C28,'MSET pivots'!$J$4:$P$14,'Final demand(2)'!$H$3,FALSE)*'MSET pivots'!O$65</f>
        <v>-6.0150968155040915E-6</v>
      </c>
      <c r="AI28" s="203">
        <f>VLOOKUP($C28,'MSET pivots'!$J$4:$P$14,'Final demand(2)'!$H$3,FALSE)*'MSET pivots'!P$65</f>
        <v>-6.3689216691241961E-6</v>
      </c>
      <c r="AJ28" s="203">
        <f>VLOOKUP($C28,'MSET pivots'!$J$4:$P$14,'Final demand(2)'!$H$3,FALSE)*'MSET pivots'!Q$65</f>
        <v>-6.7227465227443014E-6</v>
      </c>
      <c r="AK28" s="203">
        <f>VLOOKUP($C28,'MSET pivots'!$J$4:$P$14,'Final demand(2)'!$H$3,FALSE)*'MSET pivots'!R$65</f>
        <v>-7.0765713763644059E-6</v>
      </c>
      <c r="AL28" s="203">
        <f>VLOOKUP($C28,'MSET pivots'!$J$4:$P$14,'Final demand(2)'!$H$3,FALSE)*'MSET pivots'!S$65</f>
        <v>-7.4303962299845138E-6</v>
      </c>
    </row>
    <row r="29" spans="1:38" x14ac:dyDescent="0.3">
      <c r="A29" s="180"/>
      <c r="B29" s="180"/>
      <c r="C29" s="179" t="s">
        <v>861</v>
      </c>
      <c r="D29" s="180"/>
      <c r="E29" s="179" t="s">
        <v>861</v>
      </c>
      <c r="F29" s="180" t="s">
        <v>1232</v>
      </c>
      <c r="G29" s="180" t="s">
        <v>1232</v>
      </c>
      <c r="H29" s="180" t="s">
        <v>1255</v>
      </c>
      <c r="I29" s="180" t="s">
        <v>1256</v>
      </c>
      <c r="J29" s="181" t="s">
        <v>1234</v>
      </c>
      <c r="K29" s="231">
        <f t="shared" si="1"/>
        <v>-5.9204866637466256E-4</v>
      </c>
      <c r="L29" s="180"/>
      <c r="M29" s="180"/>
      <c r="N29" s="180"/>
      <c r="O29" s="180"/>
      <c r="P29" s="180"/>
      <c r="Q29" s="180"/>
      <c r="R29" s="180"/>
      <c r="S29" s="180"/>
      <c r="T29" s="180"/>
      <c r="U29" s="180"/>
      <c r="V29" s="180"/>
      <c r="W29" s="180"/>
      <c r="X29" s="203">
        <f>VLOOKUP($C29,'MSET pivots'!$J$4:$P$14,'Final demand(2)'!$H$3,FALSE)*'MSET pivots'!E$65</f>
        <v>-1.9735251568675163E-5</v>
      </c>
      <c r="Y29" s="203">
        <f>VLOOKUP($C29,'MSET pivots'!$J$4:$P$14,'Final demand(2)'!$H$3,FALSE)*'MSET pivots'!F$65</f>
        <v>-2.2554488643385023E-5</v>
      </c>
      <c r="Z29" s="203">
        <f>VLOOKUP($C29,'MSET pivots'!$J$4:$P$14,'Final demand(2)'!$H$3,FALSE)*'MSET pivots'!G$65</f>
        <v>-2.5373725718094884E-5</v>
      </c>
      <c r="AA29" s="203">
        <f>VLOOKUP($C29,'MSET pivots'!$J$4:$P$14,'Final demand(2)'!$H$3,FALSE)*'MSET pivots'!H$65</f>
        <v>-2.8192962792804745E-5</v>
      </c>
      <c r="AB29" s="203">
        <f>VLOOKUP($C29,'MSET pivots'!$J$4:$P$14,'Final demand(2)'!$H$3,FALSE)*'MSET pivots'!I$65</f>
        <v>-3.1012199867514602E-5</v>
      </c>
      <c r="AC29" s="203">
        <f>VLOOKUP($C29,'MSET pivots'!$J$4:$P$14,'Final demand(2)'!$H$3,FALSE)*'MSET pivots'!J$65</f>
        <v>-3.3831436942224463E-5</v>
      </c>
      <c r="AD29" s="203">
        <f>VLOOKUP($C29,'MSET pivots'!$J$4:$P$14,'Final demand(2)'!$H$3,FALSE)*'MSET pivots'!K$65</f>
        <v>-3.6650674016934323E-5</v>
      </c>
      <c r="AE29" s="203">
        <f>VLOOKUP($C29,'MSET pivots'!$J$4:$P$14,'Final demand(2)'!$H$3,FALSE)*'MSET pivots'!L$65</f>
        <v>-3.9469911091644177E-5</v>
      </c>
      <c r="AF29" s="203">
        <f>VLOOKUP($C29,'MSET pivots'!$J$4:$P$14,'Final demand(2)'!$H$3,FALSE)*'MSET pivots'!M$65</f>
        <v>-4.2289148166354038E-5</v>
      </c>
      <c r="AG29" s="203">
        <f>VLOOKUP($C29,'MSET pivots'!$J$4:$P$14,'Final demand(2)'!$H$3,FALSE)*'MSET pivots'!N$65</f>
        <v>-4.5108385241063892E-5</v>
      </c>
      <c r="AH29" s="203">
        <f>VLOOKUP($C29,'MSET pivots'!$J$4:$P$14,'Final demand(2)'!$H$3,FALSE)*'MSET pivots'!O$65</f>
        <v>-4.7927622315773746E-5</v>
      </c>
      <c r="AI29" s="203">
        <f>VLOOKUP($C29,'MSET pivots'!$J$4:$P$14,'Final demand(2)'!$H$3,FALSE)*'MSET pivots'!P$65</f>
        <v>-5.0746859390483606E-5</v>
      </c>
      <c r="AJ29" s="203">
        <f>VLOOKUP($C29,'MSET pivots'!$J$4:$P$14,'Final demand(2)'!$H$3,FALSE)*'MSET pivots'!Q$65</f>
        <v>-5.356609646519346E-5</v>
      </c>
      <c r="AK29" s="203">
        <f>VLOOKUP($C29,'MSET pivots'!$J$4:$P$14,'Final demand(2)'!$H$3,FALSE)*'MSET pivots'!R$65</f>
        <v>-5.6385333539903314E-5</v>
      </c>
      <c r="AL29" s="203">
        <f>VLOOKUP($C29,'MSET pivots'!$J$4:$P$14,'Final demand(2)'!$H$3,FALSE)*'MSET pivots'!S$65</f>
        <v>-5.9204570614613195E-5</v>
      </c>
    </row>
    <row r="30" spans="1:38" x14ac:dyDescent="0.3">
      <c r="J30" s="172"/>
    </row>
    <row r="31" spans="1:38" x14ac:dyDescent="0.3">
      <c r="J31" s="172"/>
    </row>
    <row r="32" spans="1:38" x14ac:dyDescent="0.3">
      <c r="J32" s="172"/>
    </row>
    <row r="33" spans="7:10" x14ac:dyDescent="0.3">
      <c r="J33" s="172"/>
    </row>
    <row r="34" spans="7:10" x14ac:dyDescent="0.3">
      <c r="J34" s="172"/>
    </row>
    <row r="35" spans="7:10" x14ac:dyDescent="0.3">
      <c r="G35" s="94"/>
      <c r="J35" s="172"/>
    </row>
    <row r="36" spans="7:10" x14ac:dyDescent="0.3">
      <c r="G36" s="94"/>
      <c r="J36" s="172"/>
    </row>
    <row r="37" spans="7:10" x14ac:dyDescent="0.3">
      <c r="G37" s="94"/>
      <c r="J37" s="172"/>
    </row>
    <row r="38" spans="7:10" x14ac:dyDescent="0.3">
      <c r="G38" s="94"/>
      <c r="J38" s="172"/>
    </row>
    <row r="39" spans="7:10" x14ac:dyDescent="0.3">
      <c r="G39" s="94"/>
      <c r="J39" s="172"/>
    </row>
    <row r="40" spans="7:10" x14ac:dyDescent="0.3">
      <c r="G40" s="94"/>
      <c r="J40" s="172"/>
    </row>
    <row r="41" spans="7:10" x14ac:dyDescent="0.3">
      <c r="G41" s="94"/>
      <c r="J41" s="172"/>
    </row>
    <row r="42" spans="7:10" x14ac:dyDescent="0.3">
      <c r="G42" t="str">
        <f>_xlfn.IFNA(INDEX('[1]Sector list'!$A$2:$A$122,MATCH(F42,'[1]Sector list'!$B$2:$B$122,0)),"")</f>
        <v/>
      </c>
      <c r="I42" t="str">
        <f>_xlfn.IFNA(INDEX('[1]FD list'!$A$2:$A$122,MATCH(H42,'[1]FD list'!$B$2:$B$122,0)),"")</f>
        <v/>
      </c>
      <c r="J42" s="172"/>
    </row>
    <row r="43" spans="7:10" x14ac:dyDescent="0.3">
      <c r="G43" t="str">
        <f>_xlfn.IFNA(INDEX('[1]Sector list'!$A$2:$A$122,MATCH(F43,'[1]Sector list'!$B$2:$B$122,0)),"")</f>
        <v/>
      </c>
      <c r="I43" t="str">
        <f>_xlfn.IFNA(INDEX('[1]FD list'!$A$2:$A$122,MATCH(H43,'[1]FD list'!$B$2:$B$122,0)),"")</f>
        <v/>
      </c>
      <c r="J43" s="172"/>
    </row>
    <row r="44" spans="7:10" x14ac:dyDescent="0.3">
      <c r="G44" t="str">
        <f>_xlfn.IFNA(INDEX('[1]Sector list'!$A$2:$A$122,MATCH(F44,'[1]Sector list'!$B$2:$B$122,0)),"")</f>
        <v/>
      </c>
      <c r="I44" t="str">
        <f>_xlfn.IFNA(INDEX('[1]FD list'!$A$2:$A$122,MATCH(H44,'[1]FD list'!$B$2:$B$122,0)),"")</f>
        <v/>
      </c>
      <c r="J44" s="172"/>
    </row>
    <row r="45" spans="7:10" x14ac:dyDescent="0.3">
      <c r="G45" t="str">
        <f>_xlfn.IFNA(INDEX('[1]Sector list'!$A$2:$A$122,MATCH(F45,'[1]Sector list'!$B$2:$B$122,0)),"")</f>
        <v/>
      </c>
      <c r="I45" t="str">
        <f>_xlfn.IFNA(INDEX('[1]FD list'!$A$2:$A$122,MATCH(H45,'[1]FD list'!$B$2:$B$122,0)),"")</f>
        <v/>
      </c>
      <c r="J45" s="172"/>
    </row>
    <row r="46" spans="7:10" x14ac:dyDescent="0.3">
      <c r="G46" t="str">
        <f>_xlfn.IFNA(INDEX('[1]Sector list'!$A$2:$A$122,MATCH(F46,'[1]Sector list'!$B$2:$B$122,0)),"")</f>
        <v/>
      </c>
      <c r="I46" t="str">
        <f>_xlfn.IFNA(INDEX('[1]FD list'!$A$2:$A$122,MATCH(H46,'[1]FD list'!$B$2:$B$122,0)),"")</f>
        <v/>
      </c>
      <c r="J46" s="172"/>
    </row>
    <row r="47" spans="7:10" x14ac:dyDescent="0.3">
      <c r="G47" t="str">
        <f>_xlfn.IFNA(INDEX('[1]Sector list'!$A$2:$A$122,MATCH(F47,'[1]Sector list'!$B$2:$B$122,0)),"")</f>
        <v/>
      </c>
      <c r="I47" t="str">
        <f>_xlfn.IFNA(INDEX('[1]FD list'!$A$2:$A$122,MATCH(H47,'[1]FD list'!$B$2:$B$122,0)),"")</f>
        <v/>
      </c>
      <c r="J47" s="172"/>
    </row>
    <row r="48" spans="7:10" x14ac:dyDescent="0.3">
      <c r="G48" t="str">
        <f>_xlfn.IFNA(INDEX('[1]Sector list'!$A$2:$A$122,MATCH(F48,'[1]Sector list'!$B$2:$B$122,0)),"")</f>
        <v/>
      </c>
      <c r="I48" t="str">
        <f>_xlfn.IFNA(INDEX('[1]FD list'!$A$2:$A$122,MATCH(H48,'[1]FD list'!$B$2:$B$122,0)),"")</f>
        <v/>
      </c>
      <c r="J48" s="172"/>
    </row>
    <row r="49" spans="7:10" x14ac:dyDescent="0.3">
      <c r="G49" t="str">
        <f>_xlfn.IFNA(INDEX('[1]Sector list'!$A$2:$A$122,MATCH(F49,'[1]Sector list'!$B$2:$B$122,0)),"")</f>
        <v/>
      </c>
      <c r="I49" t="str">
        <f>_xlfn.IFNA(INDEX('[1]FD list'!$A$2:$A$122,MATCH(H49,'[1]FD list'!$B$2:$B$122,0)),"")</f>
        <v/>
      </c>
      <c r="J49" s="172"/>
    </row>
    <row r="50" spans="7:10" x14ac:dyDescent="0.3">
      <c r="G50" t="str">
        <f>_xlfn.IFNA(INDEX('[1]Sector list'!$A$2:$A$122,MATCH(F50,'[1]Sector list'!$B$2:$B$122,0)),"")</f>
        <v/>
      </c>
      <c r="I50" t="str">
        <f>_xlfn.IFNA(INDEX('[1]FD list'!$A$2:$A$122,MATCH(H50,'[1]FD list'!$B$2:$B$122,0)),"")</f>
        <v/>
      </c>
      <c r="J50" s="172"/>
    </row>
    <row r="51" spans="7:10" x14ac:dyDescent="0.3">
      <c r="G51" t="str">
        <f>_xlfn.IFNA(INDEX('[1]Sector list'!$A$2:$A$122,MATCH(F51,'[1]Sector list'!$B$2:$B$122,0)),"")</f>
        <v/>
      </c>
      <c r="I51" t="str">
        <f>_xlfn.IFNA(INDEX('[1]FD list'!$A$2:$A$122,MATCH(H51,'[1]FD list'!$B$2:$B$122,0)),"")</f>
        <v/>
      </c>
      <c r="J51" s="172"/>
    </row>
    <row r="52" spans="7:10" x14ac:dyDescent="0.3">
      <c r="G52" t="str">
        <f>_xlfn.IFNA(INDEX('[1]Sector list'!$A$2:$A$122,MATCH(F52,'[1]Sector list'!$B$2:$B$122,0)),"")</f>
        <v/>
      </c>
      <c r="I52" t="str">
        <f>_xlfn.IFNA(INDEX('[1]FD list'!$A$2:$A$122,MATCH(H52,'[1]FD list'!$B$2:$B$122,0)),"")</f>
        <v/>
      </c>
      <c r="J52" s="172"/>
    </row>
    <row r="53" spans="7:10" x14ac:dyDescent="0.3">
      <c r="G53" t="str">
        <f>_xlfn.IFNA(INDEX('[1]Sector list'!$A$2:$A$122,MATCH(F53,'[1]Sector list'!$B$2:$B$122,0)),"")</f>
        <v/>
      </c>
      <c r="I53" t="str">
        <f>_xlfn.IFNA(INDEX('[1]FD list'!$A$2:$A$122,MATCH(H53,'[1]FD list'!$B$2:$B$122,0)),"")</f>
        <v/>
      </c>
      <c r="J53" s="172"/>
    </row>
    <row r="54" spans="7:10" x14ac:dyDescent="0.3">
      <c r="G54" t="str">
        <f>_xlfn.IFNA(INDEX('[1]Sector list'!$A$2:$A$122,MATCH(F54,'[1]Sector list'!$B$2:$B$122,0)),"")</f>
        <v/>
      </c>
      <c r="I54" t="str">
        <f>_xlfn.IFNA(INDEX('[1]FD list'!$A$2:$A$122,MATCH(H54,'[1]FD list'!$B$2:$B$122,0)),"")</f>
        <v/>
      </c>
      <c r="J54" s="172"/>
    </row>
    <row r="55" spans="7:10" x14ac:dyDescent="0.3">
      <c r="G55" t="str">
        <f>_xlfn.IFNA(INDEX('[1]Sector list'!$A$2:$A$122,MATCH(F55,'[1]Sector list'!$B$2:$B$122,0)),"")</f>
        <v/>
      </c>
      <c r="I55" t="str">
        <f>_xlfn.IFNA(INDEX('[1]FD list'!$A$2:$A$122,MATCH(H55,'[1]FD list'!$B$2:$B$122,0)),"")</f>
        <v/>
      </c>
      <c r="J55" s="172"/>
    </row>
    <row r="56" spans="7:10" x14ac:dyDescent="0.3">
      <c r="G56" t="str">
        <f>_xlfn.IFNA(INDEX('[1]Sector list'!$A$2:$A$122,MATCH(F56,'[1]Sector list'!$B$2:$B$122,0)),"")</f>
        <v/>
      </c>
      <c r="I56" t="str">
        <f>_xlfn.IFNA(INDEX('[1]FD list'!$A$2:$A$122,MATCH(H56,'[1]FD list'!$B$2:$B$122,0)),"")</f>
        <v/>
      </c>
      <c r="J56" s="172"/>
    </row>
    <row r="57" spans="7:10" x14ac:dyDescent="0.3">
      <c r="G57" t="str">
        <f>_xlfn.IFNA(INDEX('[1]Sector list'!$A$2:$A$122,MATCH(F57,'[1]Sector list'!$B$2:$B$122,0)),"")</f>
        <v/>
      </c>
      <c r="I57" t="str">
        <f>_xlfn.IFNA(INDEX('[1]FD list'!$A$2:$A$122,MATCH(H57,'[1]FD list'!$B$2:$B$122,0)),"")</f>
        <v/>
      </c>
      <c r="J57" s="172"/>
    </row>
    <row r="58" spans="7:10" x14ac:dyDescent="0.3">
      <c r="G58" t="str">
        <f>_xlfn.IFNA(INDEX('[1]Sector list'!$A$2:$A$122,MATCH(F58,'[1]Sector list'!$B$2:$B$122,0)),"")</f>
        <v/>
      </c>
      <c r="I58" t="str">
        <f>_xlfn.IFNA(INDEX('[1]FD list'!$A$2:$A$122,MATCH(H58,'[1]FD list'!$B$2:$B$122,0)),"")</f>
        <v/>
      </c>
      <c r="J58" s="172"/>
    </row>
    <row r="59" spans="7:10" x14ac:dyDescent="0.3">
      <c r="G59" t="str">
        <f>_xlfn.IFNA(INDEX('[1]Sector list'!$A$2:$A$122,MATCH(F59,'[1]Sector list'!$B$2:$B$122,0)),"")</f>
        <v/>
      </c>
      <c r="I59" t="str">
        <f>_xlfn.IFNA(INDEX('[1]FD list'!$A$2:$A$122,MATCH(H59,'[1]FD list'!$B$2:$B$122,0)),"")</f>
        <v/>
      </c>
      <c r="J59" s="172"/>
    </row>
    <row r="60" spans="7:10" x14ac:dyDescent="0.3">
      <c r="G60" t="str">
        <f>_xlfn.IFNA(INDEX('[1]Sector list'!$A$2:$A$122,MATCH(F60,'[1]Sector list'!$B$2:$B$122,0)),"")</f>
        <v/>
      </c>
      <c r="I60" t="str">
        <f>_xlfn.IFNA(INDEX('[1]FD list'!$A$2:$A$122,MATCH(H60,'[1]FD list'!$B$2:$B$122,0)),"")</f>
        <v/>
      </c>
      <c r="J60" s="172"/>
    </row>
    <row r="61" spans="7:10" x14ac:dyDescent="0.3">
      <c r="G61" t="str">
        <f>_xlfn.IFNA(INDEX('[1]Sector list'!$A$2:$A$122,MATCH(F61,'[1]Sector list'!$B$2:$B$122,0)),"")</f>
        <v/>
      </c>
      <c r="I61" t="str">
        <f>_xlfn.IFNA(INDEX('[1]FD list'!$A$2:$A$122,MATCH(H61,'[1]FD list'!$B$2:$B$122,0)),"")</f>
        <v/>
      </c>
      <c r="J61" s="172"/>
    </row>
    <row r="62" spans="7:10" x14ac:dyDescent="0.3">
      <c r="G62" t="str">
        <f>_xlfn.IFNA(INDEX('[1]Sector list'!$A$2:$A$122,MATCH(F62,'[1]Sector list'!$B$2:$B$122,0)),"")</f>
        <v/>
      </c>
      <c r="I62" t="str">
        <f>_xlfn.IFNA(INDEX('[1]FD list'!$A$2:$A$122,MATCH(H62,'[1]FD list'!$B$2:$B$122,0)),"")</f>
        <v/>
      </c>
      <c r="J62" s="172"/>
    </row>
    <row r="63" spans="7:10" x14ac:dyDescent="0.3">
      <c r="G63" t="str">
        <f>_xlfn.IFNA(INDEX('[1]Sector list'!$A$2:$A$122,MATCH(F63,'[1]Sector list'!$B$2:$B$122,0)),"")</f>
        <v/>
      </c>
      <c r="I63" t="str">
        <f>_xlfn.IFNA(INDEX('[1]FD list'!$A$2:$A$122,MATCH(H63,'[1]FD list'!$B$2:$B$122,0)),"")</f>
        <v/>
      </c>
      <c r="J63" s="172"/>
    </row>
    <row r="64" spans="7:10" x14ac:dyDescent="0.3">
      <c r="G64" t="str">
        <f>_xlfn.IFNA(INDEX('[1]Sector list'!$A$2:$A$122,MATCH(F64,'[1]Sector list'!$B$2:$B$122,0)),"")</f>
        <v/>
      </c>
      <c r="I64" t="str">
        <f>_xlfn.IFNA(INDEX('[1]FD list'!$A$2:$A$122,MATCH(H64,'[1]FD list'!$B$2:$B$122,0)),"")</f>
        <v/>
      </c>
      <c r="J64" s="172"/>
    </row>
    <row r="65" spans="7:10" x14ac:dyDescent="0.3">
      <c r="G65" t="str">
        <f>_xlfn.IFNA(INDEX('[1]Sector list'!$A$2:$A$122,MATCH(F65,'[1]Sector list'!$B$2:$B$122,0)),"")</f>
        <v/>
      </c>
      <c r="I65" t="str">
        <f>_xlfn.IFNA(INDEX('[1]FD list'!$A$2:$A$122,MATCH(H65,'[1]FD list'!$B$2:$B$122,0)),"")</f>
        <v/>
      </c>
      <c r="J65" s="172"/>
    </row>
    <row r="66" spans="7:10" x14ac:dyDescent="0.3">
      <c r="G66" t="str">
        <f>_xlfn.IFNA(INDEX('[1]Sector list'!$A$2:$A$122,MATCH(F66,'[1]Sector list'!$B$2:$B$122,0)),"")</f>
        <v/>
      </c>
      <c r="I66" t="str">
        <f>_xlfn.IFNA(INDEX('[1]FD list'!$A$2:$A$122,MATCH(H66,'[1]FD list'!$B$2:$B$122,0)),"")</f>
        <v/>
      </c>
      <c r="J66" s="172"/>
    </row>
    <row r="67" spans="7:10" x14ac:dyDescent="0.3">
      <c r="G67" t="str">
        <f>_xlfn.IFNA(INDEX('[1]Sector list'!$A$2:$A$122,MATCH(F67,'[1]Sector list'!$B$2:$B$122,0)),"")</f>
        <v/>
      </c>
      <c r="I67" t="str">
        <f>_xlfn.IFNA(INDEX('[1]FD list'!$A$2:$A$122,MATCH(H67,'[1]FD list'!$B$2:$B$122,0)),"")</f>
        <v/>
      </c>
      <c r="J67" s="172"/>
    </row>
    <row r="68" spans="7:10" x14ac:dyDescent="0.3">
      <c r="I68" t="str">
        <f>_xlfn.IFNA(INDEX('[1]FD list'!$A$2:$A$122,MATCH(H68,'[1]FD list'!$B$2:$B$122,0)),"")</f>
        <v/>
      </c>
      <c r="J68" s="172"/>
    </row>
    <row r="69" spans="7:10" x14ac:dyDescent="0.3">
      <c r="I69" t="str">
        <f>_xlfn.IFNA(INDEX('[1]FD list'!$A$2:$A$122,MATCH(H69,'[1]FD list'!$B$2:$B$122,0)),"")</f>
        <v/>
      </c>
      <c r="J69" s="172"/>
    </row>
    <row r="70" spans="7:10" x14ac:dyDescent="0.3">
      <c r="I70" t="str">
        <f>_xlfn.IFNA(INDEX('[1]FD list'!$A$2:$A$122,MATCH(H70,'[1]FD list'!$B$2:$B$122,0)),"")</f>
        <v/>
      </c>
      <c r="J70" s="172"/>
    </row>
    <row r="71" spans="7:10" x14ac:dyDescent="0.3">
      <c r="I71" t="str">
        <f>_xlfn.IFNA(INDEX('[1]FD list'!$A$2:$A$122,MATCH(H71,'[1]FD list'!$B$2:$B$122,0)),"")</f>
        <v/>
      </c>
      <c r="J71" s="172"/>
    </row>
    <row r="72" spans="7:10" x14ac:dyDescent="0.3">
      <c r="I72" t="str">
        <f>_xlfn.IFNA(INDEX('[1]FD list'!$A$2:$A$122,MATCH(H72,'[1]FD list'!$B$2:$B$122,0)),"")</f>
        <v/>
      </c>
      <c r="J72" s="172"/>
    </row>
    <row r="73" spans="7:10" x14ac:dyDescent="0.3">
      <c r="I73" t="str">
        <f>_xlfn.IFNA(INDEX('[1]FD list'!$A$2:$A$122,MATCH(H73,'[1]FD list'!$B$2:$B$122,0)),"")</f>
        <v/>
      </c>
      <c r="J73" s="172"/>
    </row>
    <row r="74" spans="7:10" x14ac:dyDescent="0.3">
      <c r="I74" t="str">
        <f>_xlfn.IFNA(INDEX('[1]FD list'!$A$2:$A$122,MATCH(H74,'[1]FD list'!$B$2:$B$122,0)),"")</f>
        <v/>
      </c>
      <c r="J74" s="172"/>
    </row>
    <row r="75" spans="7:10" x14ac:dyDescent="0.3">
      <c r="I75" t="str">
        <f>_xlfn.IFNA(INDEX('[1]FD list'!$A$2:$A$122,MATCH(H75,'[1]FD list'!$B$2:$B$122,0)),"")</f>
        <v/>
      </c>
      <c r="J75" s="172"/>
    </row>
    <row r="76" spans="7:10" x14ac:dyDescent="0.3">
      <c r="I76" t="str">
        <f>_xlfn.IFNA(INDEX('[1]FD list'!$A$2:$A$122,MATCH(H76,'[1]FD list'!$B$2:$B$122,0)),"")</f>
        <v/>
      </c>
      <c r="J76" s="172"/>
    </row>
    <row r="77" spans="7:10" x14ac:dyDescent="0.3">
      <c r="I77" t="str">
        <f>_xlfn.IFNA(INDEX('[1]FD list'!$A$2:$A$122,MATCH(H77,'[1]FD list'!$B$2:$B$122,0)),"")</f>
        <v/>
      </c>
      <c r="J77" s="172"/>
    </row>
    <row r="78" spans="7:10" x14ac:dyDescent="0.3">
      <c r="I78" t="str">
        <f>_xlfn.IFNA(INDEX('[1]FD list'!$A$2:$A$122,MATCH(H78,'[1]FD list'!$B$2:$B$122,0)),"")</f>
        <v/>
      </c>
      <c r="J78" s="172"/>
    </row>
    <row r="79" spans="7:10" x14ac:dyDescent="0.3">
      <c r="I79" t="str">
        <f>_xlfn.IFNA(INDEX('[1]FD list'!$A$2:$A$122,MATCH(H79,'[1]FD list'!$B$2:$B$122,0)),"")</f>
        <v/>
      </c>
      <c r="J79" s="172"/>
    </row>
    <row r="80" spans="7:10" x14ac:dyDescent="0.3">
      <c r="I80" t="str">
        <f>_xlfn.IFNA(INDEX('[1]FD list'!$A$2:$A$122,MATCH(H80,'[1]FD list'!$B$2:$B$122,0)),"")</f>
        <v/>
      </c>
      <c r="J80" s="172"/>
    </row>
    <row r="81" spans="9:10" x14ac:dyDescent="0.3">
      <c r="I81" t="str">
        <f>_xlfn.IFNA(INDEX('[1]FD list'!$A$2:$A$122,MATCH(H81,'[1]FD list'!$B$2:$B$122,0)),"")</f>
        <v/>
      </c>
      <c r="J81" s="172"/>
    </row>
    <row r="82" spans="9:10" x14ac:dyDescent="0.3">
      <c r="I82" t="str">
        <f>_xlfn.IFNA(INDEX('[1]FD list'!$A$2:$A$122,MATCH(H82,'[1]FD list'!$B$2:$B$122,0)),"")</f>
        <v/>
      </c>
      <c r="J82" s="172"/>
    </row>
    <row r="83" spans="9:10" x14ac:dyDescent="0.3">
      <c r="I83" t="str">
        <f>_xlfn.IFNA(INDEX('[1]FD list'!$A$2:$A$122,MATCH(H83,'[1]FD list'!$B$2:$B$122,0)),"")</f>
        <v/>
      </c>
      <c r="J83" s="172"/>
    </row>
    <row r="84" spans="9:10" x14ac:dyDescent="0.3">
      <c r="I84" t="str">
        <f>_xlfn.IFNA(INDEX('[1]FD list'!$A$2:$A$122,MATCH(H84,'[1]FD list'!$B$2:$B$122,0)),"")</f>
        <v/>
      </c>
      <c r="J84" s="172"/>
    </row>
    <row r="85" spans="9:10" x14ac:dyDescent="0.3">
      <c r="I85" t="str">
        <f>_xlfn.IFNA(INDEX('[1]FD list'!$A$2:$A$122,MATCH(H85,'[1]FD list'!$B$2:$B$122,0)),"")</f>
        <v/>
      </c>
      <c r="J85" s="172"/>
    </row>
    <row r="86" spans="9:10" x14ac:dyDescent="0.3">
      <c r="I86" t="str">
        <f>_xlfn.IFNA(INDEX('[1]FD list'!$A$2:$A$122,MATCH(H86,'[1]FD list'!$B$2:$B$122,0)),"")</f>
        <v/>
      </c>
      <c r="J86" s="172"/>
    </row>
    <row r="87" spans="9:10" x14ac:dyDescent="0.3">
      <c r="I87" t="str">
        <f>_xlfn.IFNA(INDEX('[1]FD list'!$A$2:$A$122,MATCH(H87,'[1]FD list'!$B$2:$B$122,0)),"")</f>
        <v/>
      </c>
      <c r="J87" s="172"/>
    </row>
    <row r="88" spans="9:10" x14ac:dyDescent="0.3">
      <c r="I88" t="str">
        <f>_xlfn.IFNA(INDEX('[1]FD list'!$A$2:$A$122,MATCH(H88,'[1]FD list'!$B$2:$B$122,0)),"")</f>
        <v/>
      </c>
      <c r="J88" s="172"/>
    </row>
    <row r="89" spans="9:10" x14ac:dyDescent="0.3">
      <c r="I89" t="str">
        <f>_xlfn.IFNA(INDEX('[1]FD list'!$A$2:$A$122,MATCH(H89,'[1]FD list'!$B$2:$B$122,0)),"")</f>
        <v/>
      </c>
      <c r="J89" s="172"/>
    </row>
    <row r="90" spans="9:10" x14ac:dyDescent="0.3">
      <c r="I90" t="str">
        <f>_xlfn.IFNA(INDEX('[1]FD list'!$A$2:$A$122,MATCH(H90,'[1]FD list'!$B$2:$B$122,0)),"")</f>
        <v/>
      </c>
      <c r="J90" s="172"/>
    </row>
    <row r="91" spans="9:10" x14ac:dyDescent="0.3">
      <c r="I91" t="str">
        <f>_xlfn.IFNA(INDEX('[1]FD list'!$A$2:$A$122,MATCH(H91,'[1]FD list'!$B$2:$B$122,0)),"")</f>
        <v/>
      </c>
      <c r="J91" s="172"/>
    </row>
    <row r="92" spans="9:10" x14ac:dyDescent="0.3">
      <c r="I92" t="str">
        <f>_xlfn.IFNA(INDEX('[1]FD list'!$A$2:$A$122,MATCH(H92,'[1]FD list'!$B$2:$B$122,0)),"")</f>
        <v/>
      </c>
      <c r="J92" s="172"/>
    </row>
    <row r="93" spans="9:10" x14ac:dyDescent="0.3">
      <c r="I93" t="str">
        <f>_xlfn.IFNA(INDEX('[1]FD list'!$A$2:$A$122,MATCH(H93,'[1]FD list'!$B$2:$B$122,0)),"")</f>
        <v/>
      </c>
      <c r="J93" s="172"/>
    </row>
    <row r="94" spans="9:10" x14ac:dyDescent="0.3">
      <c r="I94" t="str">
        <f>_xlfn.IFNA(INDEX('[1]FD list'!$A$2:$A$122,MATCH(H94,'[1]FD list'!$B$2:$B$122,0)),"")</f>
        <v/>
      </c>
      <c r="J94" s="172"/>
    </row>
    <row r="95" spans="9:10" x14ac:dyDescent="0.3">
      <c r="I95" t="str">
        <f>_xlfn.IFNA(INDEX('[1]FD list'!$A$2:$A$122,MATCH(H95,'[1]FD list'!$B$2:$B$122,0)),"")</f>
        <v/>
      </c>
      <c r="J95" s="172"/>
    </row>
    <row r="96" spans="9:10" x14ac:dyDescent="0.3">
      <c r="I96" t="str">
        <f>_xlfn.IFNA(INDEX('[1]Sector list'!$A$2:$A$122,MATCH(H96,'[1]Sector list'!$B$2:$B$122,0)),"")</f>
        <v/>
      </c>
      <c r="J96" s="172"/>
    </row>
    <row r="97" spans="9:10" x14ac:dyDescent="0.3">
      <c r="I97" t="str">
        <f>_xlfn.IFNA(INDEX('[1]Sector list'!$A$2:$A$122,MATCH(H97,'[1]Sector list'!$B$2:$B$122,0)),"")</f>
        <v/>
      </c>
      <c r="J97" s="172"/>
    </row>
    <row r="98" spans="9:10" x14ac:dyDescent="0.3">
      <c r="I98" t="str">
        <f>_xlfn.IFNA(INDEX('[1]Sector list'!$A$2:$A$122,MATCH(H98,'[1]Sector list'!$B$2:$B$122,0)),"")</f>
        <v/>
      </c>
      <c r="J98" s="172"/>
    </row>
    <row r="99" spans="9:10" x14ac:dyDescent="0.3">
      <c r="I99" t="str">
        <f>_xlfn.IFNA(INDEX('[1]Sector list'!$A$2:$A$122,MATCH(H99,'[1]Sector list'!$B$2:$B$122,0)),"")</f>
        <v/>
      </c>
      <c r="J99" s="172"/>
    </row>
    <row r="100" spans="9:10" x14ac:dyDescent="0.3">
      <c r="I100" t="str">
        <f>_xlfn.IFNA(INDEX('[1]Sector list'!$A$2:$A$122,MATCH(H100,'[1]Sector list'!$B$2:$B$122,0)),"")</f>
        <v/>
      </c>
      <c r="J100" s="172"/>
    </row>
    <row r="101" spans="9:10" x14ac:dyDescent="0.3">
      <c r="I101" t="str">
        <f>_xlfn.IFNA(INDEX('[1]Sector list'!$A$2:$A$122,MATCH(H101,'[1]Sector list'!$B$2:$B$122,0)),"")</f>
        <v/>
      </c>
      <c r="J101" s="172"/>
    </row>
    <row r="102" spans="9:10" x14ac:dyDescent="0.3">
      <c r="I102" t="str">
        <f>_xlfn.IFNA(INDEX('[1]Sector list'!$A$2:$A$122,MATCH(H102,'[1]Sector list'!$B$2:$B$122,0)),"")</f>
        <v/>
      </c>
      <c r="J102" s="172"/>
    </row>
    <row r="103" spans="9:10" x14ac:dyDescent="0.3">
      <c r="I103" t="str">
        <f>_xlfn.IFNA(INDEX('[1]Sector list'!$A$2:$A$122,MATCH(H103,'[1]Sector list'!$B$2:$B$122,0)),"")</f>
        <v/>
      </c>
      <c r="J103" s="172"/>
    </row>
    <row r="104" spans="9:10" x14ac:dyDescent="0.3">
      <c r="I104" t="str">
        <f>_xlfn.IFNA(INDEX('[1]Sector list'!$A$2:$A$122,MATCH(H104,'[1]Sector list'!$B$2:$B$122,0)),"")</f>
        <v/>
      </c>
      <c r="J104" s="172"/>
    </row>
    <row r="105" spans="9:10" x14ac:dyDescent="0.3">
      <c r="I105" t="str">
        <f>_xlfn.IFNA(INDEX('[1]Sector list'!$A$2:$A$122,MATCH(H105,'[1]Sector list'!$B$2:$B$122,0)),"")</f>
        <v/>
      </c>
      <c r="J105" s="172"/>
    </row>
    <row r="106" spans="9:10" x14ac:dyDescent="0.3">
      <c r="I106" t="str">
        <f>_xlfn.IFNA(INDEX('[1]Sector list'!$A$2:$A$122,MATCH(H106,'[1]Sector list'!$B$2:$B$122,0)),"")</f>
        <v/>
      </c>
      <c r="J106" s="172"/>
    </row>
    <row r="107" spans="9:10" x14ac:dyDescent="0.3">
      <c r="I107" t="str">
        <f>_xlfn.IFNA(INDEX('[1]Sector list'!$A$2:$A$122,MATCH(H107,'[1]Sector list'!$B$2:$B$122,0)),"")</f>
        <v/>
      </c>
      <c r="J107" s="172"/>
    </row>
    <row r="108" spans="9:10" x14ac:dyDescent="0.3">
      <c r="I108" t="str">
        <f>_xlfn.IFNA(INDEX('[1]Sector list'!$A$2:$A$122,MATCH(H108,'[1]Sector list'!$B$2:$B$122,0)),"")</f>
        <v/>
      </c>
      <c r="J108" s="172"/>
    </row>
    <row r="109" spans="9:10" x14ac:dyDescent="0.3">
      <c r="I109" t="str">
        <f>_xlfn.IFNA(INDEX('[1]Sector list'!$A$2:$A$122,MATCH(H109,'[1]Sector list'!$B$2:$B$122,0)),"")</f>
        <v/>
      </c>
      <c r="J109" s="172"/>
    </row>
    <row r="110" spans="9:10" x14ac:dyDescent="0.3">
      <c r="I110" t="str">
        <f>_xlfn.IFNA(INDEX('[1]Sector list'!$A$2:$A$122,MATCH(H110,'[1]Sector list'!$B$2:$B$122,0)),"")</f>
        <v/>
      </c>
      <c r="J110" s="172"/>
    </row>
    <row r="111" spans="9:10" x14ac:dyDescent="0.3">
      <c r="I111" t="str">
        <f>_xlfn.IFNA(INDEX('[1]Sector list'!$A$2:$A$122,MATCH(H111,'[1]Sector list'!$B$2:$B$122,0)),"")</f>
        <v/>
      </c>
      <c r="J111" s="172"/>
    </row>
    <row r="112" spans="9:10" x14ac:dyDescent="0.3">
      <c r="I112" t="str">
        <f>_xlfn.IFNA(INDEX('[1]Sector list'!$A$2:$A$122,MATCH(H112,'[1]Sector list'!$B$2:$B$122,0)),"")</f>
        <v/>
      </c>
      <c r="J112" s="172"/>
    </row>
    <row r="113" spans="9:10" x14ac:dyDescent="0.3">
      <c r="I113" t="str">
        <f>_xlfn.IFNA(INDEX('[1]Sector list'!$A$2:$A$122,MATCH(H113,'[1]Sector list'!$B$2:$B$122,0)),"")</f>
        <v/>
      </c>
      <c r="J113" s="172"/>
    </row>
    <row r="114" spans="9:10" x14ac:dyDescent="0.3">
      <c r="I114" t="str">
        <f>_xlfn.IFNA(INDEX('[1]Sector list'!$A$2:$A$122,MATCH(H114,'[1]Sector list'!$B$2:$B$122,0)),"")</f>
        <v/>
      </c>
      <c r="J114" s="172"/>
    </row>
    <row r="115" spans="9:10" x14ac:dyDescent="0.3">
      <c r="I115" t="str">
        <f>_xlfn.IFNA(INDEX('[1]Sector list'!$A$2:$A$122,MATCH(H115,'[1]Sector list'!$B$2:$B$122,0)),"")</f>
        <v/>
      </c>
      <c r="J115" s="172"/>
    </row>
    <row r="116" spans="9:10" x14ac:dyDescent="0.3">
      <c r="I116" t="str">
        <f>_xlfn.IFNA(INDEX('[1]Sector list'!$A$2:$A$122,MATCH(H116,'[1]Sector list'!$B$2:$B$122,0)),"")</f>
        <v/>
      </c>
      <c r="J116" s="172"/>
    </row>
    <row r="117" spans="9:10" x14ac:dyDescent="0.3">
      <c r="I117" t="str">
        <f>_xlfn.IFNA(INDEX('[1]Sector list'!$A$2:$A$122,MATCH(H117,'[1]Sector list'!$B$2:$B$122,0)),"")</f>
        <v/>
      </c>
      <c r="J117" s="172"/>
    </row>
    <row r="118" spans="9:10" x14ac:dyDescent="0.3">
      <c r="I118" t="str">
        <f>_xlfn.IFNA(INDEX('[1]Sector list'!$A$2:$A$122,MATCH(H118,'[1]Sector list'!$B$2:$B$122,0)),"")</f>
        <v/>
      </c>
      <c r="J118" s="172"/>
    </row>
    <row r="119" spans="9:10" x14ac:dyDescent="0.3">
      <c r="I119" t="str">
        <f>_xlfn.IFNA(INDEX('[1]Sector list'!$A$2:$A$122,MATCH(H119,'[1]Sector list'!$B$2:$B$122,0)),"")</f>
        <v/>
      </c>
      <c r="J119" s="172"/>
    </row>
    <row r="120" spans="9:10" x14ac:dyDescent="0.3">
      <c r="I120" t="str">
        <f>_xlfn.IFNA(INDEX('[1]Sector list'!$A$2:$A$122,MATCH(H120,'[1]Sector list'!$B$2:$B$122,0)),"")</f>
        <v/>
      </c>
      <c r="J120" s="172"/>
    </row>
    <row r="121" spans="9:10" x14ac:dyDescent="0.3">
      <c r="I121" t="str">
        <f>_xlfn.IFNA(INDEX('[1]Sector list'!$A$2:$A$122,MATCH(H121,'[1]Sector list'!$B$2:$B$122,0)),"")</f>
        <v/>
      </c>
      <c r="J121" s="172"/>
    </row>
    <row r="122" spans="9:10" x14ac:dyDescent="0.3">
      <c r="I122" t="str">
        <f>_xlfn.IFNA(INDEX('[1]Sector list'!$A$2:$A$122,MATCH(H122,'[1]Sector list'!$B$2:$B$122,0)),"")</f>
        <v/>
      </c>
      <c r="J122" s="172"/>
    </row>
    <row r="123" spans="9:10" x14ac:dyDescent="0.3">
      <c r="I123" t="str">
        <f>_xlfn.IFNA(INDEX('[1]Sector list'!$A$2:$A$122,MATCH(H123,'[1]Sector list'!$B$2:$B$122,0)),"")</f>
        <v/>
      </c>
      <c r="J123" s="172"/>
    </row>
    <row r="124" spans="9:10" x14ac:dyDescent="0.3">
      <c r="I124" t="str">
        <f>_xlfn.IFNA(INDEX('[1]Sector list'!$A$2:$A$122,MATCH(H124,'[1]Sector list'!$B$2:$B$122,0)),"")</f>
        <v/>
      </c>
      <c r="J124" s="172"/>
    </row>
    <row r="125" spans="9:10" x14ac:dyDescent="0.3">
      <c r="I125" t="str">
        <f>_xlfn.IFNA(INDEX('[1]Sector list'!$A$2:$A$122,MATCH(H125,'[1]Sector list'!$B$2:$B$122,0)),"")</f>
        <v/>
      </c>
      <c r="J125" s="172"/>
    </row>
    <row r="126" spans="9:10" x14ac:dyDescent="0.3">
      <c r="I126" t="str">
        <f>_xlfn.IFNA(INDEX('[1]Sector list'!$A$2:$A$122,MATCH(H126,'[1]Sector list'!$B$2:$B$122,0)),"")</f>
        <v/>
      </c>
      <c r="J126" s="172"/>
    </row>
    <row r="127" spans="9:10" x14ac:dyDescent="0.3">
      <c r="I127" t="str">
        <f>_xlfn.IFNA(INDEX('[1]Sector list'!$A$2:$A$122,MATCH(H127,'[1]Sector list'!$B$2:$B$122,0)),"")</f>
        <v/>
      </c>
      <c r="J127" s="172"/>
    </row>
    <row r="128" spans="9:10" x14ac:dyDescent="0.3">
      <c r="I128" t="str">
        <f>_xlfn.IFNA(INDEX('[1]Sector list'!$A$2:$A$122,MATCH(H128,'[1]Sector list'!$B$2:$B$122,0)),"")</f>
        <v/>
      </c>
      <c r="J128" s="172"/>
    </row>
    <row r="129" spans="9:10" x14ac:dyDescent="0.3">
      <c r="I129" t="str">
        <f>_xlfn.IFNA(INDEX('[1]Sector list'!$A$2:$A$122,MATCH(H129,'[1]Sector list'!$B$2:$B$122,0)),"")</f>
        <v/>
      </c>
      <c r="J129" s="172"/>
    </row>
    <row r="130" spans="9:10" x14ac:dyDescent="0.3">
      <c r="I130" t="str">
        <f>_xlfn.IFNA(INDEX('[1]Sector list'!$A$2:$A$122,MATCH(H130,'[1]Sector list'!$B$2:$B$122,0)),"")</f>
        <v/>
      </c>
      <c r="J130" s="172"/>
    </row>
    <row r="131" spans="9:10" x14ac:dyDescent="0.3">
      <c r="I131" t="str">
        <f>_xlfn.IFNA(INDEX('[1]Sector list'!$A$2:$A$122,MATCH(H131,'[1]Sector list'!$B$2:$B$122,0)),"")</f>
        <v/>
      </c>
      <c r="J131" s="172"/>
    </row>
    <row r="132" spans="9:10" x14ac:dyDescent="0.3">
      <c r="I132" t="str">
        <f>_xlfn.IFNA(INDEX('[1]Sector list'!$A$2:$A$122,MATCH(H132,'[1]Sector list'!$B$2:$B$122,0)),"")</f>
        <v/>
      </c>
      <c r="J132" s="172"/>
    </row>
    <row r="133" spans="9:10" x14ac:dyDescent="0.3">
      <c r="I133" t="str">
        <f>_xlfn.IFNA(INDEX('[1]Sector list'!$A$2:$A$122,MATCH(H133,'[1]Sector list'!$B$2:$B$122,0)),"")</f>
        <v/>
      </c>
      <c r="J133" s="172"/>
    </row>
    <row r="134" spans="9:10" x14ac:dyDescent="0.3">
      <c r="I134" t="str">
        <f>_xlfn.IFNA(INDEX('[1]Sector list'!$A$2:$A$122,MATCH(H134,'[1]Sector list'!$B$2:$B$122,0)),"")</f>
        <v/>
      </c>
      <c r="J134" s="172"/>
    </row>
    <row r="135" spans="9:10" x14ac:dyDescent="0.3">
      <c r="I135" t="str">
        <f>_xlfn.IFNA(INDEX('[1]Sector list'!$A$2:$A$122,MATCH(H135,'[1]Sector list'!$B$2:$B$122,0)),"")</f>
        <v/>
      </c>
      <c r="J135" s="172"/>
    </row>
    <row r="136" spans="9:10" x14ac:dyDescent="0.3">
      <c r="I136" t="str">
        <f>_xlfn.IFNA(INDEX('[1]Sector list'!$A$2:$A$122,MATCH(H136,'[1]Sector list'!$B$2:$B$122,0)),"")</f>
        <v/>
      </c>
      <c r="J136" s="172"/>
    </row>
    <row r="137" spans="9:10" x14ac:dyDescent="0.3">
      <c r="I137" t="str">
        <f>_xlfn.IFNA(INDEX('[1]Sector list'!$A$2:$A$122,MATCH(H137,'[1]Sector list'!$B$2:$B$122,0)),"")</f>
        <v/>
      </c>
      <c r="J137" s="172"/>
    </row>
    <row r="138" spans="9:10" x14ac:dyDescent="0.3">
      <c r="I138" t="str">
        <f>_xlfn.IFNA(INDEX('[1]Sector list'!$A$2:$A$122,MATCH(H138,'[1]Sector list'!$B$2:$B$122,0)),"")</f>
        <v/>
      </c>
      <c r="J138" s="172"/>
    </row>
    <row r="139" spans="9:10" x14ac:dyDescent="0.3">
      <c r="I139" t="str">
        <f>_xlfn.IFNA(INDEX('[1]Sector list'!$A$2:$A$122,MATCH(H139,'[1]Sector list'!$B$2:$B$122,0)),"")</f>
        <v/>
      </c>
      <c r="J139" s="172"/>
    </row>
    <row r="140" spans="9:10" x14ac:dyDescent="0.3">
      <c r="I140" t="str">
        <f>_xlfn.IFNA(INDEX('[1]Sector list'!$A$2:$A$122,MATCH(H140,'[1]Sector list'!$B$2:$B$122,0)),"")</f>
        <v/>
      </c>
      <c r="J140" s="172"/>
    </row>
    <row r="141" spans="9:10" x14ac:dyDescent="0.3">
      <c r="I141" t="str">
        <f>_xlfn.IFNA(INDEX('[1]Sector list'!$A$2:$A$122,MATCH(H141,'[1]Sector list'!$B$2:$B$122,0)),"")</f>
        <v/>
      </c>
      <c r="J141" s="172"/>
    </row>
    <row r="142" spans="9:10" x14ac:dyDescent="0.3">
      <c r="I142" t="str">
        <f>_xlfn.IFNA(INDEX('[1]Sector list'!$A$2:$A$122,MATCH(H142,'[1]Sector list'!$B$2:$B$122,0)),"")</f>
        <v/>
      </c>
      <c r="J142" s="172"/>
    </row>
    <row r="143" spans="9:10" x14ac:dyDescent="0.3">
      <c r="I143" t="str">
        <f>_xlfn.IFNA(INDEX('[1]Sector list'!$A$2:$A$122,MATCH(H143,'[1]Sector list'!$B$2:$B$122,0)),"")</f>
        <v/>
      </c>
      <c r="J143" s="172"/>
    </row>
    <row r="144" spans="9:10" x14ac:dyDescent="0.3">
      <c r="I144" t="str">
        <f>_xlfn.IFNA(INDEX('[1]Sector list'!$A$2:$A$122,MATCH(H144,'[1]Sector list'!$B$2:$B$122,0)),"")</f>
        <v/>
      </c>
      <c r="J144" s="172"/>
    </row>
    <row r="145" spans="9:10" x14ac:dyDescent="0.3">
      <c r="I145" t="str">
        <f>_xlfn.IFNA(INDEX('[1]Sector list'!$A$2:$A$122,MATCH(H145,'[1]Sector list'!$B$2:$B$122,0)),"")</f>
        <v/>
      </c>
      <c r="J145" s="172"/>
    </row>
    <row r="146" spans="9:10" x14ac:dyDescent="0.3">
      <c r="I146" t="str">
        <f>_xlfn.IFNA(INDEX('[1]Sector list'!$A$2:$A$122,MATCH(H146,'[1]Sector list'!$B$2:$B$122,0)),"")</f>
        <v/>
      </c>
      <c r="J146" s="172"/>
    </row>
    <row r="147" spans="9:10" x14ac:dyDescent="0.3">
      <c r="I147" t="str">
        <f>_xlfn.IFNA(INDEX('[1]Sector list'!$A$2:$A$122,MATCH(H147,'[1]Sector list'!$B$2:$B$122,0)),"")</f>
        <v/>
      </c>
      <c r="J147" s="172"/>
    </row>
    <row r="148" spans="9:10" x14ac:dyDescent="0.3">
      <c r="I148" t="str">
        <f>_xlfn.IFNA(INDEX('[1]Sector list'!$A$2:$A$122,MATCH(H148,'[1]Sector list'!$B$2:$B$122,0)),"")</f>
        <v/>
      </c>
      <c r="J148" s="172"/>
    </row>
    <row r="149" spans="9:10" x14ac:dyDescent="0.3">
      <c r="I149" t="str">
        <f>_xlfn.IFNA(INDEX('[1]Sector list'!$A$2:$A$122,MATCH(H149,'[1]Sector list'!$B$2:$B$122,0)),"")</f>
        <v/>
      </c>
      <c r="J149" s="172"/>
    </row>
    <row r="150" spans="9:10" x14ac:dyDescent="0.3">
      <c r="I150" t="str">
        <f>_xlfn.IFNA(INDEX('[1]Sector list'!$A$2:$A$122,MATCH(H150,'[1]Sector list'!$B$2:$B$122,0)),"")</f>
        <v/>
      </c>
      <c r="J150" s="172"/>
    </row>
    <row r="151" spans="9:10" x14ac:dyDescent="0.3">
      <c r="I151" t="str">
        <f>_xlfn.IFNA(INDEX('[1]Sector list'!$A$2:$A$122,MATCH(H151,'[1]Sector list'!$B$2:$B$122,0)),"")</f>
        <v/>
      </c>
      <c r="J151" s="172"/>
    </row>
    <row r="152" spans="9:10" x14ac:dyDescent="0.3">
      <c r="I152" t="str">
        <f>_xlfn.IFNA(INDEX('[1]Sector list'!$A$2:$A$122,MATCH(H152,'[1]Sector list'!$B$2:$B$122,0)),"")</f>
        <v/>
      </c>
      <c r="J152" s="172"/>
    </row>
    <row r="153" spans="9:10" x14ac:dyDescent="0.3">
      <c r="I153" t="str">
        <f>_xlfn.IFNA(INDEX('[1]Sector list'!$A$2:$A$122,MATCH(H153,'[1]Sector list'!$B$2:$B$122,0)),"")</f>
        <v/>
      </c>
      <c r="J153" s="172"/>
    </row>
    <row r="154" spans="9:10" x14ac:dyDescent="0.3">
      <c r="I154" t="str">
        <f>_xlfn.IFNA(INDEX('[1]Sector list'!$A$2:$A$122,MATCH(H154,'[1]Sector list'!$B$2:$B$122,0)),"")</f>
        <v/>
      </c>
      <c r="J154" s="172"/>
    </row>
    <row r="155" spans="9:10" x14ac:dyDescent="0.3">
      <c r="I155" t="str">
        <f>_xlfn.IFNA(INDEX('[1]Sector list'!$A$2:$A$122,MATCH(H155,'[1]Sector list'!$B$2:$B$122,0)),"")</f>
        <v/>
      </c>
      <c r="J155" s="172"/>
    </row>
    <row r="156" spans="9:10" x14ac:dyDescent="0.3">
      <c r="I156" t="str">
        <f>_xlfn.IFNA(INDEX('[1]Sector list'!$A$2:$A$122,MATCH(H156,'[1]Sector list'!$B$2:$B$122,0)),"")</f>
        <v/>
      </c>
      <c r="J156" s="172"/>
    </row>
    <row r="157" spans="9:10" x14ac:dyDescent="0.3">
      <c r="I157" t="str">
        <f>_xlfn.IFNA(INDEX('[1]Sector list'!$A$2:$A$122,MATCH(H157,'[1]Sector list'!$B$2:$B$122,0)),"")</f>
        <v/>
      </c>
      <c r="J157" s="172"/>
    </row>
    <row r="158" spans="9:10" x14ac:dyDescent="0.3">
      <c r="I158" t="str">
        <f>_xlfn.IFNA(INDEX('[1]Sector list'!$A$2:$A$122,MATCH(H158,'[1]Sector list'!$B$2:$B$122,0)),"")</f>
        <v/>
      </c>
      <c r="J158" s="172"/>
    </row>
    <row r="159" spans="9:10" x14ac:dyDescent="0.3">
      <c r="I159" t="str">
        <f>_xlfn.IFNA(INDEX('[1]Sector list'!$A$2:$A$122,MATCH(H159,'[1]Sector list'!$B$2:$B$122,0)),"")</f>
        <v/>
      </c>
      <c r="J159" s="172"/>
    </row>
    <row r="160" spans="9:10" x14ac:dyDescent="0.3">
      <c r="I160" t="str">
        <f>_xlfn.IFNA(INDEX('[1]Sector list'!$A$2:$A$122,MATCH(H160,'[1]Sector list'!$B$2:$B$122,0)),"")</f>
        <v/>
      </c>
      <c r="J160" s="172"/>
    </row>
    <row r="161" spans="9:10" x14ac:dyDescent="0.3">
      <c r="I161" t="str">
        <f>_xlfn.IFNA(INDEX('[1]Sector list'!$A$2:$A$122,MATCH(H161,'[1]Sector list'!$B$2:$B$122,0)),"")</f>
        <v/>
      </c>
      <c r="J161" s="172"/>
    </row>
    <row r="162" spans="9:10" x14ac:dyDescent="0.3">
      <c r="I162" t="str">
        <f>_xlfn.IFNA(INDEX('[1]Sector list'!$A$2:$A$122,MATCH(H162,'[1]Sector list'!$B$2:$B$122,0)),"")</f>
        <v/>
      </c>
      <c r="J162" s="172"/>
    </row>
    <row r="163" spans="9:10" x14ac:dyDescent="0.3">
      <c r="I163" t="str">
        <f>_xlfn.IFNA(INDEX('[1]Sector list'!$A$2:$A$122,MATCH(H163,'[1]Sector list'!$B$2:$B$122,0)),"")</f>
        <v/>
      </c>
      <c r="J163" s="172"/>
    </row>
    <row r="164" spans="9:10" x14ac:dyDescent="0.3">
      <c r="I164" t="str">
        <f>_xlfn.IFNA(INDEX('[1]Sector list'!$A$2:$A$122,MATCH(H164,'[1]Sector list'!$B$2:$B$122,0)),"")</f>
        <v/>
      </c>
      <c r="J164" s="172"/>
    </row>
    <row r="165" spans="9:10" x14ac:dyDescent="0.3">
      <c r="I165" t="str">
        <f>_xlfn.IFNA(INDEX('[1]Sector list'!$A$2:$A$122,MATCH(H165,'[1]Sector list'!$B$2:$B$122,0)),"")</f>
        <v/>
      </c>
      <c r="J165" s="172"/>
    </row>
    <row r="166" spans="9:10" x14ac:dyDescent="0.3">
      <c r="I166" t="str">
        <f>_xlfn.IFNA(INDEX('[1]Sector list'!$A$2:$A$122,MATCH(H166,'[1]Sector list'!$B$2:$B$122,0)),"")</f>
        <v/>
      </c>
      <c r="J166" s="172"/>
    </row>
    <row r="167" spans="9:10" x14ac:dyDescent="0.3">
      <c r="I167" t="str">
        <f>_xlfn.IFNA(INDEX('[1]Sector list'!$A$2:$A$122,MATCH(H167,'[1]Sector list'!$B$2:$B$122,0)),"")</f>
        <v/>
      </c>
      <c r="J167" s="172"/>
    </row>
    <row r="168" spans="9:10" x14ac:dyDescent="0.3">
      <c r="I168" t="str">
        <f>_xlfn.IFNA(INDEX('[1]Sector list'!$A$2:$A$122,MATCH(H168,'[1]Sector list'!$B$2:$B$122,0)),"")</f>
        <v/>
      </c>
      <c r="J168" s="172"/>
    </row>
    <row r="169" spans="9:10" x14ac:dyDescent="0.3">
      <c r="I169" t="str">
        <f>_xlfn.IFNA(INDEX('[1]Sector list'!$A$2:$A$122,MATCH(H169,'[1]Sector list'!$B$2:$B$122,0)),"")</f>
        <v/>
      </c>
      <c r="J169" s="172"/>
    </row>
    <row r="170" spans="9:10" x14ac:dyDescent="0.3">
      <c r="I170" t="str">
        <f>_xlfn.IFNA(INDEX('[1]Sector list'!$A$2:$A$122,MATCH(H170,'[1]Sector list'!$B$2:$B$122,0)),"")</f>
        <v/>
      </c>
      <c r="J170" s="172"/>
    </row>
    <row r="171" spans="9:10" x14ac:dyDescent="0.3">
      <c r="I171" t="str">
        <f>_xlfn.IFNA(INDEX('[1]Sector list'!$A$2:$A$122,MATCH(H171,'[1]Sector list'!$B$2:$B$122,0)),"")</f>
        <v/>
      </c>
      <c r="J171" s="172"/>
    </row>
    <row r="172" spans="9:10" x14ac:dyDescent="0.3">
      <c r="I172" t="str">
        <f>_xlfn.IFNA(INDEX('[1]Sector list'!$A$2:$A$122,MATCH(H172,'[1]Sector list'!$B$2:$B$122,0)),"")</f>
        <v/>
      </c>
      <c r="J172" s="172"/>
    </row>
    <row r="173" spans="9:10" x14ac:dyDescent="0.3">
      <c r="I173" t="str">
        <f>_xlfn.IFNA(INDEX('[1]Sector list'!$A$2:$A$122,MATCH(H173,'[1]Sector list'!$B$2:$B$122,0)),"")</f>
        <v/>
      </c>
      <c r="J173" s="172"/>
    </row>
    <row r="174" spans="9:10" x14ac:dyDescent="0.3">
      <c r="I174" t="str">
        <f>_xlfn.IFNA(INDEX('[1]Sector list'!$A$2:$A$122,MATCH(H174,'[1]Sector list'!$B$2:$B$122,0)),"")</f>
        <v/>
      </c>
      <c r="J174" s="172"/>
    </row>
    <row r="175" spans="9:10" x14ac:dyDescent="0.3">
      <c r="I175" t="str">
        <f>_xlfn.IFNA(INDEX('[1]Sector list'!$A$2:$A$122,MATCH(H175,'[1]Sector list'!$B$2:$B$122,0)),"")</f>
        <v/>
      </c>
      <c r="J175" s="172"/>
    </row>
    <row r="176" spans="9:10" x14ac:dyDescent="0.3">
      <c r="I176" t="str">
        <f>_xlfn.IFNA(INDEX('[1]Sector list'!$A$2:$A$122,MATCH(H176,'[1]Sector list'!$B$2:$B$122,0)),"")</f>
        <v/>
      </c>
      <c r="J176" s="172"/>
    </row>
    <row r="177" spans="9:10" x14ac:dyDescent="0.3">
      <c r="I177" t="str">
        <f>_xlfn.IFNA(INDEX('[1]Sector list'!$A$2:$A$122,MATCH(H177,'[1]Sector list'!$B$2:$B$122,0)),"")</f>
        <v/>
      </c>
      <c r="J177" s="172"/>
    </row>
    <row r="178" spans="9:10" x14ac:dyDescent="0.3">
      <c r="I178" t="str">
        <f>_xlfn.IFNA(INDEX('[1]Sector list'!$A$2:$A$122,MATCH(H178,'[1]Sector list'!$B$2:$B$122,0)),"")</f>
        <v/>
      </c>
      <c r="J178" s="172"/>
    </row>
    <row r="179" spans="9:10" x14ac:dyDescent="0.3">
      <c r="I179" t="str">
        <f>_xlfn.IFNA(INDEX('[1]Sector list'!$A$2:$A$122,MATCH(H179,'[1]Sector list'!$B$2:$B$122,0)),"")</f>
        <v/>
      </c>
      <c r="J179" s="172"/>
    </row>
    <row r="180" spans="9:10" x14ac:dyDescent="0.3">
      <c r="I180" t="str">
        <f>_xlfn.IFNA(INDEX('[1]Sector list'!$A$2:$A$122,MATCH(H180,'[1]Sector list'!$B$2:$B$122,0)),"")</f>
        <v/>
      </c>
      <c r="J180" s="172"/>
    </row>
    <row r="181" spans="9:10" x14ac:dyDescent="0.3">
      <c r="I181" t="str">
        <f>_xlfn.IFNA(INDEX('[1]Sector list'!$A$2:$A$122,MATCH(H181,'[1]Sector list'!$B$2:$B$122,0)),"")</f>
        <v/>
      </c>
      <c r="J181" s="172"/>
    </row>
    <row r="182" spans="9:10" x14ac:dyDescent="0.3">
      <c r="I182" t="str">
        <f>_xlfn.IFNA(INDEX('[1]Sector list'!$A$2:$A$122,MATCH(H182,'[1]Sector list'!$B$2:$B$122,0)),"")</f>
        <v/>
      </c>
      <c r="J182" s="172"/>
    </row>
    <row r="183" spans="9:10" x14ac:dyDescent="0.3">
      <c r="I183" t="str">
        <f>_xlfn.IFNA(INDEX('[1]Sector list'!$A$2:$A$122,MATCH(H183,'[1]Sector list'!$B$2:$B$122,0)),"")</f>
        <v/>
      </c>
      <c r="J183" s="172"/>
    </row>
    <row r="184" spans="9:10" x14ac:dyDescent="0.3">
      <c r="I184" t="str">
        <f>_xlfn.IFNA(INDEX('[1]Sector list'!$A$2:$A$122,MATCH(H184,'[1]Sector list'!$B$2:$B$122,0)),"")</f>
        <v/>
      </c>
      <c r="J184" s="172"/>
    </row>
    <row r="185" spans="9:10" x14ac:dyDescent="0.3">
      <c r="I185" t="str">
        <f>_xlfn.IFNA(INDEX('[1]Sector list'!$A$2:$A$122,MATCH(H185,'[1]Sector list'!$B$2:$B$122,0)),"")</f>
        <v/>
      </c>
      <c r="J185" s="172"/>
    </row>
    <row r="186" spans="9:10" x14ac:dyDescent="0.3">
      <c r="I186" t="str">
        <f>_xlfn.IFNA(INDEX('[1]Sector list'!$A$2:$A$122,MATCH(H186,'[1]Sector list'!$B$2:$B$122,0)),"")</f>
        <v/>
      </c>
      <c r="J186" s="172"/>
    </row>
    <row r="187" spans="9:10" x14ac:dyDescent="0.3">
      <c r="I187" t="str">
        <f>_xlfn.IFNA(INDEX('[1]Sector list'!$A$2:$A$122,MATCH(H187,'[1]Sector list'!$B$2:$B$122,0)),"")</f>
        <v/>
      </c>
      <c r="J187" s="172"/>
    </row>
    <row r="188" spans="9:10" x14ac:dyDescent="0.3">
      <c r="I188" t="str">
        <f>_xlfn.IFNA(INDEX('[1]Sector list'!$A$2:$A$122,MATCH(H188,'[1]Sector list'!$B$2:$B$122,0)),"")</f>
        <v/>
      </c>
      <c r="J188" s="172"/>
    </row>
    <row r="189" spans="9:10" x14ac:dyDescent="0.3">
      <c r="I189" t="str">
        <f>_xlfn.IFNA(INDEX('[1]Sector list'!$A$2:$A$122,MATCH(H189,'[1]Sector list'!$B$2:$B$122,0)),"")</f>
        <v/>
      </c>
      <c r="J189" s="172"/>
    </row>
    <row r="190" spans="9:10" x14ac:dyDescent="0.3">
      <c r="I190" t="str">
        <f>_xlfn.IFNA(INDEX('[1]Sector list'!$A$2:$A$122,MATCH(H190,'[1]Sector list'!$B$2:$B$122,0)),"")</f>
        <v/>
      </c>
      <c r="J190" s="172"/>
    </row>
    <row r="191" spans="9:10" x14ac:dyDescent="0.3">
      <c r="I191" t="str">
        <f>_xlfn.IFNA(INDEX('[1]Sector list'!$A$2:$A$122,MATCH(H191,'[1]Sector list'!$B$2:$B$122,0)),"")</f>
        <v/>
      </c>
      <c r="J191" s="172"/>
    </row>
    <row r="192" spans="9:10" x14ac:dyDescent="0.3">
      <c r="I192" t="str">
        <f>_xlfn.IFNA(INDEX('[1]Sector list'!$A$2:$A$122,MATCH(H192,'[1]Sector list'!$B$2:$B$122,0)),"")</f>
        <v/>
      </c>
      <c r="J192" s="172"/>
    </row>
    <row r="193" spans="9:10" x14ac:dyDescent="0.3">
      <c r="I193" t="str">
        <f>_xlfn.IFNA(INDEX('[1]Sector list'!$A$2:$A$122,MATCH(H193,'[1]Sector list'!$B$2:$B$122,0)),"")</f>
        <v/>
      </c>
      <c r="J193" s="172"/>
    </row>
    <row r="194" spans="9:10" x14ac:dyDescent="0.3">
      <c r="I194" t="str">
        <f>_xlfn.IFNA(INDEX('[1]Sector list'!$A$2:$A$122,MATCH(H194,'[1]Sector list'!$B$2:$B$122,0)),"")</f>
        <v/>
      </c>
      <c r="J194" s="172"/>
    </row>
    <row r="195" spans="9:10" x14ac:dyDescent="0.3">
      <c r="I195" t="str">
        <f>_xlfn.IFNA(INDEX('[1]Sector list'!$A$2:$A$122,MATCH(H195,'[1]Sector list'!$B$2:$B$122,0)),"")</f>
        <v/>
      </c>
      <c r="J195" s="172"/>
    </row>
    <row r="196" spans="9:10" x14ac:dyDescent="0.3">
      <c r="I196" t="str">
        <f>_xlfn.IFNA(INDEX('[1]Sector list'!$A$2:$A$122,MATCH(H196,'[1]Sector list'!$B$2:$B$122,0)),"")</f>
        <v/>
      </c>
      <c r="J196" s="172"/>
    </row>
    <row r="197" spans="9:10" x14ac:dyDescent="0.3">
      <c r="I197" t="str">
        <f>_xlfn.IFNA(INDEX('[1]Sector list'!$A$2:$A$122,MATCH(H197,'[1]Sector list'!$B$2:$B$122,0)),"")</f>
        <v/>
      </c>
      <c r="J197" s="172"/>
    </row>
    <row r="198" spans="9:10" x14ac:dyDescent="0.3">
      <c r="I198" t="str">
        <f>_xlfn.IFNA(INDEX('[1]Sector list'!$A$2:$A$122,MATCH(H198,'[1]Sector list'!$B$2:$B$122,0)),"")</f>
        <v/>
      </c>
      <c r="J198" s="172"/>
    </row>
    <row r="199" spans="9:10" x14ac:dyDescent="0.3">
      <c r="I199" t="str">
        <f>_xlfn.IFNA(INDEX('[1]Sector list'!$A$2:$A$122,MATCH(H199,'[1]Sector list'!$B$2:$B$122,0)),"")</f>
        <v/>
      </c>
      <c r="J199" s="172"/>
    </row>
    <row r="200" spans="9:10" x14ac:dyDescent="0.3">
      <c r="I200" t="str">
        <f>_xlfn.IFNA(INDEX('[1]Sector list'!$A$2:$A$122,MATCH(H200,'[1]Sector list'!$B$2:$B$122,0)),"")</f>
        <v/>
      </c>
      <c r="J200" s="172"/>
    </row>
    <row r="201" spans="9:10" x14ac:dyDescent="0.3">
      <c r="I201" t="str">
        <f>_xlfn.IFNA(INDEX('[1]Sector list'!$A$2:$A$122,MATCH(H201,'[1]Sector list'!$B$2:$B$122,0)),"")</f>
        <v/>
      </c>
      <c r="J201" s="172"/>
    </row>
    <row r="202" spans="9:10" x14ac:dyDescent="0.3">
      <c r="I202" t="str">
        <f>_xlfn.IFNA(INDEX('[1]Sector list'!$A$2:$A$122,MATCH(H202,'[1]Sector list'!$B$2:$B$122,0)),"")</f>
        <v/>
      </c>
      <c r="J202" s="172"/>
    </row>
    <row r="203" spans="9:10" x14ac:dyDescent="0.3">
      <c r="I203" t="str">
        <f>_xlfn.IFNA(INDEX('[1]Sector list'!$A$2:$A$122,MATCH(H203,'[1]Sector list'!$B$2:$B$122,0)),"")</f>
        <v/>
      </c>
      <c r="J203" s="172"/>
    </row>
    <row r="204" spans="9:10" x14ac:dyDescent="0.3">
      <c r="I204" t="str">
        <f>_xlfn.IFNA(INDEX('[1]Sector list'!$A$2:$A$122,MATCH(H204,'[1]Sector list'!$B$2:$B$122,0)),"")</f>
        <v/>
      </c>
      <c r="J204" s="172"/>
    </row>
    <row r="205" spans="9:10" x14ac:dyDescent="0.3">
      <c r="I205" t="str">
        <f>_xlfn.IFNA(INDEX('[1]Sector list'!$A$2:$A$122,MATCH(H205,'[1]Sector list'!$B$2:$B$122,0)),"")</f>
        <v/>
      </c>
      <c r="J205" s="172"/>
    </row>
    <row r="206" spans="9:10" x14ac:dyDescent="0.3">
      <c r="I206" t="str">
        <f>_xlfn.IFNA(INDEX('[1]Sector list'!$A$2:$A$122,MATCH(H206,'[1]Sector list'!$B$2:$B$122,0)),"")</f>
        <v/>
      </c>
      <c r="J206" s="172"/>
    </row>
    <row r="207" spans="9:10" x14ac:dyDescent="0.3">
      <c r="I207" t="str">
        <f>_xlfn.IFNA(INDEX('[1]Sector list'!$A$2:$A$122,MATCH(H207,'[1]Sector list'!$B$2:$B$122,0)),"")</f>
        <v/>
      </c>
      <c r="J207" s="172"/>
    </row>
    <row r="208" spans="9:10" x14ac:dyDescent="0.3">
      <c r="I208" t="str">
        <f>_xlfn.IFNA(INDEX('[1]Sector list'!$A$2:$A$122,MATCH(H208,'[1]Sector list'!$B$2:$B$122,0)),"")</f>
        <v/>
      </c>
      <c r="J208" s="172"/>
    </row>
    <row r="209" spans="9:10" x14ac:dyDescent="0.3">
      <c r="I209" t="str">
        <f>_xlfn.IFNA(INDEX('[1]Sector list'!$A$2:$A$122,MATCH(H209,'[1]Sector list'!$B$2:$B$122,0)),"")</f>
        <v/>
      </c>
      <c r="J209" s="172"/>
    </row>
    <row r="210" spans="9:10" x14ac:dyDescent="0.3">
      <c r="I210" t="str">
        <f>_xlfn.IFNA(INDEX('[1]Sector list'!$A$2:$A$122,MATCH(H210,'[1]Sector list'!$B$2:$B$122,0)),"")</f>
        <v/>
      </c>
      <c r="J210" s="172"/>
    </row>
    <row r="211" spans="9:10" x14ac:dyDescent="0.3">
      <c r="I211" t="str">
        <f>_xlfn.IFNA(INDEX('[1]Sector list'!$A$2:$A$122,MATCH(H211,'[1]Sector list'!$B$2:$B$122,0)),"")</f>
        <v/>
      </c>
      <c r="J211" s="172"/>
    </row>
    <row r="212" spans="9:10" x14ac:dyDescent="0.3">
      <c r="I212" t="str">
        <f>_xlfn.IFNA(INDEX('[1]Sector list'!$A$2:$A$122,MATCH(H212,'[1]Sector list'!$B$2:$B$122,0)),"")</f>
        <v/>
      </c>
      <c r="J212" s="172"/>
    </row>
    <row r="213" spans="9:10" x14ac:dyDescent="0.3">
      <c r="I213" t="str">
        <f>_xlfn.IFNA(INDEX('[1]Sector list'!$A$2:$A$122,MATCH(H213,'[1]Sector list'!$B$2:$B$122,0)),"")</f>
        <v/>
      </c>
      <c r="J213" s="172"/>
    </row>
    <row r="214" spans="9:10" x14ac:dyDescent="0.3">
      <c r="I214" t="str">
        <f>_xlfn.IFNA(INDEX('[1]Sector list'!$A$2:$A$122,MATCH(H214,'[1]Sector list'!$B$2:$B$122,0)),"")</f>
        <v/>
      </c>
      <c r="J214" s="172"/>
    </row>
    <row r="215" spans="9:10" x14ac:dyDescent="0.3">
      <c r="I215" t="str">
        <f>_xlfn.IFNA(INDEX('[1]Sector list'!$A$2:$A$122,MATCH(H215,'[1]Sector list'!$B$2:$B$122,0)),"")</f>
        <v/>
      </c>
      <c r="J215" s="172"/>
    </row>
    <row r="216" spans="9:10" x14ac:dyDescent="0.3">
      <c r="I216" t="str">
        <f>_xlfn.IFNA(INDEX('[1]Sector list'!$A$2:$A$122,MATCH(H216,'[1]Sector list'!$B$2:$B$122,0)),"")</f>
        <v/>
      </c>
      <c r="J216" s="172"/>
    </row>
    <row r="217" spans="9:10" x14ac:dyDescent="0.3">
      <c r="I217" t="str">
        <f>_xlfn.IFNA(INDEX('[1]Sector list'!$A$2:$A$122,MATCH(H217,'[1]Sector list'!$B$2:$B$122,0)),"")</f>
        <v/>
      </c>
      <c r="J217" s="172"/>
    </row>
    <row r="218" spans="9:10" x14ac:dyDescent="0.3">
      <c r="I218" t="str">
        <f>_xlfn.IFNA(INDEX('[1]Sector list'!$A$2:$A$122,MATCH(H218,'[1]Sector list'!$B$2:$B$122,0)),"")</f>
        <v/>
      </c>
      <c r="J218" s="172"/>
    </row>
    <row r="219" spans="9:10" x14ac:dyDescent="0.3">
      <c r="I219" t="str">
        <f>_xlfn.IFNA(INDEX('[1]Sector list'!$A$2:$A$122,MATCH(H219,'[1]Sector list'!$B$2:$B$122,0)),"")</f>
        <v/>
      </c>
      <c r="J219" s="172"/>
    </row>
    <row r="220" spans="9:10" x14ac:dyDescent="0.3">
      <c r="I220" t="str">
        <f>_xlfn.IFNA(INDEX('[1]Sector list'!$A$2:$A$122,MATCH(H220,'[1]Sector list'!$B$2:$B$122,0)),"")</f>
        <v/>
      </c>
      <c r="J220" s="172"/>
    </row>
    <row r="221" spans="9:10" x14ac:dyDescent="0.3">
      <c r="I221" t="str">
        <f>_xlfn.IFNA(INDEX('[1]Sector list'!$A$2:$A$122,MATCH(H221,'[1]Sector list'!$B$2:$B$122,0)),"")</f>
        <v/>
      </c>
      <c r="J221" s="172"/>
    </row>
    <row r="222" spans="9:10" x14ac:dyDescent="0.3">
      <c r="I222" t="str">
        <f>_xlfn.IFNA(INDEX('[1]Sector list'!$A$2:$A$122,MATCH(H222,'[1]Sector list'!$B$2:$B$122,0)),"")</f>
        <v/>
      </c>
      <c r="J222" s="172"/>
    </row>
    <row r="223" spans="9:10" x14ac:dyDescent="0.3">
      <c r="I223" t="str">
        <f>_xlfn.IFNA(INDEX('[1]Sector list'!$A$2:$A$122,MATCH(H223,'[1]Sector list'!$B$2:$B$122,0)),"")</f>
        <v/>
      </c>
      <c r="J223" s="172"/>
    </row>
    <row r="224" spans="9:10" x14ac:dyDescent="0.3">
      <c r="I224" t="str">
        <f>_xlfn.IFNA(INDEX('[1]Sector list'!$A$2:$A$122,MATCH(H224,'[1]Sector list'!$B$2:$B$122,0)),"")</f>
        <v/>
      </c>
      <c r="J224" s="172"/>
    </row>
    <row r="225" spans="9:10" x14ac:dyDescent="0.3">
      <c r="I225" t="str">
        <f>_xlfn.IFNA(INDEX('[1]Sector list'!$A$2:$A$122,MATCH(H225,'[1]Sector list'!$B$2:$B$122,0)),"")</f>
        <v/>
      </c>
      <c r="J225" s="172"/>
    </row>
    <row r="226" spans="9:10" x14ac:dyDescent="0.3">
      <c r="I226" t="str">
        <f>_xlfn.IFNA(INDEX('[1]Sector list'!$A$2:$A$122,MATCH(H226,'[1]Sector list'!$B$2:$B$122,0)),"")</f>
        <v/>
      </c>
      <c r="J226" s="172"/>
    </row>
    <row r="227" spans="9:10" x14ac:dyDescent="0.3">
      <c r="I227" t="str">
        <f>_xlfn.IFNA(INDEX('[1]Sector list'!$A$2:$A$122,MATCH(H227,'[1]Sector list'!$B$2:$B$122,0)),"")</f>
        <v/>
      </c>
      <c r="J227" s="172"/>
    </row>
    <row r="228" spans="9:10" x14ac:dyDescent="0.3">
      <c r="I228" t="str">
        <f>_xlfn.IFNA(INDEX('[1]Sector list'!$A$2:$A$122,MATCH(H228,'[1]Sector list'!$B$2:$B$122,0)),"")</f>
        <v/>
      </c>
      <c r="J228" s="172"/>
    </row>
    <row r="229" spans="9:10" x14ac:dyDescent="0.3">
      <c r="I229" t="str">
        <f>_xlfn.IFNA(INDEX('[1]Sector list'!$A$2:$A$122,MATCH(H229,'[1]Sector list'!$B$2:$B$122,0)),"")</f>
        <v/>
      </c>
      <c r="J229" s="172"/>
    </row>
    <row r="230" spans="9:10" x14ac:dyDescent="0.3">
      <c r="I230" t="str">
        <f>_xlfn.IFNA(INDEX('[1]Sector list'!$A$2:$A$122,MATCH(H230,'[1]Sector list'!$B$2:$B$122,0)),"")</f>
        <v/>
      </c>
      <c r="J230" s="172"/>
    </row>
    <row r="231" spans="9:10" x14ac:dyDescent="0.3">
      <c r="I231" t="str">
        <f>_xlfn.IFNA(INDEX('[1]Sector list'!$A$2:$A$122,MATCH(H231,'[1]Sector list'!$B$2:$B$122,0)),"")</f>
        <v/>
      </c>
      <c r="J231" s="172"/>
    </row>
    <row r="232" spans="9:10" x14ac:dyDescent="0.3">
      <c r="I232" t="str">
        <f>_xlfn.IFNA(INDEX('[1]Sector list'!$A$2:$A$122,MATCH(H232,'[1]Sector list'!$B$2:$B$122,0)),"")</f>
        <v/>
      </c>
      <c r="J232" s="172"/>
    </row>
    <row r="233" spans="9:10" x14ac:dyDescent="0.3">
      <c r="I233" t="str">
        <f>_xlfn.IFNA(INDEX('[1]Sector list'!$A$2:$A$122,MATCH(H233,'[1]Sector list'!$B$2:$B$122,0)),"")</f>
        <v/>
      </c>
      <c r="J233" s="172"/>
    </row>
    <row r="234" spans="9:10" x14ac:dyDescent="0.3">
      <c r="I234" t="str">
        <f>_xlfn.IFNA(INDEX('[1]Sector list'!$A$2:$A$122,MATCH(H234,'[1]Sector list'!$B$2:$B$122,0)),"")</f>
        <v/>
      </c>
      <c r="J234" s="172"/>
    </row>
    <row r="235" spans="9:10" x14ac:dyDescent="0.3">
      <c r="I235" t="str">
        <f>_xlfn.IFNA(INDEX('[1]Sector list'!$A$2:$A$122,MATCH(H235,'[1]Sector list'!$B$2:$B$122,0)),"")</f>
        <v/>
      </c>
      <c r="J235" s="172"/>
    </row>
    <row r="236" spans="9:10" x14ac:dyDescent="0.3">
      <c r="I236" t="str">
        <f>_xlfn.IFNA(INDEX('[1]Sector list'!$A$2:$A$122,MATCH(H236,'[1]Sector list'!$B$2:$B$122,0)),"")</f>
        <v/>
      </c>
      <c r="J236" s="172"/>
    </row>
    <row r="237" spans="9:10" x14ac:dyDescent="0.3">
      <c r="I237" t="str">
        <f>_xlfn.IFNA(INDEX('[1]Sector list'!$A$2:$A$122,MATCH(H237,'[1]Sector list'!$B$2:$B$122,0)),"")</f>
        <v/>
      </c>
      <c r="J237" s="172"/>
    </row>
    <row r="238" spans="9:10" x14ac:dyDescent="0.3">
      <c r="I238" t="str">
        <f>_xlfn.IFNA(INDEX('[1]Sector list'!$A$2:$A$122,MATCH(H238,'[1]Sector list'!$B$2:$B$122,0)),"")</f>
        <v/>
      </c>
      <c r="J238" s="172"/>
    </row>
    <row r="239" spans="9:10" x14ac:dyDescent="0.3">
      <c r="I239" t="str">
        <f>_xlfn.IFNA(INDEX('[1]Sector list'!$A$2:$A$122,MATCH(H239,'[1]Sector list'!$B$2:$B$122,0)),"")</f>
        <v/>
      </c>
      <c r="J239" s="172"/>
    </row>
    <row r="240" spans="9:10" x14ac:dyDescent="0.3">
      <c r="I240" t="str">
        <f>_xlfn.IFNA(INDEX('[1]Sector list'!$A$2:$A$122,MATCH(H240,'[1]Sector list'!$B$2:$B$122,0)),"")</f>
        <v/>
      </c>
      <c r="J240" s="172"/>
    </row>
    <row r="241" spans="9:10" x14ac:dyDescent="0.3">
      <c r="I241" t="str">
        <f>_xlfn.IFNA(INDEX('[1]Sector list'!$A$2:$A$122,MATCH(H241,'[1]Sector list'!$B$2:$B$122,0)),"")</f>
        <v/>
      </c>
      <c r="J241" s="172"/>
    </row>
    <row r="242" spans="9:10" x14ac:dyDescent="0.3">
      <c r="I242" t="str">
        <f>_xlfn.IFNA(INDEX('[1]Sector list'!$A$2:$A$122,MATCH(H242,'[1]Sector list'!$B$2:$B$122,0)),"")</f>
        <v/>
      </c>
      <c r="J242" s="172"/>
    </row>
    <row r="243" spans="9:10" x14ac:dyDescent="0.3">
      <c r="I243" t="str">
        <f>_xlfn.IFNA(INDEX('[1]Sector list'!$A$2:$A$122,MATCH(H243,'[1]Sector list'!$B$2:$B$122,0)),"")</f>
        <v/>
      </c>
      <c r="J243" s="172"/>
    </row>
    <row r="244" spans="9:10" x14ac:dyDescent="0.3">
      <c r="I244" t="str">
        <f>_xlfn.IFNA(INDEX('[1]Sector list'!$A$2:$A$122,MATCH(H244,'[1]Sector list'!$B$2:$B$122,0)),"")</f>
        <v/>
      </c>
      <c r="J244" s="172"/>
    </row>
    <row r="245" spans="9:10" x14ac:dyDescent="0.3">
      <c r="I245" t="str">
        <f>_xlfn.IFNA(INDEX('[1]Sector list'!$A$2:$A$122,MATCH(H245,'[1]Sector list'!$B$2:$B$122,0)),"")</f>
        <v/>
      </c>
      <c r="J245" s="172"/>
    </row>
    <row r="246" spans="9:10" x14ac:dyDescent="0.3">
      <c r="I246" t="str">
        <f>_xlfn.IFNA(INDEX('[1]Sector list'!$A$2:$A$122,MATCH(H246,'[1]Sector list'!$B$2:$B$122,0)),"")</f>
        <v/>
      </c>
      <c r="J246" s="172"/>
    </row>
    <row r="247" spans="9:10" x14ac:dyDescent="0.3">
      <c r="I247" t="str">
        <f>_xlfn.IFNA(INDEX('[1]Sector list'!$A$2:$A$122,MATCH(H247,'[1]Sector list'!$B$2:$B$122,0)),"")</f>
        <v/>
      </c>
      <c r="J247" s="172"/>
    </row>
    <row r="248" spans="9:10" x14ac:dyDescent="0.3">
      <c r="I248" t="str">
        <f>_xlfn.IFNA(INDEX('[1]Sector list'!$A$2:$A$122,MATCH(H248,'[1]Sector list'!$B$2:$B$122,0)),"")</f>
        <v/>
      </c>
      <c r="J248" s="172"/>
    </row>
    <row r="249" spans="9:10" x14ac:dyDescent="0.3">
      <c r="I249" t="str">
        <f>_xlfn.IFNA(INDEX('[1]Sector list'!$A$2:$A$122,MATCH(H249,'[1]Sector list'!$B$2:$B$122,0)),"")</f>
        <v/>
      </c>
      <c r="J249" s="172"/>
    </row>
    <row r="250" spans="9:10" x14ac:dyDescent="0.3">
      <c r="I250" t="str">
        <f>_xlfn.IFNA(INDEX('[1]Sector list'!$A$2:$A$122,MATCH(H250,'[1]Sector list'!$B$2:$B$122,0)),"")</f>
        <v/>
      </c>
      <c r="J250" s="172"/>
    </row>
    <row r="251" spans="9:10" x14ac:dyDescent="0.3">
      <c r="I251" t="str">
        <f>_xlfn.IFNA(INDEX('[1]Sector list'!$A$2:$A$122,MATCH(H251,'[1]Sector list'!$B$2:$B$122,0)),"")</f>
        <v/>
      </c>
      <c r="J251" s="172"/>
    </row>
    <row r="252" spans="9:10" x14ac:dyDescent="0.3">
      <c r="I252" t="str">
        <f>_xlfn.IFNA(INDEX('[1]Sector list'!$A$2:$A$122,MATCH(H252,'[1]Sector list'!$B$2:$B$122,0)),"")</f>
        <v/>
      </c>
      <c r="J252" s="172"/>
    </row>
    <row r="253" spans="9:10" x14ac:dyDescent="0.3">
      <c r="I253" t="str">
        <f>_xlfn.IFNA(INDEX('[1]Sector list'!$A$2:$A$122,MATCH(H253,'[1]Sector list'!$B$2:$B$122,0)),"")</f>
        <v/>
      </c>
      <c r="J253" s="172"/>
    </row>
    <row r="254" spans="9:10" x14ac:dyDescent="0.3">
      <c r="I254" t="str">
        <f>_xlfn.IFNA(INDEX('[1]Sector list'!$A$2:$A$122,MATCH(H254,'[1]Sector list'!$B$2:$B$122,0)),"")</f>
        <v/>
      </c>
      <c r="J254" s="172"/>
    </row>
    <row r="255" spans="9:10" x14ac:dyDescent="0.3">
      <c r="I255" t="str">
        <f>_xlfn.IFNA(INDEX('[1]Sector list'!$A$2:$A$122,MATCH(H255,'[1]Sector list'!$B$2:$B$122,0)),"")</f>
        <v/>
      </c>
      <c r="J255" s="172"/>
    </row>
    <row r="256" spans="9:10" x14ac:dyDescent="0.3">
      <c r="I256" t="str">
        <f>_xlfn.IFNA(INDEX('[1]Sector list'!$A$2:$A$122,MATCH(H256,'[1]Sector list'!$B$2:$B$122,0)),"")</f>
        <v/>
      </c>
      <c r="J256" s="172"/>
    </row>
    <row r="257" spans="9:10" x14ac:dyDescent="0.3">
      <c r="I257" t="str">
        <f>_xlfn.IFNA(INDEX('[1]Sector list'!$A$2:$A$122,MATCH(H257,'[1]Sector list'!$B$2:$B$122,0)),"")</f>
        <v/>
      </c>
      <c r="J257" s="172"/>
    </row>
    <row r="258" spans="9:10" x14ac:dyDescent="0.3">
      <c r="I258" t="str">
        <f>_xlfn.IFNA(INDEX('[1]Sector list'!$A$2:$A$122,MATCH(H258,'[1]Sector list'!$B$2:$B$122,0)),"")</f>
        <v/>
      </c>
      <c r="J258" s="172"/>
    </row>
    <row r="259" spans="9:10" x14ac:dyDescent="0.3">
      <c r="I259" t="str">
        <f>_xlfn.IFNA(INDEX('[1]Sector list'!$A$2:$A$122,MATCH(H259,'[1]Sector list'!$B$2:$B$122,0)),"")</f>
        <v/>
      </c>
      <c r="J259" s="172"/>
    </row>
    <row r="260" spans="9:10" x14ac:dyDescent="0.3">
      <c r="I260" t="str">
        <f>_xlfn.IFNA(INDEX('[1]Sector list'!$A$2:$A$122,MATCH(H260,'[1]Sector list'!$B$2:$B$122,0)),"")</f>
        <v/>
      </c>
      <c r="J260" s="172"/>
    </row>
    <row r="261" spans="9:10" x14ac:dyDescent="0.3">
      <c r="I261" t="str">
        <f>_xlfn.IFNA(INDEX('[1]Sector list'!$A$2:$A$122,MATCH(H261,'[1]Sector list'!$B$2:$B$122,0)),"")</f>
        <v/>
      </c>
      <c r="J261" s="172"/>
    </row>
    <row r="262" spans="9:10" x14ac:dyDescent="0.3">
      <c r="I262" t="str">
        <f>_xlfn.IFNA(INDEX('[1]Sector list'!$A$2:$A$122,MATCH(H262,'[1]Sector list'!$B$2:$B$122,0)),"")</f>
        <v/>
      </c>
      <c r="J262" s="172"/>
    </row>
    <row r="263" spans="9:10" x14ac:dyDescent="0.3">
      <c r="I263" t="str">
        <f>_xlfn.IFNA(INDEX('[1]Sector list'!$A$2:$A$122,MATCH(H263,'[1]Sector list'!$B$2:$B$122,0)),"")</f>
        <v/>
      </c>
      <c r="J263" s="172"/>
    </row>
    <row r="264" spans="9:10" x14ac:dyDescent="0.3">
      <c r="I264" t="str">
        <f>_xlfn.IFNA(INDEX('[1]Sector list'!$A$2:$A$122,MATCH(H264,'[1]Sector list'!$B$2:$B$122,0)),"")</f>
        <v/>
      </c>
      <c r="J264" s="172"/>
    </row>
    <row r="265" spans="9:10" x14ac:dyDescent="0.3">
      <c r="I265" t="str">
        <f>_xlfn.IFNA(INDEX('[1]Sector list'!$A$2:$A$122,MATCH(H265,'[1]Sector list'!$B$2:$B$122,0)),"")</f>
        <v/>
      </c>
      <c r="J265" s="172"/>
    </row>
    <row r="266" spans="9:10" x14ac:dyDescent="0.3">
      <c r="I266" t="str">
        <f>_xlfn.IFNA(INDEX('[1]Sector list'!$A$2:$A$122,MATCH(H266,'[1]Sector list'!$B$2:$B$122,0)),"")</f>
        <v/>
      </c>
      <c r="J266" s="172"/>
    </row>
    <row r="267" spans="9:10" x14ac:dyDescent="0.3">
      <c r="I267" t="str">
        <f>_xlfn.IFNA(INDEX('[1]Sector list'!$A$2:$A$122,MATCH(H267,'[1]Sector list'!$B$2:$B$122,0)),"")</f>
        <v/>
      </c>
      <c r="J267" s="172"/>
    </row>
    <row r="268" spans="9:10" x14ac:dyDescent="0.3">
      <c r="I268" t="str">
        <f>_xlfn.IFNA(INDEX('[1]Sector list'!$A$2:$A$122,MATCH(H268,'[1]Sector list'!$B$2:$B$122,0)),"")</f>
        <v/>
      </c>
      <c r="J268" s="172"/>
    </row>
    <row r="269" spans="9:10" x14ac:dyDescent="0.3">
      <c r="I269" t="str">
        <f>_xlfn.IFNA(INDEX('[1]Sector list'!$A$2:$A$122,MATCH(H269,'[1]Sector list'!$B$2:$B$122,0)),"")</f>
        <v/>
      </c>
      <c r="J269" s="172"/>
    </row>
    <row r="270" spans="9:10" x14ac:dyDescent="0.3">
      <c r="I270" t="str">
        <f>_xlfn.IFNA(INDEX('[1]Sector list'!$A$2:$A$122,MATCH(H270,'[1]Sector list'!$B$2:$B$122,0)),"")</f>
        <v/>
      </c>
      <c r="J270" s="172"/>
    </row>
    <row r="271" spans="9:10" x14ac:dyDescent="0.3">
      <c r="I271" t="str">
        <f>_xlfn.IFNA(INDEX('[1]Sector list'!$A$2:$A$122,MATCH(H271,'[1]Sector list'!$B$2:$B$122,0)),"")</f>
        <v/>
      </c>
      <c r="J271" s="172"/>
    </row>
    <row r="272" spans="9:10" x14ac:dyDescent="0.3">
      <c r="I272" t="str">
        <f>_xlfn.IFNA(INDEX('[1]Sector list'!$A$2:$A$122,MATCH(H272,'[1]Sector list'!$B$2:$B$122,0)),"")</f>
        <v/>
      </c>
      <c r="J272" s="172"/>
    </row>
    <row r="273" spans="9:10" x14ac:dyDescent="0.3">
      <c r="I273" t="str">
        <f>_xlfn.IFNA(INDEX('[1]Sector list'!$A$2:$A$122,MATCH(H273,'[1]Sector list'!$B$2:$B$122,0)),"")</f>
        <v/>
      </c>
      <c r="J273" s="172"/>
    </row>
    <row r="274" spans="9:10" x14ac:dyDescent="0.3">
      <c r="I274" t="str">
        <f>_xlfn.IFNA(INDEX('[1]Sector list'!$A$2:$A$122,MATCH(H274,'[1]Sector list'!$B$2:$B$122,0)),"")</f>
        <v/>
      </c>
      <c r="J274" s="172"/>
    </row>
    <row r="275" spans="9:10" x14ac:dyDescent="0.3">
      <c r="I275" t="str">
        <f>_xlfn.IFNA(INDEX('[1]Sector list'!$A$2:$A$122,MATCH(H275,'[1]Sector list'!$B$2:$B$122,0)),"")</f>
        <v/>
      </c>
      <c r="J275" s="172"/>
    </row>
    <row r="276" spans="9:10" x14ac:dyDescent="0.3">
      <c r="I276" t="str">
        <f>_xlfn.IFNA(INDEX('[1]Sector list'!$A$2:$A$122,MATCH(H276,'[1]Sector list'!$B$2:$B$122,0)),"")</f>
        <v/>
      </c>
      <c r="J276" s="172"/>
    </row>
    <row r="277" spans="9:10" x14ac:dyDescent="0.3">
      <c r="I277" t="str">
        <f>_xlfn.IFNA(INDEX('[1]Sector list'!$A$2:$A$122,MATCH(H277,'[1]Sector list'!$B$2:$B$122,0)),"")</f>
        <v/>
      </c>
      <c r="J277" s="172"/>
    </row>
    <row r="278" spans="9:10" x14ac:dyDescent="0.3">
      <c r="I278" t="str">
        <f>_xlfn.IFNA(INDEX('[1]Sector list'!$A$2:$A$122,MATCH(H278,'[1]Sector list'!$B$2:$B$122,0)),"")</f>
        <v/>
      </c>
      <c r="J278" s="172"/>
    </row>
    <row r="279" spans="9:10" x14ac:dyDescent="0.3">
      <c r="I279" t="str">
        <f>_xlfn.IFNA(INDEX('[1]Sector list'!$A$2:$A$122,MATCH(H279,'[1]Sector list'!$B$2:$B$122,0)),"")</f>
        <v/>
      </c>
      <c r="J279" s="172"/>
    </row>
    <row r="280" spans="9:10" x14ac:dyDescent="0.3">
      <c r="I280" t="str">
        <f>_xlfn.IFNA(INDEX('[1]Sector list'!$A$2:$A$122,MATCH(H280,'[1]Sector list'!$B$2:$B$122,0)),"")</f>
        <v/>
      </c>
      <c r="J280" s="172"/>
    </row>
    <row r="281" spans="9:10" x14ac:dyDescent="0.3">
      <c r="I281" t="str">
        <f>_xlfn.IFNA(INDEX('[1]Sector list'!$A$2:$A$122,MATCH(H281,'[1]Sector list'!$B$2:$B$122,0)),"")</f>
        <v/>
      </c>
      <c r="J281" s="172"/>
    </row>
    <row r="282" spans="9:10" x14ac:dyDescent="0.3">
      <c r="I282" t="str">
        <f>_xlfn.IFNA(INDEX('[1]Sector list'!$A$2:$A$122,MATCH(H282,'[1]Sector list'!$B$2:$B$122,0)),"")</f>
        <v/>
      </c>
      <c r="J282" s="172"/>
    </row>
    <row r="283" spans="9:10" x14ac:dyDescent="0.3">
      <c r="I283" t="str">
        <f>_xlfn.IFNA(INDEX('[1]Sector list'!$A$2:$A$122,MATCH(H283,'[1]Sector list'!$B$2:$B$122,0)),"")</f>
        <v/>
      </c>
      <c r="J283" s="172"/>
    </row>
    <row r="284" spans="9:10" x14ac:dyDescent="0.3">
      <c r="I284" t="str">
        <f>_xlfn.IFNA(INDEX('[1]Sector list'!$A$2:$A$122,MATCH(H284,'[1]Sector list'!$B$2:$B$122,0)),"")</f>
        <v/>
      </c>
      <c r="J284" s="172"/>
    </row>
    <row r="285" spans="9:10" x14ac:dyDescent="0.3">
      <c r="I285" t="str">
        <f>_xlfn.IFNA(INDEX('[1]Sector list'!$A$2:$A$122,MATCH(H285,'[1]Sector list'!$B$2:$B$122,0)),"")</f>
        <v/>
      </c>
      <c r="J285" s="172"/>
    </row>
    <row r="286" spans="9:10" x14ac:dyDescent="0.3">
      <c r="I286" t="str">
        <f>_xlfn.IFNA(INDEX('[1]Sector list'!$A$2:$A$122,MATCH(H286,'[1]Sector list'!$B$2:$B$122,0)),"")</f>
        <v/>
      </c>
      <c r="J286" s="172"/>
    </row>
    <row r="287" spans="9:10" x14ac:dyDescent="0.3">
      <c r="I287" t="str">
        <f>_xlfn.IFNA(INDEX('[1]Sector list'!$A$2:$A$122,MATCH(H287,'[1]Sector list'!$B$2:$B$122,0)),"")</f>
        <v/>
      </c>
      <c r="J287" s="172"/>
    </row>
    <row r="288" spans="9:10" x14ac:dyDescent="0.3">
      <c r="I288" t="str">
        <f>_xlfn.IFNA(INDEX('[1]Sector list'!$A$2:$A$122,MATCH(H288,'[1]Sector list'!$B$2:$B$122,0)),"")</f>
        <v/>
      </c>
      <c r="J288" s="172"/>
    </row>
    <row r="289" spans="9:10" x14ac:dyDescent="0.3">
      <c r="I289" t="str">
        <f>_xlfn.IFNA(INDEX('[1]Sector list'!$A$2:$A$122,MATCH(H289,'[1]Sector list'!$B$2:$B$122,0)),"")</f>
        <v/>
      </c>
      <c r="J289" s="172"/>
    </row>
    <row r="290" spans="9:10" x14ac:dyDescent="0.3">
      <c r="I290" t="str">
        <f>_xlfn.IFNA(INDEX('[1]Sector list'!$A$2:$A$122,MATCH(H290,'[1]Sector list'!$B$2:$B$122,0)),"")</f>
        <v/>
      </c>
      <c r="J290" s="172"/>
    </row>
    <row r="291" spans="9:10" x14ac:dyDescent="0.3">
      <c r="I291" t="str">
        <f>_xlfn.IFNA(INDEX('[1]Sector list'!$A$2:$A$122,MATCH(H291,'[1]Sector list'!$B$2:$B$122,0)),"")</f>
        <v/>
      </c>
      <c r="J291" s="172"/>
    </row>
    <row r="292" spans="9:10" x14ac:dyDescent="0.3">
      <c r="I292" t="str">
        <f>_xlfn.IFNA(INDEX('[1]Sector list'!$A$2:$A$122,MATCH(H292,'[1]Sector list'!$B$2:$B$122,0)),"")</f>
        <v/>
      </c>
      <c r="J292" s="172"/>
    </row>
    <row r="293" spans="9:10" x14ac:dyDescent="0.3">
      <c r="I293" t="str">
        <f>_xlfn.IFNA(INDEX('[1]Sector list'!$A$2:$A$122,MATCH(H293,'[1]Sector list'!$B$2:$B$122,0)),"")</f>
        <v/>
      </c>
      <c r="J293" s="172"/>
    </row>
    <row r="294" spans="9:10" x14ac:dyDescent="0.3">
      <c r="I294" t="str">
        <f>_xlfn.IFNA(INDEX('[1]Sector list'!$A$2:$A$122,MATCH(H294,'[1]Sector list'!$B$2:$B$122,0)),"")</f>
        <v/>
      </c>
      <c r="J294" s="172"/>
    </row>
    <row r="295" spans="9:10" x14ac:dyDescent="0.3">
      <c r="I295" t="str">
        <f>_xlfn.IFNA(INDEX('[1]Sector list'!$A$2:$A$122,MATCH(H295,'[1]Sector list'!$B$2:$B$122,0)),"")</f>
        <v/>
      </c>
      <c r="J295" s="172"/>
    </row>
    <row r="296" spans="9:10" x14ac:dyDescent="0.3">
      <c r="I296" t="str">
        <f>_xlfn.IFNA(INDEX('[1]Sector list'!$A$2:$A$122,MATCH(H296,'[1]Sector list'!$B$2:$B$122,0)),"")</f>
        <v/>
      </c>
      <c r="J296" s="172"/>
    </row>
    <row r="297" spans="9:10" x14ac:dyDescent="0.3">
      <c r="I297" t="str">
        <f>_xlfn.IFNA(INDEX('[1]Sector list'!$A$2:$A$122,MATCH(H297,'[1]Sector list'!$B$2:$B$122,0)),"")</f>
        <v/>
      </c>
      <c r="J297" s="172"/>
    </row>
    <row r="298" spans="9:10" x14ac:dyDescent="0.3">
      <c r="I298" t="str">
        <f>_xlfn.IFNA(INDEX('[1]Sector list'!$A$2:$A$122,MATCH(H298,'[1]Sector list'!$B$2:$B$122,0)),"")</f>
        <v/>
      </c>
      <c r="J298" s="172"/>
    </row>
    <row r="299" spans="9:10" x14ac:dyDescent="0.3">
      <c r="I299" t="str">
        <f>_xlfn.IFNA(INDEX('[1]Sector list'!$A$2:$A$122,MATCH(H299,'[1]Sector list'!$B$2:$B$122,0)),"")</f>
        <v/>
      </c>
      <c r="J299" s="172"/>
    </row>
    <row r="300" spans="9:10" x14ac:dyDescent="0.3">
      <c r="I300" t="str">
        <f>_xlfn.IFNA(INDEX('[1]Sector list'!$A$2:$A$122,MATCH(H300,'[1]Sector list'!$B$2:$B$122,0)),"")</f>
        <v/>
      </c>
      <c r="J300" s="172"/>
    </row>
    <row r="301" spans="9:10" x14ac:dyDescent="0.3">
      <c r="I301" t="str">
        <f>_xlfn.IFNA(INDEX('[1]Sector list'!$A$2:$A$122,MATCH(H301,'[1]Sector list'!$B$2:$B$122,0)),"")</f>
        <v/>
      </c>
      <c r="J301" s="172"/>
    </row>
    <row r="302" spans="9:10" x14ac:dyDescent="0.3">
      <c r="I302" t="str">
        <f>_xlfn.IFNA(INDEX('[1]Sector list'!$A$2:$A$122,MATCH(H302,'[1]Sector list'!$B$2:$B$122,0)),"")</f>
        <v/>
      </c>
      <c r="J302" s="172"/>
    </row>
    <row r="303" spans="9:10" x14ac:dyDescent="0.3">
      <c r="I303" t="str">
        <f>_xlfn.IFNA(INDEX('[1]Sector list'!$A$2:$A$122,MATCH(H303,'[1]Sector list'!$B$2:$B$122,0)),"")</f>
        <v/>
      </c>
      <c r="J303" s="172"/>
    </row>
    <row r="304" spans="9:10" x14ac:dyDescent="0.3">
      <c r="I304" t="str">
        <f>_xlfn.IFNA(INDEX('[1]Sector list'!$A$2:$A$122,MATCH(H304,'[1]Sector list'!$B$2:$B$122,0)),"")</f>
        <v/>
      </c>
      <c r="J304" s="172"/>
    </row>
    <row r="305" spans="9:10" x14ac:dyDescent="0.3">
      <c r="I305" t="str">
        <f>_xlfn.IFNA(INDEX('[1]Sector list'!$A$2:$A$122,MATCH(H305,'[1]Sector list'!$B$2:$B$122,0)),"")</f>
        <v/>
      </c>
      <c r="J305" s="172"/>
    </row>
    <row r="306" spans="9:10" x14ac:dyDescent="0.3">
      <c r="I306" t="str">
        <f>_xlfn.IFNA(INDEX('[1]Sector list'!$A$2:$A$122,MATCH(H306,'[1]Sector list'!$B$2:$B$122,0)),"")</f>
        <v/>
      </c>
      <c r="J306" s="172"/>
    </row>
    <row r="307" spans="9:10" x14ac:dyDescent="0.3">
      <c r="I307" t="str">
        <f>_xlfn.IFNA(INDEX('[1]Sector list'!$A$2:$A$122,MATCH(H307,'[1]Sector list'!$B$2:$B$122,0)),"")</f>
        <v/>
      </c>
      <c r="J307" s="172"/>
    </row>
    <row r="308" spans="9:10" x14ac:dyDescent="0.3">
      <c r="I308" t="str">
        <f>_xlfn.IFNA(INDEX('[1]Sector list'!$A$2:$A$122,MATCH(H308,'[1]Sector list'!$B$2:$B$122,0)),"")</f>
        <v/>
      </c>
      <c r="J308" s="172"/>
    </row>
    <row r="309" spans="9:10" x14ac:dyDescent="0.3">
      <c r="I309" t="str">
        <f>_xlfn.IFNA(INDEX('[1]Sector list'!$A$2:$A$122,MATCH(H309,'[1]Sector list'!$B$2:$B$122,0)),"")</f>
        <v/>
      </c>
      <c r="J309" s="172"/>
    </row>
    <row r="310" spans="9:10" x14ac:dyDescent="0.3">
      <c r="I310" t="str">
        <f>_xlfn.IFNA(INDEX('[1]Sector list'!$A$2:$A$122,MATCH(H310,'[1]Sector list'!$B$2:$B$122,0)),"")</f>
        <v/>
      </c>
      <c r="J310" s="172"/>
    </row>
    <row r="311" spans="9:10" x14ac:dyDescent="0.3">
      <c r="I311" t="str">
        <f>_xlfn.IFNA(INDEX('[1]Sector list'!$A$2:$A$122,MATCH(H311,'[1]Sector list'!$B$2:$B$122,0)),"")</f>
        <v/>
      </c>
      <c r="J311" s="172"/>
    </row>
    <row r="312" spans="9:10" x14ac:dyDescent="0.3">
      <c r="I312" t="str">
        <f>_xlfn.IFNA(INDEX('[1]Sector list'!$A$2:$A$122,MATCH(H312,'[1]Sector list'!$B$2:$B$122,0)),"")</f>
        <v/>
      </c>
      <c r="J312" s="172"/>
    </row>
    <row r="313" spans="9:10" x14ac:dyDescent="0.3">
      <c r="I313" t="str">
        <f>_xlfn.IFNA(INDEX('[1]Sector list'!$A$2:$A$122,MATCH(H313,'[1]Sector list'!$B$2:$B$122,0)),"")</f>
        <v/>
      </c>
      <c r="J313" s="172"/>
    </row>
    <row r="314" spans="9:10" x14ac:dyDescent="0.3">
      <c r="I314" t="str">
        <f>_xlfn.IFNA(INDEX('[1]Sector list'!$A$2:$A$122,MATCH(H314,'[1]Sector list'!$B$2:$B$122,0)),"")</f>
        <v/>
      </c>
      <c r="J314" s="172"/>
    </row>
    <row r="315" spans="9:10" x14ac:dyDescent="0.3">
      <c r="I315" t="str">
        <f>_xlfn.IFNA(INDEX('[1]Sector list'!$A$2:$A$122,MATCH(H315,'[1]Sector list'!$B$2:$B$122,0)),"")</f>
        <v/>
      </c>
      <c r="J315" s="172"/>
    </row>
    <row r="316" spans="9:10" x14ac:dyDescent="0.3">
      <c r="I316" t="str">
        <f>_xlfn.IFNA(INDEX('[1]Sector list'!$A$2:$A$122,MATCH(H316,'[1]Sector list'!$B$2:$B$122,0)),"")</f>
        <v/>
      </c>
      <c r="J316" s="172"/>
    </row>
    <row r="317" spans="9:10" x14ac:dyDescent="0.3">
      <c r="I317" t="str">
        <f>_xlfn.IFNA(INDEX('[1]Sector list'!$A$2:$A$122,MATCH(H317,'[1]Sector list'!$B$2:$B$122,0)),"")</f>
        <v/>
      </c>
      <c r="J317" s="172"/>
    </row>
    <row r="318" spans="9:10" x14ac:dyDescent="0.3">
      <c r="I318" t="str">
        <f>_xlfn.IFNA(INDEX('[1]Sector list'!$A$2:$A$122,MATCH(H318,'[1]Sector list'!$B$2:$B$122,0)),"")</f>
        <v/>
      </c>
      <c r="J318" s="172"/>
    </row>
    <row r="319" spans="9:10" x14ac:dyDescent="0.3">
      <c r="I319" t="str">
        <f>_xlfn.IFNA(INDEX('[1]Sector list'!$A$2:$A$122,MATCH(H319,'[1]Sector list'!$B$2:$B$122,0)),"")</f>
        <v/>
      </c>
      <c r="J319" s="172"/>
    </row>
    <row r="320" spans="9:10" x14ac:dyDescent="0.3">
      <c r="I320" t="str">
        <f>_xlfn.IFNA(INDEX('[1]Sector list'!$A$2:$A$122,MATCH(H320,'[1]Sector list'!$B$2:$B$122,0)),"")</f>
        <v/>
      </c>
      <c r="J320" s="172"/>
    </row>
    <row r="321" spans="9:10" x14ac:dyDescent="0.3">
      <c r="I321" t="str">
        <f>_xlfn.IFNA(INDEX('[1]Sector list'!$A$2:$A$122,MATCH(H321,'[1]Sector list'!$B$2:$B$122,0)),"")</f>
        <v/>
      </c>
      <c r="J321" s="172"/>
    </row>
    <row r="322" spans="9:10" x14ac:dyDescent="0.3">
      <c r="I322" t="str">
        <f>_xlfn.IFNA(INDEX('[1]Sector list'!$A$2:$A$122,MATCH(H322,'[1]Sector list'!$B$2:$B$122,0)),"")</f>
        <v/>
      </c>
      <c r="J322" s="172"/>
    </row>
    <row r="323" spans="9:10" x14ac:dyDescent="0.3">
      <c r="I323" t="str">
        <f>_xlfn.IFNA(INDEX('[1]Sector list'!$A$2:$A$122,MATCH(H323,'[1]Sector list'!$B$2:$B$122,0)),"")</f>
        <v/>
      </c>
      <c r="J323" s="172"/>
    </row>
    <row r="324" spans="9:10" x14ac:dyDescent="0.3">
      <c r="I324" t="str">
        <f>_xlfn.IFNA(INDEX('[1]Sector list'!$A$2:$A$122,MATCH(H324,'[1]Sector list'!$B$2:$B$122,0)),"")</f>
        <v/>
      </c>
      <c r="J324" s="172"/>
    </row>
    <row r="325" spans="9:10" x14ac:dyDescent="0.3">
      <c r="I325" t="str">
        <f>_xlfn.IFNA(INDEX('[1]Sector list'!$A$2:$A$122,MATCH(H325,'[1]Sector list'!$B$2:$B$122,0)),"")</f>
        <v/>
      </c>
      <c r="J325" s="172"/>
    </row>
    <row r="326" spans="9:10" x14ac:dyDescent="0.3">
      <c r="I326" t="str">
        <f>_xlfn.IFNA(INDEX('[1]Sector list'!$A$2:$A$122,MATCH(H326,'[1]Sector list'!$B$2:$B$122,0)),"")</f>
        <v/>
      </c>
      <c r="J326" s="172"/>
    </row>
    <row r="327" spans="9:10" x14ac:dyDescent="0.3">
      <c r="I327" t="str">
        <f>_xlfn.IFNA(INDEX('[1]Sector list'!$A$2:$A$122,MATCH(H327,'[1]Sector list'!$B$2:$B$122,0)),"")</f>
        <v/>
      </c>
      <c r="J327" s="172"/>
    </row>
    <row r="328" spans="9:10" x14ac:dyDescent="0.3">
      <c r="I328" t="str">
        <f>_xlfn.IFNA(INDEX('[1]Sector list'!$A$2:$A$122,MATCH(H328,'[1]Sector list'!$B$2:$B$122,0)),"")</f>
        <v/>
      </c>
      <c r="J328" s="172"/>
    </row>
    <row r="329" spans="9:10" x14ac:dyDescent="0.3">
      <c r="I329" t="str">
        <f>_xlfn.IFNA(INDEX('[1]Sector list'!$A$2:$A$122,MATCH(H329,'[1]Sector list'!$B$2:$B$122,0)),"")</f>
        <v/>
      </c>
      <c r="J329" s="172"/>
    </row>
    <row r="330" spans="9:10" x14ac:dyDescent="0.3">
      <c r="I330" t="str">
        <f>_xlfn.IFNA(INDEX('[1]Sector list'!$A$2:$A$122,MATCH(H330,'[1]Sector list'!$B$2:$B$122,0)),"")</f>
        <v/>
      </c>
      <c r="J330" s="172"/>
    </row>
    <row r="331" spans="9:10" x14ac:dyDescent="0.3">
      <c r="I331" t="str">
        <f>_xlfn.IFNA(INDEX('[1]Sector list'!$A$2:$A$122,MATCH(H331,'[1]Sector list'!$B$2:$B$122,0)),"")</f>
        <v/>
      </c>
      <c r="J331" s="172"/>
    </row>
    <row r="332" spans="9:10" x14ac:dyDescent="0.3">
      <c r="I332" t="str">
        <f>_xlfn.IFNA(INDEX('[1]Sector list'!$A$2:$A$122,MATCH(H332,'[1]Sector list'!$B$2:$B$122,0)),"")</f>
        <v/>
      </c>
      <c r="J332" s="172"/>
    </row>
    <row r="333" spans="9:10" x14ac:dyDescent="0.3">
      <c r="I333" t="str">
        <f>_xlfn.IFNA(INDEX('[1]Sector list'!$A$2:$A$122,MATCH(H333,'[1]Sector list'!$B$2:$B$122,0)),"")</f>
        <v/>
      </c>
      <c r="J333" s="172"/>
    </row>
    <row r="334" spans="9:10" x14ac:dyDescent="0.3">
      <c r="I334" t="str">
        <f>_xlfn.IFNA(INDEX('[1]Sector list'!$A$2:$A$122,MATCH(H334,'[1]Sector list'!$B$2:$B$122,0)),"")</f>
        <v/>
      </c>
      <c r="J334" s="172"/>
    </row>
    <row r="335" spans="9:10" x14ac:dyDescent="0.3">
      <c r="I335" t="str">
        <f>_xlfn.IFNA(INDEX('[1]Sector list'!$A$2:$A$122,MATCH(H335,'[1]Sector list'!$B$2:$B$122,0)),"")</f>
        <v/>
      </c>
      <c r="J335" s="172"/>
    </row>
    <row r="336" spans="9:10" x14ac:dyDescent="0.3">
      <c r="I336" t="str">
        <f>_xlfn.IFNA(INDEX('[1]Sector list'!$A$2:$A$122,MATCH(H336,'[1]Sector list'!$B$2:$B$122,0)),"")</f>
        <v/>
      </c>
      <c r="J336" s="172"/>
    </row>
    <row r="337" spans="9:10" x14ac:dyDescent="0.3">
      <c r="I337" t="str">
        <f>_xlfn.IFNA(INDEX('[1]Sector list'!$A$2:$A$122,MATCH(H337,'[1]Sector list'!$B$2:$B$122,0)),"")</f>
        <v/>
      </c>
      <c r="J337" s="172"/>
    </row>
    <row r="338" spans="9:10" x14ac:dyDescent="0.3">
      <c r="I338" t="str">
        <f>_xlfn.IFNA(INDEX('[1]Sector list'!$A$2:$A$122,MATCH(H338,'[1]Sector list'!$B$2:$B$122,0)),"")</f>
        <v/>
      </c>
      <c r="J338" s="172"/>
    </row>
    <row r="339" spans="9:10" x14ac:dyDescent="0.3">
      <c r="I339" t="str">
        <f>_xlfn.IFNA(INDEX('[1]Sector list'!$A$2:$A$122,MATCH(H339,'[1]Sector list'!$B$2:$B$122,0)),"")</f>
        <v/>
      </c>
      <c r="J339" s="172"/>
    </row>
    <row r="340" spans="9:10" x14ac:dyDescent="0.3">
      <c r="I340" t="str">
        <f>_xlfn.IFNA(INDEX('[1]Sector list'!$A$2:$A$122,MATCH(H340,'[1]Sector list'!$B$2:$B$122,0)),"")</f>
        <v/>
      </c>
      <c r="J340" s="172"/>
    </row>
    <row r="341" spans="9:10" x14ac:dyDescent="0.3">
      <c r="I341" t="str">
        <f>_xlfn.IFNA(INDEX('[1]Sector list'!$A$2:$A$122,MATCH(H341,'[1]Sector list'!$B$2:$B$122,0)),"")</f>
        <v/>
      </c>
      <c r="J341" s="172"/>
    </row>
    <row r="342" spans="9:10" x14ac:dyDescent="0.3">
      <c r="I342" t="str">
        <f>_xlfn.IFNA(INDEX('[1]Sector list'!$A$2:$A$122,MATCH(H342,'[1]Sector list'!$B$2:$B$122,0)),"")</f>
        <v/>
      </c>
      <c r="J342" s="172"/>
    </row>
    <row r="343" spans="9:10" x14ac:dyDescent="0.3">
      <c r="I343" t="str">
        <f>_xlfn.IFNA(INDEX('[1]Sector list'!$A$2:$A$122,MATCH(H343,'[1]Sector list'!$B$2:$B$122,0)),"")</f>
        <v/>
      </c>
      <c r="J343" s="172"/>
    </row>
    <row r="344" spans="9:10" x14ac:dyDescent="0.3">
      <c r="I344" t="str">
        <f>_xlfn.IFNA(INDEX('[1]Sector list'!$A$2:$A$122,MATCH(H344,'[1]Sector list'!$B$2:$B$122,0)),"")</f>
        <v/>
      </c>
      <c r="J344" s="172"/>
    </row>
    <row r="345" spans="9:10" x14ac:dyDescent="0.3">
      <c r="I345" t="str">
        <f>_xlfn.IFNA(INDEX('[1]Sector list'!$A$2:$A$122,MATCH(H345,'[1]Sector list'!$B$2:$B$122,0)),"")</f>
        <v/>
      </c>
      <c r="J345" s="172"/>
    </row>
    <row r="346" spans="9:10" x14ac:dyDescent="0.3">
      <c r="I346" t="str">
        <f>_xlfn.IFNA(INDEX('[1]Sector list'!$A$2:$A$122,MATCH(H346,'[1]Sector list'!$B$2:$B$122,0)),"")</f>
        <v/>
      </c>
      <c r="J346" s="172"/>
    </row>
    <row r="347" spans="9:10" x14ac:dyDescent="0.3">
      <c r="I347" t="str">
        <f>_xlfn.IFNA(INDEX('[1]Sector list'!$A$2:$A$122,MATCH(H347,'[1]Sector list'!$B$2:$B$122,0)),"")</f>
        <v/>
      </c>
      <c r="J347" s="172"/>
    </row>
    <row r="348" spans="9:10" x14ac:dyDescent="0.3">
      <c r="I348" t="str">
        <f>_xlfn.IFNA(INDEX('[1]Sector list'!$A$2:$A$122,MATCH(H348,'[1]Sector list'!$B$2:$B$122,0)),"")</f>
        <v/>
      </c>
      <c r="J348" s="172"/>
    </row>
    <row r="349" spans="9:10" x14ac:dyDescent="0.3">
      <c r="I349" t="str">
        <f>_xlfn.IFNA(INDEX('[1]Sector list'!$A$2:$A$122,MATCH(H349,'[1]Sector list'!$B$2:$B$122,0)),"")</f>
        <v/>
      </c>
      <c r="J349" s="172"/>
    </row>
    <row r="350" spans="9:10" x14ac:dyDescent="0.3">
      <c r="I350" t="str">
        <f>_xlfn.IFNA(INDEX('[1]Sector list'!$A$2:$A$122,MATCH(H350,'[1]Sector list'!$B$2:$B$122,0)),"")</f>
        <v/>
      </c>
      <c r="J350" s="172"/>
    </row>
    <row r="351" spans="9:10" x14ac:dyDescent="0.3">
      <c r="I351" t="str">
        <f>_xlfn.IFNA(INDEX('[1]Sector list'!$A$2:$A$122,MATCH(H351,'[1]Sector list'!$B$2:$B$122,0)),"")</f>
        <v/>
      </c>
      <c r="J351" s="172"/>
    </row>
    <row r="352" spans="9:10" x14ac:dyDescent="0.3">
      <c r="I352" t="str">
        <f>_xlfn.IFNA(INDEX('[1]Sector list'!$A$2:$A$122,MATCH(H352,'[1]Sector list'!$B$2:$B$122,0)),"")</f>
        <v/>
      </c>
      <c r="J352" s="172"/>
    </row>
    <row r="353" spans="9:10" x14ac:dyDescent="0.3">
      <c r="I353" t="str">
        <f>_xlfn.IFNA(INDEX('[1]Sector list'!$A$2:$A$122,MATCH(H353,'[1]Sector list'!$B$2:$B$122,0)),"")</f>
        <v/>
      </c>
      <c r="J353" s="172"/>
    </row>
    <row r="354" spans="9:10" x14ac:dyDescent="0.3">
      <c r="I354" t="str">
        <f>_xlfn.IFNA(INDEX('[1]Sector list'!$A$2:$A$122,MATCH(H354,'[1]Sector list'!$B$2:$B$122,0)),"")</f>
        <v/>
      </c>
      <c r="J354" s="172"/>
    </row>
    <row r="355" spans="9:10" x14ac:dyDescent="0.3">
      <c r="I355" t="str">
        <f>_xlfn.IFNA(INDEX('[1]Sector list'!$A$2:$A$122,MATCH(H355,'[1]Sector list'!$B$2:$B$122,0)),"")</f>
        <v/>
      </c>
      <c r="J355" s="172"/>
    </row>
    <row r="356" spans="9:10" x14ac:dyDescent="0.3">
      <c r="I356" t="str">
        <f>_xlfn.IFNA(INDEX('[1]Sector list'!$A$2:$A$122,MATCH(H356,'[1]Sector list'!$B$2:$B$122,0)),"")</f>
        <v/>
      </c>
      <c r="J356" s="172"/>
    </row>
    <row r="357" spans="9:10" x14ac:dyDescent="0.3">
      <c r="I357" t="str">
        <f>_xlfn.IFNA(INDEX('[1]Sector list'!$A$2:$A$122,MATCH(H357,'[1]Sector list'!$B$2:$B$122,0)),"")</f>
        <v/>
      </c>
      <c r="J357" s="172"/>
    </row>
    <row r="358" spans="9:10" x14ac:dyDescent="0.3">
      <c r="I358" t="str">
        <f>_xlfn.IFNA(INDEX('[1]Sector list'!$A$2:$A$122,MATCH(H358,'[1]Sector list'!$B$2:$B$122,0)),"")</f>
        <v/>
      </c>
      <c r="J358" s="172"/>
    </row>
    <row r="359" spans="9:10" x14ac:dyDescent="0.3">
      <c r="I359" t="str">
        <f>_xlfn.IFNA(INDEX('[1]Sector list'!$A$2:$A$122,MATCH(H359,'[1]Sector list'!$B$2:$B$122,0)),"")</f>
        <v/>
      </c>
      <c r="J359" s="172"/>
    </row>
    <row r="360" spans="9:10" x14ac:dyDescent="0.3">
      <c r="I360" t="str">
        <f>_xlfn.IFNA(INDEX('[1]Sector list'!$A$2:$A$122,MATCH(H360,'[1]Sector list'!$B$2:$B$122,0)),"")</f>
        <v/>
      </c>
      <c r="J360" s="172"/>
    </row>
    <row r="361" spans="9:10" x14ac:dyDescent="0.3">
      <c r="I361" t="str">
        <f>_xlfn.IFNA(INDEX('[1]Sector list'!$A$2:$A$122,MATCH(H361,'[1]Sector list'!$B$2:$B$122,0)),"")</f>
        <v/>
      </c>
      <c r="J361" s="172"/>
    </row>
    <row r="362" spans="9:10" x14ac:dyDescent="0.3">
      <c r="I362" t="str">
        <f>_xlfn.IFNA(INDEX('[1]Sector list'!$A$2:$A$122,MATCH(H362,'[1]Sector list'!$B$2:$B$122,0)),"")</f>
        <v/>
      </c>
      <c r="J362" s="172"/>
    </row>
    <row r="363" spans="9:10" x14ac:dyDescent="0.3">
      <c r="I363" t="str">
        <f>_xlfn.IFNA(INDEX('[1]Sector list'!$A$2:$A$122,MATCH(H363,'[1]Sector list'!$B$2:$B$122,0)),"")</f>
        <v/>
      </c>
      <c r="J363" s="172"/>
    </row>
    <row r="364" spans="9:10" x14ac:dyDescent="0.3">
      <c r="I364" t="str">
        <f>_xlfn.IFNA(INDEX('[1]Sector list'!$A$2:$A$122,MATCH(H364,'[1]Sector list'!$B$2:$B$122,0)),"")</f>
        <v/>
      </c>
      <c r="J364" s="172"/>
    </row>
    <row r="365" spans="9:10" x14ac:dyDescent="0.3">
      <c r="I365" t="str">
        <f>_xlfn.IFNA(INDEX('[1]Sector list'!$A$2:$A$122,MATCH(H365,'[1]Sector list'!$B$2:$B$122,0)),"")</f>
        <v/>
      </c>
      <c r="J365" s="172"/>
    </row>
    <row r="366" spans="9:10" x14ac:dyDescent="0.3">
      <c r="I366" t="str">
        <f>_xlfn.IFNA(INDEX('[1]Sector list'!$A$2:$A$122,MATCH(H366,'[1]Sector list'!$B$2:$B$122,0)),"")</f>
        <v/>
      </c>
      <c r="J366" s="172"/>
    </row>
    <row r="367" spans="9:10" x14ac:dyDescent="0.3">
      <c r="I367" t="str">
        <f>_xlfn.IFNA(INDEX('[1]Sector list'!$A$2:$A$122,MATCH(H367,'[1]Sector list'!$B$2:$B$122,0)),"")</f>
        <v/>
      </c>
      <c r="J367" s="172"/>
    </row>
    <row r="368" spans="9:10" x14ac:dyDescent="0.3">
      <c r="I368" t="str">
        <f>_xlfn.IFNA(INDEX('[1]Sector list'!$A$2:$A$122,MATCH(H368,'[1]Sector list'!$B$2:$B$122,0)),"")</f>
        <v/>
      </c>
      <c r="J368" s="172"/>
    </row>
    <row r="369" spans="9:10" x14ac:dyDescent="0.3">
      <c r="I369" t="str">
        <f>_xlfn.IFNA(INDEX('[1]Sector list'!$A$2:$A$122,MATCH(H369,'[1]Sector list'!$B$2:$B$122,0)),"")</f>
        <v/>
      </c>
      <c r="J369" s="172"/>
    </row>
    <row r="370" spans="9:10" x14ac:dyDescent="0.3">
      <c r="I370" t="str">
        <f>_xlfn.IFNA(INDEX('[1]Sector list'!$A$2:$A$122,MATCH(H370,'[1]Sector list'!$B$2:$B$122,0)),"")</f>
        <v/>
      </c>
      <c r="J370" s="172"/>
    </row>
    <row r="371" spans="9:10" x14ac:dyDescent="0.3">
      <c r="I371" t="str">
        <f>_xlfn.IFNA(INDEX('[1]Sector list'!$A$2:$A$122,MATCH(H371,'[1]Sector list'!$B$2:$B$122,0)),"")</f>
        <v/>
      </c>
      <c r="J371" s="172"/>
    </row>
    <row r="372" spans="9:10" x14ac:dyDescent="0.3">
      <c r="I372" t="str">
        <f>_xlfn.IFNA(INDEX('[1]Sector list'!$A$2:$A$122,MATCH(H372,'[1]Sector list'!$B$2:$B$122,0)),"")</f>
        <v/>
      </c>
      <c r="J372" s="172"/>
    </row>
    <row r="373" spans="9:10" x14ac:dyDescent="0.3">
      <c r="I373" t="str">
        <f>_xlfn.IFNA(INDEX('[1]Sector list'!$A$2:$A$122,MATCH(H373,'[1]Sector list'!$B$2:$B$122,0)),"")</f>
        <v/>
      </c>
      <c r="J373" s="172"/>
    </row>
    <row r="374" spans="9:10" x14ac:dyDescent="0.3">
      <c r="I374" t="str">
        <f>_xlfn.IFNA(INDEX('[1]Sector list'!$A$2:$A$122,MATCH(H374,'[1]Sector list'!$B$2:$B$122,0)),"")</f>
        <v/>
      </c>
      <c r="J374" s="172"/>
    </row>
    <row r="375" spans="9:10" x14ac:dyDescent="0.3">
      <c r="I375" t="str">
        <f>_xlfn.IFNA(INDEX('[1]Sector list'!$A$2:$A$122,MATCH(H375,'[1]Sector list'!$B$2:$B$122,0)),"")</f>
        <v/>
      </c>
      <c r="J375" s="172"/>
    </row>
    <row r="376" spans="9:10" x14ac:dyDescent="0.3">
      <c r="I376" t="str">
        <f>_xlfn.IFNA(INDEX('[1]Sector list'!$A$2:$A$122,MATCH(H376,'[1]Sector list'!$B$2:$B$122,0)),"")</f>
        <v/>
      </c>
      <c r="J376" s="172"/>
    </row>
    <row r="377" spans="9:10" x14ac:dyDescent="0.3">
      <c r="I377" t="str">
        <f>_xlfn.IFNA(INDEX('[1]Sector list'!$A$2:$A$122,MATCH(H377,'[1]Sector list'!$B$2:$B$122,0)),"")</f>
        <v/>
      </c>
      <c r="J377" s="172"/>
    </row>
    <row r="378" spans="9:10" x14ac:dyDescent="0.3">
      <c r="I378" t="str">
        <f>_xlfn.IFNA(INDEX('[1]Sector list'!$A$2:$A$122,MATCH(H378,'[1]Sector list'!$B$2:$B$122,0)),"")</f>
        <v/>
      </c>
      <c r="J378" s="172"/>
    </row>
    <row r="379" spans="9:10" x14ac:dyDescent="0.3">
      <c r="I379" t="str">
        <f>_xlfn.IFNA(INDEX('[1]Sector list'!$A$2:$A$122,MATCH(H379,'[1]Sector list'!$B$2:$B$122,0)),"")</f>
        <v/>
      </c>
      <c r="J379" s="172"/>
    </row>
    <row r="380" spans="9:10" x14ac:dyDescent="0.3">
      <c r="I380" t="str">
        <f>_xlfn.IFNA(INDEX('[1]Sector list'!$A$2:$A$122,MATCH(H380,'[1]Sector list'!$B$2:$B$122,0)),"")</f>
        <v/>
      </c>
      <c r="J380" s="172"/>
    </row>
    <row r="381" spans="9:10" x14ac:dyDescent="0.3">
      <c r="I381" t="str">
        <f>_xlfn.IFNA(INDEX('[1]Sector list'!$A$2:$A$122,MATCH(H381,'[1]Sector list'!$B$2:$B$122,0)),"")</f>
        <v/>
      </c>
      <c r="J381" s="172"/>
    </row>
    <row r="382" spans="9:10" x14ac:dyDescent="0.3">
      <c r="I382" t="str">
        <f>_xlfn.IFNA(INDEX('[1]Sector list'!$A$2:$A$122,MATCH(H382,'[1]Sector list'!$B$2:$B$122,0)),"")</f>
        <v/>
      </c>
      <c r="J382" s="172"/>
    </row>
    <row r="383" spans="9:10" x14ac:dyDescent="0.3">
      <c r="I383" t="str">
        <f>_xlfn.IFNA(INDEX('[1]Sector list'!$A$2:$A$122,MATCH(H383,'[1]Sector list'!$B$2:$B$122,0)),"")</f>
        <v/>
      </c>
      <c r="J383" s="172"/>
    </row>
    <row r="384" spans="9:10" x14ac:dyDescent="0.3">
      <c r="I384" t="str">
        <f>_xlfn.IFNA(INDEX('[1]Sector list'!$A$2:$A$122,MATCH(H384,'[1]Sector list'!$B$2:$B$122,0)),"")</f>
        <v/>
      </c>
      <c r="J384" s="172"/>
    </row>
    <row r="385" spans="9:10" x14ac:dyDescent="0.3">
      <c r="I385" t="str">
        <f>_xlfn.IFNA(INDEX('[1]Sector list'!$A$2:$A$122,MATCH(H385,'[1]Sector list'!$B$2:$B$122,0)),"")</f>
        <v/>
      </c>
      <c r="J385" s="172"/>
    </row>
    <row r="386" spans="9:10" x14ac:dyDescent="0.3">
      <c r="I386" t="str">
        <f>_xlfn.IFNA(INDEX('[1]Sector list'!$A$2:$A$122,MATCH(H386,'[1]Sector list'!$B$2:$B$122,0)),"")</f>
        <v/>
      </c>
      <c r="J386" s="172"/>
    </row>
    <row r="387" spans="9:10" x14ac:dyDescent="0.3">
      <c r="I387" t="str">
        <f>_xlfn.IFNA(INDEX('[1]Sector list'!$A$2:$A$122,MATCH(H387,'[1]Sector list'!$B$2:$B$122,0)),"")</f>
        <v/>
      </c>
      <c r="J387" s="172"/>
    </row>
    <row r="388" spans="9:10" x14ac:dyDescent="0.3">
      <c r="I388" t="str">
        <f>_xlfn.IFNA(INDEX('[1]Sector list'!$A$2:$A$122,MATCH(H388,'[1]Sector list'!$B$2:$B$122,0)),"")</f>
        <v/>
      </c>
      <c r="J388" s="172"/>
    </row>
    <row r="389" spans="9:10" x14ac:dyDescent="0.3">
      <c r="I389" t="str">
        <f>_xlfn.IFNA(INDEX('[1]Sector list'!$A$2:$A$122,MATCH(H389,'[1]Sector list'!$B$2:$B$122,0)),"")</f>
        <v/>
      </c>
      <c r="J389" s="172"/>
    </row>
    <row r="390" spans="9:10" x14ac:dyDescent="0.3">
      <c r="I390" t="str">
        <f>_xlfn.IFNA(INDEX('[1]Sector list'!$A$2:$A$122,MATCH(H390,'[1]Sector list'!$B$2:$B$122,0)),"")</f>
        <v/>
      </c>
      <c r="J390" s="172"/>
    </row>
    <row r="391" spans="9:10" x14ac:dyDescent="0.3">
      <c r="I391" t="str">
        <f>_xlfn.IFNA(INDEX('[1]Sector list'!$A$2:$A$122,MATCH(H391,'[1]Sector list'!$B$2:$B$122,0)),"")</f>
        <v/>
      </c>
      <c r="J391" s="172"/>
    </row>
    <row r="392" spans="9:10" x14ac:dyDescent="0.3">
      <c r="I392" t="str">
        <f>_xlfn.IFNA(INDEX('[1]Sector list'!$A$2:$A$122,MATCH(H392,'[1]Sector list'!$B$2:$B$122,0)),"")</f>
        <v/>
      </c>
      <c r="J392" s="172"/>
    </row>
    <row r="393" spans="9:10" x14ac:dyDescent="0.3">
      <c r="I393" t="str">
        <f>_xlfn.IFNA(INDEX('[1]Sector list'!$A$2:$A$122,MATCH(H393,'[1]Sector list'!$B$2:$B$122,0)),"")</f>
        <v/>
      </c>
      <c r="J393" s="172"/>
    </row>
    <row r="394" spans="9:10" x14ac:dyDescent="0.3">
      <c r="I394" t="str">
        <f>_xlfn.IFNA(INDEX('[1]Sector list'!$A$2:$A$122,MATCH(H394,'[1]Sector list'!$B$2:$B$122,0)),"")</f>
        <v/>
      </c>
      <c r="J394" s="172"/>
    </row>
    <row r="395" spans="9:10" x14ac:dyDescent="0.3">
      <c r="I395" t="str">
        <f>_xlfn.IFNA(INDEX('[1]Sector list'!$A$2:$A$122,MATCH(H395,'[1]Sector list'!$B$2:$B$122,0)),"")</f>
        <v/>
      </c>
      <c r="J395" s="172"/>
    </row>
    <row r="396" spans="9:10" x14ac:dyDescent="0.3">
      <c r="I396" t="str">
        <f>_xlfn.IFNA(INDEX('[1]Sector list'!$A$2:$A$122,MATCH(H396,'[1]Sector list'!$B$2:$B$122,0)),"")</f>
        <v/>
      </c>
      <c r="J396" s="172"/>
    </row>
    <row r="397" spans="9:10" x14ac:dyDescent="0.3">
      <c r="I397" t="str">
        <f>_xlfn.IFNA(INDEX('[1]Sector list'!$A$2:$A$122,MATCH(H397,'[1]Sector list'!$B$2:$B$122,0)),"")</f>
        <v/>
      </c>
      <c r="J397" s="172"/>
    </row>
    <row r="398" spans="9:10" x14ac:dyDescent="0.3">
      <c r="I398" t="str">
        <f>_xlfn.IFNA(INDEX('[1]Sector list'!$A$2:$A$122,MATCH(H398,'[1]Sector list'!$B$2:$B$122,0)),"")</f>
        <v/>
      </c>
      <c r="J398" s="172"/>
    </row>
    <row r="399" spans="9:10" x14ac:dyDescent="0.3">
      <c r="I399" t="str">
        <f>_xlfn.IFNA(INDEX('[1]Sector list'!$A$2:$A$122,MATCH(H399,'[1]Sector list'!$B$2:$B$122,0)),"")</f>
        <v/>
      </c>
      <c r="J399" s="172"/>
    </row>
    <row r="400" spans="9:10" x14ac:dyDescent="0.3">
      <c r="I400" t="str">
        <f>_xlfn.IFNA(INDEX('[1]Sector list'!$A$2:$A$122,MATCH(H400,'[1]Sector list'!$B$2:$B$122,0)),"")</f>
        <v/>
      </c>
      <c r="J400" s="172"/>
    </row>
    <row r="401" spans="9:10" x14ac:dyDescent="0.3">
      <c r="I401" t="str">
        <f>_xlfn.IFNA(INDEX('[1]Sector list'!$A$2:$A$122,MATCH(H401,'[1]Sector list'!$B$2:$B$122,0)),"")</f>
        <v/>
      </c>
      <c r="J401" s="172"/>
    </row>
    <row r="402" spans="9:10" x14ac:dyDescent="0.3">
      <c r="I402" t="str">
        <f>_xlfn.IFNA(INDEX('[1]Sector list'!$A$2:$A$122,MATCH(H402,'[1]Sector list'!$B$2:$B$122,0)),"")</f>
        <v/>
      </c>
      <c r="J402" s="172"/>
    </row>
    <row r="403" spans="9:10" x14ac:dyDescent="0.3">
      <c r="I403" t="str">
        <f>_xlfn.IFNA(INDEX('[1]Sector list'!$A$2:$A$122,MATCH(H403,'[1]Sector list'!$B$2:$B$122,0)),"")</f>
        <v/>
      </c>
      <c r="J403" s="172"/>
    </row>
    <row r="404" spans="9:10" x14ac:dyDescent="0.3">
      <c r="I404" t="str">
        <f>_xlfn.IFNA(INDEX('[1]Sector list'!$A$2:$A$122,MATCH(H404,'[1]Sector list'!$B$2:$B$122,0)),"")</f>
        <v/>
      </c>
      <c r="J404" s="172"/>
    </row>
    <row r="405" spans="9:10" x14ac:dyDescent="0.3">
      <c r="I405" t="str">
        <f>_xlfn.IFNA(INDEX('[1]Sector list'!$A$2:$A$122,MATCH(H405,'[1]Sector list'!$B$2:$B$122,0)),"")</f>
        <v/>
      </c>
      <c r="J405" s="172"/>
    </row>
    <row r="406" spans="9:10" x14ac:dyDescent="0.3">
      <c r="I406" t="str">
        <f>_xlfn.IFNA(INDEX('[1]Sector list'!$A$2:$A$122,MATCH(H406,'[1]Sector list'!$B$2:$B$122,0)),"")</f>
        <v/>
      </c>
      <c r="J406" s="172"/>
    </row>
    <row r="407" spans="9:10" x14ac:dyDescent="0.3">
      <c r="I407" t="str">
        <f>_xlfn.IFNA(INDEX('[1]Sector list'!$A$2:$A$122,MATCH(H407,'[1]Sector list'!$B$2:$B$122,0)),"")</f>
        <v/>
      </c>
      <c r="J407" s="172"/>
    </row>
    <row r="408" spans="9:10" x14ac:dyDescent="0.3">
      <c r="I408" t="str">
        <f>_xlfn.IFNA(INDEX('[1]Sector list'!$A$2:$A$122,MATCH(H408,'[1]Sector list'!$B$2:$B$122,0)),"")</f>
        <v/>
      </c>
      <c r="J408" s="172"/>
    </row>
    <row r="409" spans="9:10" x14ac:dyDescent="0.3">
      <c r="I409" t="str">
        <f>_xlfn.IFNA(INDEX('[1]Sector list'!$A$2:$A$122,MATCH(H409,'[1]Sector list'!$B$2:$B$122,0)),"")</f>
        <v/>
      </c>
      <c r="J409" s="172"/>
    </row>
    <row r="410" spans="9:10" x14ac:dyDescent="0.3">
      <c r="I410" t="str">
        <f>_xlfn.IFNA(INDEX('[1]Sector list'!$A$2:$A$122,MATCH(H410,'[1]Sector list'!$B$2:$B$122,0)),"")</f>
        <v/>
      </c>
      <c r="J410" s="172"/>
    </row>
    <row r="411" spans="9:10" x14ac:dyDescent="0.3">
      <c r="I411" t="str">
        <f>_xlfn.IFNA(INDEX('[1]Sector list'!$A$2:$A$122,MATCH(H411,'[1]Sector list'!$B$2:$B$122,0)),"")</f>
        <v/>
      </c>
      <c r="J411" s="172"/>
    </row>
    <row r="412" spans="9:10" x14ac:dyDescent="0.3">
      <c r="I412" t="str">
        <f>_xlfn.IFNA(INDEX('[1]Sector list'!$A$2:$A$122,MATCH(H412,'[1]Sector list'!$B$2:$B$122,0)),"")</f>
        <v/>
      </c>
      <c r="J412" s="172"/>
    </row>
    <row r="413" spans="9:10" x14ac:dyDescent="0.3">
      <c r="I413" t="str">
        <f>_xlfn.IFNA(INDEX('[1]Sector list'!$A$2:$A$122,MATCH(H413,'[1]Sector list'!$B$2:$B$122,0)),"")</f>
        <v/>
      </c>
      <c r="J413" s="172"/>
    </row>
    <row r="414" spans="9:10" x14ac:dyDescent="0.3">
      <c r="I414" t="str">
        <f>_xlfn.IFNA(INDEX('[1]Sector list'!$A$2:$A$122,MATCH(H414,'[1]Sector list'!$B$2:$B$122,0)),"")</f>
        <v/>
      </c>
      <c r="J414" s="172"/>
    </row>
    <row r="415" spans="9:10" x14ac:dyDescent="0.3">
      <c r="I415" t="str">
        <f>_xlfn.IFNA(INDEX('[1]Sector list'!$A$2:$A$122,MATCH(H415,'[1]Sector list'!$B$2:$B$122,0)),"")</f>
        <v/>
      </c>
      <c r="J415" s="172"/>
    </row>
    <row r="416" spans="9:10" x14ac:dyDescent="0.3">
      <c r="I416" t="str">
        <f>_xlfn.IFNA(INDEX('[1]Sector list'!$A$2:$A$122,MATCH(H416,'[1]Sector list'!$B$2:$B$122,0)),"")</f>
        <v/>
      </c>
      <c r="J416" s="172"/>
    </row>
    <row r="417" spans="9:10" x14ac:dyDescent="0.3">
      <c r="I417" t="str">
        <f>_xlfn.IFNA(INDEX('[1]Sector list'!$A$2:$A$122,MATCH(H417,'[1]Sector list'!$B$2:$B$122,0)),"")</f>
        <v/>
      </c>
      <c r="J417" s="172"/>
    </row>
    <row r="418" spans="9:10" x14ac:dyDescent="0.3">
      <c r="I418" t="str">
        <f>_xlfn.IFNA(INDEX('[1]Sector list'!$A$2:$A$122,MATCH(H418,'[1]Sector list'!$B$2:$B$122,0)),"")</f>
        <v/>
      </c>
      <c r="J418" s="172"/>
    </row>
    <row r="419" spans="9:10" x14ac:dyDescent="0.3">
      <c r="I419" t="str">
        <f>_xlfn.IFNA(INDEX('[1]Sector list'!$A$2:$A$122,MATCH(H419,'[1]Sector list'!$B$2:$B$122,0)),"")</f>
        <v/>
      </c>
      <c r="J419" s="172"/>
    </row>
    <row r="420" spans="9:10" x14ac:dyDescent="0.3">
      <c r="I420" t="str">
        <f>_xlfn.IFNA(INDEX('[1]Sector list'!$A$2:$A$122,MATCH(H420,'[1]Sector list'!$B$2:$B$122,0)),"")</f>
        <v/>
      </c>
      <c r="J420" s="172"/>
    </row>
    <row r="421" spans="9:10" x14ac:dyDescent="0.3">
      <c r="I421" t="str">
        <f>_xlfn.IFNA(INDEX('[1]Sector list'!$A$2:$A$122,MATCH(H421,'[1]Sector list'!$B$2:$B$122,0)),"")</f>
        <v/>
      </c>
      <c r="J421" s="172"/>
    </row>
    <row r="422" spans="9:10" x14ac:dyDescent="0.3">
      <c r="I422" t="str">
        <f>_xlfn.IFNA(INDEX('[1]Sector list'!$A$2:$A$122,MATCH(H422,'[1]Sector list'!$B$2:$B$122,0)),"")</f>
        <v/>
      </c>
      <c r="J422" s="172"/>
    </row>
    <row r="423" spans="9:10" x14ac:dyDescent="0.3">
      <c r="I423" t="str">
        <f>_xlfn.IFNA(INDEX('[1]Sector list'!$A$2:$A$122,MATCH(H423,'[1]Sector list'!$B$2:$B$122,0)),"")</f>
        <v/>
      </c>
      <c r="J423" s="172"/>
    </row>
    <row r="424" spans="9:10" x14ac:dyDescent="0.3">
      <c r="I424" t="str">
        <f>_xlfn.IFNA(INDEX('[1]Sector list'!$A$2:$A$122,MATCH(H424,'[1]Sector list'!$B$2:$B$122,0)),"")</f>
        <v/>
      </c>
      <c r="J424" s="172"/>
    </row>
    <row r="425" spans="9:10" x14ac:dyDescent="0.3">
      <c r="I425" t="str">
        <f>_xlfn.IFNA(INDEX('[1]Sector list'!$A$2:$A$122,MATCH(H425,'[1]Sector list'!$B$2:$B$122,0)),"")</f>
        <v/>
      </c>
      <c r="J425" s="172"/>
    </row>
    <row r="426" spans="9:10" x14ac:dyDescent="0.3">
      <c r="I426" t="str">
        <f>_xlfn.IFNA(INDEX('[1]Sector list'!$A$2:$A$122,MATCH(H426,'[1]Sector list'!$B$2:$B$122,0)),"")</f>
        <v/>
      </c>
      <c r="J426" s="172"/>
    </row>
    <row r="427" spans="9:10" x14ac:dyDescent="0.3">
      <c r="I427" t="str">
        <f>_xlfn.IFNA(INDEX('[1]Sector list'!$A$2:$A$122,MATCH(H427,'[1]Sector list'!$B$2:$B$122,0)),"")</f>
        <v/>
      </c>
      <c r="J427" s="172"/>
    </row>
    <row r="428" spans="9:10" x14ac:dyDescent="0.3">
      <c r="I428" t="str">
        <f>_xlfn.IFNA(INDEX('[1]Sector list'!$A$2:$A$122,MATCH(H428,'[1]Sector list'!$B$2:$B$122,0)),"")</f>
        <v/>
      </c>
      <c r="J428" s="172"/>
    </row>
    <row r="429" spans="9:10" x14ac:dyDescent="0.3">
      <c r="I429" t="str">
        <f>_xlfn.IFNA(INDEX('[1]Sector list'!$A$2:$A$122,MATCH(H429,'[1]Sector list'!$B$2:$B$122,0)),"")</f>
        <v/>
      </c>
      <c r="J429" s="172"/>
    </row>
    <row r="430" spans="9:10" x14ac:dyDescent="0.3">
      <c r="I430" t="str">
        <f>_xlfn.IFNA(INDEX('[1]Sector list'!$A$2:$A$122,MATCH(H430,'[1]Sector list'!$B$2:$B$122,0)),"")</f>
        <v/>
      </c>
      <c r="J430" s="172"/>
    </row>
    <row r="431" spans="9:10" x14ac:dyDescent="0.3">
      <c r="I431" t="str">
        <f>_xlfn.IFNA(INDEX('[1]Sector list'!$A$2:$A$122,MATCH(H431,'[1]Sector list'!$B$2:$B$122,0)),"")</f>
        <v/>
      </c>
      <c r="J431" s="172"/>
    </row>
    <row r="432" spans="9:10" x14ac:dyDescent="0.3">
      <c r="I432" t="str">
        <f>_xlfn.IFNA(INDEX('[1]Sector list'!$A$2:$A$122,MATCH(H432,'[1]Sector list'!$B$2:$B$122,0)),"")</f>
        <v/>
      </c>
      <c r="J432" s="172"/>
    </row>
    <row r="433" spans="9:10" x14ac:dyDescent="0.3">
      <c r="I433" t="str">
        <f>_xlfn.IFNA(INDEX('[1]Sector list'!$A$2:$A$122,MATCH(H433,'[1]Sector list'!$B$2:$B$122,0)),"")</f>
        <v/>
      </c>
      <c r="J433" s="172"/>
    </row>
    <row r="434" spans="9:10" x14ac:dyDescent="0.3">
      <c r="I434" t="str">
        <f>_xlfn.IFNA(INDEX('[1]Sector list'!$A$2:$A$122,MATCH(H434,'[1]Sector list'!$B$2:$B$122,0)),"")</f>
        <v/>
      </c>
      <c r="J434" s="172"/>
    </row>
    <row r="435" spans="9:10" x14ac:dyDescent="0.3">
      <c r="I435" t="str">
        <f>_xlfn.IFNA(INDEX('[1]Sector list'!$A$2:$A$122,MATCH(H435,'[1]Sector list'!$B$2:$B$122,0)),"")</f>
        <v/>
      </c>
      <c r="J435" s="172"/>
    </row>
    <row r="436" spans="9:10" x14ac:dyDescent="0.3">
      <c r="I436" t="str">
        <f>_xlfn.IFNA(INDEX('[1]Sector list'!$A$2:$A$122,MATCH(H436,'[1]Sector list'!$B$2:$B$122,0)),"")</f>
        <v/>
      </c>
      <c r="J436" s="172"/>
    </row>
    <row r="437" spans="9:10" x14ac:dyDescent="0.3">
      <c r="I437" t="str">
        <f>_xlfn.IFNA(INDEX('[1]Sector list'!$A$2:$A$122,MATCH(H437,'[1]Sector list'!$B$2:$B$122,0)),"")</f>
        <v/>
      </c>
      <c r="J437" s="172"/>
    </row>
    <row r="438" spans="9:10" x14ac:dyDescent="0.3">
      <c r="I438" t="str">
        <f>_xlfn.IFNA(INDEX('[1]Sector list'!$A$2:$A$122,MATCH(H438,'[1]Sector list'!$B$2:$B$122,0)),"")</f>
        <v/>
      </c>
      <c r="J438" s="172"/>
    </row>
    <row r="439" spans="9:10" x14ac:dyDescent="0.3">
      <c r="I439" t="str">
        <f>_xlfn.IFNA(INDEX('[1]Sector list'!$A$2:$A$122,MATCH(H439,'[1]Sector list'!$B$2:$B$122,0)),"")</f>
        <v/>
      </c>
      <c r="J439" s="172"/>
    </row>
    <row r="440" spans="9:10" x14ac:dyDescent="0.3">
      <c r="I440" t="str">
        <f>_xlfn.IFNA(INDEX('[1]Sector list'!$A$2:$A$122,MATCH(H440,'[1]Sector list'!$B$2:$B$122,0)),"")</f>
        <v/>
      </c>
      <c r="J440" s="172"/>
    </row>
    <row r="441" spans="9:10" x14ac:dyDescent="0.3">
      <c r="I441" t="str">
        <f>_xlfn.IFNA(INDEX('[1]Sector list'!$A$2:$A$122,MATCH(H441,'[1]Sector list'!$B$2:$B$122,0)),"")</f>
        <v/>
      </c>
      <c r="J441" s="172"/>
    </row>
    <row r="442" spans="9:10" x14ac:dyDescent="0.3">
      <c r="I442" t="str">
        <f>_xlfn.IFNA(INDEX('[1]Sector list'!$A$2:$A$122,MATCH(H442,'[1]Sector list'!$B$2:$B$122,0)),"")</f>
        <v/>
      </c>
      <c r="J442" s="172"/>
    </row>
    <row r="443" spans="9:10" x14ac:dyDescent="0.3">
      <c r="I443" t="str">
        <f>_xlfn.IFNA(INDEX('[1]Sector list'!$A$2:$A$122,MATCH(H443,'[1]Sector list'!$B$2:$B$122,0)),"")</f>
        <v/>
      </c>
      <c r="J443" s="172"/>
    </row>
    <row r="444" spans="9:10" x14ac:dyDescent="0.3">
      <c r="I444" t="str">
        <f>_xlfn.IFNA(INDEX('[1]Sector list'!$A$2:$A$122,MATCH(H444,'[1]Sector list'!$B$2:$B$122,0)),"")</f>
        <v/>
      </c>
      <c r="J444" s="172"/>
    </row>
    <row r="445" spans="9:10" x14ac:dyDescent="0.3">
      <c r="I445" t="str">
        <f>_xlfn.IFNA(INDEX('[1]Sector list'!$A$2:$A$122,MATCH(H445,'[1]Sector list'!$B$2:$B$122,0)),"")</f>
        <v/>
      </c>
      <c r="J445" s="172"/>
    </row>
    <row r="446" spans="9:10" x14ac:dyDescent="0.3">
      <c r="I446" t="str">
        <f>_xlfn.IFNA(INDEX('[1]Sector list'!$A$2:$A$122,MATCH(H446,'[1]Sector list'!$B$2:$B$122,0)),"")</f>
        <v/>
      </c>
      <c r="J446" s="172"/>
    </row>
    <row r="447" spans="9:10" x14ac:dyDescent="0.3">
      <c r="I447" t="str">
        <f>_xlfn.IFNA(INDEX('[1]Sector list'!$A$2:$A$122,MATCH(H447,'[1]Sector list'!$B$2:$B$122,0)),"")</f>
        <v/>
      </c>
      <c r="J447" s="172"/>
    </row>
    <row r="448" spans="9:10" x14ac:dyDescent="0.3">
      <c r="I448" t="str">
        <f>_xlfn.IFNA(INDEX('[1]Sector list'!$A$2:$A$122,MATCH(H448,'[1]Sector list'!$B$2:$B$122,0)),"")</f>
        <v/>
      </c>
      <c r="J448" s="172"/>
    </row>
    <row r="449" spans="9:10" x14ac:dyDescent="0.3">
      <c r="I449" t="str">
        <f>_xlfn.IFNA(INDEX('[1]Sector list'!$A$2:$A$122,MATCH(H449,'[1]Sector list'!$B$2:$B$122,0)),"")</f>
        <v/>
      </c>
      <c r="J449" s="172"/>
    </row>
    <row r="450" spans="9:10" x14ac:dyDescent="0.3">
      <c r="I450" t="str">
        <f>_xlfn.IFNA(INDEX('[1]Sector list'!$A$2:$A$122,MATCH(H450,'[1]Sector list'!$B$2:$B$122,0)),"")</f>
        <v/>
      </c>
      <c r="J450" s="172"/>
    </row>
    <row r="451" spans="9:10" x14ac:dyDescent="0.3">
      <c r="I451" t="str">
        <f>_xlfn.IFNA(INDEX('[1]Sector list'!$A$2:$A$122,MATCH(H451,'[1]Sector list'!$B$2:$B$122,0)),"")</f>
        <v/>
      </c>
      <c r="J451" s="172"/>
    </row>
    <row r="452" spans="9:10" x14ac:dyDescent="0.3">
      <c r="I452" t="str">
        <f>_xlfn.IFNA(INDEX('[1]Sector list'!$A$2:$A$122,MATCH(H452,'[1]Sector list'!$B$2:$B$122,0)),"")</f>
        <v/>
      </c>
      <c r="J452" s="172"/>
    </row>
    <row r="453" spans="9:10" x14ac:dyDescent="0.3">
      <c r="I453" t="str">
        <f>_xlfn.IFNA(INDEX('[1]Sector list'!$A$2:$A$122,MATCH(H453,'[1]Sector list'!$B$2:$B$122,0)),"")</f>
        <v/>
      </c>
      <c r="J453" s="172"/>
    </row>
    <row r="454" spans="9:10" x14ac:dyDescent="0.3">
      <c r="I454" t="str">
        <f>_xlfn.IFNA(INDEX('[1]Sector list'!$A$2:$A$122,MATCH(H454,'[1]Sector list'!$B$2:$B$122,0)),"")</f>
        <v/>
      </c>
      <c r="J454" s="172"/>
    </row>
    <row r="455" spans="9:10" x14ac:dyDescent="0.3">
      <c r="I455" t="str">
        <f>_xlfn.IFNA(INDEX('[1]Sector list'!$A$2:$A$122,MATCH(H455,'[1]Sector list'!$B$2:$B$122,0)),"")</f>
        <v/>
      </c>
      <c r="J455" s="172"/>
    </row>
    <row r="456" spans="9:10" x14ac:dyDescent="0.3">
      <c r="I456" t="str">
        <f>_xlfn.IFNA(INDEX('[1]Sector list'!$A$2:$A$122,MATCH(H456,'[1]Sector list'!$B$2:$B$122,0)),"")</f>
        <v/>
      </c>
      <c r="J456" s="172"/>
    </row>
    <row r="457" spans="9:10" x14ac:dyDescent="0.3">
      <c r="I457" t="str">
        <f>_xlfn.IFNA(INDEX('[1]Sector list'!$A$2:$A$122,MATCH(H457,'[1]Sector list'!$B$2:$B$122,0)),"")</f>
        <v/>
      </c>
      <c r="J457" s="172"/>
    </row>
    <row r="458" spans="9:10" x14ac:dyDescent="0.3">
      <c r="I458" t="str">
        <f>_xlfn.IFNA(INDEX('[1]Sector list'!$A$2:$A$122,MATCH(H458,'[1]Sector list'!$B$2:$B$122,0)),"")</f>
        <v/>
      </c>
      <c r="J458" s="172"/>
    </row>
    <row r="459" spans="9:10" x14ac:dyDescent="0.3">
      <c r="I459" t="str">
        <f>_xlfn.IFNA(INDEX('[1]Sector list'!$A$2:$A$122,MATCH(H459,'[1]Sector list'!$B$2:$B$122,0)),"")</f>
        <v/>
      </c>
      <c r="J459" s="172"/>
    </row>
    <row r="460" spans="9:10" x14ac:dyDescent="0.3">
      <c r="I460" t="str">
        <f>_xlfn.IFNA(INDEX('[1]Sector list'!$A$2:$A$122,MATCH(H460,'[1]Sector list'!$B$2:$B$122,0)),"")</f>
        <v/>
      </c>
      <c r="J460" s="172"/>
    </row>
    <row r="461" spans="9:10" x14ac:dyDescent="0.3">
      <c r="I461" t="str">
        <f>_xlfn.IFNA(INDEX('[1]Sector list'!$A$2:$A$122,MATCH(H461,'[1]Sector list'!$B$2:$B$122,0)),"")</f>
        <v/>
      </c>
      <c r="J461" s="172"/>
    </row>
    <row r="462" spans="9:10" x14ac:dyDescent="0.3">
      <c r="I462" t="str">
        <f>_xlfn.IFNA(INDEX('[1]Sector list'!$A$2:$A$122,MATCH(H462,'[1]Sector list'!$B$2:$B$122,0)),"")</f>
        <v/>
      </c>
      <c r="J462" s="172"/>
    </row>
    <row r="463" spans="9:10" x14ac:dyDescent="0.3">
      <c r="I463" t="str">
        <f>_xlfn.IFNA(INDEX('[1]Sector list'!$A$2:$A$122,MATCH(H463,'[1]Sector list'!$B$2:$B$122,0)),"")</f>
        <v/>
      </c>
      <c r="J463" s="172"/>
    </row>
    <row r="464" spans="9:10" x14ac:dyDescent="0.3">
      <c r="I464" t="str">
        <f>_xlfn.IFNA(INDEX('[1]Sector list'!$A$2:$A$122,MATCH(H464,'[1]Sector list'!$B$2:$B$122,0)),"")</f>
        <v/>
      </c>
      <c r="J464" s="172"/>
    </row>
    <row r="465" spans="9:10" x14ac:dyDescent="0.3">
      <c r="I465" t="str">
        <f>_xlfn.IFNA(INDEX('[1]Sector list'!$A$2:$A$122,MATCH(H465,'[1]Sector list'!$B$2:$B$122,0)),"")</f>
        <v/>
      </c>
      <c r="J465" s="172"/>
    </row>
    <row r="466" spans="9:10" x14ac:dyDescent="0.3">
      <c r="I466" t="str">
        <f>_xlfn.IFNA(INDEX('[1]Sector list'!$A$2:$A$122,MATCH(H466,'[1]Sector list'!$B$2:$B$122,0)),"")</f>
        <v/>
      </c>
      <c r="J466" s="172"/>
    </row>
    <row r="467" spans="9:10" x14ac:dyDescent="0.3">
      <c r="I467" t="str">
        <f>_xlfn.IFNA(INDEX('[1]Sector list'!$A$2:$A$122,MATCH(H467,'[1]Sector list'!$B$2:$B$122,0)),"")</f>
        <v/>
      </c>
      <c r="J467" s="172"/>
    </row>
    <row r="468" spans="9:10" x14ac:dyDescent="0.3">
      <c r="I468" t="str">
        <f>_xlfn.IFNA(INDEX('[1]Sector list'!$A$2:$A$122,MATCH(H468,'[1]Sector list'!$B$2:$B$122,0)),"")</f>
        <v/>
      </c>
      <c r="J468" s="172"/>
    </row>
    <row r="469" spans="9:10" x14ac:dyDescent="0.3">
      <c r="I469" t="str">
        <f>_xlfn.IFNA(INDEX('[1]Sector list'!$A$2:$A$122,MATCH(H469,'[1]Sector list'!$B$2:$B$122,0)),"")</f>
        <v/>
      </c>
      <c r="J469" s="172"/>
    </row>
    <row r="470" spans="9:10" x14ac:dyDescent="0.3">
      <c r="I470" t="str">
        <f>_xlfn.IFNA(INDEX('[1]Sector list'!$A$2:$A$122,MATCH(H470,'[1]Sector list'!$B$2:$B$122,0)),"")</f>
        <v/>
      </c>
      <c r="J470" s="172"/>
    </row>
    <row r="471" spans="9:10" x14ac:dyDescent="0.3">
      <c r="I471" t="str">
        <f>_xlfn.IFNA(INDEX('[1]Sector list'!$A$2:$A$122,MATCH(H471,'[1]Sector list'!$B$2:$B$122,0)),"")</f>
        <v/>
      </c>
      <c r="J471" s="172"/>
    </row>
    <row r="472" spans="9:10" x14ac:dyDescent="0.3">
      <c r="I472" t="str">
        <f>_xlfn.IFNA(INDEX('[1]Sector list'!$A$2:$A$122,MATCH(H472,'[1]Sector list'!$B$2:$B$122,0)),"")</f>
        <v/>
      </c>
      <c r="J472" s="172"/>
    </row>
    <row r="473" spans="9:10" x14ac:dyDescent="0.3">
      <c r="I473" t="str">
        <f>_xlfn.IFNA(INDEX('[1]Sector list'!$A$2:$A$122,MATCH(H473,'[1]Sector list'!$B$2:$B$122,0)),"")</f>
        <v/>
      </c>
      <c r="J473" s="172"/>
    </row>
    <row r="474" spans="9:10" x14ac:dyDescent="0.3">
      <c r="I474" t="str">
        <f>_xlfn.IFNA(INDEX('[1]Sector list'!$A$2:$A$122,MATCH(H474,'[1]Sector list'!$B$2:$B$122,0)),"")</f>
        <v/>
      </c>
      <c r="J474" s="172"/>
    </row>
    <row r="475" spans="9:10" x14ac:dyDescent="0.3">
      <c r="I475" t="str">
        <f>_xlfn.IFNA(INDEX('[1]Sector list'!$A$2:$A$122,MATCH(H475,'[1]Sector list'!$B$2:$B$122,0)),"")</f>
        <v/>
      </c>
      <c r="J475" s="172"/>
    </row>
    <row r="476" spans="9:10" x14ac:dyDescent="0.3">
      <c r="I476" t="str">
        <f>_xlfn.IFNA(INDEX('[1]Sector list'!$A$2:$A$122,MATCH(H476,'[1]Sector list'!$B$2:$B$122,0)),"")</f>
        <v/>
      </c>
      <c r="J476" s="172"/>
    </row>
    <row r="477" spans="9:10" x14ac:dyDescent="0.3">
      <c r="I477" t="str">
        <f>_xlfn.IFNA(INDEX('[1]Sector list'!$A$2:$A$122,MATCH(H477,'[1]Sector list'!$B$2:$B$122,0)),"")</f>
        <v/>
      </c>
      <c r="J477" s="172"/>
    </row>
    <row r="478" spans="9:10" x14ac:dyDescent="0.3">
      <c r="I478" t="str">
        <f>_xlfn.IFNA(INDEX('[1]Sector list'!$A$2:$A$122,MATCH(H478,'[1]Sector list'!$B$2:$B$122,0)),"")</f>
        <v/>
      </c>
      <c r="J478" s="172"/>
    </row>
    <row r="479" spans="9:10" x14ac:dyDescent="0.3">
      <c r="I479" t="str">
        <f>_xlfn.IFNA(INDEX('[1]Sector list'!$A$2:$A$122,MATCH(H479,'[1]Sector list'!$B$2:$B$122,0)),"")</f>
        <v/>
      </c>
      <c r="J479" s="172"/>
    </row>
    <row r="480" spans="9:10" x14ac:dyDescent="0.3">
      <c r="I480" t="str">
        <f>_xlfn.IFNA(INDEX('[1]Sector list'!$A$2:$A$122,MATCH(H480,'[1]Sector list'!$B$2:$B$122,0)),"")</f>
        <v/>
      </c>
      <c r="J480" s="172"/>
    </row>
    <row r="481" spans="9:10" x14ac:dyDescent="0.3">
      <c r="I481" t="str">
        <f>_xlfn.IFNA(INDEX('[1]Sector list'!$A$2:$A$122,MATCH(H481,'[1]Sector list'!$B$2:$B$122,0)),"")</f>
        <v/>
      </c>
      <c r="J481" s="172"/>
    </row>
    <row r="482" spans="9:10" x14ac:dyDescent="0.3">
      <c r="I482" t="str">
        <f>_xlfn.IFNA(INDEX('[1]Sector list'!$A$2:$A$122,MATCH(H482,'[1]Sector list'!$B$2:$B$122,0)),"")</f>
        <v/>
      </c>
      <c r="J482" s="172"/>
    </row>
    <row r="483" spans="9:10" x14ac:dyDescent="0.3">
      <c r="I483" t="str">
        <f>_xlfn.IFNA(INDEX('[1]Sector list'!$A$2:$A$122,MATCH(H483,'[1]Sector list'!$B$2:$B$122,0)),"")</f>
        <v/>
      </c>
      <c r="J483" s="172"/>
    </row>
    <row r="484" spans="9:10" x14ac:dyDescent="0.3">
      <c r="I484" t="str">
        <f>_xlfn.IFNA(INDEX('[1]Sector list'!$A$2:$A$122,MATCH(H484,'[1]Sector list'!$B$2:$B$122,0)),"")</f>
        <v/>
      </c>
      <c r="J484" s="172"/>
    </row>
    <row r="485" spans="9:10" x14ac:dyDescent="0.3">
      <c r="I485" t="str">
        <f>_xlfn.IFNA(INDEX('[1]Sector list'!$A$2:$A$122,MATCH(H485,'[1]Sector list'!$B$2:$B$122,0)),"")</f>
        <v/>
      </c>
      <c r="J485" s="172"/>
    </row>
    <row r="486" spans="9:10" x14ac:dyDescent="0.3">
      <c r="I486" t="str">
        <f>_xlfn.IFNA(INDEX('[1]Sector list'!$A$2:$A$122,MATCH(H486,'[1]Sector list'!$B$2:$B$122,0)),"")</f>
        <v/>
      </c>
      <c r="J486" s="172"/>
    </row>
    <row r="487" spans="9:10" x14ac:dyDescent="0.3">
      <c r="I487" t="str">
        <f>_xlfn.IFNA(INDEX('[1]Sector list'!$A$2:$A$122,MATCH(H487,'[1]Sector list'!$B$2:$B$122,0)),"")</f>
        <v/>
      </c>
      <c r="J487" s="172"/>
    </row>
    <row r="488" spans="9:10" x14ac:dyDescent="0.3">
      <c r="I488" t="str">
        <f>_xlfn.IFNA(INDEX('[1]Sector list'!$A$2:$A$122,MATCH(H488,'[1]Sector list'!$B$2:$B$122,0)),"")</f>
        <v/>
      </c>
      <c r="J488" s="172"/>
    </row>
    <row r="489" spans="9:10" x14ac:dyDescent="0.3">
      <c r="I489" t="str">
        <f>_xlfn.IFNA(INDEX('[1]Sector list'!$A$2:$A$122,MATCH(H489,'[1]Sector list'!$B$2:$B$122,0)),"")</f>
        <v/>
      </c>
      <c r="J489" s="172"/>
    </row>
    <row r="490" spans="9:10" x14ac:dyDescent="0.3">
      <c r="I490" t="str">
        <f>_xlfn.IFNA(INDEX('[1]Sector list'!$A$2:$A$122,MATCH(H490,'[1]Sector list'!$B$2:$B$122,0)),"")</f>
        <v/>
      </c>
      <c r="J490" s="172"/>
    </row>
    <row r="491" spans="9:10" x14ac:dyDescent="0.3">
      <c r="I491" t="str">
        <f>_xlfn.IFNA(INDEX('[1]Sector list'!$A$2:$A$122,MATCH(H491,'[1]Sector list'!$B$2:$B$122,0)),"")</f>
        <v/>
      </c>
      <c r="J491" s="172"/>
    </row>
    <row r="492" spans="9:10" x14ac:dyDescent="0.3">
      <c r="I492" t="str">
        <f>_xlfn.IFNA(INDEX('[1]Sector list'!$A$2:$A$122,MATCH(H492,'[1]Sector list'!$B$2:$B$122,0)),"")</f>
        <v/>
      </c>
      <c r="J492" s="172"/>
    </row>
    <row r="493" spans="9:10" x14ac:dyDescent="0.3">
      <c r="I493" t="str">
        <f>_xlfn.IFNA(INDEX('[1]Sector list'!$A$2:$A$122,MATCH(H493,'[1]Sector list'!$B$2:$B$122,0)),"")</f>
        <v/>
      </c>
      <c r="J493" s="172"/>
    </row>
    <row r="494" spans="9:10" x14ac:dyDescent="0.3">
      <c r="I494" t="str">
        <f>_xlfn.IFNA(INDEX('[1]Sector list'!$A$2:$A$122,MATCH(H494,'[1]Sector list'!$B$2:$B$122,0)),"")</f>
        <v/>
      </c>
      <c r="J494" s="172"/>
    </row>
    <row r="495" spans="9:10" x14ac:dyDescent="0.3">
      <c r="I495" t="str">
        <f>_xlfn.IFNA(INDEX('[1]Sector list'!$A$2:$A$122,MATCH(H495,'[1]Sector list'!$B$2:$B$122,0)),"")</f>
        <v/>
      </c>
      <c r="J495" s="172"/>
    </row>
    <row r="496" spans="9:10" x14ac:dyDescent="0.3">
      <c r="I496" t="str">
        <f>_xlfn.IFNA(INDEX('[1]Sector list'!$A$2:$A$122,MATCH(H496,'[1]Sector list'!$B$2:$B$122,0)),"")</f>
        <v/>
      </c>
      <c r="J496" s="172"/>
    </row>
    <row r="497" spans="9:10" x14ac:dyDescent="0.3">
      <c r="I497" t="str">
        <f>_xlfn.IFNA(INDEX('[1]Sector list'!$A$2:$A$122,MATCH(H497,'[1]Sector list'!$B$2:$B$122,0)),"")</f>
        <v/>
      </c>
      <c r="J497" s="172"/>
    </row>
    <row r="498" spans="9:10" x14ac:dyDescent="0.3">
      <c r="I498" t="str">
        <f>_xlfn.IFNA(INDEX('[1]Sector list'!$A$2:$A$122,MATCH(H498,'[1]Sector list'!$B$2:$B$122,0)),"")</f>
        <v/>
      </c>
      <c r="J498" s="172"/>
    </row>
    <row r="499" spans="9:10" x14ac:dyDescent="0.3">
      <c r="I499" t="str">
        <f>_xlfn.IFNA(INDEX('[1]Sector list'!$A$2:$A$122,MATCH(H499,'[1]Sector list'!$B$2:$B$122,0)),"")</f>
        <v/>
      </c>
      <c r="J499" s="172"/>
    </row>
    <row r="500" spans="9:10" x14ac:dyDescent="0.3">
      <c r="I500" t="str">
        <f>_xlfn.IFNA(INDEX('[1]Sector list'!$A$2:$A$122,MATCH(H500,'[1]Sector list'!$B$2:$B$122,0)),"")</f>
        <v/>
      </c>
      <c r="J500" s="172"/>
    </row>
    <row r="501" spans="9:10" x14ac:dyDescent="0.3">
      <c r="I501" t="str">
        <f>_xlfn.IFNA(INDEX('[1]Sector list'!$A$2:$A$122,MATCH(H501,'[1]Sector list'!$B$2:$B$122,0)),"")</f>
        <v/>
      </c>
      <c r="J501" s="172"/>
    </row>
    <row r="502" spans="9:10" x14ac:dyDescent="0.3">
      <c r="I502" t="str">
        <f>_xlfn.IFNA(INDEX('[1]Sector list'!$A$2:$A$122,MATCH(H502,'[1]Sector list'!$B$2:$B$122,0)),"")</f>
        <v/>
      </c>
      <c r="J502" s="172"/>
    </row>
    <row r="503" spans="9:10" x14ac:dyDescent="0.3">
      <c r="I503" t="str">
        <f>_xlfn.IFNA(INDEX('[1]Sector list'!$A$2:$A$122,MATCH(H503,'[1]Sector list'!$B$2:$B$122,0)),"")</f>
        <v/>
      </c>
      <c r="J503" s="172"/>
    </row>
    <row r="504" spans="9:10" x14ac:dyDescent="0.3">
      <c r="I504" t="str">
        <f>_xlfn.IFNA(INDEX('[1]Sector list'!$A$2:$A$122,MATCH(H504,'[1]Sector list'!$B$2:$B$122,0)),"")</f>
        <v/>
      </c>
      <c r="J504" s="172"/>
    </row>
    <row r="505" spans="9:10" x14ac:dyDescent="0.3">
      <c r="I505" t="str">
        <f>_xlfn.IFNA(INDEX('[1]Sector list'!$A$2:$A$122,MATCH(H505,'[1]Sector list'!$B$2:$B$122,0)),"")</f>
        <v/>
      </c>
      <c r="J505" s="172"/>
    </row>
    <row r="506" spans="9:10" x14ac:dyDescent="0.3">
      <c r="I506" t="str">
        <f>_xlfn.IFNA(INDEX('[1]Sector list'!$A$2:$A$122,MATCH(H506,'[1]Sector list'!$B$2:$B$122,0)),"")</f>
        <v/>
      </c>
      <c r="J506" s="172"/>
    </row>
    <row r="507" spans="9:10" x14ac:dyDescent="0.3">
      <c r="I507" t="str">
        <f>_xlfn.IFNA(INDEX('[1]Sector list'!$A$2:$A$122,MATCH(H507,'[1]Sector list'!$B$2:$B$122,0)),"")</f>
        <v/>
      </c>
      <c r="J507" s="172"/>
    </row>
    <row r="508" spans="9:10" x14ac:dyDescent="0.3">
      <c r="I508" t="str">
        <f>_xlfn.IFNA(INDEX('[1]Sector list'!$A$2:$A$122,MATCH(H508,'[1]Sector list'!$B$2:$B$122,0)),"")</f>
        <v/>
      </c>
      <c r="J508" s="172"/>
    </row>
    <row r="509" spans="9:10" x14ac:dyDescent="0.3">
      <c r="I509" t="str">
        <f>_xlfn.IFNA(INDEX('[1]Sector list'!$A$2:$A$122,MATCH(H509,'[1]Sector list'!$B$2:$B$122,0)),"")</f>
        <v/>
      </c>
      <c r="J509" s="172"/>
    </row>
    <row r="510" spans="9:10" x14ac:dyDescent="0.3">
      <c r="I510" t="str">
        <f>_xlfn.IFNA(INDEX('[1]Sector list'!$A$2:$A$122,MATCH(H510,'[1]Sector list'!$B$2:$B$122,0)),"")</f>
        <v/>
      </c>
      <c r="J510" s="172"/>
    </row>
    <row r="511" spans="9:10" x14ac:dyDescent="0.3">
      <c r="I511" t="str">
        <f>_xlfn.IFNA(INDEX('[1]Sector list'!$A$2:$A$122,MATCH(H511,'[1]Sector list'!$B$2:$B$122,0)),"")</f>
        <v/>
      </c>
      <c r="J511" s="172"/>
    </row>
    <row r="512" spans="9:10" x14ac:dyDescent="0.3">
      <c r="I512" t="str">
        <f>_xlfn.IFNA(INDEX('[1]Sector list'!$A$2:$A$122,MATCH(H512,'[1]Sector list'!$B$2:$B$122,0)),"")</f>
        <v/>
      </c>
      <c r="J512" s="172"/>
    </row>
    <row r="513" spans="9:10" x14ac:dyDescent="0.3">
      <c r="I513" t="str">
        <f>_xlfn.IFNA(INDEX('[1]Sector list'!$A$2:$A$122,MATCH(H513,'[1]Sector list'!$B$2:$B$122,0)),"")</f>
        <v/>
      </c>
      <c r="J513" s="172"/>
    </row>
    <row r="514" spans="9:10" x14ac:dyDescent="0.3">
      <c r="I514" t="str">
        <f>_xlfn.IFNA(INDEX('[1]Sector list'!$A$2:$A$122,MATCH(H514,'[1]Sector list'!$B$2:$B$122,0)),"")</f>
        <v/>
      </c>
      <c r="J514" s="172"/>
    </row>
    <row r="515" spans="9:10" x14ac:dyDescent="0.3">
      <c r="I515" t="str">
        <f>_xlfn.IFNA(INDEX('[1]Sector list'!$A$2:$A$122,MATCH(H515,'[1]Sector list'!$B$2:$B$122,0)),"")</f>
        <v/>
      </c>
      <c r="J515" s="172"/>
    </row>
    <row r="516" spans="9:10" x14ac:dyDescent="0.3">
      <c r="I516" t="str">
        <f>_xlfn.IFNA(INDEX('[1]Sector list'!$A$2:$A$122,MATCH(H516,'[1]Sector list'!$B$2:$B$122,0)),"")</f>
        <v/>
      </c>
      <c r="J516" s="172"/>
    </row>
    <row r="517" spans="9:10" x14ac:dyDescent="0.3">
      <c r="I517" t="str">
        <f>_xlfn.IFNA(INDEX('[1]Sector list'!$A$2:$A$122,MATCH(H517,'[1]Sector list'!$B$2:$B$122,0)),"")</f>
        <v/>
      </c>
      <c r="J517" s="172"/>
    </row>
    <row r="518" spans="9:10" x14ac:dyDescent="0.3">
      <c r="I518" t="str">
        <f>_xlfn.IFNA(INDEX('[1]Sector list'!$A$2:$A$122,MATCH(H518,'[1]Sector list'!$B$2:$B$122,0)),"")</f>
        <v/>
      </c>
      <c r="J518" s="172"/>
    </row>
    <row r="519" spans="9:10" x14ac:dyDescent="0.3">
      <c r="I519" t="str">
        <f>_xlfn.IFNA(INDEX('[1]Sector list'!$A$2:$A$122,MATCH(H519,'[1]Sector list'!$B$2:$B$122,0)),"")</f>
        <v/>
      </c>
      <c r="J519" s="172"/>
    </row>
    <row r="520" spans="9:10" x14ac:dyDescent="0.3">
      <c r="I520" t="str">
        <f>_xlfn.IFNA(INDEX('[1]Sector list'!$A$2:$A$122,MATCH(H520,'[1]Sector list'!$B$2:$B$122,0)),"")</f>
        <v/>
      </c>
      <c r="J520" s="172"/>
    </row>
    <row r="521" spans="9:10" x14ac:dyDescent="0.3">
      <c r="I521" t="str">
        <f>_xlfn.IFNA(INDEX('[1]Sector list'!$A$2:$A$122,MATCH(H521,'[1]Sector list'!$B$2:$B$122,0)),"")</f>
        <v/>
      </c>
      <c r="J521" s="172"/>
    </row>
    <row r="522" spans="9:10" x14ac:dyDescent="0.3">
      <c r="I522" t="str">
        <f>_xlfn.IFNA(INDEX('[1]Sector list'!$A$2:$A$122,MATCH(H522,'[1]Sector list'!$B$2:$B$122,0)),"")</f>
        <v/>
      </c>
      <c r="J522" s="172"/>
    </row>
    <row r="523" spans="9:10" x14ac:dyDescent="0.3">
      <c r="I523" t="str">
        <f>_xlfn.IFNA(INDEX('[1]Sector list'!$A$2:$A$122,MATCH(H523,'[1]Sector list'!$B$2:$B$122,0)),"")</f>
        <v/>
      </c>
      <c r="J523" s="172"/>
    </row>
    <row r="524" spans="9:10" x14ac:dyDescent="0.3">
      <c r="I524" t="str">
        <f>_xlfn.IFNA(INDEX('[1]Sector list'!$A$2:$A$122,MATCH(H524,'[1]Sector list'!$B$2:$B$122,0)),"")</f>
        <v/>
      </c>
      <c r="J524" s="172"/>
    </row>
    <row r="525" spans="9:10" x14ac:dyDescent="0.3">
      <c r="I525" t="str">
        <f>_xlfn.IFNA(INDEX('[1]Sector list'!$A$2:$A$122,MATCH(H525,'[1]Sector list'!$B$2:$B$122,0)),"")</f>
        <v/>
      </c>
      <c r="J525" s="172"/>
    </row>
    <row r="526" spans="9:10" x14ac:dyDescent="0.3">
      <c r="I526" t="str">
        <f>_xlfn.IFNA(INDEX('[1]Sector list'!$A$2:$A$122,MATCH(H526,'[1]Sector list'!$B$2:$B$122,0)),"")</f>
        <v/>
      </c>
      <c r="J526" s="172"/>
    </row>
    <row r="527" spans="9:10" x14ac:dyDescent="0.3">
      <c r="I527" t="str">
        <f>_xlfn.IFNA(INDEX('[1]Sector list'!$A$2:$A$122,MATCH(H527,'[1]Sector list'!$B$2:$B$122,0)),"")</f>
        <v/>
      </c>
      <c r="J527" s="172"/>
    </row>
    <row r="528" spans="9:10" x14ac:dyDescent="0.3">
      <c r="I528" t="str">
        <f>_xlfn.IFNA(INDEX('[1]Sector list'!$A$2:$A$122,MATCH(H528,'[1]Sector list'!$B$2:$B$122,0)),"")</f>
        <v/>
      </c>
      <c r="J528" s="172"/>
    </row>
    <row r="529" spans="9:10" x14ac:dyDescent="0.3">
      <c r="I529" t="str">
        <f>_xlfn.IFNA(INDEX('[1]Sector list'!$A$2:$A$122,MATCH(H529,'[1]Sector list'!$B$2:$B$122,0)),"")</f>
        <v/>
      </c>
      <c r="J529" s="172"/>
    </row>
    <row r="530" spans="9:10" x14ac:dyDescent="0.3">
      <c r="I530" t="str">
        <f>_xlfn.IFNA(INDEX('[1]Sector list'!$A$2:$A$122,MATCH(H530,'[1]Sector list'!$B$2:$B$122,0)),"")</f>
        <v/>
      </c>
      <c r="J530" s="172"/>
    </row>
    <row r="531" spans="9:10" x14ac:dyDescent="0.3">
      <c r="I531" t="str">
        <f>_xlfn.IFNA(INDEX('[1]Sector list'!$A$2:$A$122,MATCH(H531,'[1]Sector list'!$B$2:$B$122,0)),"")</f>
        <v/>
      </c>
      <c r="J531" s="172"/>
    </row>
    <row r="532" spans="9:10" x14ac:dyDescent="0.3">
      <c r="I532" t="str">
        <f>_xlfn.IFNA(INDEX('[1]Sector list'!$A$2:$A$122,MATCH(H532,'[1]Sector list'!$B$2:$B$122,0)),"")</f>
        <v/>
      </c>
      <c r="J532" s="172"/>
    </row>
    <row r="533" spans="9:10" x14ac:dyDescent="0.3">
      <c r="I533" t="str">
        <f>_xlfn.IFNA(INDEX('[1]Sector list'!$A$2:$A$122,MATCH(H533,'[1]Sector list'!$B$2:$B$122,0)),"")</f>
        <v/>
      </c>
      <c r="J533" s="172"/>
    </row>
    <row r="534" spans="9:10" x14ac:dyDescent="0.3">
      <c r="I534" t="str">
        <f>_xlfn.IFNA(INDEX('[1]Sector list'!$A$2:$A$122,MATCH(H534,'[1]Sector list'!$B$2:$B$122,0)),"")</f>
        <v/>
      </c>
      <c r="J534" s="172"/>
    </row>
    <row r="535" spans="9:10" x14ac:dyDescent="0.3">
      <c r="I535" t="str">
        <f>_xlfn.IFNA(INDEX('[1]Sector list'!$A$2:$A$122,MATCH(H535,'[1]Sector list'!$B$2:$B$122,0)),"")</f>
        <v/>
      </c>
      <c r="J535" s="172"/>
    </row>
    <row r="536" spans="9:10" x14ac:dyDescent="0.3">
      <c r="I536" t="str">
        <f>_xlfn.IFNA(INDEX('[1]Sector list'!$A$2:$A$122,MATCH(H536,'[1]Sector list'!$B$2:$B$122,0)),"")</f>
        <v/>
      </c>
      <c r="J536" s="172"/>
    </row>
    <row r="537" spans="9:10" x14ac:dyDescent="0.3">
      <c r="I537" t="str">
        <f>_xlfn.IFNA(INDEX('[1]Sector list'!$A$2:$A$122,MATCH(H537,'[1]Sector list'!$B$2:$B$122,0)),"")</f>
        <v/>
      </c>
      <c r="J537" s="172"/>
    </row>
    <row r="538" spans="9:10" x14ac:dyDescent="0.3">
      <c r="I538" t="str">
        <f>_xlfn.IFNA(INDEX('[1]Sector list'!$A$2:$A$122,MATCH(H538,'[1]Sector list'!$B$2:$B$122,0)),"")</f>
        <v/>
      </c>
      <c r="J538" s="172"/>
    </row>
    <row r="539" spans="9:10" x14ac:dyDescent="0.3">
      <c r="I539" t="str">
        <f>_xlfn.IFNA(INDEX('[1]Sector list'!$A$2:$A$122,MATCH(H539,'[1]Sector list'!$B$2:$B$122,0)),"")</f>
        <v/>
      </c>
      <c r="J539" s="172"/>
    </row>
    <row r="540" spans="9:10" x14ac:dyDescent="0.3">
      <c r="I540" t="str">
        <f>_xlfn.IFNA(INDEX('[1]Sector list'!$A$2:$A$122,MATCH(H540,'[1]Sector list'!$B$2:$B$122,0)),"")</f>
        <v/>
      </c>
      <c r="J540" s="172"/>
    </row>
    <row r="541" spans="9:10" x14ac:dyDescent="0.3">
      <c r="I541" t="str">
        <f>_xlfn.IFNA(INDEX('[1]Sector list'!$A$2:$A$122,MATCH(H541,'[1]Sector list'!$B$2:$B$122,0)),"")</f>
        <v/>
      </c>
      <c r="J541" s="172"/>
    </row>
    <row r="542" spans="9:10" x14ac:dyDescent="0.3">
      <c r="I542" t="str">
        <f>_xlfn.IFNA(INDEX('[1]Sector list'!$A$2:$A$122,MATCH(H542,'[1]Sector list'!$B$2:$B$122,0)),"")</f>
        <v/>
      </c>
      <c r="J542" s="172"/>
    </row>
    <row r="543" spans="9:10" x14ac:dyDescent="0.3">
      <c r="I543" t="str">
        <f>_xlfn.IFNA(INDEX('[1]Sector list'!$A$2:$A$122,MATCH(H543,'[1]Sector list'!$B$2:$B$122,0)),"")</f>
        <v/>
      </c>
      <c r="J543" s="172"/>
    </row>
    <row r="544" spans="9:10" x14ac:dyDescent="0.3">
      <c r="I544" t="str">
        <f>_xlfn.IFNA(INDEX('[1]Sector list'!$A$2:$A$122,MATCH(H544,'[1]Sector list'!$B$2:$B$122,0)),"")</f>
        <v/>
      </c>
      <c r="J544" s="172"/>
    </row>
    <row r="545" spans="9:10" x14ac:dyDescent="0.3">
      <c r="I545" t="str">
        <f>_xlfn.IFNA(INDEX('[1]Sector list'!$A$2:$A$122,MATCH(H545,'[1]Sector list'!$B$2:$B$122,0)),"")</f>
        <v/>
      </c>
      <c r="J545" s="172"/>
    </row>
    <row r="546" spans="9:10" x14ac:dyDescent="0.3">
      <c r="I546" t="str">
        <f>_xlfn.IFNA(INDEX('[1]Sector list'!$A$2:$A$122,MATCH(H546,'[1]Sector list'!$B$2:$B$122,0)),"")</f>
        <v/>
      </c>
      <c r="J546" s="172"/>
    </row>
    <row r="547" spans="9:10" x14ac:dyDescent="0.3">
      <c r="I547" t="str">
        <f>_xlfn.IFNA(INDEX('[1]Sector list'!$A$2:$A$122,MATCH(H547,'[1]Sector list'!$B$2:$B$122,0)),"")</f>
        <v/>
      </c>
      <c r="J547" s="172"/>
    </row>
    <row r="548" spans="9:10" x14ac:dyDescent="0.3">
      <c r="I548" t="str">
        <f>_xlfn.IFNA(INDEX('[1]Sector list'!$A$2:$A$122,MATCH(H548,'[1]Sector list'!$B$2:$B$122,0)),"")</f>
        <v/>
      </c>
      <c r="J548" s="172"/>
    </row>
    <row r="549" spans="9:10" x14ac:dyDescent="0.3">
      <c r="I549" t="str">
        <f>_xlfn.IFNA(INDEX('[1]Sector list'!$A$2:$A$122,MATCH(H549,'[1]Sector list'!$B$2:$B$122,0)),"")</f>
        <v/>
      </c>
      <c r="J549" s="172"/>
    </row>
    <row r="550" spans="9:10" x14ac:dyDescent="0.3">
      <c r="I550" t="str">
        <f>_xlfn.IFNA(INDEX('[1]Sector list'!$A$2:$A$122,MATCH(H550,'[1]Sector list'!$B$2:$B$122,0)),"")</f>
        <v/>
      </c>
      <c r="J550" s="172"/>
    </row>
    <row r="551" spans="9:10" x14ac:dyDescent="0.3">
      <c r="I551" t="str">
        <f>_xlfn.IFNA(INDEX('[1]Sector list'!$A$2:$A$122,MATCH(H551,'[1]Sector list'!$B$2:$B$122,0)),"")</f>
        <v/>
      </c>
      <c r="J551" s="172"/>
    </row>
    <row r="552" spans="9:10" x14ac:dyDescent="0.3">
      <c r="I552" t="str">
        <f>_xlfn.IFNA(INDEX('[1]Sector list'!$A$2:$A$122,MATCH(H552,'[1]Sector list'!$B$2:$B$122,0)),"")</f>
        <v/>
      </c>
      <c r="J552" s="172"/>
    </row>
    <row r="553" spans="9:10" x14ac:dyDescent="0.3">
      <c r="I553" t="str">
        <f>_xlfn.IFNA(INDEX('[1]Sector list'!$A$2:$A$122,MATCH(H553,'[1]Sector list'!$B$2:$B$122,0)),"")</f>
        <v/>
      </c>
      <c r="J553" s="172"/>
    </row>
    <row r="554" spans="9:10" x14ac:dyDescent="0.3">
      <c r="I554" t="str">
        <f>_xlfn.IFNA(INDEX('[1]Sector list'!$A$2:$A$122,MATCH(H554,'[1]Sector list'!$B$2:$B$122,0)),"")</f>
        <v/>
      </c>
      <c r="J554" s="172"/>
    </row>
    <row r="555" spans="9:10" x14ac:dyDescent="0.3">
      <c r="I555" t="str">
        <f>_xlfn.IFNA(INDEX('[1]Sector list'!$A$2:$A$122,MATCH(H555,'[1]Sector list'!$B$2:$B$122,0)),"")</f>
        <v/>
      </c>
      <c r="J555" s="172"/>
    </row>
    <row r="556" spans="9:10" x14ac:dyDescent="0.3">
      <c r="I556" t="str">
        <f>_xlfn.IFNA(INDEX('[1]Sector list'!$A$2:$A$122,MATCH(H556,'[1]Sector list'!$B$2:$B$122,0)),"")</f>
        <v/>
      </c>
      <c r="J556" s="172"/>
    </row>
    <row r="557" spans="9:10" x14ac:dyDescent="0.3">
      <c r="I557" t="str">
        <f>_xlfn.IFNA(INDEX('[1]Sector list'!$A$2:$A$122,MATCH(H557,'[1]Sector list'!$B$2:$B$122,0)),"")</f>
        <v/>
      </c>
      <c r="J557" s="172"/>
    </row>
    <row r="558" spans="9:10" x14ac:dyDescent="0.3">
      <c r="I558" t="str">
        <f>_xlfn.IFNA(INDEX('[1]Sector list'!$A$2:$A$122,MATCH(H558,'[1]Sector list'!$B$2:$B$122,0)),"")</f>
        <v/>
      </c>
      <c r="J558" s="172"/>
    </row>
    <row r="559" spans="9:10" x14ac:dyDescent="0.3">
      <c r="I559" t="str">
        <f>_xlfn.IFNA(INDEX('[1]Sector list'!$A$2:$A$122,MATCH(H559,'[1]Sector list'!$B$2:$B$122,0)),"")</f>
        <v/>
      </c>
      <c r="J559" s="172"/>
    </row>
    <row r="560" spans="9:10" x14ac:dyDescent="0.3">
      <c r="I560" t="str">
        <f>_xlfn.IFNA(INDEX('[1]Sector list'!$A$2:$A$122,MATCH(H560,'[1]Sector list'!$B$2:$B$122,0)),"")</f>
        <v/>
      </c>
      <c r="J560" s="172"/>
    </row>
    <row r="561" spans="9:10" x14ac:dyDescent="0.3">
      <c r="I561" t="str">
        <f>_xlfn.IFNA(INDEX('[1]Sector list'!$A$2:$A$122,MATCH(H561,'[1]Sector list'!$B$2:$B$122,0)),"")</f>
        <v/>
      </c>
      <c r="J561" s="172"/>
    </row>
    <row r="562" spans="9:10" x14ac:dyDescent="0.3">
      <c r="I562" t="str">
        <f>_xlfn.IFNA(INDEX('[1]Sector list'!$A$2:$A$122,MATCH(H562,'[1]Sector list'!$B$2:$B$122,0)),"")</f>
        <v/>
      </c>
      <c r="J562" s="172"/>
    </row>
    <row r="563" spans="9:10" x14ac:dyDescent="0.3">
      <c r="I563" t="str">
        <f>_xlfn.IFNA(INDEX('[1]Sector list'!$A$2:$A$122,MATCH(H563,'[1]Sector list'!$B$2:$B$122,0)),"")</f>
        <v/>
      </c>
      <c r="J563" s="172"/>
    </row>
    <row r="564" spans="9:10" x14ac:dyDescent="0.3">
      <c r="I564" t="str">
        <f>_xlfn.IFNA(INDEX('[1]Sector list'!$A$2:$A$122,MATCH(H564,'[1]Sector list'!$B$2:$B$122,0)),"")</f>
        <v/>
      </c>
      <c r="J564" s="172"/>
    </row>
    <row r="565" spans="9:10" x14ac:dyDescent="0.3">
      <c r="I565" t="str">
        <f>_xlfn.IFNA(INDEX('[1]Sector list'!$A$2:$A$122,MATCH(H565,'[1]Sector list'!$B$2:$B$122,0)),"")</f>
        <v/>
      </c>
      <c r="J565" s="172"/>
    </row>
    <row r="566" spans="9:10" x14ac:dyDescent="0.3">
      <c r="I566" t="str">
        <f>_xlfn.IFNA(INDEX('[1]Sector list'!$A$2:$A$122,MATCH(H566,'[1]Sector list'!$B$2:$B$122,0)),"")</f>
        <v/>
      </c>
      <c r="J566" s="172"/>
    </row>
    <row r="567" spans="9:10" x14ac:dyDescent="0.3">
      <c r="I567" t="str">
        <f>_xlfn.IFNA(INDEX('[1]Sector list'!$A$2:$A$122,MATCH(H567,'[1]Sector list'!$B$2:$B$122,0)),"")</f>
        <v/>
      </c>
      <c r="J567" s="172"/>
    </row>
    <row r="568" spans="9:10" x14ac:dyDescent="0.3">
      <c r="I568" t="str">
        <f>_xlfn.IFNA(INDEX('[1]Sector list'!$A$2:$A$122,MATCH(H568,'[1]Sector list'!$B$2:$B$122,0)),"")</f>
        <v/>
      </c>
      <c r="J568" s="172"/>
    </row>
    <row r="569" spans="9:10" x14ac:dyDescent="0.3">
      <c r="I569" t="str">
        <f>_xlfn.IFNA(INDEX('[1]Sector list'!$A$2:$A$122,MATCH(H569,'[1]Sector list'!$B$2:$B$122,0)),"")</f>
        <v/>
      </c>
      <c r="J569" s="172"/>
    </row>
    <row r="570" spans="9:10" x14ac:dyDescent="0.3">
      <c r="I570" t="str">
        <f>_xlfn.IFNA(INDEX('[1]Sector list'!$A$2:$A$122,MATCH(H570,'[1]Sector list'!$B$2:$B$122,0)),"")</f>
        <v/>
      </c>
      <c r="J570" s="172"/>
    </row>
    <row r="571" spans="9:10" x14ac:dyDescent="0.3">
      <c r="I571" t="str">
        <f>_xlfn.IFNA(INDEX('[1]Sector list'!$A$2:$A$122,MATCH(H571,'[1]Sector list'!$B$2:$B$122,0)),"")</f>
        <v/>
      </c>
      <c r="J571" s="172"/>
    </row>
    <row r="572" spans="9:10" x14ac:dyDescent="0.3">
      <c r="I572" t="str">
        <f>_xlfn.IFNA(INDEX('[1]Sector list'!$A$2:$A$122,MATCH(H572,'[1]Sector list'!$B$2:$B$122,0)),"")</f>
        <v/>
      </c>
      <c r="J572" s="172"/>
    </row>
    <row r="573" spans="9:10" x14ac:dyDescent="0.3">
      <c r="I573" t="str">
        <f>_xlfn.IFNA(INDEX('[1]Sector list'!$A$2:$A$122,MATCH(H573,'[1]Sector list'!$B$2:$B$122,0)),"")</f>
        <v/>
      </c>
      <c r="J573" s="172"/>
    </row>
    <row r="574" spans="9:10" x14ac:dyDescent="0.3">
      <c r="I574" t="str">
        <f>_xlfn.IFNA(INDEX('[1]Sector list'!$A$2:$A$122,MATCH(H574,'[1]Sector list'!$B$2:$B$122,0)),"")</f>
        <v/>
      </c>
      <c r="J574" s="172"/>
    </row>
    <row r="575" spans="9:10" x14ac:dyDescent="0.3">
      <c r="I575" t="str">
        <f>_xlfn.IFNA(INDEX('[1]Sector list'!$A$2:$A$122,MATCH(H575,'[1]Sector list'!$B$2:$B$122,0)),"")</f>
        <v/>
      </c>
      <c r="J575" s="172"/>
    </row>
    <row r="576" spans="9:10" x14ac:dyDescent="0.3">
      <c r="I576" t="str">
        <f>_xlfn.IFNA(INDEX('[1]Sector list'!$A$2:$A$122,MATCH(H576,'[1]Sector list'!$B$2:$B$122,0)),"")</f>
        <v/>
      </c>
      <c r="J576" s="172"/>
    </row>
    <row r="577" spans="9:10" x14ac:dyDescent="0.3">
      <c r="I577" t="str">
        <f>_xlfn.IFNA(INDEX('[1]Sector list'!$A$2:$A$122,MATCH(H577,'[1]Sector list'!$B$2:$B$122,0)),"")</f>
        <v/>
      </c>
      <c r="J577" s="172"/>
    </row>
    <row r="578" spans="9:10" x14ac:dyDescent="0.3">
      <c r="I578" t="str">
        <f>_xlfn.IFNA(INDEX('[1]Sector list'!$A$2:$A$122,MATCH(H578,'[1]Sector list'!$B$2:$B$122,0)),"")</f>
        <v/>
      </c>
      <c r="J578" s="172"/>
    </row>
    <row r="579" spans="9:10" x14ac:dyDescent="0.3">
      <c r="I579" t="str">
        <f>_xlfn.IFNA(INDEX('[1]Sector list'!$A$2:$A$122,MATCH(H579,'[1]Sector list'!$B$2:$B$122,0)),"")</f>
        <v/>
      </c>
      <c r="J579" s="172"/>
    </row>
    <row r="580" spans="9:10" x14ac:dyDescent="0.3">
      <c r="I580" t="str">
        <f>_xlfn.IFNA(INDEX('[1]Sector list'!$A$2:$A$122,MATCH(H580,'[1]Sector list'!$B$2:$B$122,0)),"")</f>
        <v/>
      </c>
      <c r="J580" s="172"/>
    </row>
    <row r="581" spans="9:10" x14ac:dyDescent="0.3">
      <c r="I581" t="str">
        <f>_xlfn.IFNA(INDEX('[1]Sector list'!$A$2:$A$122,MATCH(H581,'[1]Sector list'!$B$2:$B$122,0)),"")</f>
        <v/>
      </c>
      <c r="J581" s="172"/>
    </row>
    <row r="582" spans="9:10" x14ac:dyDescent="0.3">
      <c r="I582" t="str">
        <f>_xlfn.IFNA(INDEX('[1]Sector list'!$A$2:$A$122,MATCH(H582,'[1]Sector list'!$B$2:$B$122,0)),"")</f>
        <v/>
      </c>
      <c r="J582" s="172"/>
    </row>
    <row r="583" spans="9:10" x14ac:dyDescent="0.3">
      <c r="I583" t="str">
        <f>_xlfn.IFNA(INDEX('[1]Sector list'!$A$2:$A$122,MATCH(H583,'[1]Sector list'!$B$2:$B$122,0)),"")</f>
        <v/>
      </c>
      <c r="J583" s="172"/>
    </row>
    <row r="584" spans="9:10" x14ac:dyDescent="0.3">
      <c r="I584" t="str">
        <f>_xlfn.IFNA(INDEX('[1]Sector list'!$A$2:$A$122,MATCH(H584,'[1]Sector list'!$B$2:$B$122,0)),"")</f>
        <v/>
      </c>
      <c r="J584" s="172"/>
    </row>
    <row r="585" spans="9:10" x14ac:dyDescent="0.3">
      <c r="I585" t="str">
        <f>_xlfn.IFNA(INDEX('[1]Sector list'!$A$2:$A$122,MATCH(H585,'[1]Sector list'!$B$2:$B$122,0)),"")</f>
        <v/>
      </c>
      <c r="J585" s="172"/>
    </row>
    <row r="586" spans="9:10" x14ac:dyDescent="0.3">
      <c r="I586" t="str">
        <f>_xlfn.IFNA(INDEX('[1]Sector list'!$A$2:$A$122,MATCH(H586,'[1]Sector list'!$B$2:$B$122,0)),"")</f>
        <v/>
      </c>
      <c r="J586" s="172"/>
    </row>
    <row r="587" spans="9:10" x14ac:dyDescent="0.3">
      <c r="I587" t="str">
        <f>_xlfn.IFNA(INDEX('[1]Sector list'!$A$2:$A$122,MATCH(H587,'[1]Sector list'!$B$2:$B$122,0)),"")</f>
        <v/>
      </c>
      <c r="J587" s="172"/>
    </row>
    <row r="588" spans="9:10" x14ac:dyDescent="0.3">
      <c r="I588" t="str">
        <f>_xlfn.IFNA(INDEX('[1]Sector list'!$A$2:$A$122,MATCH(H588,'[1]Sector list'!$B$2:$B$122,0)),"")</f>
        <v/>
      </c>
      <c r="J588" s="172"/>
    </row>
    <row r="589" spans="9:10" x14ac:dyDescent="0.3">
      <c r="I589" t="str">
        <f>_xlfn.IFNA(INDEX('[1]Sector list'!$A$2:$A$122,MATCH(H589,'[1]Sector list'!$B$2:$B$122,0)),"")</f>
        <v/>
      </c>
      <c r="J589" s="172"/>
    </row>
    <row r="590" spans="9:10" x14ac:dyDescent="0.3">
      <c r="I590" t="str">
        <f>_xlfn.IFNA(INDEX('[1]Sector list'!$A$2:$A$122,MATCH(H590,'[1]Sector list'!$B$2:$B$122,0)),"")</f>
        <v/>
      </c>
      <c r="J590" s="172"/>
    </row>
    <row r="591" spans="9:10" x14ac:dyDescent="0.3">
      <c r="I591" t="str">
        <f>_xlfn.IFNA(INDEX('[1]Sector list'!$A$2:$A$122,MATCH(H591,'[1]Sector list'!$B$2:$B$122,0)),"")</f>
        <v/>
      </c>
      <c r="J591" s="172"/>
    </row>
    <row r="592" spans="9:10" x14ac:dyDescent="0.3">
      <c r="I592" t="str">
        <f>_xlfn.IFNA(INDEX('[1]Sector list'!$A$2:$A$122,MATCH(H592,'[1]Sector list'!$B$2:$B$122,0)),"")</f>
        <v/>
      </c>
      <c r="J592" s="172"/>
    </row>
    <row r="593" spans="9:10" x14ac:dyDescent="0.3">
      <c r="I593" t="str">
        <f>_xlfn.IFNA(INDEX('[1]Sector list'!$A$2:$A$122,MATCH(H593,'[1]Sector list'!$B$2:$B$122,0)),"")</f>
        <v/>
      </c>
      <c r="J593" s="172"/>
    </row>
    <row r="594" spans="9:10" x14ac:dyDescent="0.3">
      <c r="I594" t="str">
        <f>_xlfn.IFNA(INDEX('[1]Sector list'!$A$2:$A$122,MATCH(H594,'[1]Sector list'!$B$2:$B$122,0)),"")</f>
        <v/>
      </c>
      <c r="J594" s="172"/>
    </row>
    <row r="595" spans="9:10" x14ac:dyDescent="0.3">
      <c r="I595" t="str">
        <f>_xlfn.IFNA(INDEX('[1]Sector list'!$A$2:$A$122,MATCH(H595,'[1]Sector list'!$B$2:$B$122,0)),"")</f>
        <v/>
      </c>
      <c r="J595" s="172"/>
    </row>
    <row r="596" spans="9:10" x14ac:dyDescent="0.3">
      <c r="I596" t="str">
        <f>_xlfn.IFNA(INDEX('[1]Sector list'!$A$2:$A$122,MATCH(H596,'[1]Sector list'!$B$2:$B$122,0)),"")</f>
        <v/>
      </c>
      <c r="J596" s="172"/>
    </row>
    <row r="597" spans="9:10" x14ac:dyDescent="0.3">
      <c r="I597" t="str">
        <f>_xlfn.IFNA(INDEX('[1]Sector list'!$A$2:$A$122,MATCH(H597,'[1]Sector list'!$B$2:$B$122,0)),"")</f>
        <v/>
      </c>
      <c r="J597" s="172"/>
    </row>
    <row r="598" spans="9:10" x14ac:dyDescent="0.3">
      <c r="I598" t="str">
        <f>_xlfn.IFNA(INDEX('[1]Sector list'!$A$2:$A$122,MATCH(H598,'[1]Sector list'!$B$2:$B$122,0)),"")</f>
        <v/>
      </c>
      <c r="J598" s="172"/>
    </row>
    <row r="599" spans="9:10" x14ac:dyDescent="0.3">
      <c r="I599" t="str">
        <f>_xlfn.IFNA(INDEX('[1]Sector list'!$A$2:$A$122,MATCH(H599,'[1]Sector list'!$B$2:$B$122,0)),"")</f>
        <v/>
      </c>
      <c r="J599" s="172"/>
    </row>
    <row r="600" spans="9:10" x14ac:dyDescent="0.3">
      <c r="I600" t="str">
        <f>_xlfn.IFNA(INDEX('[1]Sector list'!$A$2:$A$122,MATCH(H600,'[1]Sector list'!$B$2:$B$122,0)),"")</f>
        <v/>
      </c>
      <c r="J600" s="172"/>
    </row>
    <row r="601" spans="9:10" x14ac:dyDescent="0.3">
      <c r="I601" t="str">
        <f>_xlfn.IFNA(INDEX('[1]Sector list'!$A$2:$A$122,MATCH(H601,'[1]Sector list'!$B$2:$B$122,0)),"")</f>
        <v/>
      </c>
      <c r="J601" s="172"/>
    </row>
    <row r="602" spans="9:10" x14ac:dyDescent="0.3">
      <c r="I602" t="str">
        <f>_xlfn.IFNA(INDEX('[1]Sector list'!$A$2:$A$122,MATCH(H602,'[1]Sector list'!$B$2:$B$122,0)),"")</f>
        <v/>
      </c>
      <c r="J602" s="172"/>
    </row>
    <row r="603" spans="9:10" x14ac:dyDescent="0.3">
      <c r="I603" t="str">
        <f>_xlfn.IFNA(INDEX('[1]Sector list'!$A$2:$A$122,MATCH(H603,'[1]Sector list'!$B$2:$B$122,0)),"")</f>
        <v/>
      </c>
      <c r="J603" s="172"/>
    </row>
    <row r="604" spans="9:10" x14ac:dyDescent="0.3">
      <c r="I604" t="str">
        <f>_xlfn.IFNA(INDEX('[1]Sector list'!$A$2:$A$122,MATCH(H604,'[1]Sector list'!$B$2:$B$122,0)),"")</f>
        <v/>
      </c>
      <c r="J604" s="172"/>
    </row>
    <row r="605" spans="9:10" x14ac:dyDescent="0.3">
      <c r="I605" t="str">
        <f>_xlfn.IFNA(INDEX('[1]Sector list'!$A$2:$A$122,MATCH(H605,'[1]Sector list'!$B$2:$B$122,0)),"")</f>
        <v/>
      </c>
      <c r="J605" s="172"/>
    </row>
    <row r="606" spans="9:10" x14ac:dyDescent="0.3">
      <c r="I606" t="str">
        <f>_xlfn.IFNA(INDEX('[1]Sector list'!$A$2:$A$122,MATCH(H606,'[1]Sector list'!$B$2:$B$122,0)),"")</f>
        <v/>
      </c>
      <c r="J606" s="172"/>
    </row>
    <row r="607" spans="9:10" x14ac:dyDescent="0.3">
      <c r="I607" t="str">
        <f>_xlfn.IFNA(INDEX('[1]Sector list'!$A$2:$A$122,MATCH(H607,'[1]Sector list'!$B$2:$B$122,0)),"")</f>
        <v/>
      </c>
      <c r="J607" s="172"/>
    </row>
    <row r="608" spans="9:10" x14ac:dyDescent="0.3">
      <c r="I608" t="str">
        <f>_xlfn.IFNA(INDEX('[1]Sector list'!$A$2:$A$122,MATCH(H608,'[1]Sector list'!$B$2:$B$122,0)),"")</f>
        <v/>
      </c>
      <c r="J608" s="172"/>
    </row>
    <row r="609" spans="9:10" x14ac:dyDescent="0.3">
      <c r="I609" t="str">
        <f>_xlfn.IFNA(INDEX('[1]Sector list'!$A$2:$A$122,MATCH(H609,'[1]Sector list'!$B$2:$B$122,0)),"")</f>
        <v/>
      </c>
      <c r="J609" s="172"/>
    </row>
    <row r="610" spans="9:10" x14ac:dyDescent="0.3">
      <c r="I610" t="str">
        <f>_xlfn.IFNA(INDEX('[1]Sector list'!$A$2:$A$122,MATCH(H610,'[1]Sector list'!$B$2:$B$122,0)),"")</f>
        <v/>
      </c>
      <c r="J610" s="172"/>
    </row>
    <row r="611" spans="9:10" x14ac:dyDescent="0.3">
      <c r="I611" t="str">
        <f>_xlfn.IFNA(INDEX('[1]Sector list'!$A$2:$A$122,MATCH(H611,'[1]Sector list'!$B$2:$B$122,0)),"")</f>
        <v/>
      </c>
      <c r="J611" s="172"/>
    </row>
    <row r="612" spans="9:10" x14ac:dyDescent="0.3">
      <c r="I612" t="str">
        <f>_xlfn.IFNA(INDEX('[1]Sector list'!$A$2:$A$122,MATCH(H612,'[1]Sector list'!$B$2:$B$122,0)),"")</f>
        <v/>
      </c>
      <c r="J612" s="172"/>
    </row>
    <row r="613" spans="9:10" x14ac:dyDescent="0.3">
      <c r="I613" t="str">
        <f>_xlfn.IFNA(INDEX('[1]Sector list'!$A$2:$A$122,MATCH(H613,'[1]Sector list'!$B$2:$B$122,0)),"")</f>
        <v/>
      </c>
      <c r="J613" s="172"/>
    </row>
    <row r="614" spans="9:10" x14ac:dyDescent="0.3">
      <c r="I614" t="str">
        <f>_xlfn.IFNA(INDEX('[1]Sector list'!$A$2:$A$122,MATCH(H614,'[1]Sector list'!$B$2:$B$122,0)),"")</f>
        <v/>
      </c>
      <c r="J614" s="172"/>
    </row>
    <row r="615" spans="9:10" x14ac:dyDescent="0.3">
      <c r="I615" t="str">
        <f>_xlfn.IFNA(INDEX('[1]Sector list'!$A$2:$A$122,MATCH(H615,'[1]Sector list'!$B$2:$B$122,0)),"")</f>
        <v/>
      </c>
      <c r="J615" s="172"/>
    </row>
    <row r="616" spans="9:10" x14ac:dyDescent="0.3">
      <c r="I616" t="str">
        <f>_xlfn.IFNA(INDEX('[1]Sector list'!$A$2:$A$122,MATCH(H616,'[1]Sector list'!$B$2:$B$122,0)),"")</f>
        <v/>
      </c>
      <c r="J616" s="172"/>
    </row>
    <row r="617" spans="9:10" x14ac:dyDescent="0.3">
      <c r="I617" t="str">
        <f>_xlfn.IFNA(INDEX('[1]Sector list'!$A$2:$A$122,MATCH(H617,'[1]Sector list'!$B$2:$B$122,0)),"")</f>
        <v/>
      </c>
      <c r="J617" s="172"/>
    </row>
    <row r="618" spans="9:10" x14ac:dyDescent="0.3">
      <c r="I618" t="str">
        <f>_xlfn.IFNA(INDEX('[1]Sector list'!$A$2:$A$122,MATCH(H618,'[1]Sector list'!$B$2:$B$122,0)),"")</f>
        <v/>
      </c>
      <c r="J618" s="172"/>
    </row>
    <row r="619" spans="9:10" x14ac:dyDescent="0.3">
      <c r="I619" t="str">
        <f>_xlfn.IFNA(INDEX('[1]Sector list'!$A$2:$A$122,MATCH(H619,'[1]Sector list'!$B$2:$B$122,0)),"")</f>
        <v/>
      </c>
      <c r="J619" s="172"/>
    </row>
    <row r="620" spans="9:10" x14ac:dyDescent="0.3">
      <c r="I620" t="str">
        <f>_xlfn.IFNA(INDEX('[1]Sector list'!$A$2:$A$122,MATCH(H620,'[1]Sector list'!$B$2:$B$122,0)),"")</f>
        <v/>
      </c>
      <c r="J620" s="172"/>
    </row>
    <row r="621" spans="9:10" x14ac:dyDescent="0.3">
      <c r="I621" t="str">
        <f>_xlfn.IFNA(INDEX('[1]Sector list'!$A$2:$A$122,MATCH(H621,'[1]Sector list'!$B$2:$B$122,0)),"")</f>
        <v/>
      </c>
      <c r="J621" s="172"/>
    </row>
    <row r="622" spans="9:10" x14ac:dyDescent="0.3">
      <c r="I622" t="str">
        <f>_xlfn.IFNA(INDEX('[1]Sector list'!$A$2:$A$122,MATCH(H622,'[1]Sector list'!$B$2:$B$122,0)),"")</f>
        <v/>
      </c>
      <c r="J622" s="172"/>
    </row>
    <row r="623" spans="9:10" x14ac:dyDescent="0.3">
      <c r="I623" t="str">
        <f>_xlfn.IFNA(INDEX('[1]Sector list'!$A$2:$A$122,MATCH(H623,'[1]Sector list'!$B$2:$B$122,0)),"")</f>
        <v/>
      </c>
      <c r="J623" s="172"/>
    </row>
    <row r="624" spans="9:10" x14ac:dyDescent="0.3">
      <c r="I624" t="str">
        <f>_xlfn.IFNA(INDEX('[1]Sector list'!$A$2:$A$122,MATCH(H624,'[1]Sector list'!$B$2:$B$122,0)),"")</f>
        <v/>
      </c>
      <c r="J624" s="172"/>
    </row>
    <row r="625" spans="9:10" x14ac:dyDescent="0.3">
      <c r="I625" t="str">
        <f>_xlfn.IFNA(INDEX('[1]Sector list'!$A$2:$A$122,MATCH(H625,'[1]Sector list'!$B$2:$B$122,0)),"")</f>
        <v/>
      </c>
      <c r="J625" s="172"/>
    </row>
    <row r="626" spans="9:10" x14ac:dyDescent="0.3">
      <c r="I626" t="str">
        <f>_xlfn.IFNA(INDEX('[1]Sector list'!$A$2:$A$122,MATCH(H626,'[1]Sector list'!$B$2:$B$122,0)),"")</f>
        <v/>
      </c>
      <c r="J626" s="172"/>
    </row>
    <row r="627" spans="9:10" x14ac:dyDescent="0.3">
      <c r="I627" t="str">
        <f>_xlfn.IFNA(INDEX('[1]Sector list'!$A$2:$A$122,MATCH(H627,'[1]Sector list'!$B$2:$B$122,0)),"")</f>
        <v/>
      </c>
      <c r="J627" s="172"/>
    </row>
    <row r="628" spans="9:10" x14ac:dyDescent="0.3">
      <c r="I628" t="str">
        <f>_xlfn.IFNA(INDEX('[1]Sector list'!$A$2:$A$122,MATCH(H628,'[1]Sector list'!$B$2:$B$122,0)),"")</f>
        <v/>
      </c>
      <c r="J628" s="172"/>
    </row>
    <row r="629" spans="9:10" x14ac:dyDescent="0.3">
      <c r="I629" t="str">
        <f>_xlfn.IFNA(INDEX('[1]Sector list'!$A$2:$A$122,MATCH(H629,'[1]Sector list'!$B$2:$B$122,0)),"")</f>
        <v/>
      </c>
      <c r="J629" s="172"/>
    </row>
    <row r="630" spans="9:10" x14ac:dyDescent="0.3">
      <c r="I630" t="str">
        <f>_xlfn.IFNA(INDEX('[1]Sector list'!$A$2:$A$122,MATCH(H630,'[1]Sector list'!$B$2:$B$122,0)),"")</f>
        <v/>
      </c>
      <c r="J630" s="172"/>
    </row>
    <row r="631" spans="9:10" x14ac:dyDescent="0.3">
      <c r="I631" t="str">
        <f>_xlfn.IFNA(INDEX('[1]Sector list'!$A$2:$A$122,MATCH(H631,'[1]Sector list'!$B$2:$B$122,0)),"")</f>
        <v/>
      </c>
      <c r="J631" s="172"/>
    </row>
    <row r="632" spans="9:10" x14ac:dyDescent="0.3">
      <c r="I632" t="str">
        <f>_xlfn.IFNA(INDEX('[1]Sector list'!$A$2:$A$122,MATCH(H632,'[1]Sector list'!$B$2:$B$122,0)),"")</f>
        <v/>
      </c>
      <c r="J632" s="172"/>
    </row>
    <row r="633" spans="9:10" x14ac:dyDescent="0.3">
      <c r="I633" t="str">
        <f>_xlfn.IFNA(INDEX('[1]Sector list'!$A$2:$A$122,MATCH(H633,'[1]Sector list'!$B$2:$B$122,0)),"")</f>
        <v/>
      </c>
      <c r="J633" s="172"/>
    </row>
    <row r="634" spans="9:10" x14ac:dyDescent="0.3">
      <c r="I634" t="str">
        <f>_xlfn.IFNA(INDEX('[1]Sector list'!$A$2:$A$122,MATCH(H634,'[1]Sector list'!$B$2:$B$122,0)),"")</f>
        <v/>
      </c>
      <c r="J634" s="172"/>
    </row>
    <row r="635" spans="9:10" x14ac:dyDescent="0.3">
      <c r="I635" t="str">
        <f>_xlfn.IFNA(INDEX('[1]Sector list'!$A$2:$A$122,MATCH(H635,'[1]Sector list'!$B$2:$B$122,0)),"")</f>
        <v/>
      </c>
      <c r="J635" s="172"/>
    </row>
    <row r="636" spans="9:10" x14ac:dyDescent="0.3">
      <c r="I636" t="str">
        <f>_xlfn.IFNA(INDEX('[1]Sector list'!$A$2:$A$122,MATCH(H636,'[1]Sector list'!$B$2:$B$122,0)),"")</f>
        <v/>
      </c>
      <c r="J636" s="172"/>
    </row>
    <row r="637" spans="9:10" x14ac:dyDescent="0.3">
      <c r="I637" t="str">
        <f>_xlfn.IFNA(INDEX('[1]Sector list'!$A$2:$A$122,MATCH(H637,'[1]Sector list'!$B$2:$B$122,0)),"")</f>
        <v/>
      </c>
      <c r="J637" s="172"/>
    </row>
    <row r="638" spans="9:10" x14ac:dyDescent="0.3">
      <c r="I638" t="str">
        <f>_xlfn.IFNA(INDEX('[1]Sector list'!$A$2:$A$122,MATCH(H638,'[1]Sector list'!$B$2:$B$122,0)),"")</f>
        <v/>
      </c>
      <c r="J638" s="172"/>
    </row>
    <row r="639" spans="9:10" x14ac:dyDescent="0.3">
      <c r="I639" t="str">
        <f>_xlfn.IFNA(INDEX('[1]Sector list'!$A$2:$A$122,MATCH(H639,'[1]Sector list'!$B$2:$B$122,0)),"")</f>
        <v/>
      </c>
      <c r="J639" s="172"/>
    </row>
    <row r="640" spans="9:10" x14ac:dyDescent="0.3">
      <c r="I640" t="str">
        <f>_xlfn.IFNA(INDEX('[1]Sector list'!$A$2:$A$122,MATCH(H640,'[1]Sector list'!$B$2:$B$122,0)),"")</f>
        <v/>
      </c>
      <c r="J640" s="172"/>
    </row>
    <row r="641" spans="9:10" x14ac:dyDescent="0.3">
      <c r="I641" t="str">
        <f>_xlfn.IFNA(INDEX('[1]Sector list'!$A$2:$A$122,MATCH(H641,'[1]Sector list'!$B$2:$B$122,0)),"")</f>
        <v/>
      </c>
      <c r="J641" s="172"/>
    </row>
    <row r="642" spans="9:10" x14ac:dyDescent="0.3">
      <c r="I642" t="str">
        <f>_xlfn.IFNA(INDEX('[1]Sector list'!$A$2:$A$122,MATCH(H642,'[1]Sector list'!$B$2:$B$122,0)),"")</f>
        <v/>
      </c>
      <c r="J642" s="172"/>
    </row>
    <row r="643" spans="9:10" x14ac:dyDescent="0.3">
      <c r="I643" t="str">
        <f>_xlfn.IFNA(INDEX('[1]Sector list'!$A$2:$A$122,MATCH(H643,'[1]Sector list'!$B$2:$B$122,0)),"")</f>
        <v/>
      </c>
      <c r="J643" s="172"/>
    </row>
    <row r="644" spans="9:10" x14ac:dyDescent="0.3">
      <c r="I644" t="str">
        <f>_xlfn.IFNA(INDEX('[1]Sector list'!$A$2:$A$122,MATCH(H644,'[1]Sector list'!$B$2:$B$122,0)),"")</f>
        <v/>
      </c>
      <c r="J644" s="172"/>
    </row>
    <row r="645" spans="9:10" x14ac:dyDescent="0.3">
      <c r="I645" t="str">
        <f>_xlfn.IFNA(INDEX('[1]Sector list'!$A$2:$A$122,MATCH(H645,'[1]Sector list'!$B$2:$B$122,0)),"")</f>
        <v/>
      </c>
      <c r="J645" s="172"/>
    </row>
    <row r="646" spans="9:10" x14ac:dyDescent="0.3">
      <c r="I646" t="str">
        <f>_xlfn.IFNA(INDEX('[1]Sector list'!$A$2:$A$122,MATCH(H646,'[1]Sector list'!$B$2:$B$122,0)),"")</f>
        <v/>
      </c>
      <c r="J646" s="172"/>
    </row>
    <row r="647" spans="9:10" x14ac:dyDescent="0.3">
      <c r="I647" t="str">
        <f>_xlfn.IFNA(INDEX('[1]Sector list'!$A$2:$A$122,MATCH(H647,'[1]Sector list'!$B$2:$B$122,0)),"")</f>
        <v/>
      </c>
      <c r="J647" s="172"/>
    </row>
    <row r="648" spans="9:10" x14ac:dyDescent="0.3">
      <c r="I648" t="str">
        <f>_xlfn.IFNA(INDEX('[1]Sector list'!$A$2:$A$122,MATCH(H648,'[1]Sector list'!$B$2:$B$122,0)),"")</f>
        <v/>
      </c>
      <c r="J648" s="172"/>
    </row>
    <row r="649" spans="9:10" x14ac:dyDescent="0.3">
      <c r="I649" t="str">
        <f>_xlfn.IFNA(INDEX('[1]Sector list'!$A$2:$A$122,MATCH(H649,'[1]Sector list'!$B$2:$B$122,0)),"")</f>
        <v/>
      </c>
      <c r="J649" s="172"/>
    </row>
    <row r="650" spans="9:10" x14ac:dyDescent="0.3">
      <c r="I650" t="str">
        <f>_xlfn.IFNA(INDEX('[1]Sector list'!$A$2:$A$122,MATCH(H650,'[1]Sector list'!$B$2:$B$122,0)),"")</f>
        <v/>
      </c>
      <c r="J650" s="172"/>
    </row>
    <row r="651" spans="9:10" x14ac:dyDescent="0.3">
      <c r="I651" t="str">
        <f>_xlfn.IFNA(INDEX('[1]Sector list'!$A$2:$A$122,MATCH(H651,'[1]Sector list'!$B$2:$B$122,0)),"")</f>
        <v/>
      </c>
      <c r="J651" s="172"/>
    </row>
    <row r="652" spans="9:10" x14ac:dyDescent="0.3">
      <c r="I652" t="str">
        <f>_xlfn.IFNA(INDEX('[1]Sector list'!$A$2:$A$122,MATCH(H652,'[1]Sector list'!$B$2:$B$122,0)),"")</f>
        <v/>
      </c>
      <c r="J652" s="172"/>
    </row>
    <row r="653" spans="9:10" x14ac:dyDescent="0.3">
      <c r="I653" t="str">
        <f>_xlfn.IFNA(INDEX('[1]Sector list'!$A$2:$A$122,MATCH(H653,'[1]Sector list'!$B$2:$B$122,0)),"")</f>
        <v/>
      </c>
      <c r="J653" s="172"/>
    </row>
    <row r="654" spans="9:10" x14ac:dyDescent="0.3">
      <c r="I654" t="str">
        <f>_xlfn.IFNA(INDEX('[1]Sector list'!$A$2:$A$122,MATCH(H654,'[1]Sector list'!$B$2:$B$122,0)),"")</f>
        <v/>
      </c>
      <c r="J654" s="172"/>
    </row>
    <row r="655" spans="9:10" x14ac:dyDescent="0.3">
      <c r="I655" t="str">
        <f>_xlfn.IFNA(INDEX('[1]Sector list'!$A$2:$A$122,MATCH(H655,'[1]Sector list'!$B$2:$B$122,0)),"")</f>
        <v/>
      </c>
      <c r="J655" s="172"/>
    </row>
    <row r="656" spans="9:10" x14ac:dyDescent="0.3">
      <c r="I656" t="str">
        <f>_xlfn.IFNA(INDEX('[1]Sector list'!$A$2:$A$122,MATCH(H656,'[1]Sector list'!$B$2:$B$122,0)),"")</f>
        <v/>
      </c>
      <c r="J656" s="172"/>
    </row>
    <row r="657" spans="9:10" x14ac:dyDescent="0.3">
      <c r="I657" t="str">
        <f>_xlfn.IFNA(INDEX('[1]Sector list'!$A$2:$A$122,MATCH(H657,'[1]Sector list'!$B$2:$B$122,0)),"")</f>
        <v/>
      </c>
      <c r="J657" s="172"/>
    </row>
    <row r="658" spans="9:10" x14ac:dyDescent="0.3">
      <c r="I658" t="str">
        <f>_xlfn.IFNA(INDEX('[1]Sector list'!$A$2:$A$122,MATCH(H658,'[1]Sector list'!$B$2:$B$122,0)),"")</f>
        <v/>
      </c>
      <c r="J658" s="172"/>
    </row>
    <row r="659" spans="9:10" x14ac:dyDescent="0.3">
      <c r="I659" t="str">
        <f>_xlfn.IFNA(INDEX('[1]Sector list'!$A$2:$A$122,MATCH(H659,'[1]Sector list'!$B$2:$B$122,0)),"")</f>
        <v/>
      </c>
      <c r="J659" s="172"/>
    </row>
    <row r="660" spans="9:10" x14ac:dyDescent="0.3">
      <c r="I660" t="str">
        <f>_xlfn.IFNA(INDEX('[1]Sector list'!$A$2:$A$122,MATCH(H660,'[1]Sector list'!$B$2:$B$122,0)),"")</f>
        <v/>
      </c>
      <c r="J660" s="172"/>
    </row>
    <row r="661" spans="9:10" x14ac:dyDescent="0.3">
      <c r="I661" t="str">
        <f>_xlfn.IFNA(INDEX('[1]Sector list'!$A$2:$A$122,MATCH(H661,'[1]Sector list'!$B$2:$B$122,0)),"")</f>
        <v/>
      </c>
      <c r="J661" s="172"/>
    </row>
    <row r="662" spans="9:10" x14ac:dyDescent="0.3">
      <c r="I662" t="str">
        <f>_xlfn.IFNA(INDEX('[1]Sector list'!$A$2:$A$122,MATCH(H662,'[1]Sector list'!$B$2:$B$122,0)),"")</f>
        <v/>
      </c>
      <c r="J662" s="172"/>
    </row>
    <row r="663" spans="9:10" x14ac:dyDescent="0.3">
      <c r="I663" t="str">
        <f>_xlfn.IFNA(INDEX('[1]Sector list'!$A$2:$A$122,MATCH(H663,'[1]Sector list'!$B$2:$B$122,0)),"")</f>
        <v/>
      </c>
      <c r="J663" s="172"/>
    </row>
    <row r="664" spans="9:10" x14ac:dyDescent="0.3">
      <c r="I664" t="str">
        <f>_xlfn.IFNA(INDEX('[1]Sector list'!$A$2:$A$122,MATCH(H664,'[1]Sector list'!$B$2:$B$122,0)),"")</f>
        <v/>
      </c>
      <c r="J664" s="172"/>
    </row>
    <row r="665" spans="9:10" x14ac:dyDescent="0.3">
      <c r="I665" t="str">
        <f>_xlfn.IFNA(INDEX('[1]Sector list'!$A$2:$A$122,MATCH(H665,'[1]Sector list'!$B$2:$B$122,0)),"")</f>
        <v/>
      </c>
      <c r="J665" s="172"/>
    </row>
    <row r="666" spans="9:10" x14ac:dyDescent="0.3">
      <c r="I666" t="str">
        <f>_xlfn.IFNA(INDEX('[1]Sector list'!$A$2:$A$122,MATCH(H666,'[1]Sector list'!$B$2:$B$122,0)),"")</f>
        <v/>
      </c>
      <c r="J666" s="172"/>
    </row>
    <row r="667" spans="9:10" x14ac:dyDescent="0.3">
      <c r="I667" t="str">
        <f>_xlfn.IFNA(INDEX('[1]Sector list'!$A$2:$A$122,MATCH(H667,'[1]Sector list'!$B$2:$B$122,0)),"")</f>
        <v/>
      </c>
      <c r="J667" s="172"/>
    </row>
    <row r="668" spans="9:10" x14ac:dyDescent="0.3">
      <c r="I668" t="str">
        <f>_xlfn.IFNA(INDEX('[1]Sector list'!$A$2:$A$122,MATCH(H668,'[1]Sector list'!$B$2:$B$122,0)),"")</f>
        <v/>
      </c>
      <c r="J668" s="172"/>
    </row>
    <row r="669" spans="9:10" x14ac:dyDescent="0.3">
      <c r="I669" t="str">
        <f>_xlfn.IFNA(INDEX('[1]Sector list'!$A$2:$A$122,MATCH(H669,'[1]Sector list'!$B$2:$B$122,0)),"")</f>
        <v/>
      </c>
      <c r="J669" s="172"/>
    </row>
    <row r="670" spans="9:10" x14ac:dyDescent="0.3">
      <c r="I670" t="str">
        <f>_xlfn.IFNA(INDEX('[1]Sector list'!$A$2:$A$122,MATCH(H670,'[1]Sector list'!$B$2:$B$122,0)),"")</f>
        <v/>
      </c>
      <c r="J670" s="172"/>
    </row>
    <row r="671" spans="9:10" x14ac:dyDescent="0.3">
      <c r="I671" t="str">
        <f>_xlfn.IFNA(INDEX('[1]Sector list'!$A$2:$A$122,MATCH(H671,'[1]Sector list'!$B$2:$B$122,0)),"")</f>
        <v/>
      </c>
      <c r="J671" s="172"/>
    </row>
    <row r="672" spans="9:10" x14ac:dyDescent="0.3">
      <c r="I672" t="str">
        <f>_xlfn.IFNA(INDEX('[1]Sector list'!$A$2:$A$122,MATCH(H672,'[1]Sector list'!$B$2:$B$122,0)),"")</f>
        <v/>
      </c>
      <c r="J672" s="172"/>
    </row>
    <row r="673" spans="9:10" x14ac:dyDescent="0.3">
      <c r="I673" t="str">
        <f>_xlfn.IFNA(INDEX('[1]Sector list'!$A$2:$A$122,MATCH(H673,'[1]Sector list'!$B$2:$B$122,0)),"")</f>
        <v/>
      </c>
      <c r="J673" s="172"/>
    </row>
    <row r="674" spans="9:10" x14ac:dyDescent="0.3">
      <c r="I674" t="str">
        <f>_xlfn.IFNA(INDEX('[1]Sector list'!$A$2:$A$122,MATCH(H674,'[1]Sector list'!$B$2:$B$122,0)),"")</f>
        <v/>
      </c>
      <c r="J674" s="172"/>
    </row>
    <row r="675" spans="9:10" x14ac:dyDescent="0.3">
      <c r="I675" t="str">
        <f>_xlfn.IFNA(INDEX('[1]Sector list'!$A$2:$A$122,MATCH(H675,'[1]Sector list'!$B$2:$B$122,0)),"")</f>
        <v/>
      </c>
      <c r="J675" s="172"/>
    </row>
    <row r="676" spans="9:10" x14ac:dyDescent="0.3">
      <c r="I676" t="str">
        <f>_xlfn.IFNA(INDEX('[1]Sector list'!$A$2:$A$122,MATCH(H676,'[1]Sector list'!$B$2:$B$122,0)),"")</f>
        <v/>
      </c>
      <c r="J676" s="172"/>
    </row>
    <row r="677" spans="9:10" x14ac:dyDescent="0.3">
      <c r="I677" t="str">
        <f>_xlfn.IFNA(INDEX('[1]Sector list'!$A$2:$A$122,MATCH(H677,'[1]Sector list'!$B$2:$B$122,0)),"")</f>
        <v/>
      </c>
      <c r="J677" s="172"/>
    </row>
    <row r="678" spans="9:10" x14ac:dyDescent="0.3">
      <c r="I678" t="str">
        <f>_xlfn.IFNA(INDEX('[1]Sector list'!$A$2:$A$122,MATCH(H678,'[1]Sector list'!$B$2:$B$122,0)),"")</f>
        <v/>
      </c>
      <c r="J678" s="172"/>
    </row>
    <row r="679" spans="9:10" x14ac:dyDescent="0.3">
      <c r="I679" t="str">
        <f>_xlfn.IFNA(INDEX('[1]Sector list'!$A$2:$A$122,MATCH(H679,'[1]Sector list'!$B$2:$B$122,0)),"")</f>
        <v/>
      </c>
      <c r="J679" s="172"/>
    </row>
    <row r="680" spans="9:10" x14ac:dyDescent="0.3">
      <c r="I680" t="str">
        <f>_xlfn.IFNA(INDEX('[1]Sector list'!$A$2:$A$122,MATCH(H680,'[1]Sector list'!$B$2:$B$122,0)),"")</f>
        <v/>
      </c>
      <c r="J680" s="172"/>
    </row>
    <row r="681" spans="9:10" x14ac:dyDescent="0.3">
      <c r="I681" t="str">
        <f>_xlfn.IFNA(INDEX('[1]Sector list'!$A$2:$A$122,MATCH(H681,'[1]Sector list'!$B$2:$B$122,0)),"")</f>
        <v/>
      </c>
      <c r="J681" s="172"/>
    </row>
    <row r="682" spans="9:10" x14ac:dyDescent="0.3">
      <c r="I682" t="str">
        <f>_xlfn.IFNA(INDEX('[1]Sector list'!$A$2:$A$122,MATCH(H682,'[1]Sector list'!$B$2:$B$122,0)),"")</f>
        <v/>
      </c>
      <c r="J682" s="172"/>
    </row>
    <row r="683" spans="9:10" x14ac:dyDescent="0.3">
      <c r="I683" t="str">
        <f>_xlfn.IFNA(INDEX('[1]Sector list'!$A$2:$A$122,MATCH(H683,'[1]Sector list'!$B$2:$B$122,0)),"")</f>
        <v/>
      </c>
      <c r="J683" s="172"/>
    </row>
    <row r="684" spans="9:10" x14ac:dyDescent="0.3">
      <c r="I684" t="str">
        <f>_xlfn.IFNA(INDEX('[1]Sector list'!$A$2:$A$122,MATCH(H684,'[1]Sector list'!$B$2:$B$122,0)),"")</f>
        <v/>
      </c>
      <c r="J684" s="172"/>
    </row>
    <row r="685" spans="9:10" x14ac:dyDescent="0.3">
      <c r="I685" t="str">
        <f>_xlfn.IFNA(INDEX('[1]Sector list'!$A$2:$A$122,MATCH(H685,'[1]Sector list'!$B$2:$B$122,0)),"")</f>
        <v/>
      </c>
      <c r="J685" s="172"/>
    </row>
    <row r="686" spans="9:10" x14ac:dyDescent="0.3">
      <c r="I686" t="str">
        <f>_xlfn.IFNA(INDEX('[1]Sector list'!$A$2:$A$122,MATCH(H686,'[1]Sector list'!$B$2:$B$122,0)),"")</f>
        <v/>
      </c>
      <c r="J686" s="172"/>
    </row>
    <row r="687" spans="9:10" x14ac:dyDescent="0.3">
      <c r="I687" t="str">
        <f>_xlfn.IFNA(INDEX('[1]Sector list'!$A$2:$A$122,MATCH(H687,'[1]Sector list'!$B$2:$B$122,0)),"")</f>
        <v/>
      </c>
      <c r="J687" s="172"/>
    </row>
    <row r="688" spans="9:10" x14ac:dyDescent="0.3">
      <c r="I688" t="str">
        <f>_xlfn.IFNA(INDEX('[1]Sector list'!$A$2:$A$122,MATCH(H688,'[1]Sector list'!$B$2:$B$122,0)),"")</f>
        <v/>
      </c>
      <c r="J688" s="172"/>
    </row>
    <row r="689" spans="9:10" x14ac:dyDescent="0.3">
      <c r="I689" t="str">
        <f>_xlfn.IFNA(INDEX('[1]Sector list'!$A$2:$A$122,MATCH(H689,'[1]Sector list'!$B$2:$B$122,0)),"")</f>
        <v/>
      </c>
      <c r="J689" s="172"/>
    </row>
    <row r="690" spans="9:10" x14ac:dyDescent="0.3">
      <c r="I690" t="str">
        <f>_xlfn.IFNA(INDEX('[1]Sector list'!$A$2:$A$122,MATCH(H690,'[1]Sector list'!$B$2:$B$122,0)),"")</f>
        <v/>
      </c>
      <c r="J690" s="172"/>
    </row>
    <row r="691" spans="9:10" x14ac:dyDescent="0.3">
      <c r="I691" t="str">
        <f>_xlfn.IFNA(INDEX('[1]Sector list'!$A$2:$A$122,MATCH(H691,'[1]Sector list'!$B$2:$B$122,0)),"")</f>
        <v/>
      </c>
      <c r="J691" s="172"/>
    </row>
    <row r="692" spans="9:10" x14ac:dyDescent="0.3">
      <c r="I692" t="str">
        <f>_xlfn.IFNA(INDEX('[1]Sector list'!$A$2:$A$122,MATCH(H692,'[1]Sector list'!$B$2:$B$122,0)),"")</f>
        <v/>
      </c>
      <c r="J692" s="172"/>
    </row>
    <row r="693" spans="9:10" x14ac:dyDescent="0.3">
      <c r="I693" t="str">
        <f>_xlfn.IFNA(INDEX('[1]Sector list'!$A$2:$A$122,MATCH(H693,'[1]Sector list'!$B$2:$B$122,0)),"")</f>
        <v/>
      </c>
      <c r="J693" s="172"/>
    </row>
    <row r="694" spans="9:10" x14ac:dyDescent="0.3">
      <c r="I694" t="str">
        <f>_xlfn.IFNA(INDEX('[1]Sector list'!$A$2:$A$122,MATCH(H694,'[1]Sector list'!$B$2:$B$122,0)),"")</f>
        <v/>
      </c>
      <c r="J694" s="172"/>
    </row>
    <row r="695" spans="9:10" x14ac:dyDescent="0.3">
      <c r="I695" t="str">
        <f>_xlfn.IFNA(INDEX('[1]Sector list'!$A$2:$A$122,MATCH(H695,'[1]Sector list'!$B$2:$B$122,0)),"")</f>
        <v/>
      </c>
      <c r="J695" s="172"/>
    </row>
    <row r="696" spans="9:10" x14ac:dyDescent="0.3">
      <c r="I696" t="str">
        <f>_xlfn.IFNA(INDEX('[1]Sector list'!$A$2:$A$122,MATCH(H696,'[1]Sector list'!$B$2:$B$122,0)),"")</f>
        <v/>
      </c>
      <c r="J696" s="172"/>
    </row>
    <row r="697" spans="9:10" x14ac:dyDescent="0.3">
      <c r="I697" t="str">
        <f>_xlfn.IFNA(INDEX('[1]Sector list'!$A$2:$A$122,MATCH(H697,'[1]Sector list'!$B$2:$B$122,0)),"")</f>
        <v/>
      </c>
      <c r="J697" s="172"/>
    </row>
    <row r="698" spans="9:10" x14ac:dyDescent="0.3">
      <c r="I698" t="str">
        <f>_xlfn.IFNA(INDEX('[1]Sector list'!$A$2:$A$122,MATCH(H698,'[1]Sector list'!$B$2:$B$122,0)),"")</f>
        <v/>
      </c>
      <c r="J698" s="172"/>
    </row>
    <row r="699" spans="9:10" x14ac:dyDescent="0.3">
      <c r="I699" t="str">
        <f>_xlfn.IFNA(INDEX('[1]Sector list'!$A$2:$A$122,MATCH(H699,'[1]Sector list'!$B$2:$B$122,0)),"")</f>
        <v/>
      </c>
      <c r="J699" s="172"/>
    </row>
    <row r="700" spans="9:10" x14ac:dyDescent="0.3">
      <c r="I700" t="str">
        <f>_xlfn.IFNA(INDEX('[1]Sector list'!$A$2:$A$122,MATCH(H700,'[1]Sector list'!$B$2:$B$122,0)),"")</f>
        <v/>
      </c>
      <c r="J700" s="172"/>
    </row>
    <row r="701" spans="9:10" x14ac:dyDescent="0.3">
      <c r="I701" t="str">
        <f>_xlfn.IFNA(INDEX('[1]Sector list'!$A$2:$A$122,MATCH(H701,'[1]Sector list'!$B$2:$B$122,0)),"")</f>
        <v/>
      </c>
      <c r="J701" s="172"/>
    </row>
    <row r="702" spans="9:10" x14ac:dyDescent="0.3">
      <c r="I702" t="str">
        <f>_xlfn.IFNA(INDEX('[1]Sector list'!$A$2:$A$122,MATCH(H702,'[1]Sector list'!$B$2:$B$122,0)),"")</f>
        <v/>
      </c>
      <c r="J702" s="172"/>
    </row>
    <row r="703" spans="9:10" x14ac:dyDescent="0.3">
      <c r="I703" t="str">
        <f>_xlfn.IFNA(INDEX('[1]Sector list'!$A$2:$A$122,MATCH(H703,'[1]Sector list'!$B$2:$B$122,0)),"")</f>
        <v/>
      </c>
      <c r="J703" s="172"/>
    </row>
    <row r="704" spans="9:10" x14ac:dyDescent="0.3">
      <c r="I704" t="str">
        <f>_xlfn.IFNA(INDEX('[1]Sector list'!$A$2:$A$122,MATCH(H704,'[1]Sector list'!$B$2:$B$122,0)),"")</f>
        <v/>
      </c>
      <c r="J704" s="172"/>
    </row>
    <row r="705" spans="9:10" x14ac:dyDescent="0.3">
      <c r="I705" t="str">
        <f>_xlfn.IFNA(INDEX('[1]Sector list'!$A$2:$A$122,MATCH(H705,'[1]Sector list'!$B$2:$B$122,0)),"")</f>
        <v/>
      </c>
      <c r="J705" s="172"/>
    </row>
    <row r="706" spans="9:10" x14ac:dyDescent="0.3">
      <c r="I706" t="str">
        <f>_xlfn.IFNA(INDEX('[1]Sector list'!$A$2:$A$122,MATCH(H706,'[1]Sector list'!$B$2:$B$122,0)),"")</f>
        <v/>
      </c>
      <c r="J706" s="172"/>
    </row>
    <row r="707" spans="9:10" x14ac:dyDescent="0.3">
      <c r="I707" t="str">
        <f>_xlfn.IFNA(INDEX('[1]Sector list'!$A$2:$A$122,MATCH(H707,'[1]Sector list'!$B$2:$B$122,0)),"")</f>
        <v/>
      </c>
      <c r="J707" s="172"/>
    </row>
    <row r="708" spans="9:10" x14ac:dyDescent="0.3">
      <c r="I708" t="str">
        <f>_xlfn.IFNA(INDEX('[1]Sector list'!$A$2:$A$122,MATCH(H708,'[1]Sector list'!$B$2:$B$122,0)),"")</f>
        <v/>
      </c>
      <c r="J708" s="172"/>
    </row>
    <row r="709" spans="9:10" x14ac:dyDescent="0.3">
      <c r="I709" t="str">
        <f>_xlfn.IFNA(INDEX('[1]Sector list'!$A$2:$A$122,MATCH(H709,'[1]Sector list'!$B$2:$B$122,0)),"")</f>
        <v/>
      </c>
      <c r="J709" s="172"/>
    </row>
    <row r="710" spans="9:10" x14ac:dyDescent="0.3">
      <c r="I710" t="str">
        <f>_xlfn.IFNA(INDEX('[1]Sector list'!$A$2:$A$122,MATCH(H710,'[1]Sector list'!$B$2:$B$122,0)),"")</f>
        <v/>
      </c>
      <c r="J710" s="172"/>
    </row>
    <row r="711" spans="9:10" x14ac:dyDescent="0.3">
      <c r="I711" t="str">
        <f>_xlfn.IFNA(INDEX('[1]Sector list'!$A$2:$A$122,MATCH(H711,'[1]Sector list'!$B$2:$B$122,0)),"")</f>
        <v/>
      </c>
      <c r="J711" s="172"/>
    </row>
    <row r="712" spans="9:10" x14ac:dyDescent="0.3">
      <c r="I712" t="str">
        <f>_xlfn.IFNA(INDEX('[1]Sector list'!$A$2:$A$122,MATCH(H712,'[1]Sector list'!$B$2:$B$122,0)),"")</f>
        <v/>
      </c>
      <c r="J712" s="172"/>
    </row>
    <row r="713" spans="9:10" x14ac:dyDescent="0.3">
      <c r="I713" t="str">
        <f>_xlfn.IFNA(INDEX('[1]Sector list'!$A$2:$A$122,MATCH(H713,'[1]Sector list'!$B$2:$B$122,0)),"")</f>
        <v/>
      </c>
      <c r="J713" s="172"/>
    </row>
    <row r="714" spans="9:10" x14ac:dyDescent="0.3">
      <c r="I714" t="str">
        <f>_xlfn.IFNA(INDEX('[1]Sector list'!$A$2:$A$122,MATCH(H714,'[1]Sector list'!$B$2:$B$122,0)),"")</f>
        <v/>
      </c>
      <c r="J714" s="172"/>
    </row>
    <row r="715" spans="9:10" x14ac:dyDescent="0.3">
      <c r="I715" t="str">
        <f>_xlfn.IFNA(INDEX('[1]Sector list'!$A$2:$A$122,MATCH(H715,'[1]Sector list'!$B$2:$B$122,0)),"")</f>
        <v/>
      </c>
      <c r="J715" s="172"/>
    </row>
    <row r="716" spans="9:10" x14ac:dyDescent="0.3">
      <c r="I716" t="str">
        <f>_xlfn.IFNA(INDEX('[1]Sector list'!$A$2:$A$122,MATCH(H716,'[1]Sector list'!$B$2:$B$122,0)),"")</f>
        <v/>
      </c>
      <c r="J716" s="172"/>
    </row>
    <row r="717" spans="9:10" x14ac:dyDescent="0.3">
      <c r="I717" t="str">
        <f>_xlfn.IFNA(INDEX('[1]Sector list'!$A$2:$A$122,MATCH(H717,'[1]Sector list'!$B$2:$B$122,0)),"")</f>
        <v/>
      </c>
      <c r="J717" s="172"/>
    </row>
    <row r="718" spans="9:10" x14ac:dyDescent="0.3">
      <c r="I718" t="str">
        <f>_xlfn.IFNA(INDEX('[1]Sector list'!$A$2:$A$122,MATCH(H718,'[1]Sector list'!$B$2:$B$122,0)),"")</f>
        <v/>
      </c>
      <c r="J718" s="172"/>
    </row>
    <row r="719" spans="9:10" x14ac:dyDescent="0.3">
      <c r="I719" t="str">
        <f>_xlfn.IFNA(INDEX('[1]Sector list'!$A$2:$A$122,MATCH(H719,'[1]Sector list'!$B$2:$B$122,0)),"")</f>
        <v/>
      </c>
      <c r="J719" s="172"/>
    </row>
    <row r="720" spans="9:10" x14ac:dyDescent="0.3">
      <c r="I720" t="str">
        <f>_xlfn.IFNA(INDEX('[1]Sector list'!$A$2:$A$122,MATCH(H720,'[1]Sector list'!$B$2:$B$122,0)),"")</f>
        <v/>
      </c>
      <c r="J720" s="172"/>
    </row>
    <row r="721" spans="9:10" x14ac:dyDescent="0.3">
      <c r="I721" t="str">
        <f>_xlfn.IFNA(INDEX('[1]Sector list'!$A$2:$A$122,MATCH(H721,'[1]Sector list'!$B$2:$B$122,0)),"")</f>
        <v/>
      </c>
      <c r="J721" s="172"/>
    </row>
    <row r="722" spans="9:10" x14ac:dyDescent="0.3">
      <c r="I722" t="str">
        <f>_xlfn.IFNA(INDEX('[1]Sector list'!$A$2:$A$122,MATCH(H722,'[1]Sector list'!$B$2:$B$122,0)),"")</f>
        <v/>
      </c>
      <c r="J722" s="172"/>
    </row>
    <row r="723" spans="9:10" x14ac:dyDescent="0.3">
      <c r="I723" t="str">
        <f>_xlfn.IFNA(INDEX('[1]Sector list'!$A$2:$A$122,MATCH(H723,'[1]Sector list'!$B$2:$B$122,0)),"")</f>
        <v/>
      </c>
      <c r="J723" s="172"/>
    </row>
    <row r="724" spans="9:10" x14ac:dyDescent="0.3">
      <c r="I724" t="str">
        <f>_xlfn.IFNA(INDEX('[1]Sector list'!$A$2:$A$122,MATCH(H724,'[1]Sector list'!$B$2:$B$122,0)),"")</f>
        <v/>
      </c>
      <c r="J724" s="172"/>
    </row>
    <row r="725" spans="9:10" x14ac:dyDescent="0.3">
      <c r="I725" t="str">
        <f>_xlfn.IFNA(INDEX('[1]Sector list'!$A$2:$A$122,MATCH(H725,'[1]Sector list'!$B$2:$B$122,0)),"")</f>
        <v/>
      </c>
      <c r="J725" s="172"/>
    </row>
    <row r="726" spans="9:10" x14ac:dyDescent="0.3">
      <c r="I726" t="str">
        <f>_xlfn.IFNA(INDEX('[1]Sector list'!$A$2:$A$122,MATCH(H726,'[1]Sector list'!$B$2:$B$122,0)),"")</f>
        <v/>
      </c>
      <c r="J726" s="172"/>
    </row>
    <row r="727" spans="9:10" x14ac:dyDescent="0.3">
      <c r="I727" t="str">
        <f>_xlfn.IFNA(INDEX('[1]Sector list'!$A$2:$A$122,MATCH(H727,'[1]Sector list'!$B$2:$B$122,0)),"")</f>
        <v/>
      </c>
      <c r="J727" s="172"/>
    </row>
    <row r="728" spans="9:10" x14ac:dyDescent="0.3">
      <c r="I728" t="str">
        <f>_xlfn.IFNA(INDEX('[1]Sector list'!$A$2:$A$122,MATCH(H728,'[1]Sector list'!$B$2:$B$122,0)),"")</f>
        <v/>
      </c>
      <c r="J728" s="172"/>
    </row>
    <row r="729" spans="9:10" x14ac:dyDescent="0.3">
      <c r="I729" t="str">
        <f>_xlfn.IFNA(INDEX('[1]Sector list'!$A$2:$A$122,MATCH(H729,'[1]Sector list'!$B$2:$B$122,0)),"")</f>
        <v/>
      </c>
      <c r="J729" s="172"/>
    </row>
    <row r="730" spans="9:10" x14ac:dyDescent="0.3">
      <c r="I730" t="str">
        <f>_xlfn.IFNA(INDEX('[1]Sector list'!$A$2:$A$122,MATCH(H730,'[1]Sector list'!$B$2:$B$122,0)),"")</f>
        <v/>
      </c>
      <c r="J730" s="172"/>
    </row>
    <row r="731" spans="9:10" x14ac:dyDescent="0.3">
      <c r="I731" t="str">
        <f>_xlfn.IFNA(INDEX('[1]Sector list'!$A$2:$A$122,MATCH(H731,'[1]Sector list'!$B$2:$B$122,0)),"")</f>
        <v/>
      </c>
      <c r="J731" s="172"/>
    </row>
    <row r="732" spans="9:10" x14ac:dyDescent="0.3">
      <c r="I732" t="str">
        <f>_xlfn.IFNA(INDEX('[1]Sector list'!$A$2:$A$122,MATCH(H732,'[1]Sector list'!$B$2:$B$122,0)),"")</f>
        <v/>
      </c>
      <c r="J732" s="172"/>
    </row>
    <row r="733" spans="9:10" x14ac:dyDescent="0.3">
      <c r="I733" t="str">
        <f>_xlfn.IFNA(INDEX('[1]Sector list'!$A$2:$A$122,MATCH(H733,'[1]Sector list'!$B$2:$B$122,0)),"")</f>
        <v/>
      </c>
      <c r="J733" s="172"/>
    </row>
    <row r="734" spans="9:10" x14ac:dyDescent="0.3">
      <c r="I734" t="str">
        <f>_xlfn.IFNA(INDEX('[1]Sector list'!$A$2:$A$122,MATCH(H734,'[1]Sector list'!$B$2:$B$122,0)),"")</f>
        <v/>
      </c>
      <c r="J734" s="172"/>
    </row>
    <row r="735" spans="9:10" x14ac:dyDescent="0.3">
      <c r="I735" t="str">
        <f>_xlfn.IFNA(INDEX('[1]Sector list'!$A$2:$A$122,MATCH(H735,'[1]Sector list'!$B$2:$B$122,0)),"")</f>
        <v/>
      </c>
      <c r="J735" s="172"/>
    </row>
    <row r="736" spans="9:10" x14ac:dyDescent="0.3">
      <c r="I736" t="str">
        <f>_xlfn.IFNA(INDEX('[1]Sector list'!$A$2:$A$122,MATCH(H736,'[1]Sector list'!$B$2:$B$122,0)),"")</f>
        <v/>
      </c>
      <c r="J736" s="172"/>
    </row>
    <row r="737" spans="9:10" x14ac:dyDescent="0.3">
      <c r="I737" t="str">
        <f>_xlfn.IFNA(INDEX('[1]Sector list'!$A$2:$A$122,MATCH(H737,'[1]Sector list'!$B$2:$B$122,0)),"")</f>
        <v/>
      </c>
      <c r="J737" s="172"/>
    </row>
    <row r="738" spans="9:10" x14ac:dyDescent="0.3">
      <c r="I738" t="str">
        <f>_xlfn.IFNA(INDEX('[1]Sector list'!$A$2:$A$122,MATCH(H738,'[1]Sector list'!$B$2:$B$122,0)),"")</f>
        <v/>
      </c>
      <c r="J738" s="172"/>
    </row>
    <row r="739" spans="9:10" x14ac:dyDescent="0.3">
      <c r="I739" t="str">
        <f>_xlfn.IFNA(INDEX('[1]Sector list'!$A$2:$A$122,MATCH(H739,'[1]Sector list'!$B$2:$B$122,0)),"")</f>
        <v/>
      </c>
      <c r="J739" s="172"/>
    </row>
    <row r="740" spans="9:10" x14ac:dyDescent="0.3">
      <c r="I740" t="str">
        <f>_xlfn.IFNA(INDEX('[1]Sector list'!$A$2:$A$122,MATCH(H740,'[1]Sector list'!$B$2:$B$122,0)),"")</f>
        <v/>
      </c>
      <c r="J740" s="172"/>
    </row>
    <row r="741" spans="9:10" x14ac:dyDescent="0.3">
      <c r="I741" t="str">
        <f>_xlfn.IFNA(INDEX('[1]Sector list'!$A$2:$A$122,MATCH(H741,'[1]Sector list'!$B$2:$B$122,0)),"")</f>
        <v/>
      </c>
      <c r="J741" s="172"/>
    </row>
    <row r="742" spans="9:10" x14ac:dyDescent="0.3">
      <c r="I742" t="str">
        <f>_xlfn.IFNA(INDEX('[1]Sector list'!$A$2:$A$122,MATCH(H742,'[1]Sector list'!$B$2:$B$122,0)),"")</f>
        <v/>
      </c>
      <c r="J742" s="172"/>
    </row>
    <row r="743" spans="9:10" x14ac:dyDescent="0.3">
      <c r="I743" t="str">
        <f>_xlfn.IFNA(INDEX('[1]Sector list'!$A$2:$A$122,MATCH(H743,'[1]Sector list'!$B$2:$B$122,0)),"")</f>
        <v/>
      </c>
      <c r="J743" s="172"/>
    </row>
    <row r="744" spans="9:10" x14ac:dyDescent="0.3">
      <c r="I744" t="str">
        <f>_xlfn.IFNA(INDEX('[1]Sector list'!$A$2:$A$122,MATCH(H744,'[1]Sector list'!$B$2:$B$122,0)),"")</f>
        <v/>
      </c>
      <c r="J744" s="172"/>
    </row>
    <row r="745" spans="9:10" x14ac:dyDescent="0.3">
      <c r="I745" t="str">
        <f>_xlfn.IFNA(INDEX('[1]Sector list'!$A$2:$A$122,MATCH(H745,'[1]Sector list'!$B$2:$B$122,0)),"")</f>
        <v/>
      </c>
      <c r="J745" s="172"/>
    </row>
    <row r="746" spans="9:10" x14ac:dyDescent="0.3">
      <c r="I746" t="str">
        <f>_xlfn.IFNA(INDEX('[1]Sector list'!$A$2:$A$122,MATCH(H746,'[1]Sector list'!$B$2:$B$122,0)),"")</f>
        <v/>
      </c>
      <c r="J746" s="172"/>
    </row>
    <row r="747" spans="9:10" x14ac:dyDescent="0.3">
      <c r="I747" t="str">
        <f>_xlfn.IFNA(INDEX('[1]Sector list'!$A$2:$A$122,MATCH(H747,'[1]Sector list'!$B$2:$B$122,0)),"")</f>
        <v/>
      </c>
      <c r="J747" s="172"/>
    </row>
    <row r="748" spans="9:10" x14ac:dyDescent="0.3">
      <c r="I748" t="str">
        <f>_xlfn.IFNA(INDEX('[1]Sector list'!$A$2:$A$122,MATCH(H748,'[1]Sector list'!$B$2:$B$122,0)),"")</f>
        <v/>
      </c>
      <c r="J748" s="172"/>
    </row>
    <row r="749" spans="9:10" x14ac:dyDescent="0.3">
      <c r="I749" t="str">
        <f>_xlfn.IFNA(INDEX('[1]Sector list'!$A$2:$A$122,MATCH(H749,'[1]Sector list'!$B$2:$B$122,0)),"")</f>
        <v/>
      </c>
      <c r="J749" s="172"/>
    </row>
    <row r="750" spans="9:10" x14ac:dyDescent="0.3">
      <c r="I750" t="str">
        <f>_xlfn.IFNA(INDEX('[1]Sector list'!$A$2:$A$122,MATCH(H750,'[1]Sector list'!$B$2:$B$122,0)),"")</f>
        <v/>
      </c>
      <c r="J750" s="172"/>
    </row>
    <row r="751" spans="9:10" x14ac:dyDescent="0.3">
      <c r="I751" t="str">
        <f>_xlfn.IFNA(INDEX('[1]Sector list'!$A$2:$A$122,MATCH(H751,'[1]Sector list'!$B$2:$B$122,0)),"")</f>
        <v/>
      </c>
      <c r="J751" s="172"/>
    </row>
    <row r="752" spans="9:10" x14ac:dyDescent="0.3">
      <c r="I752" t="str">
        <f>_xlfn.IFNA(INDEX('[1]Sector list'!$A$2:$A$122,MATCH(H752,'[1]Sector list'!$B$2:$B$122,0)),"")</f>
        <v/>
      </c>
      <c r="J752" s="172"/>
    </row>
    <row r="753" spans="9:10" x14ac:dyDescent="0.3">
      <c r="I753" t="str">
        <f>_xlfn.IFNA(INDEX('[1]Sector list'!$A$2:$A$122,MATCH(H753,'[1]Sector list'!$B$2:$B$122,0)),"")</f>
        <v/>
      </c>
      <c r="J753" s="172"/>
    </row>
    <row r="754" spans="9:10" x14ac:dyDescent="0.3">
      <c r="I754" t="str">
        <f>_xlfn.IFNA(INDEX('[1]Sector list'!$A$2:$A$122,MATCH(H754,'[1]Sector list'!$B$2:$B$122,0)),"")</f>
        <v/>
      </c>
      <c r="J754" s="172"/>
    </row>
    <row r="755" spans="9:10" x14ac:dyDescent="0.3">
      <c r="I755" t="str">
        <f>_xlfn.IFNA(INDEX('[1]Sector list'!$A$2:$A$122,MATCH(H755,'[1]Sector list'!$B$2:$B$122,0)),"")</f>
        <v/>
      </c>
      <c r="J755" s="172"/>
    </row>
    <row r="756" spans="9:10" x14ac:dyDescent="0.3">
      <c r="I756" t="str">
        <f>_xlfn.IFNA(INDEX('[1]Sector list'!$A$2:$A$122,MATCH(H756,'[1]Sector list'!$B$2:$B$122,0)),"")</f>
        <v/>
      </c>
      <c r="J756" s="172"/>
    </row>
    <row r="757" spans="9:10" x14ac:dyDescent="0.3">
      <c r="I757" t="str">
        <f>_xlfn.IFNA(INDEX('[1]Sector list'!$A$2:$A$122,MATCH(H757,'[1]Sector list'!$B$2:$B$122,0)),"")</f>
        <v/>
      </c>
      <c r="J757" s="172"/>
    </row>
    <row r="758" spans="9:10" x14ac:dyDescent="0.3">
      <c r="I758" t="str">
        <f>_xlfn.IFNA(INDEX('[1]Sector list'!$A$2:$A$122,MATCH(H758,'[1]Sector list'!$B$2:$B$122,0)),"")</f>
        <v/>
      </c>
      <c r="J758" s="172"/>
    </row>
    <row r="759" spans="9:10" x14ac:dyDescent="0.3">
      <c r="I759" t="str">
        <f>_xlfn.IFNA(INDEX('[1]Sector list'!$A$2:$A$122,MATCH(H759,'[1]Sector list'!$B$2:$B$122,0)),"")</f>
        <v/>
      </c>
      <c r="J759" s="172"/>
    </row>
    <row r="760" spans="9:10" x14ac:dyDescent="0.3">
      <c r="I760" t="str">
        <f>_xlfn.IFNA(INDEX('[1]Sector list'!$A$2:$A$122,MATCH(H760,'[1]Sector list'!$B$2:$B$122,0)),"")</f>
        <v/>
      </c>
      <c r="J760" s="172"/>
    </row>
    <row r="761" spans="9:10" x14ac:dyDescent="0.3">
      <c r="I761" t="str">
        <f>_xlfn.IFNA(INDEX('[1]Sector list'!$A$2:$A$122,MATCH(H761,'[1]Sector list'!$B$2:$B$122,0)),"")</f>
        <v/>
      </c>
      <c r="J761" s="172"/>
    </row>
    <row r="762" spans="9:10" x14ac:dyDescent="0.3">
      <c r="I762" t="str">
        <f>_xlfn.IFNA(INDEX('[1]Sector list'!$A$2:$A$122,MATCH(H762,'[1]Sector list'!$B$2:$B$122,0)),"")</f>
        <v/>
      </c>
      <c r="J762" s="172"/>
    </row>
    <row r="763" spans="9:10" x14ac:dyDescent="0.3">
      <c r="I763" t="str">
        <f>_xlfn.IFNA(INDEX('[1]Sector list'!$A$2:$A$122,MATCH(H763,'[1]Sector list'!$B$2:$B$122,0)),"")</f>
        <v/>
      </c>
      <c r="J763" s="172"/>
    </row>
    <row r="764" spans="9:10" x14ac:dyDescent="0.3">
      <c r="I764" t="str">
        <f>_xlfn.IFNA(INDEX('[1]Sector list'!$A$2:$A$122,MATCH(H764,'[1]Sector list'!$B$2:$B$122,0)),"")</f>
        <v/>
      </c>
      <c r="J764" s="172"/>
    </row>
    <row r="765" spans="9:10" x14ac:dyDescent="0.3">
      <c r="I765" t="str">
        <f>_xlfn.IFNA(INDEX('[1]Sector list'!$A$2:$A$122,MATCH(H765,'[1]Sector list'!$B$2:$B$122,0)),"")</f>
        <v/>
      </c>
      <c r="J765" s="172"/>
    </row>
    <row r="766" spans="9:10" x14ac:dyDescent="0.3">
      <c r="I766" t="str">
        <f>_xlfn.IFNA(INDEX('[1]Sector list'!$A$2:$A$122,MATCH(H766,'[1]Sector list'!$B$2:$B$122,0)),"")</f>
        <v/>
      </c>
      <c r="J766" s="172"/>
    </row>
    <row r="767" spans="9:10" x14ac:dyDescent="0.3">
      <c r="I767" t="str">
        <f>_xlfn.IFNA(INDEX('[1]Sector list'!$A$2:$A$122,MATCH(H767,'[1]Sector list'!$B$2:$B$122,0)),"")</f>
        <v/>
      </c>
      <c r="J767" s="172"/>
    </row>
    <row r="768" spans="9:10" x14ac:dyDescent="0.3">
      <c r="I768" t="str">
        <f>_xlfn.IFNA(INDEX('[1]Sector list'!$A$2:$A$122,MATCH(H768,'[1]Sector list'!$B$2:$B$122,0)),"")</f>
        <v/>
      </c>
      <c r="J768" s="172"/>
    </row>
    <row r="769" spans="9:10" x14ac:dyDescent="0.3">
      <c r="I769" t="str">
        <f>_xlfn.IFNA(INDEX('[1]Sector list'!$A$2:$A$122,MATCH(H769,'[1]Sector list'!$B$2:$B$122,0)),"")</f>
        <v/>
      </c>
      <c r="J769" s="172"/>
    </row>
    <row r="770" spans="9:10" x14ac:dyDescent="0.3">
      <c r="I770" t="str">
        <f>_xlfn.IFNA(INDEX('[1]Sector list'!$A$2:$A$122,MATCH(H770,'[1]Sector list'!$B$2:$B$122,0)),"")</f>
        <v/>
      </c>
      <c r="J770" s="172"/>
    </row>
    <row r="771" spans="9:10" x14ac:dyDescent="0.3">
      <c r="I771" t="str">
        <f>_xlfn.IFNA(INDEX('[1]Sector list'!$A$2:$A$122,MATCH(H771,'[1]Sector list'!$B$2:$B$122,0)),"")</f>
        <v/>
      </c>
      <c r="J771" s="172"/>
    </row>
    <row r="772" spans="9:10" x14ac:dyDescent="0.3">
      <c r="I772" t="str">
        <f>_xlfn.IFNA(INDEX('[1]Sector list'!$A$2:$A$122,MATCH(H772,'[1]Sector list'!$B$2:$B$122,0)),"")</f>
        <v/>
      </c>
      <c r="J772" s="172"/>
    </row>
    <row r="773" spans="9:10" x14ac:dyDescent="0.3">
      <c r="I773" t="str">
        <f>_xlfn.IFNA(INDEX('[1]Sector list'!$A$2:$A$122,MATCH(H773,'[1]Sector list'!$B$2:$B$122,0)),"")</f>
        <v/>
      </c>
      <c r="J773" s="172"/>
    </row>
    <row r="774" spans="9:10" x14ac:dyDescent="0.3">
      <c r="I774" t="str">
        <f>_xlfn.IFNA(INDEX('[1]Sector list'!$A$2:$A$122,MATCH(H774,'[1]Sector list'!$B$2:$B$122,0)),"")</f>
        <v/>
      </c>
      <c r="J774" s="172"/>
    </row>
    <row r="775" spans="9:10" x14ac:dyDescent="0.3">
      <c r="I775" t="str">
        <f>_xlfn.IFNA(INDEX('[1]Sector list'!$A$2:$A$122,MATCH(H775,'[1]Sector list'!$B$2:$B$122,0)),"")</f>
        <v/>
      </c>
      <c r="J775" s="172"/>
    </row>
    <row r="776" spans="9:10" x14ac:dyDescent="0.3">
      <c r="I776" t="str">
        <f>_xlfn.IFNA(INDEX('[1]Sector list'!$A$2:$A$122,MATCH(H776,'[1]Sector list'!$B$2:$B$122,0)),"")</f>
        <v/>
      </c>
      <c r="J776" s="172"/>
    </row>
    <row r="777" spans="9:10" x14ac:dyDescent="0.3">
      <c r="I777" t="str">
        <f>_xlfn.IFNA(INDEX('[1]Sector list'!$A$2:$A$122,MATCH(H777,'[1]Sector list'!$B$2:$B$122,0)),"")</f>
        <v/>
      </c>
      <c r="J777" s="172"/>
    </row>
    <row r="778" spans="9:10" x14ac:dyDescent="0.3">
      <c r="I778" t="str">
        <f>_xlfn.IFNA(INDEX('[1]Sector list'!$A$2:$A$122,MATCH(H778,'[1]Sector list'!$B$2:$B$122,0)),"")</f>
        <v/>
      </c>
      <c r="J778" s="172"/>
    </row>
    <row r="779" spans="9:10" x14ac:dyDescent="0.3">
      <c r="I779" t="str">
        <f>_xlfn.IFNA(INDEX('[1]Sector list'!$A$2:$A$122,MATCH(H779,'[1]Sector list'!$B$2:$B$122,0)),"")</f>
        <v/>
      </c>
      <c r="J779" s="172"/>
    </row>
    <row r="780" spans="9:10" x14ac:dyDescent="0.3">
      <c r="I780" t="str">
        <f>_xlfn.IFNA(INDEX('[1]Sector list'!$A$2:$A$122,MATCH(H780,'[1]Sector list'!$B$2:$B$122,0)),"")</f>
        <v/>
      </c>
      <c r="J780" s="172"/>
    </row>
    <row r="781" spans="9:10" x14ac:dyDescent="0.3">
      <c r="I781" t="str">
        <f>_xlfn.IFNA(INDEX('[1]Sector list'!$A$2:$A$122,MATCH(H781,'[1]Sector list'!$B$2:$B$122,0)),"")</f>
        <v/>
      </c>
      <c r="J781" s="172"/>
    </row>
    <row r="782" spans="9:10" x14ac:dyDescent="0.3">
      <c r="I782" t="str">
        <f>_xlfn.IFNA(INDEX('[1]Sector list'!$A$2:$A$122,MATCH(H782,'[1]Sector list'!$B$2:$B$122,0)),"")</f>
        <v/>
      </c>
      <c r="J782" s="172"/>
    </row>
    <row r="783" spans="9:10" x14ac:dyDescent="0.3">
      <c r="I783" t="str">
        <f>_xlfn.IFNA(INDEX('[1]Sector list'!$A$2:$A$122,MATCH(H783,'[1]Sector list'!$B$2:$B$122,0)),"")</f>
        <v/>
      </c>
      <c r="J783" s="172"/>
    </row>
    <row r="784" spans="9:10" x14ac:dyDescent="0.3">
      <c r="I784" t="str">
        <f>_xlfn.IFNA(INDEX('[1]Sector list'!$A$2:$A$122,MATCH(H784,'[1]Sector list'!$B$2:$B$122,0)),"")</f>
        <v/>
      </c>
      <c r="J784" s="172"/>
    </row>
    <row r="785" spans="9:10" x14ac:dyDescent="0.3">
      <c r="I785" t="str">
        <f>_xlfn.IFNA(INDEX('[1]Sector list'!$A$2:$A$122,MATCH(H785,'[1]Sector list'!$B$2:$B$122,0)),"")</f>
        <v/>
      </c>
      <c r="J785" s="172"/>
    </row>
    <row r="786" spans="9:10" x14ac:dyDescent="0.3">
      <c r="I786" t="str">
        <f>_xlfn.IFNA(INDEX('[1]Sector list'!$A$2:$A$122,MATCH(H786,'[1]Sector list'!$B$2:$B$122,0)),"")</f>
        <v/>
      </c>
      <c r="J786" s="172"/>
    </row>
    <row r="787" spans="9:10" x14ac:dyDescent="0.3">
      <c r="I787" t="str">
        <f>_xlfn.IFNA(INDEX('[1]Sector list'!$A$2:$A$122,MATCH(H787,'[1]Sector list'!$B$2:$B$122,0)),"")</f>
        <v/>
      </c>
      <c r="J787" s="172"/>
    </row>
    <row r="788" spans="9:10" x14ac:dyDescent="0.3">
      <c r="I788" t="str">
        <f>_xlfn.IFNA(INDEX('[1]Sector list'!$A$2:$A$122,MATCH(H788,'[1]Sector list'!$B$2:$B$122,0)),"")</f>
        <v/>
      </c>
      <c r="J788" s="172"/>
    </row>
    <row r="789" spans="9:10" x14ac:dyDescent="0.3">
      <c r="I789" t="str">
        <f>_xlfn.IFNA(INDEX('[1]Sector list'!$A$2:$A$122,MATCH(H789,'[1]Sector list'!$B$2:$B$122,0)),"")</f>
        <v/>
      </c>
      <c r="J789" s="172"/>
    </row>
    <row r="790" spans="9:10" x14ac:dyDescent="0.3">
      <c r="I790" t="str">
        <f>_xlfn.IFNA(INDEX('[1]Sector list'!$A$2:$A$122,MATCH(H790,'[1]Sector list'!$B$2:$B$122,0)),"")</f>
        <v/>
      </c>
      <c r="J790" s="172"/>
    </row>
    <row r="791" spans="9:10" x14ac:dyDescent="0.3">
      <c r="I791" t="str">
        <f>_xlfn.IFNA(INDEX('[1]Sector list'!$A$2:$A$122,MATCH(H791,'[1]Sector list'!$B$2:$B$122,0)),"")</f>
        <v/>
      </c>
      <c r="J791" s="172"/>
    </row>
    <row r="792" spans="9:10" x14ac:dyDescent="0.3">
      <c r="I792" t="str">
        <f>_xlfn.IFNA(INDEX('[1]Sector list'!$A$2:$A$122,MATCH(H792,'[1]Sector list'!$B$2:$B$122,0)),"")</f>
        <v/>
      </c>
      <c r="J792" s="172"/>
    </row>
    <row r="793" spans="9:10" x14ac:dyDescent="0.3">
      <c r="I793" t="str">
        <f>_xlfn.IFNA(INDEX('[1]Sector list'!$A$2:$A$122,MATCH(H793,'[1]Sector list'!$B$2:$B$122,0)),"")</f>
        <v/>
      </c>
      <c r="J793" s="172"/>
    </row>
    <row r="794" spans="9:10" x14ac:dyDescent="0.3">
      <c r="I794" t="str">
        <f>_xlfn.IFNA(INDEX('[1]Sector list'!$A$2:$A$122,MATCH(H794,'[1]Sector list'!$B$2:$B$122,0)),"")</f>
        <v/>
      </c>
      <c r="J794" s="172"/>
    </row>
    <row r="795" spans="9:10" x14ac:dyDescent="0.3">
      <c r="I795" t="str">
        <f>_xlfn.IFNA(INDEX('[1]Sector list'!$A$2:$A$122,MATCH(H795,'[1]Sector list'!$B$2:$B$122,0)),"")</f>
        <v/>
      </c>
      <c r="J795" s="172"/>
    </row>
    <row r="796" spans="9:10" x14ac:dyDescent="0.3">
      <c r="I796" t="str">
        <f>_xlfn.IFNA(INDEX('[1]Sector list'!$A$2:$A$122,MATCH(H796,'[1]Sector list'!$B$2:$B$122,0)),"")</f>
        <v/>
      </c>
      <c r="J796" s="172"/>
    </row>
    <row r="797" spans="9:10" x14ac:dyDescent="0.3">
      <c r="I797" t="str">
        <f>_xlfn.IFNA(INDEX('[1]Sector list'!$A$2:$A$122,MATCH(H797,'[1]Sector list'!$B$2:$B$122,0)),"")</f>
        <v/>
      </c>
      <c r="J797" s="172"/>
    </row>
    <row r="798" spans="9:10" x14ac:dyDescent="0.3">
      <c r="I798" t="str">
        <f>_xlfn.IFNA(INDEX('[1]Sector list'!$A$2:$A$122,MATCH(H798,'[1]Sector list'!$B$2:$B$122,0)),"")</f>
        <v/>
      </c>
      <c r="J798" s="172"/>
    </row>
    <row r="799" spans="9:10" x14ac:dyDescent="0.3">
      <c r="I799" t="str">
        <f>_xlfn.IFNA(INDEX('[1]Sector list'!$A$2:$A$122,MATCH(H799,'[1]Sector list'!$B$2:$B$122,0)),"")</f>
        <v/>
      </c>
      <c r="J799" s="172"/>
    </row>
    <row r="800" spans="9:10" x14ac:dyDescent="0.3">
      <c r="I800" t="str">
        <f>_xlfn.IFNA(INDEX('[1]Sector list'!$A$2:$A$122,MATCH(H800,'[1]Sector list'!$B$2:$B$122,0)),"")</f>
        <v/>
      </c>
      <c r="J800" s="172"/>
    </row>
    <row r="801" spans="9:10" x14ac:dyDescent="0.3">
      <c r="I801" t="str">
        <f>_xlfn.IFNA(INDEX('[1]Sector list'!$A$2:$A$122,MATCH(H801,'[1]Sector list'!$B$2:$B$122,0)),"")</f>
        <v/>
      </c>
      <c r="J801" s="172"/>
    </row>
    <row r="802" spans="9:10" x14ac:dyDescent="0.3">
      <c r="I802" t="str">
        <f>_xlfn.IFNA(INDEX('[1]Sector list'!$A$2:$A$122,MATCH(H802,'[1]Sector list'!$B$2:$B$122,0)),"")</f>
        <v/>
      </c>
      <c r="J802" s="172"/>
    </row>
    <row r="803" spans="9:10" x14ac:dyDescent="0.3">
      <c r="I803" t="str">
        <f>_xlfn.IFNA(INDEX('[1]Sector list'!$A$2:$A$122,MATCH(H803,'[1]Sector list'!$B$2:$B$122,0)),"")</f>
        <v/>
      </c>
      <c r="J803" s="172"/>
    </row>
    <row r="804" spans="9:10" x14ac:dyDescent="0.3">
      <c r="I804" t="str">
        <f>_xlfn.IFNA(INDEX('[1]Sector list'!$A$2:$A$122,MATCH(H804,'[1]Sector list'!$B$2:$B$122,0)),"")</f>
        <v/>
      </c>
      <c r="J804" s="172"/>
    </row>
    <row r="805" spans="9:10" x14ac:dyDescent="0.3">
      <c r="I805" t="str">
        <f>_xlfn.IFNA(INDEX('[1]Sector list'!$A$2:$A$122,MATCH(H805,'[1]Sector list'!$B$2:$B$122,0)),"")</f>
        <v/>
      </c>
      <c r="J805" s="172"/>
    </row>
    <row r="806" spans="9:10" x14ac:dyDescent="0.3">
      <c r="I806" t="str">
        <f>_xlfn.IFNA(INDEX('[1]Sector list'!$A$2:$A$122,MATCH(H806,'[1]Sector list'!$B$2:$B$122,0)),"")</f>
        <v/>
      </c>
      <c r="J806" s="172"/>
    </row>
    <row r="807" spans="9:10" x14ac:dyDescent="0.3">
      <c r="I807" t="str">
        <f>_xlfn.IFNA(INDEX('[1]Sector list'!$A$2:$A$122,MATCH(H807,'[1]Sector list'!$B$2:$B$122,0)),"")</f>
        <v/>
      </c>
      <c r="J807" s="172"/>
    </row>
    <row r="808" spans="9:10" x14ac:dyDescent="0.3">
      <c r="I808" t="str">
        <f>_xlfn.IFNA(INDEX('[1]Sector list'!$A$2:$A$122,MATCH(H808,'[1]Sector list'!$B$2:$B$122,0)),"")</f>
        <v/>
      </c>
      <c r="J808" s="172"/>
    </row>
    <row r="809" spans="9:10" x14ac:dyDescent="0.3">
      <c r="I809" t="str">
        <f>_xlfn.IFNA(INDEX('[1]Sector list'!$A$2:$A$122,MATCH(H809,'[1]Sector list'!$B$2:$B$122,0)),"")</f>
        <v/>
      </c>
      <c r="J809" s="172"/>
    </row>
    <row r="810" spans="9:10" x14ac:dyDescent="0.3">
      <c r="I810" t="str">
        <f>_xlfn.IFNA(INDEX('[1]Sector list'!$A$2:$A$122,MATCH(H810,'[1]Sector list'!$B$2:$B$122,0)),"")</f>
        <v/>
      </c>
      <c r="J810" s="172"/>
    </row>
    <row r="811" spans="9:10" x14ac:dyDescent="0.3">
      <c r="I811" t="str">
        <f>_xlfn.IFNA(INDEX('[1]Sector list'!$A$2:$A$122,MATCH(H811,'[1]Sector list'!$B$2:$B$122,0)),"")</f>
        <v/>
      </c>
      <c r="J811" s="172"/>
    </row>
    <row r="812" spans="9:10" x14ac:dyDescent="0.3">
      <c r="I812" t="str">
        <f>_xlfn.IFNA(INDEX('[1]Sector list'!$A$2:$A$122,MATCH(H812,'[1]Sector list'!$B$2:$B$122,0)),"")</f>
        <v/>
      </c>
      <c r="J812" s="172"/>
    </row>
    <row r="813" spans="9:10" x14ac:dyDescent="0.3">
      <c r="I813" t="str">
        <f>_xlfn.IFNA(INDEX('[1]Sector list'!$A$2:$A$122,MATCH(H813,'[1]Sector list'!$B$2:$B$122,0)),"")</f>
        <v/>
      </c>
      <c r="J813" s="172"/>
    </row>
    <row r="814" spans="9:10" x14ac:dyDescent="0.3">
      <c r="I814" t="str">
        <f>_xlfn.IFNA(INDEX('[1]Sector list'!$A$2:$A$122,MATCH(H814,'[1]Sector list'!$B$2:$B$122,0)),"")</f>
        <v/>
      </c>
      <c r="J814" s="172"/>
    </row>
    <row r="815" spans="9:10" x14ac:dyDescent="0.3">
      <c r="I815" t="str">
        <f>_xlfn.IFNA(INDEX('[1]Sector list'!$A$2:$A$122,MATCH(H815,'[1]Sector list'!$B$2:$B$122,0)),"")</f>
        <v/>
      </c>
      <c r="J815" s="172"/>
    </row>
    <row r="816" spans="9:10" x14ac:dyDescent="0.3">
      <c r="I816" t="str">
        <f>_xlfn.IFNA(INDEX('[1]Sector list'!$A$2:$A$122,MATCH(H816,'[1]Sector list'!$B$2:$B$122,0)),"")</f>
        <v/>
      </c>
      <c r="J816" s="172"/>
    </row>
    <row r="817" spans="9:10" x14ac:dyDescent="0.3">
      <c r="I817" t="str">
        <f>_xlfn.IFNA(INDEX('[1]Sector list'!$A$2:$A$122,MATCH(H817,'[1]Sector list'!$B$2:$B$122,0)),"")</f>
        <v/>
      </c>
      <c r="J817" s="172"/>
    </row>
    <row r="818" spans="9:10" x14ac:dyDescent="0.3">
      <c r="I818" t="str">
        <f>_xlfn.IFNA(INDEX('[1]Sector list'!$A$2:$A$122,MATCH(H818,'[1]Sector list'!$B$2:$B$122,0)),"")</f>
        <v/>
      </c>
      <c r="J818" s="172"/>
    </row>
    <row r="819" spans="9:10" x14ac:dyDescent="0.3">
      <c r="I819" t="str">
        <f>_xlfn.IFNA(INDEX('[1]Sector list'!$A$2:$A$122,MATCH(H819,'[1]Sector list'!$B$2:$B$122,0)),"")</f>
        <v/>
      </c>
      <c r="J819" s="172"/>
    </row>
    <row r="820" spans="9:10" x14ac:dyDescent="0.3">
      <c r="I820" t="str">
        <f>_xlfn.IFNA(INDEX('[1]Sector list'!$A$2:$A$122,MATCH(H820,'[1]Sector list'!$B$2:$B$122,0)),"")</f>
        <v/>
      </c>
      <c r="J820" s="172"/>
    </row>
    <row r="821" spans="9:10" x14ac:dyDescent="0.3">
      <c r="I821" t="str">
        <f>_xlfn.IFNA(INDEX('[1]Sector list'!$A$2:$A$122,MATCH(H821,'[1]Sector list'!$B$2:$B$122,0)),"")</f>
        <v/>
      </c>
      <c r="J821" s="172"/>
    </row>
    <row r="822" spans="9:10" x14ac:dyDescent="0.3">
      <c r="I822" t="str">
        <f>_xlfn.IFNA(INDEX('[1]Sector list'!$A$2:$A$122,MATCH(H822,'[1]Sector list'!$B$2:$B$122,0)),"")</f>
        <v/>
      </c>
      <c r="J822" s="172"/>
    </row>
    <row r="823" spans="9:10" x14ac:dyDescent="0.3">
      <c r="I823" t="str">
        <f>_xlfn.IFNA(INDEX('[1]Sector list'!$A$2:$A$122,MATCH(H823,'[1]Sector list'!$B$2:$B$122,0)),"")</f>
        <v/>
      </c>
      <c r="J823" s="172"/>
    </row>
    <row r="824" spans="9:10" x14ac:dyDescent="0.3">
      <c r="I824" t="str">
        <f>_xlfn.IFNA(INDEX('[1]Sector list'!$A$2:$A$122,MATCH(H824,'[1]Sector list'!$B$2:$B$122,0)),"")</f>
        <v/>
      </c>
      <c r="J824" s="172"/>
    </row>
    <row r="825" spans="9:10" x14ac:dyDescent="0.3">
      <c r="I825" t="str">
        <f>_xlfn.IFNA(INDEX('[1]Sector list'!$A$2:$A$122,MATCH(H825,'[1]Sector list'!$B$2:$B$122,0)),"")</f>
        <v/>
      </c>
      <c r="J825" s="172"/>
    </row>
    <row r="826" spans="9:10" x14ac:dyDescent="0.3">
      <c r="I826" t="str">
        <f>_xlfn.IFNA(INDEX('[1]Sector list'!$A$2:$A$122,MATCH(H826,'[1]Sector list'!$B$2:$B$122,0)),"")</f>
        <v/>
      </c>
      <c r="J826" s="172"/>
    </row>
    <row r="827" spans="9:10" x14ac:dyDescent="0.3">
      <c r="I827" t="str">
        <f>_xlfn.IFNA(INDEX('[1]Sector list'!$A$2:$A$122,MATCH(H827,'[1]Sector list'!$B$2:$B$122,0)),"")</f>
        <v/>
      </c>
      <c r="J827" s="172"/>
    </row>
    <row r="828" spans="9:10" x14ac:dyDescent="0.3">
      <c r="I828" t="str">
        <f>_xlfn.IFNA(INDEX('[1]Sector list'!$A$2:$A$122,MATCH(H828,'[1]Sector list'!$B$2:$B$122,0)),"")</f>
        <v/>
      </c>
      <c r="J828" s="172"/>
    </row>
    <row r="829" spans="9:10" x14ac:dyDescent="0.3">
      <c r="I829" t="str">
        <f>_xlfn.IFNA(INDEX('[1]Sector list'!$A$2:$A$122,MATCH(H829,'[1]Sector list'!$B$2:$B$122,0)),"")</f>
        <v/>
      </c>
      <c r="J829" s="172"/>
    </row>
    <row r="830" spans="9:10" x14ac:dyDescent="0.3">
      <c r="I830" t="str">
        <f>_xlfn.IFNA(INDEX('[1]Sector list'!$A$2:$A$122,MATCH(H830,'[1]Sector list'!$B$2:$B$122,0)),"")</f>
        <v/>
      </c>
      <c r="J830" s="172"/>
    </row>
    <row r="831" spans="9:10" x14ac:dyDescent="0.3">
      <c r="I831" t="str">
        <f>_xlfn.IFNA(INDEX('[1]Sector list'!$A$2:$A$122,MATCH(H831,'[1]Sector list'!$B$2:$B$122,0)),"")</f>
        <v/>
      </c>
      <c r="J831" s="172"/>
    </row>
    <row r="832" spans="9:10" x14ac:dyDescent="0.3">
      <c r="I832" t="str">
        <f>_xlfn.IFNA(INDEX('[1]Sector list'!$A$2:$A$122,MATCH(H832,'[1]Sector list'!$B$2:$B$122,0)),"")</f>
        <v/>
      </c>
      <c r="J832" s="172"/>
    </row>
    <row r="833" spans="9:10" x14ac:dyDescent="0.3">
      <c r="I833" t="str">
        <f>_xlfn.IFNA(INDEX('[1]Sector list'!$A$2:$A$122,MATCH(H833,'[1]Sector list'!$B$2:$B$122,0)),"")</f>
        <v/>
      </c>
      <c r="J833" s="172"/>
    </row>
    <row r="834" spans="9:10" x14ac:dyDescent="0.3">
      <c r="I834" t="str">
        <f>_xlfn.IFNA(INDEX('[1]Sector list'!$A$2:$A$122,MATCH(H834,'[1]Sector list'!$B$2:$B$122,0)),"")</f>
        <v/>
      </c>
      <c r="J834" s="172"/>
    </row>
    <row r="835" spans="9:10" x14ac:dyDescent="0.3">
      <c r="I835" t="str">
        <f>_xlfn.IFNA(INDEX('[1]Sector list'!$A$2:$A$122,MATCH(H835,'[1]Sector list'!$B$2:$B$122,0)),"")</f>
        <v/>
      </c>
      <c r="J835" s="172"/>
    </row>
    <row r="836" spans="9:10" x14ac:dyDescent="0.3">
      <c r="I836" t="str">
        <f>_xlfn.IFNA(INDEX('[1]Sector list'!$A$2:$A$122,MATCH(H836,'[1]Sector list'!$B$2:$B$122,0)),"")</f>
        <v/>
      </c>
      <c r="J836" s="172"/>
    </row>
    <row r="837" spans="9:10" x14ac:dyDescent="0.3">
      <c r="I837" t="str">
        <f>_xlfn.IFNA(INDEX('[1]Sector list'!$A$2:$A$122,MATCH(H837,'[1]Sector list'!$B$2:$B$122,0)),"")</f>
        <v/>
      </c>
      <c r="J837" s="172"/>
    </row>
    <row r="838" spans="9:10" x14ac:dyDescent="0.3">
      <c r="I838" t="str">
        <f>_xlfn.IFNA(INDEX('[1]Sector list'!$A$2:$A$122,MATCH(H838,'[1]Sector list'!$B$2:$B$122,0)),"")</f>
        <v/>
      </c>
      <c r="J838" s="172"/>
    </row>
    <row r="839" spans="9:10" x14ac:dyDescent="0.3">
      <c r="I839" t="str">
        <f>_xlfn.IFNA(INDEX('[1]Sector list'!$A$2:$A$122,MATCH(H839,'[1]Sector list'!$B$2:$B$122,0)),"")</f>
        <v/>
      </c>
      <c r="J839" s="172"/>
    </row>
    <row r="840" spans="9:10" x14ac:dyDescent="0.3">
      <c r="I840" t="str">
        <f>_xlfn.IFNA(INDEX('[1]Sector list'!$A$2:$A$122,MATCH(H840,'[1]Sector list'!$B$2:$B$122,0)),"")</f>
        <v/>
      </c>
      <c r="J840" s="172"/>
    </row>
    <row r="841" spans="9:10" x14ac:dyDescent="0.3">
      <c r="I841" t="str">
        <f>_xlfn.IFNA(INDEX('[1]Sector list'!$A$2:$A$122,MATCH(H841,'[1]Sector list'!$B$2:$B$122,0)),"")</f>
        <v/>
      </c>
      <c r="J841" s="172"/>
    </row>
    <row r="842" spans="9:10" x14ac:dyDescent="0.3">
      <c r="I842" t="str">
        <f>_xlfn.IFNA(INDEX('[1]Sector list'!$A$2:$A$122,MATCH(H842,'[1]Sector list'!$B$2:$B$122,0)),"")</f>
        <v/>
      </c>
      <c r="J842" s="172"/>
    </row>
    <row r="843" spans="9:10" x14ac:dyDescent="0.3">
      <c r="I843" t="str">
        <f>_xlfn.IFNA(INDEX('[1]Sector list'!$A$2:$A$122,MATCH(H843,'[1]Sector list'!$B$2:$B$122,0)),"")</f>
        <v/>
      </c>
      <c r="J843" s="172"/>
    </row>
    <row r="844" spans="9:10" x14ac:dyDescent="0.3">
      <c r="I844" t="str">
        <f>_xlfn.IFNA(INDEX('[1]Sector list'!$A$2:$A$122,MATCH(H844,'[1]Sector list'!$B$2:$B$122,0)),"")</f>
        <v/>
      </c>
      <c r="J844" s="172"/>
    </row>
    <row r="845" spans="9:10" x14ac:dyDescent="0.3">
      <c r="I845" t="str">
        <f>_xlfn.IFNA(INDEX('[1]Sector list'!$A$2:$A$122,MATCH(H845,'[1]Sector list'!$B$2:$B$122,0)),"")</f>
        <v/>
      </c>
      <c r="J845" s="172"/>
    </row>
    <row r="846" spans="9:10" x14ac:dyDescent="0.3">
      <c r="I846" t="str">
        <f>_xlfn.IFNA(INDEX('[1]Sector list'!$A$2:$A$122,MATCH(H846,'[1]Sector list'!$B$2:$B$122,0)),"")</f>
        <v/>
      </c>
      <c r="J846" s="172"/>
    </row>
    <row r="847" spans="9:10" x14ac:dyDescent="0.3">
      <c r="I847" t="str">
        <f>_xlfn.IFNA(INDEX('[1]Sector list'!$A$2:$A$122,MATCH(H847,'[1]Sector list'!$B$2:$B$122,0)),"")</f>
        <v/>
      </c>
      <c r="J847" s="172"/>
    </row>
    <row r="848" spans="9:10" x14ac:dyDescent="0.3">
      <c r="I848" t="str">
        <f>_xlfn.IFNA(INDEX('[1]Sector list'!$A$2:$A$122,MATCH(H848,'[1]Sector list'!$B$2:$B$122,0)),"")</f>
        <v/>
      </c>
      <c r="J848" s="172"/>
    </row>
    <row r="849" spans="9:10" x14ac:dyDescent="0.3">
      <c r="I849" t="str">
        <f>_xlfn.IFNA(INDEX('[1]Sector list'!$A$2:$A$122,MATCH(H849,'[1]Sector list'!$B$2:$B$122,0)),"")</f>
        <v/>
      </c>
      <c r="J849" s="172"/>
    </row>
    <row r="850" spans="9:10" x14ac:dyDescent="0.3">
      <c r="I850" t="str">
        <f>_xlfn.IFNA(INDEX('[1]Sector list'!$A$2:$A$122,MATCH(H850,'[1]Sector list'!$B$2:$B$122,0)),"")</f>
        <v/>
      </c>
      <c r="J850" s="172"/>
    </row>
    <row r="851" spans="9:10" x14ac:dyDescent="0.3">
      <c r="I851" t="str">
        <f>_xlfn.IFNA(INDEX('[1]Sector list'!$A$2:$A$122,MATCH(H851,'[1]Sector list'!$B$2:$B$122,0)),"")</f>
        <v/>
      </c>
      <c r="J851" s="172"/>
    </row>
    <row r="852" spans="9:10" x14ac:dyDescent="0.3">
      <c r="I852" t="str">
        <f>_xlfn.IFNA(INDEX('[1]Sector list'!$A$2:$A$122,MATCH(H852,'[1]Sector list'!$B$2:$B$122,0)),"")</f>
        <v/>
      </c>
      <c r="J852" s="172"/>
    </row>
    <row r="853" spans="9:10" x14ac:dyDescent="0.3">
      <c r="I853" t="str">
        <f>_xlfn.IFNA(INDEX('[1]Sector list'!$A$2:$A$122,MATCH(H853,'[1]Sector list'!$B$2:$B$122,0)),"")</f>
        <v/>
      </c>
      <c r="J853" s="172"/>
    </row>
    <row r="854" spans="9:10" x14ac:dyDescent="0.3">
      <c r="I854" t="str">
        <f>_xlfn.IFNA(INDEX('[1]Sector list'!$A$2:$A$122,MATCH(H854,'[1]Sector list'!$B$2:$B$122,0)),"")</f>
        <v/>
      </c>
      <c r="J854" s="172"/>
    </row>
    <row r="855" spans="9:10" x14ac:dyDescent="0.3">
      <c r="I855" t="str">
        <f>_xlfn.IFNA(INDEX('[1]Sector list'!$A$2:$A$122,MATCH(H855,'[1]Sector list'!$B$2:$B$122,0)),"")</f>
        <v/>
      </c>
      <c r="J855" s="172"/>
    </row>
    <row r="856" spans="9:10" x14ac:dyDescent="0.3">
      <c r="I856" t="str">
        <f>_xlfn.IFNA(INDEX('[1]Sector list'!$A$2:$A$122,MATCH(H856,'[1]Sector list'!$B$2:$B$122,0)),"")</f>
        <v/>
      </c>
      <c r="J856" s="172"/>
    </row>
    <row r="857" spans="9:10" x14ac:dyDescent="0.3">
      <c r="I857" t="str">
        <f>_xlfn.IFNA(INDEX('[1]Sector list'!$A$2:$A$122,MATCH(H857,'[1]Sector list'!$B$2:$B$122,0)),"")</f>
        <v/>
      </c>
      <c r="J857" s="172"/>
    </row>
    <row r="858" spans="9:10" x14ac:dyDescent="0.3">
      <c r="I858" t="str">
        <f>_xlfn.IFNA(INDEX('[1]Sector list'!$A$2:$A$122,MATCH(H858,'[1]Sector list'!$B$2:$B$122,0)),"")</f>
        <v/>
      </c>
      <c r="J858" s="172"/>
    </row>
    <row r="859" spans="9:10" x14ac:dyDescent="0.3">
      <c r="I859" t="str">
        <f>_xlfn.IFNA(INDEX('[1]Sector list'!$A$2:$A$122,MATCH(H859,'[1]Sector list'!$B$2:$B$122,0)),"")</f>
        <v/>
      </c>
      <c r="J859" s="172"/>
    </row>
    <row r="860" spans="9:10" x14ac:dyDescent="0.3">
      <c r="I860" t="str">
        <f>_xlfn.IFNA(INDEX('[1]Sector list'!$A$2:$A$122,MATCH(H860,'[1]Sector list'!$B$2:$B$122,0)),"")</f>
        <v/>
      </c>
      <c r="J860" s="172"/>
    </row>
    <row r="861" spans="9:10" x14ac:dyDescent="0.3">
      <c r="I861" t="str">
        <f>_xlfn.IFNA(INDEX('[1]Sector list'!$A$2:$A$122,MATCH(H861,'[1]Sector list'!$B$2:$B$122,0)),"")</f>
        <v/>
      </c>
      <c r="J861" s="172"/>
    </row>
    <row r="862" spans="9:10" x14ac:dyDescent="0.3">
      <c r="I862" t="str">
        <f>_xlfn.IFNA(INDEX('[1]Sector list'!$A$2:$A$122,MATCH(H862,'[1]Sector list'!$B$2:$B$122,0)),"")</f>
        <v/>
      </c>
      <c r="J862" s="172"/>
    </row>
    <row r="863" spans="9:10" x14ac:dyDescent="0.3">
      <c r="I863" t="str">
        <f>_xlfn.IFNA(INDEX('[1]Sector list'!$A$2:$A$122,MATCH(H863,'[1]Sector list'!$B$2:$B$122,0)),"")</f>
        <v/>
      </c>
      <c r="J863" s="172"/>
    </row>
    <row r="864" spans="9:10" x14ac:dyDescent="0.3">
      <c r="I864" t="str">
        <f>_xlfn.IFNA(INDEX('[1]Sector list'!$A$2:$A$122,MATCH(H864,'[1]Sector list'!$B$2:$B$122,0)),"")</f>
        <v/>
      </c>
      <c r="J864" s="172"/>
    </row>
    <row r="865" spans="9:10" x14ac:dyDescent="0.3">
      <c r="I865" t="str">
        <f>_xlfn.IFNA(INDEX('[1]Sector list'!$A$2:$A$122,MATCH(H865,'[1]Sector list'!$B$2:$B$122,0)),"")</f>
        <v/>
      </c>
      <c r="J865" s="172"/>
    </row>
    <row r="866" spans="9:10" x14ac:dyDescent="0.3">
      <c r="I866" t="str">
        <f>_xlfn.IFNA(INDEX('[1]Sector list'!$A$2:$A$122,MATCH(H866,'[1]Sector list'!$B$2:$B$122,0)),"")</f>
        <v/>
      </c>
      <c r="J866" s="172"/>
    </row>
    <row r="867" spans="9:10" x14ac:dyDescent="0.3">
      <c r="I867" t="str">
        <f>_xlfn.IFNA(INDEX('[1]Sector list'!$A$2:$A$122,MATCH(H867,'[1]Sector list'!$B$2:$B$122,0)),"")</f>
        <v/>
      </c>
      <c r="J867" s="172"/>
    </row>
    <row r="868" spans="9:10" x14ac:dyDescent="0.3">
      <c r="I868" t="str">
        <f>_xlfn.IFNA(INDEX('[1]Sector list'!$A$2:$A$122,MATCH(H868,'[1]Sector list'!$B$2:$B$122,0)),"")</f>
        <v/>
      </c>
      <c r="J868" s="172"/>
    </row>
    <row r="869" spans="9:10" x14ac:dyDescent="0.3">
      <c r="I869" t="str">
        <f>_xlfn.IFNA(INDEX('[1]Sector list'!$A$2:$A$122,MATCH(H869,'[1]Sector list'!$B$2:$B$122,0)),"")</f>
        <v/>
      </c>
      <c r="J869" s="172"/>
    </row>
    <row r="870" spans="9:10" x14ac:dyDescent="0.3">
      <c r="I870" t="str">
        <f>_xlfn.IFNA(INDEX('[1]Sector list'!$A$2:$A$122,MATCH(H870,'[1]Sector list'!$B$2:$B$122,0)),"")</f>
        <v/>
      </c>
      <c r="J870" s="172"/>
    </row>
    <row r="871" spans="9:10" x14ac:dyDescent="0.3">
      <c r="I871" t="str">
        <f>_xlfn.IFNA(INDEX('[1]Sector list'!$A$2:$A$122,MATCH(H871,'[1]Sector list'!$B$2:$B$122,0)),"")</f>
        <v/>
      </c>
      <c r="J871" s="172"/>
    </row>
    <row r="872" spans="9:10" x14ac:dyDescent="0.3">
      <c r="I872" t="str">
        <f>_xlfn.IFNA(INDEX('[1]Sector list'!$A$2:$A$122,MATCH(H872,'[1]Sector list'!$B$2:$B$122,0)),"")</f>
        <v/>
      </c>
      <c r="J872" s="172"/>
    </row>
    <row r="873" spans="9:10" x14ac:dyDescent="0.3">
      <c r="I873" t="str">
        <f>_xlfn.IFNA(INDEX('[1]Sector list'!$A$2:$A$122,MATCH(H873,'[1]Sector list'!$B$2:$B$122,0)),"")</f>
        <v/>
      </c>
      <c r="J873" s="172"/>
    </row>
    <row r="874" spans="9:10" x14ac:dyDescent="0.3">
      <c r="I874" t="str">
        <f>_xlfn.IFNA(INDEX('[1]Sector list'!$A$2:$A$122,MATCH(H874,'[1]Sector list'!$B$2:$B$122,0)),"")</f>
        <v/>
      </c>
      <c r="J874" s="172"/>
    </row>
    <row r="875" spans="9:10" x14ac:dyDescent="0.3">
      <c r="I875" t="str">
        <f>_xlfn.IFNA(INDEX('[1]Sector list'!$A$2:$A$122,MATCH(H875,'[1]Sector list'!$B$2:$B$122,0)),"")</f>
        <v/>
      </c>
      <c r="J875" s="172"/>
    </row>
    <row r="876" spans="9:10" x14ac:dyDescent="0.3">
      <c r="I876" t="str">
        <f>_xlfn.IFNA(INDEX('[1]Sector list'!$A$2:$A$122,MATCH(H876,'[1]Sector list'!$B$2:$B$122,0)),"")</f>
        <v/>
      </c>
      <c r="J876" s="172"/>
    </row>
    <row r="877" spans="9:10" x14ac:dyDescent="0.3">
      <c r="I877" t="str">
        <f>_xlfn.IFNA(INDEX('[1]Sector list'!$A$2:$A$122,MATCH(H877,'[1]Sector list'!$B$2:$B$122,0)),"")</f>
        <v/>
      </c>
      <c r="J877" s="172"/>
    </row>
    <row r="878" spans="9:10" x14ac:dyDescent="0.3">
      <c r="I878" t="str">
        <f>_xlfn.IFNA(INDEX('[1]Sector list'!$A$2:$A$122,MATCH(H878,'[1]Sector list'!$B$2:$B$122,0)),"")</f>
        <v/>
      </c>
      <c r="J878" s="172"/>
    </row>
    <row r="879" spans="9:10" x14ac:dyDescent="0.3">
      <c r="I879" t="str">
        <f>_xlfn.IFNA(INDEX('[1]Sector list'!$A$2:$A$122,MATCH(H879,'[1]Sector list'!$B$2:$B$122,0)),"")</f>
        <v/>
      </c>
      <c r="J879" s="172"/>
    </row>
    <row r="880" spans="9:10" x14ac:dyDescent="0.3">
      <c r="I880" t="str">
        <f>_xlfn.IFNA(INDEX('[1]Sector list'!$A$2:$A$122,MATCH(H880,'[1]Sector list'!$B$2:$B$122,0)),"")</f>
        <v/>
      </c>
      <c r="J880" s="172"/>
    </row>
    <row r="881" spans="9:10" x14ac:dyDescent="0.3">
      <c r="I881" t="str">
        <f>_xlfn.IFNA(INDEX('[1]Sector list'!$A$2:$A$122,MATCH(H881,'[1]Sector list'!$B$2:$B$122,0)),"")</f>
        <v/>
      </c>
      <c r="J881" s="172"/>
    </row>
    <row r="882" spans="9:10" x14ac:dyDescent="0.3">
      <c r="I882" t="str">
        <f>_xlfn.IFNA(INDEX('[1]Sector list'!$A$2:$A$122,MATCH(H882,'[1]Sector list'!$B$2:$B$122,0)),"")</f>
        <v/>
      </c>
      <c r="J882" s="172"/>
    </row>
    <row r="883" spans="9:10" x14ac:dyDescent="0.3">
      <c r="I883" t="str">
        <f>_xlfn.IFNA(INDEX('[1]Sector list'!$A$2:$A$122,MATCH(H883,'[1]Sector list'!$B$2:$B$122,0)),"")</f>
        <v/>
      </c>
      <c r="J883" s="172"/>
    </row>
    <row r="884" spans="9:10" x14ac:dyDescent="0.3">
      <c r="I884" t="str">
        <f>_xlfn.IFNA(INDEX('[1]Sector list'!$A$2:$A$122,MATCH(H884,'[1]Sector list'!$B$2:$B$122,0)),"")</f>
        <v/>
      </c>
      <c r="J884" s="172"/>
    </row>
    <row r="885" spans="9:10" x14ac:dyDescent="0.3">
      <c r="I885" t="str">
        <f>_xlfn.IFNA(INDEX('[1]Sector list'!$A$2:$A$122,MATCH(H885,'[1]Sector list'!$B$2:$B$122,0)),"")</f>
        <v/>
      </c>
      <c r="J885" s="172"/>
    </row>
    <row r="886" spans="9:10" x14ac:dyDescent="0.3">
      <c r="I886" t="str">
        <f>_xlfn.IFNA(INDEX('[1]Sector list'!$A$2:$A$122,MATCH(H886,'[1]Sector list'!$B$2:$B$122,0)),"")</f>
        <v/>
      </c>
      <c r="J886" s="172"/>
    </row>
    <row r="887" spans="9:10" x14ac:dyDescent="0.3">
      <c r="I887" t="str">
        <f>_xlfn.IFNA(INDEX('[1]Sector list'!$A$2:$A$122,MATCH(H887,'[1]Sector list'!$B$2:$B$122,0)),"")</f>
        <v/>
      </c>
      <c r="J887" s="172"/>
    </row>
    <row r="888" spans="9:10" x14ac:dyDescent="0.3">
      <c r="I888" t="str">
        <f>_xlfn.IFNA(INDEX('[1]Sector list'!$A$2:$A$122,MATCH(H888,'[1]Sector list'!$B$2:$B$122,0)),"")</f>
        <v/>
      </c>
      <c r="J888" s="172"/>
    </row>
    <row r="889" spans="9:10" x14ac:dyDescent="0.3">
      <c r="I889" t="str">
        <f>_xlfn.IFNA(INDEX('[1]Sector list'!$A$2:$A$122,MATCH(H889,'[1]Sector list'!$B$2:$B$122,0)),"")</f>
        <v/>
      </c>
      <c r="J889" s="172"/>
    </row>
    <row r="890" spans="9:10" x14ac:dyDescent="0.3">
      <c r="I890" t="str">
        <f>_xlfn.IFNA(INDEX('[1]Sector list'!$A$2:$A$122,MATCH(H890,'[1]Sector list'!$B$2:$B$122,0)),"")</f>
        <v/>
      </c>
      <c r="J890" s="172"/>
    </row>
    <row r="891" spans="9:10" x14ac:dyDescent="0.3">
      <c r="I891" t="str">
        <f>_xlfn.IFNA(INDEX('[1]Sector list'!$A$2:$A$122,MATCH(H891,'[1]Sector list'!$B$2:$B$122,0)),"")</f>
        <v/>
      </c>
      <c r="J891" s="172"/>
    </row>
    <row r="892" spans="9:10" x14ac:dyDescent="0.3">
      <c r="I892" t="str">
        <f>_xlfn.IFNA(INDEX('[1]Sector list'!$A$2:$A$122,MATCH(H892,'[1]Sector list'!$B$2:$B$122,0)),"")</f>
        <v/>
      </c>
      <c r="J892" s="172"/>
    </row>
    <row r="893" spans="9:10" x14ac:dyDescent="0.3">
      <c r="I893" t="str">
        <f>_xlfn.IFNA(INDEX('[1]Sector list'!$A$2:$A$122,MATCH(H893,'[1]Sector list'!$B$2:$B$122,0)),"")</f>
        <v/>
      </c>
      <c r="J893" s="172"/>
    </row>
    <row r="894" spans="9:10" x14ac:dyDescent="0.3">
      <c r="I894" t="str">
        <f>_xlfn.IFNA(INDEX('[1]Sector list'!$A$2:$A$122,MATCH(H894,'[1]Sector list'!$B$2:$B$122,0)),"")</f>
        <v/>
      </c>
      <c r="J894" s="172"/>
    </row>
    <row r="895" spans="9:10" x14ac:dyDescent="0.3">
      <c r="I895" t="str">
        <f>_xlfn.IFNA(INDEX('[1]Sector list'!$A$2:$A$122,MATCH(H895,'[1]Sector list'!$B$2:$B$122,0)),"")</f>
        <v/>
      </c>
      <c r="J895" s="172"/>
    </row>
    <row r="896" spans="9:10" x14ac:dyDescent="0.3">
      <c r="I896" t="str">
        <f>_xlfn.IFNA(INDEX('[1]Sector list'!$A$2:$A$122,MATCH(H896,'[1]Sector list'!$B$2:$B$122,0)),"")</f>
        <v/>
      </c>
      <c r="J896" s="172"/>
    </row>
    <row r="897" spans="9:10" x14ac:dyDescent="0.3">
      <c r="I897" t="str">
        <f>_xlfn.IFNA(INDEX('[1]Sector list'!$A$2:$A$122,MATCH(H897,'[1]Sector list'!$B$2:$B$122,0)),"")</f>
        <v/>
      </c>
      <c r="J897" s="172"/>
    </row>
    <row r="898" spans="9:10" x14ac:dyDescent="0.3">
      <c r="I898" t="str">
        <f>_xlfn.IFNA(INDEX('[1]Sector list'!$A$2:$A$122,MATCH(H898,'[1]Sector list'!$B$2:$B$122,0)),"")</f>
        <v/>
      </c>
      <c r="J898" s="172"/>
    </row>
    <row r="899" spans="9:10" x14ac:dyDescent="0.3">
      <c r="I899" t="str">
        <f>_xlfn.IFNA(INDEX('[1]Sector list'!$A$2:$A$122,MATCH(H899,'[1]Sector list'!$B$2:$B$122,0)),"")</f>
        <v/>
      </c>
      <c r="J899" s="172"/>
    </row>
    <row r="900" spans="9:10" x14ac:dyDescent="0.3">
      <c r="I900" t="str">
        <f>_xlfn.IFNA(INDEX('[1]Sector list'!$A$2:$A$122,MATCH(H900,'[1]Sector list'!$B$2:$B$122,0)),"")</f>
        <v/>
      </c>
      <c r="J900" s="172"/>
    </row>
    <row r="901" spans="9:10" x14ac:dyDescent="0.3">
      <c r="I901" t="str">
        <f>_xlfn.IFNA(INDEX('[1]Sector list'!$A$2:$A$122,MATCH(H901,'[1]Sector list'!$B$2:$B$122,0)),"")</f>
        <v/>
      </c>
      <c r="J901" s="172"/>
    </row>
    <row r="902" spans="9:10" x14ac:dyDescent="0.3">
      <c r="I902" t="str">
        <f>_xlfn.IFNA(INDEX('[1]Sector list'!$A$2:$A$122,MATCH(H902,'[1]Sector list'!$B$2:$B$122,0)),"")</f>
        <v/>
      </c>
      <c r="J902" s="172"/>
    </row>
    <row r="903" spans="9:10" x14ac:dyDescent="0.3">
      <c r="I903" t="str">
        <f>_xlfn.IFNA(INDEX('[1]Sector list'!$A$2:$A$122,MATCH(H903,'[1]Sector list'!$B$2:$B$122,0)),"")</f>
        <v/>
      </c>
      <c r="J903" s="172"/>
    </row>
    <row r="904" spans="9:10" x14ac:dyDescent="0.3">
      <c r="J904" s="172"/>
    </row>
    <row r="905" spans="9:10" x14ac:dyDescent="0.3">
      <c r="J905" s="172"/>
    </row>
    <row r="906" spans="9:10" x14ac:dyDescent="0.3">
      <c r="J906" s="172"/>
    </row>
    <row r="907" spans="9:10" x14ac:dyDescent="0.3">
      <c r="J907" s="172"/>
    </row>
    <row r="908" spans="9:10" x14ac:dyDescent="0.3">
      <c r="J908" s="172"/>
    </row>
    <row r="909" spans="9:10" x14ac:dyDescent="0.3">
      <c r="J909" s="172"/>
    </row>
    <row r="910" spans="9:10" x14ac:dyDescent="0.3">
      <c r="J910" s="172"/>
    </row>
    <row r="911" spans="9:10" x14ac:dyDescent="0.3">
      <c r="J911" s="172"/>
    </row>
    <row r="912" spans="9:10" x14ac:dyDescent="0.3">
      <c r="J912" s="172"/>
    </row>
    <row r="913" spans="10:10" x14ac:dyDescent="0.3">
      <c r="J913" s="172"/>
    </row>
    <row r="914" spans="10:10" x14ac:dyDescent="0.3">
      <c r="J914" s="172"/>
    </row>
    <row r="915" spans="10:10" x14ac:dyDescent="0.3">
      <c r="J915" s="172"/>
    </row>
    <row r="916" spans="10:10" x14ac:dyDescent="0.3">
      <c r="J916" s="172"/>
    </row>
    <row r="917" spans="10:10" x14ac:dyDescent="0.3">
      <c r="J917" s="172"/>
    </row>
    <row r="918" spans="10:10" x14ac:dyDescent="0.3">
      <c r="J918" s="172"/>
    </row>
    <row r="919" spans="10:10" x14ac:dyDescent="0.3">
      <c r="J919" s="172"/>
    </row>
    <row r="920" spans="10:10" x14ac:dyDescent="0.3">
      <c r="J920" s="172"/>
    </row>
    <row r="921" spans="10:10" x14ac:dyDescent="0.3">
      <c r="J921" s="172"/>
    </row>
    <row r="922" spans="10:10" x14ac:dyDescent="0.3">
      <c r="J922" s="172"/>
    </row>
    <row r="923" spans="10:10" x14ac:dyDescent="0.3">
      <c r="J923" s="172"/>
    </row>
    <row r="924" spans="10:10" x14ac:dyDescent="0.3">
      <c r="J924" s="172"/>
    </row>
    <row r="925" spans="10:10" x14ac:dyDescent="0.3">
      <c r="J925" s="172"/>
    </row>
    <row r="926" spans="10:10" x14ac:dyDescent="0.3">
      <c r="J926" s="172"/>
    </row>
    <row r="927" spans="10:10" x14ac:dyDescent="0.3">
      <c r="J927" s="172"/>
    </row>
    <row r="928" spans="10:10" x14ac:dyDescent="0.3">
      <c r="J928" s="172"/>
    </row>
    <row r="929" spans="10:10" x14ac:dyDescent="0.3">
      <c r="J929" s="172"/>
    </row>
    <row r="930" spans="10:10" x14ac:dyDescent="0.3">
      <c r="J930" s="172"/>
    </row>
    <row r="931" spans="10:10" x14ac:dyDescent="0.3">
      <c r="J931" s="172"/>
    </row>
    <row r="932" spans="10:10" x14ac:dyDescent="0.3">
      <c r="J932" s="172"/>
    </row>
    <row r="933" spans="10:10" x14ac:dyDescent="0.3">
      <c r="J933" s="172"/>
    </row>
    <row r="934" spans="10:10" x14ac:dyDescent="0.3">
      <c r="J934" s="172"/>
    </row>
    <row r="935" spans="10:10" x14ac:dyDescent="0.3">
      <c r="J935" s="172"/>
    </row>
    <row r="936" spans="10:10" x14ac:dyDescent="0.3">
      <c r="J936" s="172"/>
    </row>
    <row r="937" spans="10:10" x14ac:dyDescent="0.3">
      <c r="J937" s="172"/>
    </row>
    <row r="938" spans="10:10" x14ac:dyDescent="0.3">
      <c r="J938" s="172"/>
    </row>
    <row r="939" spans="10:10" x14ac:dyDescent="0.3">
      <c r="J939" s="172"/>
    </row>
    <row r="940" spans="10:10" x14ac:dyDescent="0.3">
      <c r="J940" s="172"/>
    </row>
    <row r="941" spans="10:10" x14ac:dyDescent="0.3">
      <c r="J941" s="172"/>
    </row>
    <row r="942" spans="10:10" x14ac:dyDescent="0.3">
      <c r="J942" s="172"/>
    </row>
    <row r="943" spans="10:10" x14ac:dyDescent="0.3">
      <c r="J943" s="172"/>
    </row>
    <row r="944" spans="10:10" x14ac:dyDescent="0.3">
      <c r="J944" s="172"/>
    </row>
    <row r="945" spans="10:10" x14ac:dyDescent="0.3">
      <c r="J945" s="172"/>
    </row>
    <row r="946" spans="10:10" x14ac:dyDescent="0.3">
      <c r="J946" s="172"/>
    </row>
    <row r="947" spans="10:10" x14ac:dyDescent="0.3">
      <c r="J947" s="172"/>
    </row>
    <row r="948" spans="10:10" x14ac:dyDescent="0.3">
      <c r="J948" s="172"/>
    </row>
    <row r="949" spans="10:10" x14ac:dyDescent="0.3">
      <c r="J949" s="172"/>
    </row>
    <row r="950" spans="10:10" x14ac:dyDescent="0.3">
      <c r="J950" s="172"/>
    </row>
    <row r="951" spans="10:10" x14ac:dyDescent="0.3">
      <c r="J951" s="172"/>
    </row>
    <row r="952" spans="10:10" x14ac:dyDescent="0.3">
      <c r="J952" s="172"/>
    </row>
    <row r="953" spans="10:10" x14ac:dyDescent="0.3">
      <c r="J953" s="172"/>
    </row>
    <row r="954" spans="10:10" x14ac:dyDescent="0.3">
      <c r="J954" s="172"/>
    </row>
    <row r="955" spans="10:10" x14ac:dyDescent="0.3">
      <c r="J955" s="172"/>
    </row>
    <row r="956" spans="10:10" x14ac:dyDescent="0.3">
      <c r="J956" s="172"/>
    </row>
    <row r="957" spans="10:10" x14ac:dyDescent="0.3">
      <c r="J957" s="172"/>
    </row>
    <row r="958" spans="10:10" x14ac:dyDescent="0.3">
      <c r="J958" s="172"/>
    </row>
    <row r="959" spans="10:10" x14ac:dyDescent="0.3">
      <c r="J959" s="172"/>
    </row>
    <row r="960" spans="10:10" x14ac:dyDescent="0.3">
      <c r="J960" s="172"/>
    </row>
    <row r="961" spans="10:10" x14ac:dyDescent="0.3">
      <c r="J961" s="172"/>
    </row>
    <row r="962" spans="10:10" x14ac:dyDescent="0.3">
      <c r="J962" s="172"/>
    </row>
    <row r="963" spans="10:10" x14ac:dyDescent="0.3">
      <c r="J963" s="172"/>
    </row>
    <row r="964" spans="10:10" x14ac:dyDescent="0.3">
      <c r="J964" s="172"/>
    </row>
    <row r="965" spans="10:10" x14ac:dyDescent="0.3">
      <c r="J965" s="172"/>
    </row>
    <row r="966" spans="10:10" x14ac:dyDescent="0.3">
      <c r="J966" s="172"/>
    </row>
    <row r="967" spans="10:10" x14ac:dyDescent="0.3">
      <c r="J967" s="172"/>
    </row>
    <row r="968" spans="10:10" x14ac:dyDescent="0.3">
      <c r="J968" s="172"/>
    </row>
    <row r="969" spans="10:10" x14ac:dyDescent="0.3">
      <c r="J969" s="172"/>
    </row>
    <row r="970" spans="10:10" x14ac:dyDescent="0.3">
      <c r="J970" s="172"/>
    </row>
    <row r="971" spans="10:10" x14ac:dyDescent="0.3">
      <c r="J971" s="172"/>
    </row>
    <row r="972" spans="10:10" x14ac:dyDescent="0.3">
      <c r="J972" s="172"/>
    </row>
    <row r="973" spans="10:10" x14ac:dyDescent="0.3">
      <c r="J973" s="172"/>
    </row>
    <row r="974" spans="10:10" x14ac:dyDescent="0.3">
      <c r="J974" s="172"/>
    </row>
    <row r="975" spans="10:10" x14ac:dyDescent="0.3">
      <c r="J975" s="172"/>
    </row>
    <row r="976" spans="10:10" x14ac:dyDescent="0.3">
      <c r="J976" s="172"/>
    </row>
    <row r="977" spans="10:10" x14ac:dyDescent="0.3">
      <c r="J977" s="172"/>
    </row>
    <row r="978" spans="10:10" x14ac:dyDescent="0.3">
      <c r="J978" s="172"/>
    </row>
    <row r="979" spans="10:10" x14ac:dyDescent="0.3">
      <c r="J979" s="172"/>
    </row>
    <row r="980" spans="10:10" x14ac:dyDescent="0.3">
      <c r="J980" s="172"/>
    </row>
    <row r="981" spans="10:10" x14ac:dyDescent="0.3">
      <c r="J981" s="172"/>
    </row>
    <row r="982" spans="10:10" x14ac:dyDescent="0.3">
      <c r="J982" s="172"/>
    </row>
    <row r="983" spans="10:10" x14ac:dyDescent="0.3">
      <c r="J983" s="172"/>
    </row>
    <row r="984" spans="10:10" x14ac:dyDescent="0.3">
      <c r="J984" s="172"/>
    </row>
    <row r="985" spans="10:10" x14ac:dyDescent="0.3">
      <c r="J985" s="172"/>
    </row>
    <row r="986" spans="10:10" x14ac:dyDescent="0.3">
      <c r="J986" s="172"/>
    </row>
    <row r="987" spans="10:10" x14ac:dyDescent="0.3">
      <c r="J987" s="172"/>
    </row>
    <row r="988" spans="10:10" x14ac:dyDescent="0.3">
      <c r="J988" s="172"/>
    </row>
    <row r="989" spans="10:10" x14ac:dyDescent="0.3">
      <c r="J989" s="172"/>
    </row>
    <row r="990" spans="10:10" x14ac:dyDescent="0.3">
      <c r="J990" s="172"/>
    </row>
    <row r="991" spans="10:10" x14ac:dyDescent="0.3">
      <c r="J991" s="172"/>
    </row>
    <row r="992" spans="10:10" x14ac:dyDescent="0.3">
      <c r="J992" s="172"/>
    </row>
    <row r="993" spans="10:10" x14ac:dyDescent="0.3">
      <c r="J993" s="172"/>
    </row>
    <row r="994" spans="10:10" x14ac:dyDescent="0.3">
      <c r="J994" s="172"/>
    </row>
    <row r="995" spans="10:10" x14ac:dyDescent="0.3">
      <c r="J995" s="172"/>
    </row>
    <row r="996" spans="10:10" x14ac:dyDescent="0.3">
      <c r="J996" s="172"/>
    </row>
    <row r="997" spans="10:10" x14ac:dyDescent="0.3">
      <c r="J997" s="172"/>
    </row>
    <row r="998" spans="10:10" x14ac:dyDescent="0.3">
      <c r="J998" s="172"/>
    </row>
    <row r="999" spans="10:10" x14ac:dyDescent="0.3">
      <c r="J999" s="172"/>
    </row>
    <row r="1000" spans="10:10" x14ac:dyDescent="0.3">
      <c r="J1000" s="172"/>
    </row>
    <row r="1001" spans="10:10" x14ac:dyDescent="0.3">
      <c r="J1001" s="172"/>
    </row>
    <row r="1002" spans="10:10" x14ac:dyDescent="0.3">
      <c r="J1002" s="172"/>
    </row>
    <row r="1003" spans="10:10" x14ac:dyDescent="0.3">
      <c r="J1003" s="172"/>
    </row>
    <row r="1004" spans="10:10" x14ac:dyDescent="0.3">
      <c r="J1004" s="172"/>
    </row>
    <row r="1005" spans="10:10" x14ac:dyDescent="0.3">
      <c r="J1005" s="172"/>
    </row>
    <row r="1006" spans="10:10" x14ac:dyDescent="0.3">
      <c r="J1006" s="172"/>
    </row>
    <row r="1007" spans="10:10" x14ac:dyDescent="0.3">
      <c r="J1007" s="172"/>
    </row>
    <row r="1008" spans="10:10" x14ac:dyDescent="0.3">
      <c r="J1008" s="172"/>
    </row>
    <row r="1009" spans="10:10" x14ac:dyDescent="0.3">
      <c r="J1009" s="172"/>
    </row>
    <row r="1010" spans="10:10" x14ac:dyDescent="0.3">
      <c r="J1010" s="172"/>
    </row>
    <row r="1011" spans="10:10" x14ac:dyDescent="0.3">
      <c r="J1011" s="172"/>
    </row>
    <row r="1012" spans="10:10" x14ac:dyDescent="0.3">
      <c r="J1012" s="172"/>
    </row>
    <row r="1013" spans="10:10" x14ac:dyDescent="0.3">
      <c r="J1013" s="172"/>
    </row>
    <row r="1014" spans="10:10" x14ac:dyDescent="0.3">
      <c r="J1014" s="172"/>
    </row>
    <row r="1015" spans="10:10" x14ac:dyDescent="0.3">
      <c r="J1015" s="172"/>
    </row>
    <row r="1016" spans="10:10" x14ac:dyDescent="0.3">
      <c r="J1016" s="172"/>
    </row>
    <row r="1017" spans="10:10" x14ac:dyDescent="0.3">
      <c r="J1017" s="172"/>
    </row>
    <row r="1018" spans="10:10" x14ac:dyDescent="0.3">
      <c r="J1018" s="172"/>
    </row>
    <row r="1019" spans="10:10" x14ac:dyDescent="0.3">
      <c r="J1019" s="172"/>
    </row>
    <row r="1020" spans="10:10" x14ac:dyDescent="0.3">
      <c r="J1020" s="172"/>
    </row>
    <row r="1021" spans="10:10" x14ac:dyDescent="0.3">
      <c r="J1021" s="172"/>
    </row>
    <row r="1022" spans="10:10" x14ac:dyDescent="0.3">
      <c r="J1022" s="172"/>
    </row>
    <row r="1023" spans="10:10" x14ac:dyDescent="0.3">
      <c r="J1023" s="172"/>
    </row>
    <row r="1024" spans="10:10" x14ac:dyDescent="0.3">
      <c r="J1024" s="172"/>
    </row>
    <row r="1025" spans="10:10" x14ac:dyDescent="0.3">
      <c r="J1025" s="172"/>
    </row>
    <row r="1026" spans="10:10" x14ac:dyDescent="0.3">
      <c r="J1026" s="172"/>
    </row>
    <row r="1027" spans="10:10" x14ac:dyDescent="0.3">
      <c r="J1027" s="172"/>
    </row>
    <row r="1028" spans="10:10" x14ac:dyDescent="0.3">
      <c r="J1028" s="172"/>
    </row>
    <row r="1029" spans="10:10" x14ac:dyDescent="0.3">
      <c r="J1029" s="172"/>
    </row>
    <row r="1030" spans="10:10" x14ac:dyDescent="0.3">
      <c r="J1030" s="172"/>
    </row>
    <row r="1031" spans="10:10" x14ac:dyDescent="0.3">
      <c r="J1031" s="172"/>
    </row>
    <row r="1032" spans="10:10" x14ac:dyDescent="0.3">
      <c r="J1032" s="172"/>
    </row>
    <row r="1033" spans="10:10" x14ac:dyDescent="0.3">
      <c r="J1033" s="172"/>
    </row>
    <row r="1034" spans="10:10" x14ac:dyDescent="0.3">
      <c r="J1034" s="172"/>
    </row>
    <row r="1035" spans="10:10" x14ac:dyDescent="0.3">
      <c r="J1035" s="172"/>
    </row>
    <row r="1036" spans="10:10" x14ac:dyDescent="0.3">
      <c r="J1036" s="172"/>
    </row>
    <row r="1037" spans="10:10" x14ac:dyDescent="0.3">
      <c r="J1037" s="17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02983-D6C3-4F81-85F6-38503F250799}">
  <sheetPr>
    <tabColor theme="1" tint="0.499984740745262"/>
  </sheetPr>
  <dimension ref="A1:AM1027"/>
  <sheetViews>
    <sheetView topLeftCell="B1" zoomScale="70" zoomScaleNormal="70" workbookViewId="0">
      <selection activeCell="U46" sqref="U46"/>
    </sheetView>
  </sheetViews>
  <sheetFormatPr defaultRowHeight="14.4" x14ac:dyDescent="0.3"/>
  <cols>
    <col min="1" max="1" width="4.33203125" style="16" customWidth="1"/>
    <col min="2" max="4" width="15.6640625" customWidth="1"/>
    <col min="5" max="5" width="20.109375" customWidth="1"/>
    <col min="6" max="6" width="19.5546875" customWidth="1"/>
    <col min="7" max="7" width="24.33203125" customWidth="1"/>
    <col min="9" max="18" width="2.6640625" customWidth="1"/>
    <col min="19" max="19" width="12.6640625" bestFit="1" customWidth="1"/>
    <col min="20" max="20" width="12.5546875" customWidth="1"/>
    <col min="21" max="27" width="12.6640625" bestFit="1" customWidth="1"/>
    <col min="28" max="28" width="13.109375" customWidth="1"/>
    <col min="29" max="29" width="12.6640625" customWidth="1"/>
    <col min="30" max="34" width="12.6640625" bestFit="1" customWidth="1"/>
  </cols>
  <sheetData>
    <row r="1" spans="2:39" s="166" customFormat="1" ht="5.0999999999999996" customHeight="1" x14ac:dyDescent="0.3"/>
    <row r="2" spans="2:39" s="166" customFormat="1" x14ac:dyDescent="0.3">
      <c r="B2" s="167" t="s">
        <v>1313</v>
      </c>
      <c r="G2" s="167" t="str">
        <f>'Final demand(2)'!H2</f>
        <v>CVF_lower</v>
      </c>
      <c r="H2" s="166">
        <f>'Final demand(2)'!H3</f>
        <v>2</v>
      </c>
    </row>
    <row r="3" spans="2:39" s="166" customFormat="1" x14ac:dyDescent="0.3">
      <c r="B3" s="168" t="s">
        <v>1223</v>
      </c>
    </row>
    <row r="4" spans="2:39" s="170" customFormat="1" ht="5.0999999999999996" customHeight="1" thickBot="1" x14ac:dyDescent="0.35">
      <c r="B4" s="169"/>
    </row>
    <row r="5" spans="2:39" s="166" customFormat="1" x14ac:dyDescent="0.3">
      <c r="B5" s="171" t="s">
        <v>1224</v>
      </c>
      <c r="C5" s="171" t="s">
        <v>1225</v>
      </c>
      <c r="D5" s="171" t="s">
        <v>1314</v>
      </c>
      <c r="E5" s="171" t="s">
        <v>1315</v>
      </c>
      <c r="F5" s="171" t="s">
        <v>1230</v>
      </c>
      <c r="G5" s="171" t="s">
        <v>1231</v>
      </c>
    </row>
    <row r="6" spans="2:39" x14ac:dyDescent="0.3">
      <c r="F6" s="205"/>
      <c r="G6" s="37">
        <f>1/3</f>
        <v>0.33333333333333331</v>
      </c>
      <c r="H6" t="s">
        <v>1316</v>
      </c>
    </row>
    <row r="7" spans="2:39" x14ac:dyDescent="0.3">
      <c r="F7" s="205"/>
    </row>
    <row r="8" spans="2:39" x14ac:dyDescent="0.3">
      <c r="B8" t="s">
        <v>579</v>
      </c>
      <c r="C8" t="str">
        <f>_xlfn.IFNA(INDEX('[2]Country list'!$A$2:$A$166,MATCH(B8,'[2]Country list'!$B$2:$B$166,0)),"")</f>
        <v>DEU</v>
      </c>
      <c r="E8" s="4" t="s">
        <v>1238</v>
      </c>
      <c r="F8" t="s">
        <v>1317</v>
      </c>
      <c r="G8" t="s">
        <v>1318</v>
      </c>
    </row>
    <row r="9" spans="2:39" x14ac:dyDescent="0.3">
      <c r="E9" s="4"/>
    </row>
    <row r="10" spans="2:39" x14ac:dyDescent="0.3">
      <c r="E10" s="4"/>
    </row>
    <row r="11" spans="2:39" x14ac:dyDescent="0.3">
      <c r="E11" s="4"/>
    </row>
    <row r="12" spans="2:39" x14ac:dyDescent="0.3">
      <c r="E12" s="4"/>
      <c r="G12" t="s">
        <v>1319</v>
      </c>
    </row>
    <row r="13" spans="2:39" x14ac:dyDescent="0.3">
      <c r="C13" s="174" t="s">
        <v>1246</v>
      </c>
      <c r="D13" s="174"/>
      <c r="E13" s="206" t="s">
        <v>1320</v>
      </c>
      <c r="G13" s="205" t="s">
        <v>1321</v>
      </c>
    </row>
    <row r="14" spans="2:39" s="176" customFormat="1" ht="15" thickBot="1" x14ac:dyDescent="0.35">
      <c r="B14" s="175" t="s">
        <v>1250</v>
      </c>
      <c r="F14" s="207"/>
    </row>
    <row r="15" spans="2:39" s="166" customFormat="1" x14ac:dyDescent="0.3">
      <c r="B15" s="171" t="s">
        <v>1224</v>
      </c>
      <c r="C15" s="171" t="s">
        <v>1225</v>
      </c>
      <c r="D15" s="171" t="s">
        <v>1314</v>
      </c>
      <c r="E15" s="171" t="s">
        <v>1315</v>
      </c>
      <c r="F15" s="171" t="s">
        <v>1230</v>
      </c>
      <c r="G15" s="171" t="s">
        <v>1231</v>
      </c>
      <c r="H15" s="166">
        <v>2019</v>
      </c>
      <c r="I15" s="166">
        <v>2020</v>
      </c>
      <c r="J15" s="166">
        <v>2021</v>
      </c>
      <c r="K15" s="166">
        <v>2022</v>
      </c>
      <c r="L15" s="166">
        <v>2023</v>
      </c>
      <c r="M15" s="166">
        <v>2024</v>
      </c>
      <c r="N15" s="166">
        <v>2025</v>
      </c>
      <c r="O15" s="166">
        <v>2026</v>
      </c>
      <c r="P15" s="166">
        <v>2027</v>
      </c>
      <c r="Q15" s="166">
        <v>2028</v>
      </c>
      <c r="R15" s="166">
        <v>2029</v>
      </c>
      <c r="S15" s="166">
        <v>2030</v>
      </c>
      <c r="T15" s="166">
        <v>2031</v>
      </c>
      <c r="U15" s="166">
        <v>2032</v>
      </c>
      <c r="V15" s="166">
        <v>2033</v>
      </c>
      <c r="W15" s="166">
        <v>2034</v>
      </c>
      <c r="X15" s="166">
        <v>2035</v>
      </c>
      <c r="Y15" s="166">
        <v>2036</v>
      </c>
      <c r="Z15" s="166">
        <v>2037</v>
      </c>
      <c r="AA15" s="166">
        <v>2038</v>
      </c>
      <c r="AB15" s="166">
        <v>2039</v>
      </c>
      <c r="AC15" s="166">
        <v>2040</v>
      </c>
      <c r="AD15" s="166">
        <v>2041</v>
      </c>
      <c r="AE15" s="166">
        <v>2042</v>
      </c>
      <c r="AF15" s="166">
        <v>2043</v>
      </c>
      <c r="AG15" s="166">
        <v>2044</v>
      </c>
      <c r="AH15" s="166">
        <v>2045</v>
      </c>
      <c r="AI15" s="166">
        <v>2046</v>
      </c>
      <c r="AJ15" s="166">
        <v>2047</v>
      </c>
      <c r="AK15" s="166">
        <v>2048</v>
      </c>
      <c r="AL15" s="166">
        <v>2049</v>
      </c>
      <c r="AM15" s="166">
        <v>2050</v>
      </c>
    </row>
    <row r="16" spans="2:39" x14ac:dyDescent="0.3">
      <c r="C16" s="161" t="s">
        <v>1058</v>
      </c>
      <c r="E16" t="s">
        <v>1232</v>
      </c>
      <c r="F16" t="s">
        <v>1240</v>
      </c>
      <c r="G16" s="266">
        <f>SUM(T16:AH16)/1000000</f>
        <v>0.34262128725836932</v>
      </c>
      <c r="H16" s="208"/>
      <c r="I16" s="208"/>
      <c r="J16" s="208"/>
      <c r="K16" s="208"/>
      <c r="L16" s="208"/>
      <c r="M16" s="208"/>
      <c r="N16" s="208"/>
      <c r="O16" s="208"/>
      <c r="P16" s="208"/>
      <c r="Q16" s="208"/>
      <c r="R16" s="208"/>
      <c r="T16" s="208">
        <f>VLOOKUP($C16,'MSET pivots'!$B$4:$H$14,$H$2,FALSE)*1000000*$G$6*'MSET pivots'!E$65</f>
        <v>11420.880885066061</v>
      </c>
      <c r="U16" s="208">
        <f>VLOOKUP($C16,'MSET pivots'!$B$4:$H$14,$H$2,FALSE)*1000000*$G$6*'MSET pivots'!F$65</f>
        <v>13052.386351564903</v>
      </c>
      <c r="V16" s="208">
        <f>VLOOKUP($C16,'MSET pivots'!$B$4:$H$14,$H$2,FALSE)*1000000*$G$6*'MSET pivots'!G$65</f>
        <v>14683.891818063747</v>
      </c>
      <c r="W16" s="208">
        <f>VLOOKUP($C16,'MSET pivots'!$B$4:$H$14,$H$2,FALSE)*1000000*$G$6*'MSET pivots'!H$65</f>
        <v>16315.397284562589</v>
      </c>
      <c r="X16" s="208">
        <f>VLOOKUP($C16,'MSET pivots'!$B$4:$H$14,$H$2,FALSE)*1000000*$G$6*'MSET pivots'!I$65</f>
        <v>17946.902751061432</v>
      </c>
      <c r="Y16" s="208">
        <f>VLOOKUP($C16,'MSET pivots'!$B$4:$H$14,$H$2,FALSE)*1000000*$G$6*'MSET pivots'!J$65</f>
        <v>19578.408217560274</v>
      </c>
      <c r="Z16" s="208">
        <f>VLOOKUP($C16,'MSET pivots'!$B$4:$H$14,$H$2,FALSE)*1000000*$G$6*'MSET pivots'!K$65</f>
        <v>21209.91368405912</v>
      </c>
      <c r="AA16" s="208">
        <f>VLOOKUP($C16,'MSET pivots'!$B$4:$H$14,$H$2,FALSE)*1000000*$G$6*'MSET pivots'!L$65</f>
        <v>22841.419150557958</v>
      </c>
      <c r="AB16" s="208">
        <f>VLOOKUP($C16,'MSET pivots'!$B$4:$H$14,$H$2,FALSE)*1000000*$G$6*'MSET pivots'!M$65</f>
        <v>24472.9246170568</v>
      </c>
      <c r="AC16" s="208">
        <f>VLOOKUP($C16,'MSET pivots'!$B$4:$H$14,$H$2,FALSE)*1000000*$G$6*'MSET pivots'!N$65</f>
        <v>26104.430083555642</v>
      </c>
      <c r="AD16" s="208">
        <f>VLOOKUP($C16,'MSET pivots'!$B$4:$H$14,$H$2,FALSE)*1000000*$G$6*'MSET pivots'!O$65</f>
        <v>27735.935550054481</v>
      </c>
      <c r="AE16" s="208">
        <f>VLOOKUP($C16,'MSET pivots'!$B$4:$H$14,$H$2,FALSE)*1000000*$G$6*'MSET pivots'!P$65</f>
        <v>29367.441016553323</v>
      </c>
      <c r="AF16" s="208">
        <f>VLOOKUP($C16,'MSET pivots'!$B$4:$H$14,$H$2,FALSE)*1000000*$G$6*'MSET pivots'!Q$65</f>
        <v>30998.946483052165</v>
      </c>
      <c r="AG16" s="208">
        <f>VLOOKUP($C16,'MSET pivots'!$B$4:$H$14,$H$2,FALSE)*1000000*$G$6*'MSET pivots'!R$65</f>
        <v>32630.451949551003</v>
      </c>
      <c r="AH16" s="208">
        <f>VLOOKUP($C16,'MSET pivots'!$B$4:$H$14,$H$2,FALSE)*1000000*$G$6*'MSET pivots'!S$65</f>
        <v>34261.95741604986</v>
      </c>
    </row>
    <row r="17" spans="3:34" x14ac:dyDescent="0.3">
      <c r="C17" t="s">
        <v>1048</v>
      </c>
      <c r="E17" t="s">
        <v>1232</v>
      </c>
      <c r="F17" t="s">
        <v>1240</v>
      </c>
      <c r="G17" s="266">
        <f t="shared" ref="G17:G19" si="0">SUM(T17:AH17)/1000000</f>
        <v>0.35655057932030099</v>
      </c>
      <c r="H17" s="208"/>
      <c r="I17" s="208"/>
      <c r="J17" s="208"/>
      <c r="K17" s="208"/>
      <c r="L17" s="208"/>
      <c r="M17" s="208"/>
      <c r="N17" s="208"/>
      <c r="O17" s="208"/>
      <c r="P17" s="208"/>
      <c r="Q17" s="208"/>
      <c r="R17" s="208"/>
      <c r="S17" s="208"/>
      <c r="T17" s="208">
        <f>VLOOKUP($C17,'MSET pivots'!$B$4:$H$14,$H$2,FALSE)*1000000*$G$6*'MSET pivots'!E$65</f>
        <v>11885.19758507499</v>
      </c>
      <c r="U17" s="208">
        <f>VLOOKUP($C17,'MSET pivots'!$B$4:$H$14,$H$2,FALSE)*1000000*$G$6*'MSET pivots'!F$65</f>
        <v>13583.03201882905</v>
      </c>
      <c r="V17" s="208">
        <f>VLOOKUP($C17,'MSET pivots'!$B$4:$H$14,$H$2,FALSE)*1000000*$G$6*'MSET pivots'!G$65</f>
        <v>15280.86645258311</v>
      </c>
      <c r="W17" s="208">
        <f>VLOOKUP($C17,'MSET pivots'!$B$4:$H$14,$H$2,FALSE)*1000000*$G$6*'MSET pivots'!H$65</f>
        <v>16978.70088633717</v>
      </c>
      <c r="X17" s="208">
        <f>VLOOKUP($C17,'MSET pivots'!$B$4:$H$14,$H$2,FALSE)*1000000*$G$6*'MSET pivots'!I$65</f>
        <v>18676.535320091229</v>
      </c>
      <c r="Y17" s="208">
        <f>VLOOKUP($C17,'MSET pivots'!$B$4:$H$14,$H$2,FALSE)*1000000*$G$6*'MSET pivots'!J$65</f>
        <v>20374.369753845287</v>
      </c>
      <c r="Z17" s="208">
        <f>VLOOKUP($C17,'MSET pivots'!$B$4:$H$14,$H$2,FALSE)*1000000*$G$6*'MSET pivots'!K$65</f>
        <v>22072.204187599345</v>
      </c>
      <c r="AA17" s="208">
        <f>VLOOKUP($C17,'MSET pivots'!$B$4:$H$14,$H$2,FALSE)*1000000*$G$6*'MSET pivots'!L$65</f>
        <v>23770.038621353404</v>
      </c>
      <c r="AB17" s="208">
        <f>VLOOKUP($C17,'MSET pivots'!$B$4:$H$14,$H$2,FALSE)*1000000*$G$6*'MSET pivots'!M$65</f>
        <v>25467.873055107462</v>
      </c>
      <c r="AC17" s="208">
        <f>VLOOKUP($C17,'MSET pivots'!$B$4:$H$14,$H$2,FALSE)*1000000*$G$6*'MSET pivots'!N$65</f>
        <v>27165.707488861517</v>
      </c>
      <c r="AD17" s="208">
        <f>VLOOKUP($C17,'MSET pivots'!$B$4:$H$14,$H$2,FALSE)*1000000*$G$6*'MSET pivots'!O$65</f>
        <v>28863.541922615575</v>
      </c>
      <c r="AE17" s="208">
        <f>VLOOKUP($C17,'MSET pivots'!$B$4:$H$14,$H$2,FALSE)*1000000*$G$6*'MSET pivots'!P$65</f>
        <v>30561.37635636963</v>
      </c>
      <c r="AF17" s="208">
        <f>VLOOKUP($C17,'MSET pivots'!$B$4:$H$14,$H$2,FALSE)*1000000*$G$6*'MSET pivots'!Q$65</f>
        <v>32259.210790123689</v>
      </c>
      <c r="AG17" s="208">
        <f>VLOOKUP($C17,'MSET pivots'!$B$4:$H$14,$H$2,FALSE)*1000000*$G$6*'MSET pivots'!R$65</f>
        <v>33957.045223877743</v>
      </c>
      <c r="AH17" s="208">
        <f>VLOOKUP($C17,'MSET pivots'!$B$4:$H$14,$H$2,FALSE)*1000000*$G$6*'MSET pivots'!S$65</f>
        <v>35654.87965763182</v>
      </c>
    </row>
    <row r="18" spans="3:34" x14ac:dyDescent="0.3">
      <c r="C18" s="161" t="s">
        <v>1052</v>
      </c>
      <c r="E18" t="s">
        <v>1232</v>
      </c>
      <c r="F18" t="s">
        <v>1240</v>
      </c>
      <c r="G18" s="266">
        <f t="shared" si="0"/>
        <v>0.26441491471299089</v>
      </c>
      <c r="H18" s="208"/>
      <c r="I18" s="208"/>
      <c r="J18" s="208"/>
      <c r="K18" s="208"/>
      <c r="L18" s="208"/>
      <c r="M18" s="208"/>
      <c r="N18" s="208"/>
      <c r="O18" s="208"/>
      <c r="P18" s="208"/>
      <c r="Q18" s="208"/>
      <c r="R18" s="208"/>
      <c r="S18" s="208"/>
      <c r="T18" s="208">
        <f>VLOOKUP($C18,'MSET pivots'!$B$4:$H$14,$H$2,FALSE)*1000000*$G$6*'MSET pivots'!E$65</f>
        <v>8813.9626972293536</v>
      </c>
      <c r="U18" s="208">
        <f>VLOOKUP($C18,'MSET pivots'!$B$4:$H$14,$H$2,FALSE)*1000000*$G$6*'MSET pivots'!F$65</f>
        <v>10073.062452034597</v>
      </c>
      <c r="V18" s="208">
        <f>VLOOKUP($C18,'MSET pivots'!$B$4:$H$14,$H$2,FALSE)*1000000*$G$6*'MSET pivots'!G$65</f>
        <v>11332.162206839841</v>
      </c>
      <c r="W18" s="208">
        <f>VLOOKUP($C18,'MSET pivots'!$B$4:$H$14,$H$2,FALSE)*1000000*$G$6*'MSET pivots'!H$65</f>
        <v>12591.261961645087</v>
      </c>
      <c r="X18" s="208">
        <f>VLOOKUP($C18,'MSET pivots'!$B$4:$H$14,$H$2,FALSE)*1000000*$G$6*'MSET pivots'!I$65</f>
        <v>13850.36171645033</v>
      </c>
      <c r="Y18" s="208">
        <f>VLOOKUP($C18,'MSET pivots'!$B$4:$H$14,$H$2,FALSE)*1000000*$G$6*'MSET pivots'!J$65</f>
        <v>15109.461471255574</v>
      </c>
      <c r="Z18" s="208">
        <f>VLOOKUP($C18,'MSET pivots'!$B$4:$H$14,$H$2,FALSE)*1000000*$G$6*'MSET pivots'!K$65</f>
        <v>16368.56122606082</v>
      </c>
      <c r="AA18" s="208">
        <f>VLOOKUP($C18,'MSET pivots'!$B$4:$H$14,$H$2,FALSE)*1000000*$G$6*'MSET pivots'!L$65</f>
        <v>17627.660980866061</v>
      </c>
      <c r="AB18" s="208">
        <f>VLOOKUP($C18,'MSET pivots'!$B$4:$H$14,$H$2,FALSE)*1000000*$G$6*'MSET pivots'!M$65</f>
        <v>18886.760735671305</v>
      </c>
      <c r="AC18" s="208">
        <f>VLOOKUP($C18,'MSET pivots'!$B$4:$H$14,$H$2,FALSE)*1000000*$G$6*'MSET pivots'!N$65</f>
        <v>20145.860490476545</v>
      </c>
      <c r="AD18" s="208">
        <f>VLOOKUP($C18,'MSET pivots'!$B$4:$H$14,$H$2,FALSE)*1000000*$G$6*'MSET pivots'!O$65</f>
        <v>21404.960245281789</v>
      </c>
      <c r="AE18" s="208">
        <f>VLOOKUP($C18,'MSET pivots'!$B$4:$H$14,$H$2,FALSE)*1000000*$G$6*'MSET pivots'!P$65</f>
        <v>22664.060000087029</v>
      </c>
      <c r="AF18" s="208">
        <f>VLOOKUP($C18,'MSET pivots'!$B$4:$H$14,$H$2,FALSE)*1000000*$G$6*'MSET pivots'!Q$65</f>
        <v>23923.159754892273</v>
      </c>
      <c r="AG18" s="208">
        <f>VLOOKUP($C18,'MSET pivots'!$B$4:$H$14,$H$2,FALSE)*1000000*$G$6*'MSET pivots'!R$65</f>
        <v>25182.259509697516</v>
      </c>
      <c r="AH18" s="208">
        <f>VLOOKUP($C18,'MSET pivots'!$B$4:$H$14,$H$2,FALSE)*1000000*$G$6*'MSET pivots'!S$65</f>
        <v>26441.359264502767</v>
      </c>
    </row>
    <row r="19" spans="3:34" x14ac:dyDescent="0.3">
      <c r="C19" t="s">
        <v>1021</v>
      </c>
      <c r="E19" t="s">
        <v>1232</v>
      </c>
      <c r="F19" t="s">
        <v>1240</v>
      </c>
      <c r="G19" s="266">
        <f t="shared" si="0"/>
        <v>0.32972889902234648</v>
      </c>
      <c r="H19" s="208"/>
      <c r="I19" s="208"/>
      <c r="J19" s="208"/>
      <c r="K19" s="208"/>
      <c r="L19" s="208"/>
      <c r="M19" s="208"/>
      <c r="N19" s="208"/>
      <c r="O19" s="208"/>
      <c r="P19" s="208"/>
      <c r="Q19" s="208"/>
      <c r="R19" s="208"/>
      <c r="S19" s="208">
        <f>'Preliminary results'!$C$31*1000000*G6</f>
        <v>902060.73048874759</v>
      </c>
      <c r="T19" s="208">
        <f>VLOOKUP($C19,'MSET pivots'!$B$4:$H$14,$H$2,FALSE)*1000000*$G$6*'MSET pivots'!E$65</f>
        <v>10991.128164370079</v>
      </c>
      <c r="U19" s="208">
        <f>VLOOKUP($C19,'MSET pivots'!$B$4:$H$14,$H$2,FALSE)*1000000*$G$6*'MSET pivots'!F$65</f>
        <v>12561.24222681575</v>
      </c>
      <c r="V19" s="208">
        <f>VLOOKUP($C19,'MSET pivots'!$B$4:$H$14,$H$2,FALSE)*1000000*$G$6*'MSET pivots'!G$65</f>
        <v>14131.356289261421</v>
      </c>
      <c r="W19" s="208">
        <f>VLOOKUP($C19,'MSET pivots'!$B$4:$H$14,$H$2,FALSE)*1000000*$G$6*'MSET pivots'!H$65</f>
        <v>15701.47035170709</v>
      </c>
      <c r="X19" s="208">
        <f>VLOOKUP($C19,'MSET pivots'!$B$4:$H$14,$H$2,FALSE)*1000000*$G$6*'MSET pivots'!I$65</f>
        <v>17271.584414152763</v>
      </c>
      <c r="Y19" s="208">
        <f>VLOOKUP($C19,'MSET pivots'!$B$4:$H$14,$H$2,FALSE)*1000000*$G$6*'MSET pivots'!J$65</f>
        <v>18841.698476598431</v>
      </c>
      <c r="Z19" s="208">
        <f>VLOOKUP($C19,'MSET pivots'!$B$4:$H$14,$H$2,FALSE)*1000000*$G$6*'MSET pivots'!K$65</f>
        <v>20411.812539044102</v>
      </c>
      <c r="AA19" s="208">
        <f>VLOOKUP($C19,'MSET pivots'!$B$4:$H$14,$H$2,FALSE)*1000000*$G$6*'MSET pivots'!L$65</f>
        <v>21981.926601489769</v>
      </c>
      <c r="AB19" s="208">
        <f>VLOOKUP($C19,'MSET pivots'!$B$4:$H$14,$H$2,FALSE)*1000000*$G$6*'MSET pivots'!M$65</f>
        <v>23552.040663935441</v>
      </c>
      <c r="AC19" s="208">
        <f>VLOOKUP($C19,'MSET pivots'!$B$4:$H$14,$H$2,FALSE)*1000000*$G$6*'MSET pivots'!N$65</f>
        <v>25122.154726381108</v>
      </c>
      <c r="AD19" s="208">
        <f>VLOOKUP($C19,'MSET pivots'!$B$4:$H$14,$H$2,FALSE)*1000000*$G$6*'MSET pivots'!O$65</f>
        <v>26692.268788826776</v>
      </c>
      <c r="AE19" s="208">
        <f>VLOOKUP($C19,'MSET pivots'!$B$4:$H$14,$H$2,FALSE)*1000000*$G$6*'MSET pivots'!P$65</f>
        <v>28262.382851272443</v>
      </c>
      <c r="AF19" s="208">
        <f>VLOOKUP($C19,'MSET pivots'!$B$4:$H$14,$H$2,FALSE)*1000000*$G$6*'MSET pivots'!Q$65</f>
        <v>29832.496913718114</v>
      </c>
      <c r="AG19" s="208">
        <f>VLOOKUP($C19,'MSET pivots'!$B$4:$H$14,$H$2,FALSE)*1000000*$G$6*'MSET pivots'!R$65</f>
        <v>31402.610976163782</v>
      </c>
      <c r="AH19" s="208">
        <f>VLOOKUP($C19,'MSET pivots'!$B$4:$H$14,$H$2,FALSE)*1000000*$G$6*'MSET pivots'!S$65</f>
        <v>32972.72503860946</v>
      </c>
    </row>
    <row r="20" spans="3:34" x14ac:dyDescent="0.3">
      <c r="F20" s="205"/>
      <c r="H20" s="208"/>
      <c r="I20" s="208"/>
      <c r="J20" s="208"/>
      <c r="K20" s="208"/>
      <c r="L20" s="208"/>
      <c r="M20" s="208"/>
      <c r="N20" s="208"/>
      <c r="O20" s="208"/>
      <c r="P20" s="208"/>
      <c r="Q20" s="208"/>
      <c r="R20" s="208"/>
      <c r="S20" s="208"/>
      <c r="T20" s="208"/>
      <c r="U20" s="208"/>
      <c r="V20" s="208"/>
      <c r="W20" s="208"/>
      <c r="X20" s="208"/>
      <c r="Y20" s="208"/>
      <c r="Z20" s="208"/>
      <c r="AA20" s="208"/>
      <c r="AB20" s="208"/>
      <c r="AC20" s="208"/>
    </row>
    <row r="21" spans="3:34" x14ac:dyDescent="0.3">
      <c r="F21" s="205"/>
      <c r="H21" s="208"/>
      <c r="I21" s="208"/>
      <c r="J21" s="208"/>
      <c r="K21" s="208"/>
      <c r="L21" s="208"/>
      <c r="M21" s="208"/>
      <c r="N21" s="208"/>
      <c r="O21" s="208"/>
      <c r="P21" s="208"/>
      <c r="Q21" s="208"/>
      <c r="R21" s="208"/>
      <c r="S21" s="208"/>
      <c r="T21" s="208"/>
      <c r="U21" s="208"/>
      <c r="V21" s="208"/>
      <c r="W21" s="208"/>
      <c r="X21" s="208"/>
      <c r="Y21" s="208"/>
      <c r="Z21" s="208"/>
      <c r="AA21" s="208"/>
      <c r="AB21" s="208"/>
      <c r="AC21" s="208"/>
    </row>
    <row r="22" spans="3:34" x14ac:dyDescent="0.3">
      <c r="F22" s="205"/>
      <c r="H22" s="208"/>
      <c r="I22" s="208"/>
      <c r="J22" s="208"/>
      <c r="K22" s="208"/>
      <c r="L22" s="208"/>
      <c r="M22" s="208"/>
      <c r="N22" s="208"/>
      <c r="O22" s="208"/>
      <c r="P22" s="208"/>
      <c r="Q22" s="208"/>
      <c r="R22" s="208"/>
      <c r="S22" s="208"/>
      <c r="T22" s="208"/>
      <c r="U22" s="208"/>
      <c r="V22" s="208"/>
      <c r="W22" s="208"/>
      <c r="X22" s="208"/>
      <c r="Y22" s="208"/>
      <c r="Z22" s="208"/>
      <c r="AA22" s="208"/>
      <c r="AB22" s="208"/>
      <c r="AC22" s="208"/>
    </row>
    <row r="23" spans="3:34" x14ac:dyDescent="0.3">
      <c r="F23" s="205"/>
      <c r="G23" s="182"/>
      <c r="H23" s="208"/>
      <c r="I23" s="208"/>
      <c r="J23" s="208"/>
      <c r="K23" s="208"/>
      <c r="L23" s="208"/>
      <c r="M23" s="208"/>
      <c r="N23" s="208"/>
      <c r="O23" s="208"/>
      <c r="P23" s="208"/>
      <c r="Q23" s="208"/>
      <c r="R23" s="208"/>
      <c r="S23" s="208"/>
      <c r="T23" s="208"/>
      <c r="U23" s="208"/>
      <c r="V23" s="208"/>
      <c r="W23" s="208"/>
      <c r="X23" s="208"/>
      <c r="Y23" s="208"/>
      <c r="Z23" s="208"/>
      <c r="AA23" s="208"/>
      <c r="AB23" s="208"/>
      <c r="AC23" s="208"/>
    </row>
    <row r="24" spans="3:34" x14ac:dyDescent="0.3">
      <c r="F24" s="205"/>
      <c r="H24" s="208"/>
      <c r="I24" s="208"/>
      <c r="J24" s="208"/>
      <c r="K24" s="208"/>
      <c r="L24" s="208"/>
      <c r="M24" s="208"/>
      <c r="N24" s="208"/>
      <c r="O24" s="208"/>
      <c r="P24" s="208"/>
      <c r="Q24" s="208"/>
      <c r="R24" s="208"/>
      <c r="S24" s="208"/>
      <c r="T24" s="208"/>
      <c r="U24" s="208"/>
      <c r="V24" s="208"/>
      <c r="W24" s="208"/>
      <c r="X24" s="208"/>
      <c r="Y24" s="208"/>
      <c r="Z24" s="208"/>
      <c r="AA24" s="208"/>
      <c r="AB24" s="208"/>
      <c r="AC24" s="208"/>
    </row>
    <row r="25" spans="3:34" x14ac:dyDescent="0.3">
      <c r="F25" s="205"/>
      <c r="H25" s="208"/>
      <c r="I25" s="208"/>
      <c r="J25" s="208"/>
      <c r="K25" s="208"/>
      <c r="L25" s="208"/>
      <c r="M25" s="208"/>
      <c r="N25" s="208"/>
      <c r="O25" s="208"/>
      <c r="P25" s="208"/>
      <c r="Q25" s="208"/>
      <c r="R25" s="208"/>
      <c r="S25" s="208"/>
      <c r="T25" s="208"/>
      <c r="U25" s="208"/>
      <c r="V25" s="208"/>
      <c r="W25" s="208"/>
      <c r="X25" s="208"/>
      <c r="Y25" s="208"/>
      <c r="Z25" s="208"/>
      <c r="AA25" s="208"/>
      <c r="AB25" s="208"/>
      <c r="AC25" s="208"/>
    </row>
    <row r="26" spans="3:34" x14ac:dyDescent="0.3">
      <c r="F26" s="205"/>
      <c r="H26" s="208"/>
      <c r="I26" s="208"/>
      <c r="J26" s="208"/>
      <c r="K26" s="208"/>
      <c r="L26" s="208"/>
      <c r="M26" s="208"/>
      <c r="N26" s="208"/>
      <c r="O26" s="208"/>
      <c r="P26" s="208"/>
      <c r="Q26" s="208"/>
      <c r="R26" s="208"/>
      <c r="S26" s="208"/>
      <c r="T26" s="208"/>
      <c r="U26" s="208"/>
      <c r="V26" s="208"/>
      <c r="W26" s="208"/>
      <c r="X26" s="208"/>
      <c r="Y26" s="208"/>
      <c r="Z26" s="208"/>
      <c r="AA26" s="208"/>
      <c r="AB26" s="208"/>
      <c r="AC26" s="208"/>
    </row>
    <row r="27" spans="3:34" x14ac:dyDescent="0.3">
      <c r="F27" s="205"/>
      <c r="H27" s="208"/>
      <c r="I27" s="208"/>
      <c r="J27" s="208"/>
      <c r="K27" s="208"/>
      <c r="L27" s="208"/>
      <c r="M27" s="208"/>
      <c r="N27" s="208"/>
      <c r="O27" s="208"/>
      <c r="P27" s="208"/>
      <c r="Q27" s="208"/>
      <c r="R27" s="208"/>
      <c r="S27" s="208"/>
      <c r="T27" s="208"/>
      <c r="U27" s="208"/>
      <c r="V27" s="208"/>
      <c r="W27" s="208"/>
      <c r="X27" s="208"/>
      <c r="Y27" s="208"/>
      <c r="Z27" s="208"/>
      <c r="AA27" s="208"/>
      <c r="AB27" s="208"/>
      <c r="AC27" s="208"/>
    </row>
    <row r="28" spans="3:34" x14ac:dyDescent="0.3">
      <c r="F28" s="205"/>
      <c r="H28" s="208"/>
      <c r="I28" s="208"/>
      <c r="J28" s="208"/>
      <c r="K28" s="208"/>
      <c r="L28" s="208"/>
      <c r="M28" s="208"/>
      <c r="N28" s="208"/>
      <c r="O28" s="208"/>
      <c r="P28" s="208"/>
      <c r="Q28" s="208"/>
      <c r="R28" s="208"/>
      <c r="S28" s="208"/>
      <c r="T28" s="208"/>
      <c r="U28" s="208"/>
      <c r="V28" s="208"/>
      <c r="W28" s="208"/>
      <c r="X28" s="208"/>
      <c r="Y28" s="208"/>
      <c r="Z28" s="208"/>
      <c r="AA28" s="208"/>
      <c r="AB28" s="208"/>
      <c r="AC28" s="208"/>
    </row>
    <row r="29" spans="3:34" x14ac:dyDescent="0.3">
      <c r="F29" s="205"/>
      <c r="H29" s="209"/>
      <c r="I29" s="209"/>
      <c r="J29" s="209"/>
      <c r="K29" s="209"/>
      <c r="L29" s="209"/>
      <c r="M29" s="209"/>
      <c r="N29" s="209"/>
      <c r="O29" s="209"/>
      <c r="P29" s="209"/>
      <c r="Q29" s="209"/>
      <c r="R29" s="209"/>
      <c r="S29" s="209"/>
      <c r="T29" s="209"/>
      <c r="U29" s="209"/>
      <c r="V29" s="209"/>
      <c r="W29" s="209"/>
      <c r="X29" s="209"/>
      <c r="Y29" s="209"/>
      <c r="Z29" s="209"/>
      <c r="AA29" s="209"/>
      <c r="AB29" s="209"/>
      <c r="AC29" s="209"/>
    </row>
    <row r="30" spans="3:34" x14ac:dyDescent="0.3">
      <c r="F30" s="205"/>
    </row>
    <row r="31" spans="3:34" x14ac:dyDescent="0.3">
      <c r="F31" s="205"/>
    </row>
    <row r="32" spans="3:34" x14ac:dyDescent="0.3">
      <c r="F32" s="205"/>
    </row>
    <row r="33" spans="6:6" x14ac:dyDescent="0.3">
      <c r="F33" s="205"/>
    </row>
    <row r="34" spans="6:6" x14ac:dyDescent="0.3">
      <c r="F34" s="205"/>
    </row>
    <row r="35" spans="6:6" x14ac:dyDescent="0.3">
      <c r="F35" s="205"/>
    </row>
    <row r="36" spans="6:6" x14ac:dyDescent="0.3">
      <c r="F36" s="205"/>
    </row>
    <row r="37" spans="6:6" x14ac:dyDescent="0.3">
      <c r="F37" s="205"/>
    </row>
    <row r="38" spans="6:6" x14ac:dyDescent="0.3">
      <c r="F38" s="205"/>
    </row>
    <row r="39" spans="6:6" x14ac:dyDescent="0.3">
      <c r="F39" s="205"/>
    </row>
    <row r="40" spans="6:6" x14ac:dyDescent="0.3">
      <c r="F40" s="205"/>
    </row>
    <row r="41" spans="6:6" x14ac:dyDescent="0.3">
      <c r="F41" s="205"/>
    </row>
    <row r="42" spans="6:6" x14ac:dyDescent="0.3">
      <c r="F42" s="205"/>
    </row>
    <row r="43" spans="6:6" x14ac:dyDescent="0.3">
      <c r="F43" s="205"/>
    </row>
    <row r="44" spans="6:6" x14ac:dyDescent="0.3">
      <c r="F44" s="205"/>
    </row>
    <row r="45" spans="6:6" x14ac:dyDescent="0.3">
      <c r="F45" s="205"/>
    </row>
    <row r="46" spans="6:6" x14ac:dyDescent="0.3">
      <c r="F46" s="205"/>
    </row>
    <row r="47" spans="6:6" x14ac:dyDescent="0.3">
      <c r="F47" s="205"/>
    </row>
    <row r="48" spans="6:6" x14ac:dyDescent="0.3">
      <c r="F48" s="205"/>
    </row>
    <row r="49" spans="6:6" x14ac:dyDescent="0.3">
      <c r="F49" s="205"/>
    </row>
    <row r="50" spans="6:6" x14ac:dyDescent="0.3">
      <c r="F50" s="205"/>
    </row>
    <row r="51" spans="6:6" x14ac:dyDescent="0.3">
      <c r="F51" s="205"/>
    </row>
    <row r="52" spans="6:6" x14ac:dyDescent="0.3">
      <c r="F52" s="205"/>
    </row>
    <row r="53" spans="6:6" x14ac:dyDescent="0.3">
      <c r="F53" s="205"/>
    </row>
    <row r="54" spans="6:6" x14ac:dyDescent="0.3">
      <c r="F54" s="205"/>
    </row>
    <row r="55" spans="6:6" x14ac:dyDescent="0.3">
      <c r="F55" s="205"/>
    </row>
    <row r="56" spans="6:6" x14ac:dyDescent="0.3">
      <c r="F56" s="205"/>
    </row>
    <row r="57" spans="6:6" x14ac:dyDescent="0.3">
      <c r="F57" s="205"/>
    </row>
    <row r="58" spans="6:6" x14ac:dyDescent="0.3">
      <c r="F58" s="205"/>
    </row>
    <row r="59" spans="6:6" x14ac:dyDescent="0.3">
      <c r="F59" s="205"/>
    </row>
    <row r="60" spans="6:6" x14ac:dyDescent="0.3">
      <c r="F60" s="205"/>
    </row>
    <row r="61" spans="6:6" x14ac:dyDescent="0.3">
      <c r="F61" s="205"/>
    </row>
    <row r="62" spans="6:6" x14ac:dyDescent="0.3">
      <c r="F62" s="205"/>
    </row>
    <row r="63" spans="6:6" x14ac:dyDescent="0.3">
      <c r="F63" s="205"/>
    </row>
    <row r="64" spans="6:6" x14ac:dyDescent="0.3">
      <c r="F64" s="205"/>
    </row>
    <row r="65" spans="6:6" x14ac:dyDescent="0.3">
      <c r="F65" s="205"/>
    </row>
    <row r="66" spans="6:6" x14ac:dyDescent="0.3">
      <c r="F66" s="205"/>
    </row>
    <row r="67" spans="6:6" x14ac:dyDescent="0.3">
      <c r="F67" s="205"/>
    </row>
    <row r="68" spans="6:6" x14ac:dyDescent="0.3">
      <c r="F68" s="205"/>
    </row>
    <row r="69" spans="6:6" x14ac:dyDescent="0.3">
      <c r="F69" s="205"/>
    </row>
    <row r="70" spans="6:6" x14ac:dyDescent="0.3">
      <c r="F70" s="205"/>
    </row>
    <row r="71" spans="6:6" x14ac:dyDescent="0.3">
      <c r="F71" s="205"/>
    </row>
    <row r="72" spans="6:6" x14ac:dyDescent="0.3">
      <c r="F72" s="205"/>
    </row>
    <row r="73" spans="6:6" x14ac:dyDescent="0.3">
      <c r="F73" s="205"/>
    </row>
    <row r="74" spans="6:6" x14ac:dyDescent="0.3">
      <c r="F74" s="205"/>
    </row>
    <row r="75" spans="6:6" x14ac:dyDescent="0.3">
      <c r="F75" s="205"/>
    </row>
    <row r="76" spans="6:6" x14ac:dyDescent="0.3">
      <c r="F76" s="205"/>
    </row>
    <row r="77" spans="6:6" x14ac:dyDescent="0.3">
      <c r="F77" s="205"/>
    </row>
    <row r="78" spans="6:6" x14ac:dyDescent="0.3">
      <c r="F78" s="205"/>
    </row>
    <row r="79" spans="6:6" x14ac:dyDescent="0.3">
      <c r="F79" s="205"/>
    </row>
    <row r="80" spans="6:6" x14ac:dyDescent="0.3">
      <c r="F80" s="205"/>
    </row>
    <row r="81" spans="6:6" x14ac:dyDescent="0.3">
      <c r="F81" s="205"/>
    </row>
    <row r="82" spans="6:6" x14ac:dyDescent="0.3">
      <c r="F82" s="205"/>
    </row>
    <row r="83" spans="6:6" x14ac:dyDescent="0.3">
      <c r="F83" s="205"/>
    </row>
    <row r="84" spans="6:6" x14ac:dyDescent="0.3">
      <c r="F84" s="205"/>
    </row>
    <row r="85" spans="6:6" x14ac:dyDescent="0.3">
      <c r="F85" s="205"/>
    </row>
    <row r="86" spans="6:6" x14ac:dyDescent="0.3">
      <c r="F86" s="205"/>
    </row>
    <row r="87" spans="6:6" x14ac:dyDescent="0.3">
      <c r="F87" s="205"/>
    </row>
    <row r="88" spans="6:6" x14ac:dyDescent="0.3">
      <c r="F88" s="205"/>
    </row>
    <row r="89" spans="6:6" x14ac:dyDescent="0.3">
      <c r="F89" s="205"/>
    </row>
    <row r="90" spans="6:6" x14ac:dyDescent="0.3">
      <c r="F90" s="205"/>
    </row>
    <row r="91" spans="6:6" x14ac:dyDescent="0.3">
      <c r="F91" s="205"/>
    </row>
    <row r="92" spans="6:6" x14ac:dyDescent="0.3">
      <c r="F92" s="205"/>
    </row>
    <row r="93" spans="6:6" x14ac:dyDescent="0.3">
      <c r="F93" s="205"/>
    </row>
    <row r="94" spans="6:6" x14ac:dyDescent="0.3">
      <c r="F94" s="205"/>
    </row>
    <row r="95" spans="6:6" x14ac:dyDescent="0.3">
      <c r="F95" s="205"/>
    </row>
    <row r="96" spans="6:6" x14ac:dyDescent="0.3">
      <c r="F96" s="205"/>
    </row>
    <row r="97" spans="6:6" x14ac:dyDescent="0.3">
      <c r="F97" s="205"/>
    </row>
    <row r="98" spans="6:6" x14ac:dyDescent="0.3">
      <c r="F98" s="205"/>
    </row>
    <row r="99" spans="6:6" x14ac:dyDescent="0.3">
      <c r="F99" s="205"/>
    </row>
    <row r="100" spans="6:6" x14ac:dyDescent="0.3">
      <c r="F100" s="205"/>
    </row>
    <row r="101" spans="6:6" x14ac:dyDescent="0.3">
      <c r="F101" s="205"/>
    </row>
    <row r="102" spans="6:6" x14ac:dyDescent="0.3">
      <c r="F102" s="205"/>
    </row>
    <row r="103" spans="6:6" x14ac:dyDescent="0.3">
      <c r="F103" s="205"/>
    </row>
    <row r="104" spans="6:6" x14ac:dyDescent="0.3">
      <c r="F104" s="205"/>
    </row>
    <row r="105" spans="6:6" x14ac:dyDescent="0.3">
      <c r="F105" s="205"/>
    </row>
    <row r="106" spans="6:6" x14ac:dyDescent="0.3">
      <c r="F106" s="205"/>
    </row>
    <row r="107" spans="6:6" x14ac:dyDescent="0.3">
      <c r="F107" s="205"/>
    </row>
    <row r="108" spans="6:6" x14ac:dyDescent="0.3">
      <c r="F108" s="205"/>
    </row>
    <row r="109" spans="6:6" x14ac:dyDescent="0.3">
      <c r="F109" s="205"/>
    </row>
    <row r="110" spans="6:6" x14ac:dyDescent="0.3">
      <c r="F110" s="205"/>
    </row>
    <row r="111" spans="6:6" x14ac:dyDescent="0.3">
      <c r="F111" s="205"/>
    </row>
    <row r="112" spans="6:6" x14ac:dyDescent="0.3">
      <c r="F112" s="205"/>
    </row>
    <row r="113" spans="6:6" x14ac:dyDescent="0.3">
      <c r="F113" s="205"/>
    </row>
    <row r="114" spans="6:6" x14ac:dyDescent="0.3">
      <c r="F114" s="205"/>
    </row>
    <row r="115" spans="6:6" x14ac:dyDescent="0.3">
      <c r="F115" s="205"/>
    </row>
    <row r="116" spans="6:6" x14ac:dyDescent="0.3">
      <c r="F116" s="205"/>
    </row>
    <row r="117" spans="6:6" x14ac:dyDescent="0.3">
      <c r="F117" s="205"/>
    </row>
    <row r="118" spans="6:6" x14ac:dyDescent="0.3">
      <c r="F118" s="205"/>
    </row>
    <row r="119" spans="6:6" x14ac:dyDescent="0.3">
      <c r="F119" s="205"/>
    </row>
    <row r="120" spans="6:6" x14ac:dyDescent="0.3">
      <c r="F120" s="205"/>
    </row>
    <row r="121" spans="6:6" x14ac:dyDescent="0.3">
      <c r="F121" s="205"/>
    </row>
    <row r="122" spans="6:6" x14ac:dyDescent="0.3">
      <c r="F122" s="205"/>
    </row>
    <row r="123" spans="6:6" x14ac:dyDescent="0.3">
      <c r="F123" s="205"/>
    </row>
    <row r="124" spans="6:6" x14ac:dyDescent="0.3">
      <c r="F124" s="205"/>
    </row>
    <row r="125" spans="6:6" x14ac:dyDescent="0.3">
      <c r="F125" s="205"/>
    </row>
    <row r="126" spans="6:6" x14ac:dyDescent="0.3">
      <c r="F126" s="205"/>
    </row>
    <row r="127" spans="6:6" x14ac:dyDescent="0.3">
      <c r="F127" s="205"/>
    </row>
    <row r="128" spans="6:6" x14ac:dyDescent="0.3">
      <c r="F128" s="205"/>
    </row>
    <row r="129" spans="6:6" x14ac:dyDescent="0.3">
      <c r="F129" s="205"/>
    </row>
    <row r="130" spans="6:6" x14ac:dyDescent="0.3">
      <c r="F130" s="205"/>
    </row>
    <row r="131" spans="6:6" x14ac:dyDescent="0.3">
      <c r="F131" s="205"/>
    </row>
    <row r="132" spans="6:6" x14ac:dyDescent="0.3">
      <c r="F132" s="205"/>
    </row>
    <row r="133" spans="6:6" x14ac:dyDescent="0.3">
      <c r="F133" s="205"/>
    </row>
    <row r="134" spans="6:6" x14ac:dyDescent="0.3">
      <c r="F134" s="205"/>
    </row>
    <row r="135" spans="6:6" x14ac:dyDescent="0.3">
      <c r="F135" s="205"/>
    </row>
    <row r="136" spans="6:6" x14ac:dyDescent="0.3">
      <c r="F136" s="205"/>
    </row>
    <row r="137" spans="6:6" x14ac:dyDescent="0.3">
      <c r="F137" s="205"/>
    </row>
    <row r="138" spans="6:6" x14ac:dyDescent="0.3">
      <c r="F138" s="205"/>
    </row>
    <row r="139" spans="6:6" x14ac:dyDescent="0.3">
      <c r="F139" s="205"/>
    </row>
    <row r="140" spans="6:6" x14ac:dyDescent="0.3">
      <c r="F140" s="205"/>
    </row>
    <row r="141" spans="6:6" x14ac:dyDescent="0.3">
      <c r="F141" s="205"/>
    </row>
    <row r="142" spans="6:6" x14ac:dyDescent="0.3">
      <c r="F142" s="205"/>
    </row>
    <row r="143" spans="6:6" x14ac:dyDescent="0.3">
      <c r="F143" s="205"/>
    </row>
    <row r="144" spans="6:6" x14ac:dyDescent="0.3">
      <c r="F144" s="205"/>
    </row>
    <row r="145" spans="6:6" x14ac:dyDescent="0.3">
      <c r="F145" s="205"/>
    </row>
    <row r="146" spans="6:6" x14ac:dyDescent="0.3">
      <c r="F146" s="205"/>
    </row>
    <row r="147" spans="6:6" x14ac:dyDescent="0.3">
      <c r="F147" s="205"/>
    </row>
    <row r="148" spans="6:6" x14ac:dyDescent="0.3">
      <c r="F148" s="205"/>
    </row>
    <row r="149" spans="6:6" x14ac:dyDescent="0.3">
      <c r="F149" s="205"/>
    </row>
    <row r="150" spans="6:6" x14ac:dyDescent="0.3">
      <c r="F150" s="205"/>
    </row>
    <row r="151" spans="6:6" x14ac:dyDescent="0.3">
      <c r="F151" s="205"/>
    </row>
    <row r="152" spans="6:6" x14ac:dyDescent="0.3">
      <c r="F152" s="205"/>
    </row>
    <row r="153" spans="6:6" x14ac:dyDescent="0.3">
      <c r="F153" s="205"/>
    </row>
    <row r="154" spans="6:6" x14ac:dyDescent="0.3">
      <c r="F154" s="205"/>
    </row>
    <row r="155" spans="6:6" x14ac:dyDescent="0.3">
      <c r="F155" s="205"/>
    </row>
    <row r="156" spans="6:6" x14ac:dyDescent="0.3">
      <c r="F156" s="205"/>
    </row>
    <row r="157" spans="6:6" x14ac:dyDescent="0.3">
      <c r="F157" s="205"/>
    </row>
    <row r="158" spans="6:6" x14ac:dyDescent="0.3">
      <c r="F158" s="205"/>
    </row>
    <row r="159" spans="6:6" x14ac:dyDescent="0.3">
      <c r="F159" s="205"/>
    </row>
    <row r="160" spans="6:6" x14ac:dyDescent="0.3">
      <c r="F160" s="205"/>
    </row>
    <row r="161" spans="6:6" x14ac:dyDescent="0.3">
      <c r="F161" s="205"/>
    </row>
    <row r="162" spans="6:6" x14ac:dyDescent="0.3">
      <c r="F162" s="205"/>
    </row>
    <row r="163" spans="6:6" x14ac:dyDescent="0.3">
      <c r="F163" s="205"/>
    </row>
    <row r="164" spans="6:6" x14ac:dyDescent="0.3">
      <c r="F164" s="205"/>
    </row>
    <row r="165" spans="6:6" x14ac:dyDescent="0.3">
      <c r="F165" s="205"/>
    </row>
    <row r="166" spans="6:6" x14ac:dyDescent="0.3">
      <c r="F166" s="205"/>
    </row>
    <row r="167" spans="6:6" x14ac:dyDescent="0.3">
      <c r="F167" s="205"/>
    </row>
    <row r="168" spans="6:6" x14ac:dyDescent="0.3">
      <c r="F168" s="205"/>
    </row>
    <row r="169" spans="6:6" x14ac:dyDescent="0.3">
      <c r="F169" s="205"/>
    </row>
    <row r="170" spans="6:6" x14ac:dyDescent="0.3">
      <c r="F170" s="205"/>
    </row>
    <row r="171" spans="6:6" x14ac:dyDescent="0.3">
      <c r="F171" s="205"/>
    </row>
    <row r="172" spans="6:6" x14ac:dyDescent="0.3">
      <c r="F172" s="205"/>
    </row>
    <row r="173" spans="6:6" x14ac:dyDescent="0.3">
      <c r="F173" s="205"/>
    </row>
    <row r="174" spans="6:6" x14ac:dyDescent="0.3">
      <c r="F174" s="205"/>
    </row>
    <row r="175" spans="6:6" x14ac:dyDescent="0.3">
      <c r="F175" s="205"/>
    </row>
    <row r="176" spans="6:6" x14ac:dyDescent="0.3">
      <c r="F176" s="205"/>
    </row>
    <row r="177" spans="6:6" x14ac:dyDescent="0.3">
      <c r="F177" s="205"/>
    </row>
    <row r="178" spans="6:6" x14ac:dyDescent="0.3">
      <c r="F178" s="205"/>
    </row>
    <row r="179" spans="6:6" x14ac:dyDescent="0.3">
      <c r="F179" s="205"/>
    </row>
    <row r="180" spans="6:6" x14ac:dyDescent="0.3">
      <c r="F180" s="205"/>
    </row>
    <row r="181" spans="6:6" x14ac:dyDescent="0.3">
      <c r="F181" s="205"/>
    </row>
    <row r="182" spans="6:6" x14ac:dyDescent="0.3">
      <c r="F182" s="205"/>
    </row>
    <row r="183" spans="6:6" x14ac:dyDescent="0.3">
      <c r="F183" s="205"/>
    </row>
    <row r="184" spans="6:6" x14ac:dyDescent="0.3">
      <c r="F184" s="205"/>
    </row>
    <row r="185" spans="6:6" x14ac:dyDescent="0.3">
      <c r="F185" s="205"/>
    </row>
    <row r="186" spans="6:6" x14ac:dyDescent="0.3">
      <c r="F186" s="205"/>
    </row>
    <row r="187" spans="6:6" x14ac:dyDescent="0.3">
      <c r="F187" s="205"/>
    </row>
    <row r="188" spans="6:6" x14ac:dyDescent="0.3">
      <c r="F188" s="205"/>
    </row>
    <row r="189" spans="6:6" x14ac:dyDescent="0.3">
      <c r="F189" s="205"/>
    </row>
    <row r="190" spans="6:6" x14ac:dyDescent="0.3">
      <c r="F190" s="205"/>
    </row>
    <row r="191" spans="6:6" x14ac:dyDescent="0.3">
      <c r="F191" s="205"/>
    </row>
    <row r="192" spans="6:6" x14ac:dyDescent="0.3">
      <c r="F192" s="205"/>
    </row>
    <row r="193" spans="6:6" x14ac:dyDescent="0.3">
      <c r="F193" s="205"/>
    </row>
    <row r="194" spans="6:6" x14ac:dyDescent="0.3">
      <c r="F194" s="205"/>
    </row>
    <row r="195" spans="6:6" x14ac:dyDescent="0.3">
      <c r="F195" s="205"/>
    </row>
    <row r="196" spans="6:6" x14ac:dyDescent="0.3">
      <c r="F196" s="205"/>
    </row>
    <row r="197" spans="6:6" x14ac:dyDescent="0.3">
      <c r="F197" s="205"/>
    </row>
    <row r="198" spans="6:6" x14ac:dyDescent="0.3">
      <c r="F198" s="205"/>
    </row>
    <row r="199" spans="6:6" x14ac:dyDescent="0.3">
      <c r="F199" s="205"/>
    </row>
    <row r="200" spans="6:6" x14ac:dyDescent="0.3">
      <c r="F200" s="205"/>
    </row>
    <row r="201" spans="6:6" x14ac:dyDescent="0.3">
      <c r="F201" s="205"/>
    </row>
    <row r="202" spans="6:6" x14ac:dyDescent="0.3">
      <c r="F202" s="205"/>
    </row>
    <row r="203" spans="6:6" x14ac:dyDescent="0.3">
      <c r="F203" s="205"/>
    </row>
    <row r="204" spans="6:6" x14ac:dyDescent="0.3">
      <c r="F204" s="205"/>
    </row>
    <row r="205" spans="6:6" x14ac:dyDescent="0.3">
      <c r="F205" s="205"/>
    </row>
    <row r="206" spans="6:6" x14ac:dyDescent="0.3">
      <c r="F206" s="205"/>
    </row>
    <row r="207" spans="6:6" x14ac:dyDescent="0.3">
      <c r="F207" s="205"/>
    </row>
    <row r="208" spans="6:6" x14ac:dyDescent="0.3">
      <c r="F208" s="205"/>
    </row>
    <row r="209" spans="6:6" x14ac:dyDescent="0.3">
      <c r="F209" s="205"/>
    </row>
    <row r="210" spans="6:6" x14ac:dyDescent="0.3">
      <c r="F210" s="205"/>
    </row>
    <row r="211" spans="6:6" x14ac:dyDescent="0.3">
      <c r="F211" s="205"/>
    </row>
    <row r="212" spans="6:6" x14ac:dyDescent="0.3">
      <c r="F212" s="205"/>
    </row>
    <row r="213" spans="6:6" x14ac:dyDescent="0.3">
      <c r="F213" s="205"/>
    </row>
    <row r="214" spans="6:6" x14ac:dyDescent="0.3">
      <c r="F214" s="205"/>
    </row>
    <row r="215" spans="6:6" x14ac:dyDescent="0.3">
      <c r="F215" s="205"/>
    </row>
    <row r="216" spans="6:6" x14ac:dyDescent="0.3">
      <c r="F216" s="205"/>
    </row>
    <row r="217" spans="6:6" x14ac:dyDescent="0.3">
      <c r="F217" s="205"/>
    </row>
    <row r="218" spans="6:6" x14ac:dyDescent="0.3">
      <c r="F218" s="205"/>
    </row>
    <row r="219" spans="6:6" x14ac:dyDescent="0.3">
      <c r="F219" s="205"/>
    </row>
    <row r="220" spans="6:6" x14ac:dyDescent="0.3">
      <c r="F220" s="205"/>
    </row>
    <row r="221" spans="6:6" x14ac:dyDescent="0.3">
      <c r="F221" s="205"/>
    </row>
    <row r="222" spans="6:6" x14ac:dyDescent="0.3">
      <c r="F222" s="205"/>
    </row>
    <row r="223" spans="6:6" x14ac:dyDescent="0.3">
      <c r="F223" s="205"/>
    </row>
    <row r="224" spans="6:6" x14ac:dyDescent="0.3">
      <c r="F224" s="205"/>
    </row>
    <row r="225" spans="6:6" x14ac:dyDescent="0.3">
      <c r="F225" s="205"/>
    </row>
    <row r="226" spans="6:6" x14ac:dyDescent="0.3">
      <c r="F226" s="205"/>
    </row>
    <row r="227" spans="6:6" x14ac:dyDescent="0.3">
      <c r="F227" s="205"/>
    </row>
    <row r="228" spans="6:6" x14ac:dyDescent="0.3">
      <c r="F228" s="205"/>
    </row>
    <row r="229" spans="6:6" x14ac:dyDescent="0.3">
      <c r="F229" s="205"/>
    </row>
    <row r="230" spans="6:6" x14ac:dyDescent="0.3">
      <c r="F230" s="205"/>
    </row>
    <row r="231" spans="6:6" x14ac:dyDescent="0.3">
      <c r="F231" s="205"/>
    </row>
    <row r="232" spans="6:6" x14ac:dyDescent="0.3">
      <c r="F232" s="205"/>
    </row>
    <row r="233" spans="6:6" x14ac:dyDescent="0.3">
      <c r="F233" s="205"/>
    </row>
    <row r="234" spans="6:6" x14ac:dyDescent="0.3">
      <c r="F234" s="205"/>
    </row>
    <row r="235" spans="6:6" x14ac:dyDescent="0.3">
      <c r="F235" s="205"/>
    </row>
    <row r="236" spans="6:6" x14ac:dyDescent="0.3">
      <c r="F236" s="205"/>
    </row>
    <row r="237" spans="6:6" x14ac:dyDescent="0.3">
      <c r="F237" s="205"/>
    </row>
    <row r="238" spans="6:6" x14ac:dyDescent="0.3">
      <c r="F238" s="205"/>
    </row>
    <row r="239" spans="6:6" x14ac:dyDescent="0.3">
      <c r="F239" s="205"/>
    </row>
    <row r="240" spans="6:6" x14ac:dyDescent="0.3">
      <c r="F240" s="205"/>
    </row>
    <row r="241" spans="6:6" x14ac:dyDescent="0.3">
      <c r="F241" s="205"/>
    </row>
    <row r="242" spans="6:6" x14ac:dyDescent="0.3">
      <c r="F242" s="205"/>
    </row>
    <row r="243" spans="6:6" x14ac:dyDescent="0.3">
      <c r="F243" s="205"/>
    </row>
    <row r="244" spans="6:6" x14ac:dyDescent="0.3">
      <c r="F244" s="205"/>
    </row>
    <row r="245" spans="6:6" x14ac:dyDescent="0.3">
      <c r="F245" s="205"/>
    </row>
    <row r="246" spans="6:6" x14ac:dyDescent="0.3">
      <c r="F246" s="205"/>
    </row>
    <row r="247" spans="6:6" x14ac:dyDescent="0.3">
      <c r="F247" s="205"/>
    </row>
    <row r="248" spans="6:6" x14ac:dyDescent="0.3">
      <c r="F248" s="205"/>
    </row>
    <row r="249" spans="6:6" x14ac:dyDescent="0.3">
      <c r="F249" s="205"/>
    </row>
    <row r="250" spans="6:6" x14ac:dyDescent="0.3">
      <c r="F250" s="205"/>
    </row>
    <row r="251" spans="6:6" x14ac:dyDescent="0.3">
      <c r="F251" s="205"/>
    </row>
    <row r="252" spans="6:6" x14ac:dyDescent="0.3">
      <c r="F252" s="205"/>
    </row>
    <row r="253" spans="6:6" x14ac:dyDescent="0.3">
      <c r="F253" s="205"/>
    </row>
    <row r="254" spans="6:6" x14ac:dyDescent="0.3">
      <c r="F254" s="205"/>
    </row>
    <row r="255" spans="6:6" x14ac:dyDescent="0.3">
      <c r="F255" s="205"/>
    </row>
    <row r="256" spans="6:6" x14ac:dyDescent="0.3">
      <c r="F256" s="205"/>
    </row>
    <row r="257" spans="6:6" x14ac:dyDescent="0.3">
      <c r="F257" s="205"/>
    </row>
    <row r="258" spans="6:6" x14ac:dyDescent="0.3">
      <c r="F258" s="205"/>
    </row>
    <row r="259" spans="6:6" x14ac:dyDescent="0.3">
      <c r="F259" s="205"/>
    </row>
    <row r="260" spans="6:6" x14ac:dyDescent="0.3">
      <c r="F260" s="205"/>
    </row>
    <row r="261" spans="6:6" x14ac:dyDescent="0.3">
      <c r="F261" s="205"/>
    </row>
    <row r="262" spans="6:6" x14ac:dyDescent="0.3">
      <c r="F262" s="205"/>
    </row>
    <row r="263" spans="6:6" x14ac:dyDescent="0.3">
      <c r="F263" s="205"/>
    </row>
    <row r="264" spans="6:6" x14ac:dyDescent="0.3">
      <c r="F264" s="205"/>
    </row>
    <row r="265" spans="6:6" x14ac:dyDescent="0.3">
      <c r="F265" s="205"/>
    </row>
    <row r="266" spans="6:6" x14ac:dyDescent="0.3">
      <c r="F266" s="205"/>
    </row>
    <row r="267" spans="6:6" x14ac:dyDescent="0.3">
      <c r="F267" s="205"/>
    </row>
    <row r="268" spans="6:6" x14ac:dyDescent="0.3">
      <c r="F268" s="205"/>
    </row>
    <row r="269" spans="6:6" x14ac:dyDescent="0.3">
      <c r="F269" s="205"/>
    </row>
    <row r="270" spans="6:6" x14ac:dyDescent="0.3">
      <c r="F270" s="205"/>
    </row>
    <row r="271" spans="6:6" x14ac:dyDescent="0.3">
      <c r="F271" s="205"/>
    </row>
    <row r="272" spans="6:6" x14ac:dyDescent="0.3">
      <c r="F272" s="205"/>
    </row>
    <row r="273" spans="6:6" x14ac:dyDescent="0.3">
      <c r="F273" s="205"/>
    </row>
    <row r="274" spans="6:6" x14ac:dyDescent="0.3">
      <c r="F274" s="205"/>
    </row>
    <row r="275" spans="6:6" x14ac:dyDescent="0.3">
      <c r="F275" s="205"/>
    </row>
    <row r="276" spans="6:6" x14ac:dyDescent="0.3">
      <c r="F276" s="205"/>
    </row>
    <row r="277" spans="6:6" x14ac:dyDescent="0.3">
      <c r="F277" s="205"/>
    </row>
    <row r="278" spans="6:6" x14ac:dyDescent="0.3">
      <c r="F278" s="205"/>
    </row>
    <row r="279" spans="6:6" x14ac:dyDescent="0.3">
      <c r="F279" s="205"/>
    </row>
    <row r="280" spans="6:6" x14ac:dyDescent="0.3">
      <c r="F280" s="205"/>
    </row>
    <row r="281" spans="6:6" x14ac:dyDescent="0.3">
      <c r="F281" s="205"/>
    </row>
    <row r="282" spans="6:6" x14ac:dyDescent="0.3">
      <c r="F282" s="205"/>
    </row>
    <row r="283" spans="6:6" x14ac:dyDescent="0.3">
      <c r="F283" s="205"/>
    </row>
    <row r="284" spans="6:6" x14ac:dyDescent="0.3">
      <c r="F284" s="205"/>
    </row>
    <row r="285" spans="6:6" x14ac:dyDescent="0.3">
      <c r="F285" s="205"/>
    </row>
    <row r="286" spans="6:6" x14ac:dyDescent="0.3">
      <c r="F286" s="205"/>
    </row>
    <row r="287" spans="6:6" x14ac:dyDescent="0.3">
      <c r="F287" s="205"/>
    </row>
    <row r="288" spans="6:6" x14ac:dyDescent="0.3">
      <c r="F288" s="205"/>
    </row>
    <row r="289" spans="6:6" x14ac:dyDescent="0.3">
      <c r="F289" s="205"/>
    </row>
    <row r="290" spans="6:6" x14ac:dyDescent="0.3">
      <c r="F290" s="205"/>
    </row>
    <row r="291" spans="6:6" x14ac:dyDescent="0.3">
      <c r="F291" s="205"/>
    </row>
    <row r="292" spans="6:6" x14ac:dyDescent="0.3">
      <c r="F292" s="205"/>
    </row>
    <row r="293" spans="6:6" x14ac:dyDescent="0.3">
      <c r="F293" s="205"/>
    </row>
    <row r="294" spans="6:6" x14ac:dyDescent="0.3">
      <c r="F294" s="205"/>
    </row>
    <row r="295" spans="6:6" x14ac:dyDescent="0.3">
      <c r="F295" s="205"/>
    </row>
    <row r="296" spans="6:6" x14ac:dyDescent="0.3">
      <c r="F296" s="205"/>
    </row>
    <row r="297" spans="6:6" x14ac:dyDescent="0.3">
      <c r="F297" s="205"/>
    </row>
    <row r="298" spans="6:6" x14ac:dyDescent="0.3">
      <c r="F298" s="205"/>
    </row>
    <row r="299" spans="6:6" x14ac:dyDescent="0.3">
      <c r="F299" s="205"/>
    </row>
    <row r="300" spans="6:6" x14ac:dyDescent="0.3">
      <c r="F300" s="205"/>
    </row>
    <row r="301" spans="6:6" x14ac:dyDescent="0.3">
      <c r="F301" s="205"/>
    </row>
    <row r="302" spans="6:6" x14ac:dyDescent="0.3">
      <c r="F302" s="205"/>
    </row>
    <row r="303" spans="6:6" x14ac:dyDescent="0.3">
      <c r="F303" s="205"/>
    </row>
    <row r="304" spans="6:6" x14ac:dyDescent="0.3">
      <c r="F304" s="205"/>
    </row>
    <row r="305" spans="6:6" x14ac:dyDescent="0.3">
      <c r="F305" s="205"/>
    </row>
    <row r="306" spans="6:6" x14ac:dyDescent="0.3">
      <c r="F306" s="205"/>
    </row>
    <row r="307" spans="6:6" x14ac:dyDescent="0.3">
      <c r="F307" s="205"/>
    </row>
    <row r="308" spans="6:6" x14ac:dyDescent="0.3">
      <c r="F308" s="205"/>
    </row>
    <row r="309" spans="6:6" x14ac:dyDescent="0.3">
      <c r="F309" s="205"/>
    </row>
    <row r="310" spans="6:6" x14ac:dyDescent="0.3">
      <c r="F310" s="205"/>
    </row>
    <row r="311" spans="6:6" x14ac:dyDescent="0.3">
      <c r="F311" s="205"/>
    </row>
    <row r="312" spans="6:6" x14ac:dyDescent="0.3">
      <c r="F312" s="205"/>
    </row>
    <row r="313" spans="6:6" x14ac:dyDescent="0.3">
      <c r="F313" s="205"/>
    </row>
    <row r="314" spans="6:6" x14ac:dyDescent="0.3">
      <c r="F314" s="205"/>
    </row>
    <row r="315" spans="6:6" x14ac:dyDescent="0.3">
      <c r="F315" s="205"/>
    </row>
    <row r="316" spans="6:6" x14ac:dyDescent="0.3">
      <c r="F316" s="205"/>
    </row>
    <row r="317" spans="6:6" x14ac:dyDescent="0.3">
      <c r="F317" s="205"/>
    </row>
    <row r="318" spans="6:6" x14ac:dyDescent="0.3">
      <c r="F318" s="205"/>
    </row>
    <row r="319" spans="6:6" x14ac:dyDescent="0.3">
      <c r="F319" s="205"/>
    </row>
    <row r="320" spans="6:6" x14ac:dyDescent="0.3">
      <c r="F320" s="205"/>
    </row>
    <row r="321" spans="6:6" x14ac:dyDescent="0.3">
      <c r="F321" s="205"/>
    </row>
    <row r="322" spans="6:6" x14ac:dyDescent="0.3">
      <c r="F322" s="205"/>
    </row>
    <row r="323" spans="6:6" x14ac:dyDescent="0.3">
      <c r="F323" s="205"/>
    </row>
    <row r="324" spans="6:6" x14ac:dyDescent="0.3">
      <c r="F324" s="205"/>
    </row>
    <row r="325" spans="6:6" x14ac:dyDescent="0.3">
      <c r="F325" s="205"/>
    </row>
    <row r="326" spans="6:6" x14ac:dyDescent="0.3">
      <c r="F326" s="205"/>
    </row>
    <row r="327" spans="6:6" x14ac:dyDescent="0.3">
      <c r="F327" s="205"/>
    </row>
    <row r="328" spans="6:6" x14ac:dyDescent="0.3">
      <c r="F328" s="205"/>
    </row>
    <row r="329" spans="6:6" x14ac:dyDescent="0.3">
      <c r="F329" s="205"/>
    </row>
    <row r="330" spans="6:6" x14ac:dyDescent="0.3">
      <c r="F330" s="205"/>
    </row>
    <row r="331" spans="6:6" x14ac:dyDescent="0.3">
      <c r="F331" s="205"/>
    </row>
    <row r="332" spans="6:6" x14ac:dyDescent="0.3">
      <c r="F332" s="205"/>
    </row>
    <row r="333" spans="6:6" x14ac:dyDescent="0.3">
      <c r="F333" s="205"/>
    </row>
    <row r="334" spans="6:6" x14ac:dyDescent="0.3">
      <c r="F334" s="205"/>
    </row>
    <row r="335" spans="6:6" x14ac:dyDescent="0.3">
      <c r="F335" s="205"/>
    </row>
    <row r="336" spans="6:6" x14ac:dyDescent="0.3">
      <c r="F336" s="205"/>
    </row>
    <row r="337" spans="6:6" x14ac:dyDescent="0.3">
      <c r="F337" s="205"/>
    </row>
    <row r="338" spans="6:6" x14ac:dyDescent="0.3">
      <c r="F338" s="205"/>
    </row>
    <row r="339" spans="6:6" x14ac:dyDescent="0.3">
      <c r="F339" s="205"/>
    </row>
    <row r="340" spans="6:6" x14ac:dyDescent="0.3">
      <c r="F340" s="205"/>
    </row>
    <row r="341" spans="6:6" x14ac:dyDescent="0.3">
      <c r="F341" s="205"/>
    </row>
    <row r="342" spans="6:6" x14ac:dyDescent="0.3">
      <c r="F342" s="205"/>
    </row>
    <row r="343" spans="6:6" x14ac:dyDescent="0.3">
      <c r="F343" s="205"/>
    </row>
    <row r="344" spans="6:6" x14ac:dyDescent="0.3">
      <c r="F344" s="205"/>
    </row>
    <row r="345" spans="6:6" x14ac:dyDescent="0.3">
      <c r="F345" s="205"/>
    </row>
    <row r="346" spans="6:6" x14ac:dyDescent="0.3">
      <c r="F346" s="205"/>
    </row>
    <row r="347" spans="6:6" x14ac:dyDescent="0.3">
      <c r="F347" s="205"/>
    </row>
    <row r="348" spans="6:6" x14ac:dyDescent="0.3">
      <c r="F348" s="205"/>
    </row>
    <row r="349" spans="6:6" x14ac:dyDescent="0.3">
      <c r="F349" s="205"/>
    </row>
    <row r="350" spans="6:6" x14ac:dyDescent="0.3">
      <c r="F350" s="205"/>
    </row>
    <row r="351" spans="6:6" x14ac:dyDescent="0.3">
      <c r="F351" s="205"/>
    </row>
    <row r="352" spans="6:6" x14ac:dyDescent="0.3">
      <c r="F352" s="205"/>
    </row>
    <row r="353" spans="6:6" x14ac:dyDescent="0.3">
      <c r="F353" s="205"/>
    </row>
    <row r="354" spans="6:6" x14ac:dyDescent="0.3">
      <c r="F354" s="205"/>
    </row>
    <row r="355" spans="6:6" x14ac:dyDescent="0.3">
      <c r="F355" s="205"/>
    </row>
    <row r="356" spans="6:6" x14ac:dyDescent="0.3">
      <c r="F356" s="205"/>
    </row>
    <row r="357" spans="6:6" x14ac:dyDescent="0.3">
      <c r="F357" s="205"/>
    </row>
    <row r="358" spans="6:6" x14ac:dyDescent="0.3">
      <c r="F358" s="205"/>
    </row>
    <row r="359" spans="6:6" x14ac:dyDescent="0.3">
      <c r="F359" s="205"/>
    </row>
    <row r="360" spans="6:6" x14ac:dyDescent="0.3">
      <c r="F360" s="205"/>
    </row>
    <row r="361" spans="6:6" x14ac:dyDescent="0.3">
      <c r="F361" s="205"/>
    </row>
    <row r="362" spans="6:6" x14ac:dyDescent="0.3">
      <c r="F362" s="205"/>
    </row>
    <row r="363" spans="6:6" x14ac:dyDescent="0.3">
      <c r="F363" s="205"/>
    </row>
    <row r="364" spans="6:6" x14ac:dyDescent="0.3">
      <c r="F364" s="205"/>
    </row>
    <row r="365" spans="6:6" x14ac:dyDescent="0.3">
      <c r="F365" s="205"/>
    </row>
    <row r="366" spans="6:6" x14ac:dyDescent="0.3">
      <c r="F366" s="205"/>
    </row>
    <row r="367" spans="6:6" x14ac:dyDescent="0.3">
      <c r="F367" s="205"/>
    </row>
    <row r="368" spans="6:6" x14ac:dyDescent="0.3">
      <c r="F368" s="205"/>
    </row>
    <row r="369" spans="6:6" x14ac:dyDescent="0.3">
      <c r="F369" s="205"/>
    </row>
    <row r="370" spans="6:6" x14ac:dyDescent="0.3">
      <c r="F370" s="205"/>
    </row>
    <row r="371" spans="6:6" x14ac:dyDescent="0.3">
      <c r="F371" s="205"/>
    </row>
    <row r="372" spans="6:6" x14ac:dyDescent="0.3">
      <c r="F372" s="205"/>
    </row>
    <row r="373" spans="6:6" x14ac:dyDescent="0.3">
      <c r="F373" s="205"/>
    </row>
    <row r="374" spans="6:6" x14ac:dyDescent="0.3">
      <c r="F374" s="205"/>
    </row>
    <row r="375" spans="6:6" x14ac:dyDescent="0.3">
      <c r="F375" s="205"/>
    </row>
    <row r="376" spans="6:6" x14ac:dyDescent="0.3">
      <c r="F376" s="205"/>
    </row>
    <row r="377" spans="6:6" x14ac:dyDescent="0.3">
      <c r="F377" s="205"/>
    </row>
    <row r="378" spans="6:6" x14ac:dyDescent="0.3">
      <c r="F378" s="205"/>
    </row>
    <row r="379" spans="6:6" x14ac:dyDescent="0.3">
      <c r="F379" s="205"/>
    </row>
    <row r="380" spans="6:6" x14ac:dyDescent="0.3">
      <c r="F380" s="205"/>
    </row>
    <row r="381" spans="6:6" x14ac:dyDescent="0.3">
      <c r="F381" s="205"/>
    </row>
    <row r="382" spans="6:6" x14ac:dyDescent="0.3">
      <c r="F382" s="205"/>
    </row>
    <row r="383" spans="6:6" x14ac:dyDescent="0.3">
      <c r="F383" s="205"/>
    </row>
    <row r="384" spans="6:6" x14ac:dyDescent="0.3">
      <c r="F384" s="205"/>
    </row>
    <row r="385" spans="6:6" x14ac:dyDescent="0.3">
      <c r="F385" s="205"/>
    </row>
    <row r="386" spans="6:6" x14ac:dyDescent="0.3">
      <c r="F386" s="205"/>
    </row>
    <row r="387" spans="6:6" x14ac:dyDescent="0.3">
      <c r="F387" s="205"/>
    </row>
    <row r="388" spans="6:6" x14ac:dyDescent="0.3">
      <c r="F388" s="205"/>
    </row>
    <row r="389" spans="6:6" x14ac:dyDescent="0.3">
      <c r="F389" s="205"/>
    </row>
    <row r="390" spans="6:6" x14ac:dyDescent="0.3">
      <c r="F390" s="205"/>
    </row>
    <row r="391" spans="6:6" x14ac:dyDescent="0.3">
      <c r="F391" s="205"/>
    </row>
    <row r="392" spans="6:6" x14ac:dyDescent="0.3">
      <c r="F392" s="205"/>
    </row>
    <row r="393" spans="6:6" x14ac:dyDescent="0.3">
      <c r="F393" s="205"/>
    </row>
    <row r="394" spans="6:6" x14ac:dyDescent="0.3">
      <c r="F394" s="205"/>
    </row>
    <row r="395" spans="6:6" x14ac:dyDescent="0.3">
      <c r="F395" s="205"/>
    </row>
    <row r="396" spans="6:6" x14ac:dyDescent="0.3">
      <c r="F396" s="205"/>
    </row>
    <row r="397" spans="6:6" x14ac:dyDescent="0.3">
      <c r="F397" s="205"/>
    </row>
    <row r="398" spans="6:6" x14ac:dyDescent="0.3">
      <c r="F398" s="205"/>
    </row>
    <row r="399" spans="6:6" x14ac:dyDescent="0.3">
      <c r="F399" s="205"/>
    </row>
    <row r="400" spans="6:6" x14ac:dyDescent="0.3">
      <c r="F400" s="205"/>
    </row>
    <row r="401" spans="6:6" x14ac:dyDescent="0.3">
      <c r="F401" s="205"/>
    </row>
    <row r="402" spans="6:6" x14ac:dyDescent="0.3">
      <c r="F402" s="205"/>
    </row>
    <row r="403" spans="6:6" x14ac:dyDescent="0.3">
      <c r="F403" s="205"/>
    </row>
    <row r="404" spans="6:6" x14ac:dyDescent="0.3">
      <c r="F404" s="205"/>
    </row>
    <row r="405" spans="6:6" x14ac:dyDescent="0.3">
      <c r="F405" s="205"/>
    </row>
    <row r="406" spans="6:6" x14ac:dyDescent="0.3">
      <c r="F406" s="205"/>
    </row>
    <row r="407" spans="6:6" x14ac:dyDescent="0.3">
      <c r="F407" s="205"/>
    </row>
    <row r="408" spans="6:6" x14ac:dyDescent="0.3">
      <c r="F408" s="205"/>
    </row>
    <row r="409" spans="6:6" x14ac:dyDescent="0.3">
      <c r="F409" s="205"/>
    </row>
    <row r="410" spans="6:6" x14ac:dyDescent="0.3">
      <c r="F410" s="205"/>
    </row>
    <row r="411" spans="6:6" x14ac:dyDescent="0.3">
      <c r="F411" s="205"/>
    </row>
    <row r="412" spans="6:6" x14ac:dyDescent="0.3">
      <c r="F412" s="205"/>
    </row>
    <row r="413" spans="6:6" x14ac:dyDescent="0.3">
      <c r="F413" s="205"/>
    </row>
    <row r="414" spans="6:6" x14ac:dyDescent="0.3">
      <c r="F414" s="205"/>
    </row>
    <row r="415" spans="6:6" x14ac:dyDescent="0.3">
      <c r="F415" s="205"/>
    </row>
    <row r="416" spans="6:6" x14ac:dyDescent="0.3">
      <c r="F416" s="205"/>
    </row>
    <row r="417" spans="6:6" x14ac:dyDescent="0.3">
      <c r="F417" s="205"/>
    </row>
    <row r="418" spans="6:6" x14ac:dyDescent="0.3">
      <c r="F418" s="205"/>
    </row>
    <row r="419" spans="6:6" x14ac:dyDescent="0.3">
      <c r="F419" s="205"/>
    </row>
    <row r="420" spans="6:6" x14ac:dyDescent="0.3">
      <c r="F420" s="205"/>
    </row>
    <row r="421" spans="6:6" x14ac:dyDescent="0.3">
      <c r="F421" s="205"/>
    </row>
    <row r="422" spans="6:6" x14ac:dyDescent="0.3">
      <c r="F422" s="205"/>
    </row>
    <row r="423" spans="6:6" x14ac:dyDescent="0.3">
      <c r="F423" s="205"/>
    </row>
    <row r="424" spans="6:6" x14ac:dyDescent="0.3">
      <c r="F424" s="205"/>
    </row>
    <row r="425" spans="6:6" x14ac:dyDescent="0.3">
      <c r="F425" s="205"/>
    </row>
    <row r="426" spans="6:6" x14ac:dyDescent="0.3">
      <c r="F426" s="205"/>
    </row>
    <row r="427" spans="6:6" x14ac:dyDescent="0.3">
      <c r="F427" s="205"/>
    </row>
    <row r="428" spans="6:6" x14ac:dyDescent="0.3">
      <c r="F428" s="205"/>
    </row>
    <row r="429" spans="6:6" x14ac:dyDescent="0.3">
      <c r="F429" s="205"/>
    </row>
    <row r="430" spans="6:6" x14ac:dyDescent="0.3">
      <c r="F430" s="205"/>
    </row>
    <row r="431" spans="6:6" x14ac:dyDescent="0.3">
      <c r="F431" s="205"/>
    </row>
    <row r="432" spans="6:6" x14ac:dyDescent="0.3">
      <c r="F432" s="205"/>
    </row>
    <row r="433" spans="6:6" x14ac:dyDescent="0.3">
      <c r="F433" s="205"/>
    </row>
    <row r="434" spans="6:6" x14ac:dyDescent="0.3">
      <c r="F434" s="205"/>
    </row>
    <row r="435" spans="6:6" x14ac:dyDescent="0.3">
      <c r="F435" s="205"/>
    </row>
    <row r="436" spans="6:6" x14ac:dyDescent="0.3">
      <c r="F436" s="205"/>
    </row>
    <row r="437" spans="6:6" x14ac:dyDescent="0.3">
      <c r="F437" s="205"/>
    </row>
    <row r="438" spans="6:6" x14ac:dyDescent="0.3">
      <c r="F438" s="205"/>
    </row>
    <row r="439" spans="6:6" x14ac:dyDescent="0.3">
      <c r="F439" s="205"/>
    </row>
    <row r="440" spans="6:6" x14ac:dyDescent="0.3">
      <c r="F440" s="205"/>
    </row>
    <row r="441" spans="6:6" x14ac:dyDescent="0.3">
      <c r="F441" s="205"/>
    </row>
    <row r="442" spans="6:6" x14ac:dyDescent="0.3">
      <c r="F442" s="205"/>
    </row>
    <row r="443" spans="6:6" x14ac:dyDescent="0.3">
      <c r="F443" s="205"/>
    </row>
    <row r="444" spans="6:6" x14ac:dyDescent="0.3">
      <c r="F444" s="205"/>
    </row>
    <row r="445" spans="6:6" x14ac:dyDescent="0.3">
      <c r="F445" s="205"/>
    </row>
    <row r="446" spans="6:6" x14ac:dyDescent="0.3">
      <c r="F446" s="205"/>
    </row>
    <row r="447" spans="6:6" x14ac:dyDescent="0.3">
      <c r="F447" s="205"/>
    </row>
    <row r="448" spans="6:6" x14ac:dyDescent="0.3">
      <c r="F448" s="205"/>
    </row>
    <row r="449" spans="6:6" x14ac:dyDescent="0.3">
      <c r="F449" s="205"/>
    </row>
    <row r="450" spans="6:6" x14ac:dyDescent="0.3">
      <c r="F450" s="205"/>
    </row>
    <row r="451" spans="6:6" x14ac:dyDescent="0.3">
      <c r="F451" s="205"/>
    </row>
    <row r="452" spans="6:6" x14ac:dyDescent="0.3">
      <c r="F452" s="205"/>
    </row>
    <row r="453" spans="6:6" x14ac:dyDescent="0.3">
      <c r="F453" s="205"/>
    </row>
    <row r="454" spans="6:6" x14ac:dyDescent="0.3">
      <c r="F454" s="205"/>
    </row>
    <row r="455" spans="6:6" x14ac:dyDescent="0.3">
      <c r="F455" s="205"/>
    </row>
    <row r="456" spans="6:6" x14ac:dyDescent="0.3">
      <c r="F456" s="205"/>
    </row>
    <row r="457" spans="6:6" x14ac:dyDescent="0.3">
      <c r="F457" s="205"/>
    </row>
    <row r="458" spans="6:6" x14ac:dyDescent="0.3">
      <c r="F458" s="205"/>
    </row>
    <row r="459" spans="6:6" x14ac:dyDescent="0.3">
      <c r="F459" s="205"/>
    </row>
    <row r="460" spans="6:6" x14ac:dyDescent="0.3">
      <c r="F460" s="205"/>
    </row>
    <row r="461" spans="6:6" x14ac:dyDescent="0.3">
      <c r="F461" s="205"/>
    </row>
    <row r="462" spans="6:6" x14ac:dyDescent="0.3">
      <c r="F462" s="205"/>
    </row>
    <row r="463" spans="6:6" x14ac:dyDescent="0.3">
      <c r="F463" s="205"/>
    </row>
    <row r="464" spans="6:6" x14ac:dyDescent="0.3">
      <c r="F464" s="205"/>
    </row>
    <row r="465" spans="6:6" x14ac:dyDescent="0.3">
      <c r="F465" s="205"/>
    </row>
    <row r="466" spans="6:6" x14ac:dyDescent="0.3">
      <c r="F466" s="205"/>
    </row>
    <row r="467" spans="6:6" x14ac:dyDescent="0.3">
      <c r="F467" s="205"/>
    </row>
    <row r="468" spans="6:6" x14ac:dyDescent="0.3">
      <c r="F468" s="205"/>
    </row>
    <row r="469" spans="6:6" x14ac:dyDescent="0.3">
      <c r="F469" s="205"/>
    </row>
    <row r="470" spans="6:6" x14ac:dyDescent="0.3">
      <c r="F470" s="205"/>
    </row>
    <row r="471" spans="6:6" x14ac:dyDescent="0.3">
      <c r="F471" s="205"/>
    </row>
    <row r="472" spans="6:6" x14ac:dyDescent="0.3">
      <c r="F472" s="205"/>
    </row>
    <row r="473" spans="6:6" x14ac:dyDescent="0.3">
      <c r="F473" s="205"/>
    </row>
    <row r="474" spans="6:6" x14ac:dyDescent="0.3">
      <c r="F474" s="205"/>
    </row>
    <row r="475" spans="6:6" x14ac:dyDescent="0.3">
      <c r="F475" s="205"/>
    </row>
    <row r="476" spans="6:6" x14ac:dyDescent="0.3">
      <c r="F476" s="205"/>
    </row>
    <row r="477" spans="6:6" x14ac:dyDescent="0.3">
      <c r="F477" s="205"/>
    </row>
    <row r="478" spans="6:6" x14ac:dyDescent="0.3">
      <c r="F478" s="205"/>
    </row>
    <row r="479" spans="6:6" x14ac:dyDescent="0.3">
      <c r="F479" s="205"/>
    </row>
    <row r="480" spans="6:6" x14ac:dyDescent="0.3">
      <c r="F480" s="205"/>
    </row>
    <row r="481" spans="6:6" x14ac:dyDescent="0.3">
      <c r="F481" s="205"/>
    </row>
    <row r="482" spans="6:6" x14ac:dyDescent="0.3">
      <c r="F482" s="205"/>
    </row>
    <row r="483" spans="6:6" x14ac:dyDescent="0.3">
      <c r="F483" s="205"/>
    </row>
    <row r="484" spans="6:6" x14ac:dyDescent="0.3">
      <c r="F484" s="205"/>
    </row>
    <row r="485" spans="6:6" x14ac:dyDescent="0.3">
      <c r="F485" s="205"/>
    </row>
    <row r="486" spans="6:6" x14ac:dyDescent="0.3">
      <c r="F486" s="205"/>
    </row>
    <row r="487" spans="6:6" x14ac:dyDescent="0.3">
      <c r="F487" s="205"/>
    </row>
    <row r="488" spans="6:6" x14ac:dyDescent="0.3">
      <c r="F488" s="205"/>
    </row>
    <row r="489" spans="6:6" x14ac:dyDescent="0.3">
      <c r="F489" s="205"/>
    </row>
    <row r="490" spans="6:6" x14ac:dyDescent="0.3">
      <c r="F490" s="205"/>
    </row>
    <row r="491" spans="6:6" x14ac:dyDescent="0.3">
      <c r="F491" s="205"/>
    </row>
    <row r="492" spans="6:6" x14ac:dyDescent="0.3">
      <c r="F492" s="205"/>
    </row>
    <row r="493" spans="6:6" x14ac:dyDescent="0.3">
      <c r="F493" s="205"/>
    </row>
    <row r="494" spans="6:6" x14ac:dyDescent="0.3">
      <c r="F494" s="205"/>
    </row>
    <row r="495" spans="6:6" x14ac:dyDescent="0.3">
      <c r="F495" s="205"/>
    </row>
    <row r="496" spans="6:6" x14ac:dyDescent="0.3">
      <c r="F496" s="205"/>
    </row>
    <row r="497" spans="6:6" x14ac:dyDescent="0.3">
      <c r="F497" s="205"/>
    </row>
    <row r="498" spans="6:6" x14ac:dyDescent="0.3">
      <c r="F498" s="205"/>
    </row>
    <row r="499" spans="6:6" x14ac:dyDescent="0.3">
      <c r="F499" s="205"/>
    </row>
    <row r="500" spans="6:6" x14ac:dyDescent="0.3">
      <c r="F500" s="205"/>
    </row>
    <row r="501" spans="6:6" x14ac:dyDescent="0.3">
      <c r="F501" s="205"/>
    </row>
    <row r="502" spans="6:6" x14ac:dyDescent="0.3">
      <c r="F502" s="205"/>
    </row>
    <row r="503" spans="6:6" x14ac:dyDescent="0.3">
      <c r="F503" s="205"/>
    </row>
    <row r="504" spans="6:6" x14ac:dyDescent="0.3">
      <c r="F504" s="205"/>
    </row>
    <row r="505" spans="6:6" x14ac:dyDescent="0.3">
      <c r="F505" s="205"/>
    </row>
    <row r="506" spans="6:6" x14ac:dyDescent="0.3">
      <c r="F506" s="205"/>
    </row>
    <row r="507" spans="6:6" x14ac:dyDescent="0.3">
      <c r="F507" s="205"/>
    </row>
    <row r="508" spans="6:6" x14ac:dyDescent="0.3">
      <c r="F508" s="205"/>
    </row>
    <row r="509" spans="6:6" x14ac:dyDescent="0.3">
      <c r="F509" s="205"/>
    </row>
    <row r="510" spans="6:6" x14ac:dyDescent="0.3">
      <c r="F510" s="205"/>
    </row>
    <row r="511" spans="6:6" x14ac:dyDescent="0.3">
      <c r="F511" s="205"/>
    </row>
    <row r="512" spans="6:6" x14ac:dyDescent="0.3">
      <c r="F512" s="205"/>
    </row>
    <row r="513" spans="6:6" x14ac:dyDescent="0.3">
      <c r="F513" s="205"/>
    </row>
    <row r="514" spans="6:6" x14ac:dyDescent="0.3">
      <c r="F514" s="205"/>
    </row>
    <row r="515" spans="6:6" x14ac:dyDescent="0.3">
      <c r="F515" s="205"/>
    </row>
    <row r="516" spans="6:6" x14ac:dyDescent="0.3">
      <c r="F516" s="205"/>
    </row>
    <row r="517" spans="6:6" x14ac:dyDescent="0.3">
      <c r="F517" s="205"/>
    </row>
    <row r="518" spans="6:6" x14ac:dyDescent="0.3">
      <c r="F518" s="205"/>
    </row>
    <row r="519" spans="6:6" x14ac:dyDescent="0.3">
      <c r="F519" s="205"/>
    </row>
    <row r="520" spans="6:6" x14ac:dyDescent="0.3">
      <c r="F520" s="205"/>
    </row>
    <row r="521" spans="6:6" x14ac:dyDescent="0.3">
      <c r="F521" s="205"/>
    </row>
    <row r="522" spans="6:6" x14ac:dyDescent="0.3">
      <c r="F522" s="205"/>
    </row>
    <row r="523" spans="6:6" x14ac:dyDescent="0.3">
      <c r="F523" s="205"/>
    </row>
    <row r="524" spans="6:6" x14ac:dyDescent="0.3">
      <c r="F524" s="205"/>
    </row>
    <row r="525" spans="6:6" x14ac:dyDescent="0.3">
      <c r="F525" s="205"/>
    </row>
    <row r="526" spans="6:6" x14ac:dyDescent="0.3">
      <c r="F526" s="205"/>
    </row>
    <row r="527" spans="6:6" x14ac:dyDescent="0.3">
      <c r="F527" s="205"/>
    </row>
    <row r="528" spans="6:6" x14ac:dyDescent="0.3">
      <c r="F528" s="205"/>
    </row>
    <row r="529" spans="6:6" x14ac:dyDescent="0.3">
      <c r="F529" s="205"/>
    </row>
    <row r="530" spans="6:6" x14ac:dyDescent="0.3">
      <c r="F530" s="205"/>
    </row>
    <row r="531" spans="6:6" x14ac:dyDescent="0.3">
      <c r="F531" s="205"/>
    </row>
    <row r="532" spans="6:6" x14ac:dyDescent="0.3">
      <c r="F532" s="205"/>
    </row>
    <row r="533" spans="6:6" x14ac:dyDescent="0.3">
      <c r="F533" s="205"/>
    </row>
    <row r="534" spans="6:6" x14ac:dyDescent="0.3">
      <c r="F534" s="205"/>
    </row>
    <row r="535" spans="6:6" x14ac:dyDescent="0.3">
      <c r="F535" s="205"/>
    </row>
    <row r="536" spans="6:6" x14ac:dyDescent="0.3">
      <c r="F536" s="205"/>
    </row>
    <row r="537" spans="6:6" x14ac:dyDescent="0.3">
      <c r="F537" s="205"/>
    </row>
    <row r="538" spans="6:6" x14ac:dyDescent="0.3">
      <c r="F538" s="205"/>
    </row>
    <row r="539" spans="6:6" x14ac:dyDescent="0.3">
      <c r="F539" s="205"/>
    </row>
    <row r="540" spans="6:6" x14ac:dyDescent="0.3">
      <c r="F540" s="205"/>
    </row>
    <row r="541" spans="6:6" x14ac:dyDescent="0.3">
      <c r="F541" s="205"/>
    </row>
    <row r="542" spans="6:6" x14ac:dyDescent="0.3">
      <c r="F542" s="205"/>
    </row>
    <row r="543" spans="6:6" x14ac:dyDescent="0.3">
      <c r="F543" s="205"/>
    </row>
    <row r="544" spans="6:6" x14ac:dyDescent="0.3">
      <c r="F544" s="205"/>
    </row>
    <row r="545" spans="6:6" x14ac:dyDescent="0.3">
      <c r="F545" s="205"/>
    </row>
    <row r="546" spans="6:6" x14ac:dyDescent="0.3">
      <c r="F546" s="205"/>
    </row>
    <row r="547" spans="6:6" x14ac:dyDescent="0.3">
      <c r="F547" s="205"/>
    </row>
    <row r="548" spans="6:6" x14ac:dyDescent="0.3">
      <c r="F548" s="205"/>
    </row>
    <row r="549" spans="6:6" x14ac:dyDescent="0.3">
      <c r="F549" s="205"/>
    </row>
    <row r="550" spans="6:6" x14ac:dyDescent="0.3">
      <c r="F550" s="205"/>
    </row>
    <row r="551" spans="6:6" x14ac:dyDescent="0.3">
      <c r="F551" s="205"/>
    </row>
    <row r="552" spans="6:6" x14ac:dyDescent="0.3">
      <c r="F552" s="205"/>
    </row>
    <row r="553" spans="6:6" x14ac:dyDescent="0.3">
      <c r="F553" s="205"/>
    </row>
    <row r="554" spans="6:6" x14ac:dyDescent="0.3">
      <c r="F554" s="205"/>
    </row>
    <row r="555" spans="6:6" x14ac:dyDescent="0.3">
      <c r="F555" s="205"/>
    </row>
    <row r="556" spans="6:6" x14ac:dyDescent="0.3">
      <c r="F556" s="205"/>
    </row>
    <row r="557" spans="6:6" x14ac:dyDescent="0.3">
      <c r="F557" s="205"/>
    </row>
    <row r="558" spans="6:6" x14ac:dyDescent="0.3">
      <c r="F558" s="205"/>
    </row>
    <row r="559" spans="6:6" x14ac:dyDescent="0.3">
      <c r="F559" s="205"/>
    </row>
    <row r="560" spans="6:6" x14ac:dyDescent="0.3">
      <c r="F560" s="205"/>
    </row>
    <row r="561" spans="6:6" x14ac:dyDescent="0.3">
      <c r="F561" s="205"/>
    </row>
    <row r="562" spans="6:6" x14ac:dyDescent="0.3">
      <c r="F562" s="205"/>
    </row>
    <row r="563" spans="6:6" x14ac:dyDescent="0.3">
      <c r="F563" s="205"/>
    </row>
    <row r="564" spans="6:6" x14ac:dyDescent="0.3">
      <c r="F564" s="205"/>
    </row>
    <row r="565" spans="6:6" x14ac:dyDescent="0.3">
      <c r="F565" s="205"/>
    </row>
    <row r="566" spans="6:6" x14ac:dyDescent="0.3">
      <c r="F566" s="205"/>
    </row>
    <row r="567" spans="6:6" x14ac:dyDescent="0.3">
      <c r="F567" s="205"/>
    </row>
    <row r="568" spans="6:6" x14ac:dyDescent="0.3">
      <c r="F568" s="205"/>
    </row>
    <row r="569" spans="6:6" x14ac:dyDescent="0.3">
      <c r="F569" s="205"/>
    </row>
    <row r="570" spans="6:6" x14ac:dyDescent="0.3">
      <c r="F570" s="205"/>
    </row>
    <row r="571" spans="6:6" x14ac:dyDescent="0.3">
      <c r="F571" s="205"/>
    </row>
    <row r="572" spans="6:6" x14ac:dyDescent="0.3">
      <c r="F572" s="205"/>
    </row>
    <row r="573" spans="6:6" x14ac:dyDescent="0.3">
      <c r="F573" s="205"/>
    </row>
    <row r="574" spans="6:6" x14ac:dyDescent="0.3">
      <c r="F574" s="205"/>
    </row>
    <row r="575" spans="6:6" x14ac:dyDescent="0.3">
      <c r="F575" s="205"/>
    </row>
    <row r="576" spans="6:6" x14ac:dyDescent="0.3">
      <c r="F576" s="205"/>
    </row>
    <row r="577" spans="6:6" x14ac:dyDescent="0.3">
      <c r="F577" s="205"/>
    </row>
    <row r="578" spans="6:6" x14ac:dyDescent="0.3">
      <c r="F578" s="205"/>
    </row>
    <row r="579" spans="6:6" x14ac:dyDescent="0.3">
      <c r="F579" s="205"/>
    </row>
    <row r="580" spans="6:6" x14ac:dyDescent="0.3">
      <c r="F580" s="205"/>
    </row>
    <row r="581" spans="6:6" x14ac:dyDescent="0.3">
      <c r="F581" s="205"/>
    </row>
    <row r="582" spans="6:6" x14ac:dyDescent="0.3">
      <c r="F582" s="205"/>
    </row>
    <row r="583" spans="6:6" x14ac:dyDescent="0.3">
      <c r="F583" s="205"/>
    </row>
    <row r="584" spans="6:6" x14ac:dyDescent="0.3">
      <c r="F584" s="205"/>
    </row>
    <row r="585" spans="6:6" x14ac:dyDescent="0.3">
      <c r="F585" s="205"/>
    </row>
    <row r="586" spans="6:6" x14ac:dyDescent="0.3">
      <c r="F586" s="205"/>
    </row>
    <row r="587" spans="6:6" x14ac:dyDescent="0.3">
      <c r="F587" s="205"/>
    </row>
    <row r="588" spans="6:6" x14ac:dyDescent="0.3">
      <c r="F588" s="205"/>
    </row>
    <row r="589" spans="6:6" x14ac:dyDescent="0.3">
      <c r="F589" s="205"/>
    </row>
    <row r="590" spans="6:6" x14ac:dyDescent="0.3">
      <c r="F590" s="205"/>
    </row>
    <row r="591" spans="6:6" x14ac:dyDescent="0.3">
      <c r="F591" s="205"/>
    </row>
    <row r="592" spans="6:6" x14ac:dyDescent="0.3">
      <c r="F592" s="205"/>
    </row>
    <row r="593" spans="6:6" x14ac:dyDescent="0.3">
      <c r="F593" s="205"/>
    </row>
    <row r="594" spans="6:6" x14ac:dyDescent="0.3">
      <c r="F594" s="205"/>
    </row>
    <row r="595" spans="6:6" x14ac:dyDescent="0.3">
      <c r="F595" s="205"/>
    </row>
    <row r="596" spans="6:6" x14ac:dyDescent="0.3">
      <c r="F596" s="205"/>
    </row>
    <row r="597" spans="6:6" x14ac:dyDescent="0.3">
      <c r="F597" s="205"/>
    </row>
    <row r="598" spans="6:6" x14ac:dyDescent="0.3">
      <c r="F598" s="205"/>
    </row>
    <row r="599" spans="6:6" x14ac:dyDescent="0.3">
      <c r="F599" s="205"/>
    </row>
    <row r="600" spans="6:6" x14ac:dyDescent="0.3">
      <c r="F600" s="205"/>
    </row>
    <row r="601" spans="6:6" x14ac:dyDescent="0.3">
      <c r="F601" s="205"/>
    </row>
    <row r="602" spans="6:6" x14ac:dyDescent="0.3">
      <c r="F602" s="205"/>
    </row>
    <row r="603" spans="6:6" x14ac:dyDescent="0.3">
      <c r="F603" s="205"/>
    </row>
    <row r="604" spans="6:6" x14ac:dyDescent="0.3">
      <c r="F604" s="205"/>
    </row>
    <row r="605" spans="6:6" x14ac:dyDescent="0.3">
      <c r="F605" s="205"/>
    </row>
    <row r="606" spans="6:6" x14ac:dyDescent="0.3">
      <c r="F606" s="205"/>
    </row>
    <row r="607" spans="6:6" x14ac:dyDescent="0.3">
      <c r="F607" s="205"/>
    </row>
    <row r="608" spans="6:6" x14ac:dyDescent="0.3">
      <c r="F608" s="205"/>
    </row>
    <row r="609" spans="6:6" x14ac:dyDescent="0.3">
      <c r="F609" s="205"/>
    </row>
    <row r="610" spans="6:6" x14ac:dyDescent="0.3">
      <c r="F610" s="205"/>
    </row>
    <row r="611" spans="6:6" x14ac:dyDescent="0.3">
      <c r="F611" s="205"/>
    </row>
    <row r="612" spans="6:6" x14ac:dyDescent="0.3">
      <c r="F612" s="205"/>
    </row>
    <row r="613" spans="6:6" x14ac:dyDescent="0.3">
      <c r="F613" s="205"/>
    </row>
    <row r="614" spans="6:6" x14ac:dyDescent="0.3">
      <c r="F614" s="205"/>
    </row>
    <row r="615" spans="6:6" x14ac:dyDescent="0.3">
      <c r="F615" s="205"/>
    </row>
    <row r="616" spans="6:6" x14ac:dyDescent="0.3">
      <c r="F616" s="205"/>
    </row>
    <row r="617" spans="6:6" x14ac:dyDescent="0.3">
      <c r="F617" s="205"/>
    </row>
    <row r="618" spans="6:6" x14ac:dyDescent="0.3">
      <c r="F618" s="205"/>
    </row>
    <row r="619" spans="6:6" x14ac:dyDescent="0.3">
      <c r="F619" s="205"/>
    </row>
    <row r="620" spans="6:6" x14ac:dyDescent="0.3">
      <c r="F620" s="205"/>
    </row>
    <row r="621" spans="6:6" x14ac:dyDescent="0.3">
      <c r="F621" s="205"/>
    </row>
    <row r="622" spans="6:6" x14ac:dyDescent="0.3">
      <c r="F622" s="205"/>
    </row>
    <row r="623" spans="6:6" x14ac:dyDescent="0.3">
      <c r="F623" s="205"/>
    </row>
    <row r="624" spans="6:6" x14ac:dyDescent="0.3">
      <c r="F624" s="205"/>
    </row>
    <row r="625" spans="6:6" x14ac:dyDescent="0.3">
      <c r="F625" s="205"/>
    </row>
    <row r="626" spans="6:6" x14ac:dyDescent="0.3">
      <c r="F626" s="205"/>
    </row>
    <row r="627" spans="6:6" x14ac:dyDescent="0.3">
      <c r="F627" s="205"/>
    </row>
    <row r="628" spans="6:6" x14ac:dyDescent="0.3">
      <c r="F628" s="205"/>
    </row>
    <row r="629" spans="6:6" x14ac:dyDescent="0.3">
      <c r="F629" s="205"/>
    </row>
    <row r="630" spans="6:6" x14ac:dyDescent="0.3">
      <c r="F630" s="205"/>
    </row>
    <row r="631" spans="6:6" x14ac:dyDescent="0.3">
      <c r="F631" s="205"/>
    </row>
    <row r="632" spans="6:6" x14ac:dyDescent="0.3">
      <c r="F632" s="205"/>
    </row>
    <row r="633" spans="6:6" x14ac:dyDescent="0.3">
      <c r="F633" s="205"/>
    </row>
    <row r="634" spans="6:6" x14ac:dyDescent="0.3">
      <c r="F634" s="205"/>
    </row>
    <row r="635" spans="6:6" x14ac:dyDescent="0.3">
      <c r="F635" s="205"/>
    </row>
    <row r="636" spans="6:6" x14ac:dyDescent="0.3">
      <c r="F636" s="205"/>
    </row>
    <row r="637" spans="6:6" x14ac:dyDescent="0.3">
      <c r="F637" s="205"/>
    </row>
    <row r="638" spans="6:6" x14ac:dyDescent="0.3">
      <c r="F638" s="205"/>
    </row>
    <row r="639" spans="6:6" x14ac:dyDescent="0.3">
      <c r="F639" s="205"/>
    </row>
    <row r="640" spans="6:6" x14ac:dyDescent="0.3">
      <c r="F640" s="205"/>
    </row>
    <row r="641" spans="6:6" x14ac:dyDescent="0.3">
      <c r="F641" s="205"/>
    </row>
    <row r="642" spans="6:6" x14ac:dyDescent="0.3">
      <c r="F642" s="205"/>
    </row>
    <row r="643" spans="6:6" x14ac:dyDescent="0.3">
      <c r="F643" s="205"/>
    </row>
    <row r="644" spans="6:6" x14ac:dyDescent="0.3">
      <c r="F644" s="205"/>
    </row>
    <row r="645" spans="6:6" x14ac:dyDescent="0.3">
      <c r="F645" s="205"/>
    </row>
    <row r="646" spans="6:6" x14ac:dyDescent="0.3">
      <c r="F646" s="205"/>
    </row>
    <row r="647" spans="6:6" x14ac:dyDescent="0.3">
      <c r="F647" s="205"/>
    </row>
    <row r="648" spans="6:6" x14ac:dyDescent="0.3">
      <c r="F648" s="205"/>
    </row>
    <row r="649" spans="6:6" x14ac:dyDescent="0.3">
      <c r="F649" s="205"/>
    </row>
    <row r="650" spans="6:6" x14ac:dyDescent="0.3">
      <c r="F650" s="205"/>
    </row>
    <row r="651" spans="6:6" x14ac:dyDescent="0.3">
      <c r="F651" s="205"/>
    </row>
    <row r="652" spans="6:6" x14ac:dyDescent="0.3">
      <c r="F652" s="205"/>
    </row>
    <row r="653" spans="6:6" x14ac:dyDescent="0.3">
      <c r="F653" s="205"/>
    </row>
    <row r="654" spans="6:6" x14ac:dyDescent="0.3">
      <c r="F654" s="205"/>
    </row>
    <row r="655" spans="6:6" x14ac:dyDescent="0.3">
      <c r="F655" s="205"/>
    </row>
    <row r="656" spans="6:6" x14ac:dyDescent="0.3">
      <c r="F656" s="205"/>
    </row>
    <row r="657" spans="6:6" x14ac:dyDescent="0.3">
      <c r="F657" s="205"/>
    </row>
    <row r="658" spans="6:6" x14ac:dyDescent="0.3">
      <c r="F658" s="205"/>
    </row>
    <row r="659" spans="6:6" x14ac:dyDescent="0.3">
      <c r="F659" s="205"/>
    </row>
    <row r="660" spans="6:6" x14ac:dyDescent="0.3">
      <c r="F660" s="205"/>
    </row>
    <row r="661" spans="6:6" x14ac:dyDescent="0.3">
      <c r="F661" s="205"/>
    </row>
    <row r="662" spans="6:6" x14ac:dyDescent="0.3">
      <c r="F662" s="205"/>
    </row>
    <row r="663" spans="6:6" x14ac:dyDescent="0.3">
      <c r="F663" s="205"/>
    </row>
    <row r="664" spans="6:6" x14ac:dyDescent="0.3">
      <c r="F664" s="205"/>
    </row>
    <row r="665" spans="6:6" x14ac:dyDescent="0.3">
      <c r="F665" s="205"/>
    </row>
    <row r="666" spans="6:6" x14ac:dyDescent="0.3">
      <c r="F666" s="205"/>
    </row>
    <row r="667" spans="6:6" x14ac:dyDescent="0.3">
      <c r="F667" s="205"/>
    </row>
    <row r="668" spans="6:6" x14ac:dyDescent="0.3">
      <c r="F668" s="205"/>
    </row>
    <row r="669" spans="6:6" x14ac:dyDescent="0.3">
      <c r="F669" s="205"/>
    </row>
    <row r="670" spans="6:6" x14ac:dyDescent="0.3">
      <c r="F670" s="205"/>
    </row>
    <row r="671" spans="6:6" x14ac:dyDescent="0.3">
      <c r="F671" s="205"/>
    </row>
    <row r="672" spans="6:6" x14ac:dyDescent="0.3">
      <c r="F672" s="205"/>
    </row>
    <row r="673" spans="6:6" x14ac:dyDescent="0.3">
      <c r="F673" s="205"/>
    </row>
    <row r="674" spans="6:6" x14ac:dyDescent="0.3">
      <c r="F674" s="205"/>
    </row>
    <row r="675" spans="6:6" x14ac:dyDescent="0.3">
      <c r="F675" s="205"/>
    </row>
    <row r="676" spans="6:6" x14ac:dyDescent="0.3">
      <c r="F676" s="205"/>
    </row>
    <row r="677" spans="6:6" x14ac:dyDescent="0.3">
      <c r="F677" s="205"/>
    </row>
    <row r="678" spans="6:6" x14ac:dyDescent="0.3">
      <c r="F678" s="205"/>
    </row>
    <row r="679" spans="6:6" x14ac:dyDescent="0.3">
      <c r="F679" s="205"/>
    </row>
    <row r="680" spans="6:6" x14ac:dyDescent="0.3">
      <c r="F680" s="205"/>
    </row>
    <row r="681" spans="6:6" x14ac:dyDescent="0.3">
      <c r="F681" s="205"/>
    </row>
    <row r="682" spans="6:6" x14ac:dyDescent="0.3">
      <c r="F682" s="205"/>
    </row>
    <row r="683" spans="6:6" x14ac:dyDescent="0.3">
      <c r="F683" s="205"/>
    </row>
    <row r="684" spans="6:6" x14ac:dyDescent="0.3">
      <c r="F684" s="205"/>
    </row>
    <row r="685" spans="6:6" x14ac:dyDescent="0.3">
      <c r="F685" s="205"/>
    </row>
    <row r="686" spans="6:6" x14ac:dyDescent="0.3">
      <c r="F686" s="205"/>
    </row>
    <row r="687" spans="6:6" x14ac:dyDescent="0.3">
      <c r="F687" s="205"/>
    </row>
    <row r="688" spans="6:6" x14ac:dyDescent="0.3">
      <c r="F688" s="205"/>
    </row>
    <row r="689" spans="6:6" x14ac:dyDescent="0.3">
      <c r="F689" s="205"/>
    </row>
    <row r="690" spans="6:6" x14ac:dyDescent="0.3">
      <c r="F690" s="205"/>
    </row>
    <row r="691" spans="6:6" x14ac:dyDescent="0.3">
      <c r="F691" s="205"/>
    </row>
    <row r="692" spans="6:6" x14ac:dyDescent="0.3">
      <c r="F692" s="205"/>
    </row>
    <row r="693" spans="6:6" x14ac:dyDescent="0.3">
      <c r="F693" s="205"/>
    </row>
    <row r="694" spans="6:6" x14ac:dyDescent="0.3">
      <c r="F694" s="205"/>
    </row>
    <row r="695" spans="6:6" x14ac:dyDescent="0.3">
      <c r="F695" s="205"/>
    </row>
    <row r="696" spans="6:6" x14ac:dyDescent="0.3">
      <c r="F696" s="205"/>
    </row>
    <row r="697" spans="6:6" x14ac:dyDescent="0.3">
      <c r="F697" s="205"/>
    </row>
    <row r="698" spans="6:6" x14ac:dyDescent="0.3">
      <c r="F698" s="205"/>
    </row>
    <row r="699" spans="6:6" x14ac:dyDescent="0.3">
      <c r="F699" s="205"/>
    </row>
    <row r="700" spans="6:6" x14ac:dyDescent="0.3">
      <c r="F700" s="205"/>
    </row>
    <row r="701" spans="6:6" x14ac:dyDescent="0.3">
      <c r="F701" s="205"/>
    </row>
    <row r="702" spans="6:6" x14ac:dyDescent="0.3">
      <c r="F702" s="205"/>
    </row>
    <row r="703" spans="6:6" x14ac:dyDescent="0.3">
      <c r="F703" s="205"/>
    </row>
    <row r="704" spans="6:6" x14ac:dyDescent="0.3">
      <c r="F704" s="205"/>
    </row>
    <row r="705" spans="6:6" x14ac:dyDescent="0.3">
      <c r="F705" s="205"/>
    </row>
    <row r="706" spans="6:6" x14ac:dyDescent="0.3">
      <c r="F706" s="205"/>
    </row>
    <row r="707" spans="6:6" x14ac:dyDescent="0.3">
      <c r="F707" s="205"/>
    </row>
    <row r="708" spans="6:6" x14ac:dyDescent="0.3">
      <c r="F708" s="205"/>
    </row>
    <row r="709" spans="6:6" x14ac:dyDescent="0.3">
      <c r="F709" s="205"/>
    </row>
    <row r="710" spans="6:6" x14ac:dyDescent="0.3">
      <c r="F710" s="205"/>
    </row>
    <row r="711" spans="6:6" x14ac:dyDescent="0.3">
      <c r="F711" s="205"/>
    </row>
    <row r="712" spans="6:6" x14ac:dyDescent="0.3">
      <c r="F712" s="205"/>
    </row>
    <row r="713" spans="6:6" x14ac:dyDescent="0.3">
      <c r="F713" s="205"/>
    </row>
    <row r="714" spans="6:6" x14ac:dyDescent="0.3">
      <c r="F714" s="205"/>
    </row>
    <row r="715" spans="6:6" x14ac:dyDescent="0.3">
      <c r="F715" s="205"/>
    </row>
    <row r="716" spans="6:6" x14ac:dyDescent="0.3">
      <c r="F716" s="205"/>
    </row>
    <row r="717" spans="6:6" x14ac:dyDescent="0.3">
      <c r="F717" s="205"/>
    </row>
    <row r="718" spans="6:6" x14ac:dyDescent="0.3">
      <c r="F718" s="205"/>
    </row>
    <row r="719" spans="6:6" x14ac:dyDescent="0.3">
      <c r="F719" s="205"/>
    </row>
    <row r="720" spans="6:6" x14ac:dyDescent="0.3">
      <c r="F720" s="205"/>
    </row>
    <row r="721" spans="6:6" x14ac:dyDescent="0.3">
      <c r="F721" s="205"/>
    </row>
    <row r="722" spans="6:6" x14ac:dyDescent="0.3">
      <c r="F722" s="205"/>
    </row>
    <row r="723" spans="6:6" x14ac:dyDescent="0.3">
      <c r="F723" s="205"/>
    </row>
    <row r="724" spans="6:6" x14ac:dyDescent="0.3">
      <c r="F724" s="205"/>
    </row>
    <row r="725" spans="6:6" x14ac:dyDescent="0.3">
      <c r="F725" s="205"/>
    </row>
    <row r="726" spans="6:6" x14ac:dyDescent="0.3">
      <c r="F726" s="205"/>
    </row>
    <row r="727" spans="6:6" x14ac:dyDescent="0.3">
      <c r="F727" s="205"/>
    </row>
    <row r="728" spans="6:6" x14ac:dyDescent="0.3">
      <c r="F728" s="205"/>
    </row>
    <row r="729" spans="6:6" x14ac:dyDescent="0.3">
      <c r="F729" s="205"/>
    </row>
    <row r="730" spans="6:6" x14ac:dyDescent="0.3">
      <c r="F730" s="205"/>
    </row>
    <row r="731" spans="6:6" x14ac:dyDescent="0.3">
      <c r="F731" s="205"/>
    </row>
    <row r="732" spans="6:6" x14ac:dyDescent="0.3">
      <c r="F732" s="205"/>
    </row>
    <row r="733" spans="6:6" x14ac:dyDescent="0.3">
      <c r="F733" s="205"/>
    </row>
    <row r="734" spans="6:6" x14ac:dyDescent="0.3">
      <c r="F734" s="205"/>
    </row>
    <row r="735" spans="6:6" x14ac:dyDescent="0.3">
      <c r="F735" s="205"/>
    </row>
    <row r="736" spans="6:6" x14ac:dyDescent="0.3">
      <c r="F736" s="205"/>
    </row>
    <row r="737" spans="6:6" x14ac:dyDescent="0.3">
      <c r="F737" s="205"/>
    </row>
    <row r="738" spans="6:6" x14ac:dyDescent="0.3">
      <c r="F738" s="205"/>
    </row>
    <row r="739" spans="6:6" x14ac:dyDescent="0.3">
      <c r="F739" s="205"/>
    </row>
    <row r="740" spans="6:6" x14ac:dyDescent="0.3">
      <c r="F740" s="205"/>
    </row>
    <row r="741" spans="6:6" x14ac:dyDescent="0.3">
      <c r="F741" s="205"/>
    </row>
    <row r="742" spans="6:6" x14ac:dyDescent="0.3">
      <c r="F742" s="205"/>
    </row>
    <row r="743" spans="6:6" x14ac:dyDescent="0.3">
      <c r="F743" s="205"/>
    </row>
    <row r="744" spans="6:6" x14ac:dyDescent="0.3">
      <c r="F744" s="205"/>
    </row>
    <row r="745" spans="6:6" x14ac:dyDescent="0.3">
      <c r="F745" s="205"/>
    </row>
    <row r="746" spans="6:6" x14ac:dyDescent="0.3">
      <c r="F746" s="205"/>
    </row>
    <row r="747" spans="6:6" x14ac:dyDescent="0.3">
      <c r="F747" s="205"/>
    </row>
    <row r="748" spans="6:6" x14ac:dyDescent="0.3">
      <c r="F748" s="205"/>
    </row>
    <row r="749" spans="6:6" x14ac:dyDescent="0.3">
      <c r="F749" s="205"/>
    </row>
    <row r="750" spans="6:6" x14ac:dyDescent="0.3">
      <c r="F750" s="205"/>
    </row>
    <row r="751" spans="6:6" x14ac:dyDescent="0.3">
      <c r="F751" s="205"/>
    </row>
    <row r="752" spans="6:6" x14ac:dyDescent="0.3">
      <c r="F752" s="205"/>
    </row>
    <row r="753" spans="6:6" x14ac:dyDescent="0.3">
      <c r="F753" s="205"/>
    </row>
    <row r="754" spans="6:6" x14ac:dyDescent="0.3">
      <c r="F754" s="205"/>
    </row>
    <row r="755" spans="6:6" x14ac:dyDescent="0.3">
      <c r="F755" s="205"/>
    </row>
    <row r="756" spans="6:6" x14ac:dyDescent="0.3">
      <c r="F756" s="205"/>
    </row>
    <row r="757" spans="6:6" x14ac:dyDescent="0.3">
      <c r="F757" s="205"/>
    </row>
    <row r="758" spans="6:6" x14ac:dyDescent="0.3">
      <c r="F758" s="205"/>
    </row>
    <row r="759" spans="6:6" x14ac:dyDescent="0.3">
      <c r="F759" s="205"/>
    </row>
    <row r="760" spans="6:6" x14ac:dyDescent="0.3">
      <c r="F760" s="205"/>
    </row>
    <row r="761" spans="6:6" x14ac:dyDescent="0.3">
      <c r="F761" s="205"/>
    </row>
    <row r="762" spans="6:6" x14ac:dyDescent="0.3">
      <c r="F762" s="205"/>
    </row>
    <row r="763" spans="6:6" x14ac:dyDescent="0.3">
      <c r="F763" s="205"/>
    </row>
    <row r="764" spans="6:6" x14ac:dyDescent="0.3">
      <c r="F764" s="205"/>
    </row>
    <row r="765" spans="6:6" x14ac:dyDescent="0.3">
      <c r="F765" s="205"/>
    </row>
    <row r="766" spans="6:6" x14ac:dyDescent="0.3">
      <c r="F766" s="205"/>
    </row>
    <row r="767" spans="6:6" x14ac:dyDescent="0.3">
      <c r="F767" s="205"/>
    </row>
    <row r="768" spans="6:6" x14ac:dyDescent="0.3">
      <c r="F768" s="205"/>
    </row>
    <row r="769" spans="6:6" x14ac:dyDescent="0.3">
      <c r="F769" s="205"/>
    </row>
    <row r="770" spans="6:6" x14ac:dyDescent="0.3">
      <c r="F770" s="205"/>
    </row>
    <row r="771" spans="6:6" x14ac:dyDescent="0.3">
      <c r="F771" s="205"/>
    </row>
    <row r="772" spans="6:6" x14ac:dyDescent="0.3">
      <c r="F772" s="205"/>
    </row>
    <row r="773" spans="6:6" x14ac:dyDescent="0.3">
      <c r="F773" s="205"/>
    </row>
    <row r="774" spans="6:6" x14ac:dyDescent="0.3">
      <c r="F774" s="205"/>
    </row>
    <row r="775" spans="6:6" x14ac:dyDescent="0.3">
      <c r="F775" s="205"/>
    </row>
    <row r="776" spans="6:6" x14ac:dyDescent="0.3">
      <c r="F776" s="205"/>
    </row>
    <row r="777" spans="6:6" x14ac:dyDescent="0.3">
      <c r="F777" s="205"/>
    </row>
    <row r="778" spans="6:6" x14ac:dyDescent="0.3">
      <c r="F778" s="205"/>
    </row>
    <row r="779" spans="6:6" x14ac:dyDescent="0.3">
      <c r="F779" s="205"/>
    </row>
    <row r="780" spans="6:6" x14ac:dyDescent="0.3">
      <c r="F780" s="205"/>
    </row>
    <row r="781" spans="6:6" x14ac:dyDescent="0.3">
      <c r="F781" s="205"/>
    </row>
    <row r="782" spans="6:6" x14ac:dyDescent="0.3">
      <c r="F782" s="205"/>
    </row>
    <row r="783" spans="6:6" x14ac:dyDescent="0.3">
      <c r="F783" s="205"/>
    </row>
    <row r="784" spans="6:6" x14ac:dyDescent="0.3">
      <c r="F784" s="205"/>
    </row>
    <row r="785" spans="6:6" x14ac:dyDescent="0.3">
      <c r="F785" s="205"/>
    </row>
    <row r="786" spans="6:6" x14ac:dyDescent="0.3">
      <c r="F786" s="205"/>
    </row>
    <row r="787" spans="6:6" x14ac:dyDescent="0.3">
      <c r="F787" s="205"/>
    </row>
    <row r="788" spans="6:6" x14ac:dyDescent="0.3">
      <c r="F788" s="205"/>
    </row>
    <row r="789" spans="6:6" x14ac:dyDescent="0.3">
      <c r="F789" s="205"/>
    </row>
    <row r="790" spans="6:6" x14ac:dyDescent="0.3">
      <c r="F790" s="205"/>
    </row>
    <row r="791" spans="6:6" x14ac:dyDescent="0.3">
      <c r="F791" s="205"/>
    </row>
    <row r="792" spans="6:6" x14ac:dyDescent="0.3">
      <c r="F792" s="205"/>
    </row>
    <row r="793" spans="6:6" x14ac:dyDescent="0.3">
      <c r="F793" s="205"/>
    </row>
    <row r="794" spans="6:6" x14ac:dyDescent="0.3">
      <c r="F794" s="205"/>
    </row>
    <row r="795" spans="6:6" x14ac:dyDescent="0.3">
      <c r="F795" s="205"/>
    </row>
    <row r="796" spans="6:6" x14ac:dyDescent="0.3">
      <c r="F796" s="205"/>
    </row>
    <row r="797" spans="6:6" x14ac:dyDescent="0.3">
      <c r="F797" s="205"/>
    </row>
    <row r="798" spans="6:6" x14ac:dyDescent="0.3">
      <c r="F798" s="205"/>
    </row>
    <row r="799" spans="6:6" x14ac:dyDescent="0.3">
      <c r="F799" s="205"/>
    </row>
    <row r="800" spans="6:6" x14ac:dyDescent="0.3">
      <c r="F800" s="205"/>
    </row>
    <row r="801" spans="6:6" x14ac:dyDescent="0.3">
      <c r="F801" s="205"/>
    </row>
    <row r="802" spans="6:6" x14ac:dyDescent="0.3">
      <c r="F802" s="205"/>
    </row>
    <row r="803" spans="6:6" x14ac:dyDescent="0.3">
      <c r="F803" s="205"/>
    </row>
    <row r="804" spans="6:6" x14ac:dyDescent="0.3">
      <c r="F804" s="205"/>
    </row>
    <row r="805" spans="6:6" x14ac:dyDescent="0.3">
      <c r="F805" s="205"/>
    </row>
    <row r="806" spans="6:6" x14ac:dyDescent="0.3">
      <c r="F806" s="205"/>
    </row>
    <row r="807" spans="6:6" x14ac:dyDescent="0.3">
      <c r="F807" s="205"/>
    </row>
    <row r="808" spans="6:6" x14ac:dyDescent="0.3">
      <c r="F808" s="205"/>
    </row>
    <row r="809" spans="6:6" x14ac:dyDescent="0.3">
      <c r="F809" s="205"/>
    </row>
    <row r="810" spans="6:6" x14ac:dyDescent="0.3">
      <c r="F810" s="205"/>
    </row>
    <row r="811" spans="6:6" x14ac:dyDescent="0.3">
      <c r="F811" s="205"/>
    </row>
    <row r="812" spans="6:6" x14ac:dyDescent="0.3">
      <c r="F812" s="205"/>
    </row>
    <row r="813" spans="6:6" x14ac:dyDescent="0.3">
      <c r="F813" s="205"/>
    </row>
    <row r="814" spans="6:6" x14ac:dyDescent="0.3">
      <c r="F814" s="205"/>
    </row>
    <row r="815" spans="6:6" x14ac:dyDescent="0.3">
      <c r="F815" s="205"/>
    </row>
    <row r="816" spans="6:6" x14ac:dyDescent="0.3">
      <c r="F816" s="205"/>
    </row>
    <row r="817" spans="6:6" x14ac:dyDescent="0.3">
      <c r="F817" s="205"/>
    </row>
    <row r="818" spans="6:6" x14ac:dyDescent="0.3">
      <c r="F818" s="205"/>
    </row>
    <row r="819" spans="6:6" x14ac:dyDescent="0.3">
      <c r="F819" s="205"/>
    </row>
    <row r="820" spans="6:6" x14ac:dyDescent="0.3">
      <c r="F820" s="205"/>
    </row>
    <row r="821" spans="6:6" x14ac:dyDescent="0.3">
      <c r="F821" s="205"/>
    </row>
    <row r="822" spans="6:6" x14ac:dyDescent="0.3">
      <c r="F822" s="205"/>
    </row>
    <row r="823" spans="6:6" x14ac:dyDescent="0.3">
      <c r="F823" s="205"/>
    </row>
    <row r="824" spans="6:6" x14ac:dyDescent="0.3">
      <c r="F824" s="205"/>
    </row>
    <row r="825" spans="6:6" x14ac:dyDescent="0.3">
      <c r="F825" s="205"/>
    </row>
    <row r="826" spans="6:6" x14ac:dyDescent="0.3">
      <c r="F826" s="205"/>
    </row>
    <row r="827" spans="6:6" x14ac:dyDescent="0.3">
      <c r="F827" s="205"/>
    </row>
    <row r="828" spans="6:6" x14ac:dyDescent="0.3">
      <c r="F828" s="205"/>
    </row>
    <row r="829" spans="6:6" x14ac:dyDescent="0.3">
      <c r="F829" s="205"/>
    </row>
    <row r="830" spans="6:6" x14ac:dyDescent="0.3">
      <c r="F830" s="205"/>
    </row>
    <row r="831" spans="6:6" x14ac:dyDescent="0.3">
      <c r="F831" s="205"/>
    </row>
    <row r="832" spans="6:6" x14ac:dyDescent="0.3">
      <c r="F832" s="205"/>
    </row>
    <row r="833" spans="6:6" x14ac:dyDescent="0.3">
      <c r="F833" s="205"/>
    </row>
    <row r="834" spans="6:6" x14ac:dyDescent="0.3">
      <c r="F834" s="205"/>
    </row>
    <row r="835" spans="6:6" x14ac:dyDescent="0.3">
      <c r="F835" s="205"/>
    </row>
    <row r="836" spans="6:6" x14ac:dyDescent="0.3">
      <c r="F836" s="205"/>
    </row>
    <row r="837" spans="6:6" x14ac:dyDescent="0.3">
      <c r="F837" s="205"/>
    </row>
    <row r="838" spans="6:6" x14ac:dyDescent="0.3">
      <c r="F838" s="205"/>
    </row>
    <row r="839" spans="6:6" x14ac:dyDescent="0.3">
      <c r="F839" s="205"/>
    </row>
    <row r="840" spans="6:6" x14ac:dyDescent="0.3">
      <c r="F840" s="205"/>
    </row>
    <row r="841" spans="6:6" x14ac:dyDescent="0.3">
      <c r="F841" s="205"/>
    </row>
    <row r="842" spans="6:6" x14ac:dyDescent="0.3">
      <c r="F842" s="205"/>
    </row>
    <row r="843" spans="6:6" x14ac:dyDescent="0.3">
      <c r="F843" s="205"/>
    </row>
    <row r="844" spans="6:6" x14ac:dyDescent="0.3">
      <c r="F844" s="205"/>
    </row>
    <row r="845" spans="6:6" x14ac:dyDescent="0.3">
      <c r="F845" s="205"/>
    </row>
    <row r="846" spans="6:6" x14ac:dyDescent="0.3">
      <c r="F846" s="205"/>
    </row>
    <row r="847" spans="6:6" x14ac:dyDescent="0.3">
      <c r="F847" s="205"/>
    </row>
    <row r="848" spans="6:6" x14ac:dyDescent="0.3">
      <c r="F848" s="205"/>
    </row>
    <row r="849" spans="6:6" x14ac:dyDescent="0.3">
      <c r="F849" s="205"/>
    </row>
    <row r="850" spans="6:6" x14ac:dyDescent="0.3">
      <c r="F850" s="205"/>
    </row>
    <row r="851" spans="6:6" x14ac:dyDescent="0.3">
      <c r="F851" s="205"/>
    </row>
    <row r="852" spans="6:6" x14ac:dyDescent="0.3">
      <c r="F852" s="205"/>
    </row>
    <row r="853" spans="6:6" x14ac:dyDescent="0.3">
      <c r="F853" s="205"/>
    </row>
    <row r="854" spans="6:6" x14ac:dyDescent="0.3">
      <c r="F854" s="205"/>
    </row>
    <row r="855" spans="6:6" x14ac:dyDescent="0.3">
      <c r="F855" s="205"/>
    </row>
    <row r="856" spans="6:6" x14ac:dyDescent="0.3">
      <c r="F856" s="205"/>
    </row>
    <row r="857" spans="6:6" x14ac:dyDescent="0.3">
      <c r="F857" s="205"/>
    </row>
    <row r="858" spans="6:6" x14ac:dyDescent="0.3">
      <c r="F858" s="205"/>
    </row>
    <row r="859" spans="6:6" x14ac:dyDescent="0.3">
      <c r="F859" s="205"/>
    </row>
    <row r="860" spans="6:6" x14ac:dyDescent="0.3">
      <c r="F860" s="205"/>
    </row>
    <row r="861" spans="6:6" x14ac:dyDescent="0.3">
      <c r="F861" s="205"/>
    </row>
    <row r="862" spans="6:6" x14ac:dyDescent="0.3">
      <c r="F862" s="205"/>
    </row>
    <row r="863" spans="6:6" x14ac:dyDescent="0.3">
      <c r="F863" s="205"/>
    </row>
    <row r="864" spans="6:6" x14ac:dyDescent="0.3">
      <c r="F864" s="205"/>
    </row>
    <row r="865" spans="6:6" x14ac:dyDescent="0.3">
      <c r="F865" s="205"/>
    </row>
    <row r="866" spans="6:6" x14ac:dyDescent="0.3">
      <c r="F866" s="205"/>
    </row>
    <row r="867" spans="6:6" x14ac:dyDescent="0.3">
      <c r="F867" s="205"/>
    </row>
    <row r="868" spans="6:6" x14ac:dyDescent="0.3">
      <c r="F868" s="205"/>
    </row>
    <row r="869" spans="6:6" x14ac:dyDescent="0.3">
      <c r="F869" s="205"/>
    </row>
    <row r="870" spans="6:6" x14ac:dyDescent="0.3">
      <c r="F870" s="205"/>
    </row>
    <row r="871" spans="6:6" x14ac:dyDescent="0.3">
      <c r="F871" s="205"/>
    </row>
    <row r="872" spans="6:6" x14ac:dyDescent="0.3">
      <c r="F872" s="205"/>
    </row>
    <row r="873" spans="6:6" x14ac:dyDescent="0.3">
      <c r="F873" s="205"/>
    </row>
    <row r="874" spans="6:6" x14ac:dyDescent="0.3">
      <c r="F874" s="205"/>
    </row>
    <row r="875" spans="6:6" x14ac:dyDescent="0.3">
      <c r="F875" s="205"/>
    </row>
    <row r="876" spans="6:6" x14ac:dyDescent="0.3">
      <c r="F876" s="205"/>
    </row>
    <row r="877" spans="6:6" x14ac:dyDescent="0.3">
      <c r="F877" s="205"/>
    </row>
    <row r="878" spans="6:6" x14ac:dyDescent="0.3">
      <c r="F878" s="205"/>
    </row>
    <row r="879" spans="6:6" x14ac:dyDescent="0.3">
      <c r="F879" s="205"/>
    </row>
    <row r="880" spans="6:6" x14ac:dyDescent="0.3">
      <c r="F880" s="205"/>
    </row>
    <row r="881" spans="6:6" x14ac:dyDescent="0.3">
      <c r="F881" s="205"/>
    </row>
    <row r="882" spans="6:6" x14ac:dyDescent="0.3">
      <c r="F882" s="205"/>
    </row>
    <row r="883" spans="6:6" x14ac:dyDescent="0.3">
      <c r="F883" s="205"/>
    </row>
    <row r="884" spans="6:6" x14ac:dyDescent="0.3">
      <c r="F884" s="205"/>
    </row>
    <row r="885" spans="6:6" x14ac:dyDescent="0.3">
      <c r="F885" s="205"/>
    </row>
    <row r="886" spans="6:6" x14ac:dyDescent="0.3">
      <c r="F886" s="205"/>
    </row>
    <row r="887" spans="6:6" x14ac:dyDescent="0.3">
      <c r="F887" s="205"/>
    </row>
    <row r="888" spans="6:6" x14ac:dyDescent="0.3">
      <c r="F888" s="205"/>
    </row>
    <row r="889" spans="6:6" x14ac:dyDescent="0.3">
      <c r="F889" s="205"/>
    </row>
    <row r="890" spans="6:6" x14ac:dyDescent="0.3">
      <c r="F890" s="205"/>
    </row>
    <row r="891" spans="6:6" x14ac:dyDescent="0.3">
      <c r="F891" s="205"/>
    </row>
    <row r="892" spans="6:6" x14ac:dyDescent="0.3">
      <c r="F892" s="205"/>
    </row>
    <row r="893" spans="6:6" x14ac:dyDescent="0.3">
      <c r="F893" s="205"/>
    </row>
    <row r="894" spans="6:6" x14ac:dyDescent="0.3">
      <c r="F894" s="205"/>
    </row>
    <row r="895" spans="6:6" x14ac:dyDescent="0.3">
      <c r="F895" s="205"/>
    </row>
    <row r="896" spans="6:6" x14ac:dyDescent="0.3">
      <c r="F896" s="205"/>
    </row>
    <row r="897" spans="6:6" x14ac:dyDescent="0.3">
      <c r="F897" s="205"/>
    </row>
    <row r="898" spans="6:6" x14ac:dyDescent="0.3">
      <c r="F898" s="205"/>
    </row>
    <row r="899" spans="6:6" x14ac:dyDescent="0.3">
      <c r="F899" s="205"/>
    </row>
    <row r="900" spans="6:6" x14ac:dyDescent="0.3">
      <c r="F900" s="205"/>
    </row>
    <row r="901" spans="6:6" x14ac:dyDescent="0.3">
      <c r="F901" s="205"/>
    </row>
    <row r="902" spans="6:6" x14ac:dyDescent="0.3">
      <c r="F902" s="205"/>
    </row>
    <row r="903" spans="6:6" x14ac:dyDescent="0.3">
      <c r="F903" s="205"/>
    </row>
    <row r="904" spans="6:6" x14ac:dyDescent="0.3">
      <c r="F904" s="205"/>
    </row>
    <row r="905" spans="6:6" x14ac:dyDescent="0.3">
      <c r="F905" s="205"/>
    </row>
    <row r="906" spans="6:6" x14ac:dyDescent="0.3">
      <c r="F906" s="205"/>
    </row>
    <row r="907" spans="6:6" x14ac:dyDescent="0.3">
      <c r="F907" s="205"/>
    </row>
    <row r="908" spans="6:6" x14ac:dyDescent="0.3">
      <c r="F908" s="205"/>
    </row>
    <row r="909" spans="6:6" x14ac:dyDescent="0.3">
      <c r="F909" s="205"/>
    </row>
    <row r="910" spans="6:6" x14ac:dyDescent="0.3">
      <c r="F910" s="205"/>
    </row>
    <row r="911" spans="6:6" x14ac:dyDescent="0.3">
      <c r="F911" s="205"/>
    </row>
    <row r="912" spans="6:6" x14ac:dyDescent="0.3">
      <c r="F912" s="205"/>
    </row>
    <row r="913" spans="6:6" x14ac:dyDescent="0.3">
      <c r="F913" s="205"/>
    </row>
    <row r="914" spans="6:6" x14ac:dyDescent="0.3">
      <c r="F914" s="205"/>
    </row>
    <row r="915" spans="6:6" x14ac:dyDescent="0.3">
      <c r="F915" s="205"/>
    </row>
    <row r="916" spans="6:6" x14ac:dyDescent="0.3">
      <c r="F916" s="205"/>
    </row>
    <row r="917" spans="6:6" x14ac:dyDescent="0.3">
      <c r="F917" s="205"/>
    </row>
    <row r="918" spans="6:6" x14ac:dyDescent="0.3">
      <c r="F918" s="205"/>
    </row>
    <row r="919" spans="6:6" x14ac:dyDescent="0.3">
      <c r="F919" s="205"/>
    </row>
    <row r="920" spans="6:6" x14ac:dyDescent="0.3">
      <c r="F920" s="205"/>
    </row>
    <row r="921" spans="6:6" x14ac:dyDescent="0.3">
      <c r="F921" s="205"/>
    </row>
    <row r="922" spans="6:6" x14ac:dyDescent="0.3">
      <c r="F922" s="205"/>
    </row>
    <row r="923" spans="6:6" x14ac:dyDescent="0.3">
      <c r="F923" s="205"/>
    </row>
    <row r="924" spans="6:6" x14ac:dyDescent="0.3">
      <c r="F924" s="205"/>
    </row>
    <row r="925" spans="6:6" x14ac:dyDescent="0.3">
      <c r="F925" s="205"/>
    </row>
    <row r="926" spans="6:6" x14ac:dyDescent="0.3">
      <c r="F926" s="205"/>
    </row>
    <row r="927" spans="6:6" x14ac:dyDescent="0.3">
      <c r="F927" s="205"/>
    </row>
    <row r="928" spans="6:6" x14ac:dyDescent="0.3">
      <c r="F928" s="205"/>
    </row>
    <row r="929" spans="6:6" x14ac:dyDescent="0.3">
      <c r="F929" s="205"/>
    </row>
    <row r="930" spans="6:6" x14ac:dyDescent="0.3">
      <c r="F930" s="205"/>
    </row>
    <row r="931" spans="6:6" x14ac:dyDescent="0.3">
      <c r="F931" s="205"/>
    </row>
    <row r="932" spans="6:6" x14ac:dyDescent="0.3">
      <c r="F932" s="205"/>
    </row>
    <row r="933" spans="6:6" x14ac:dyDescent="0.3">
      <c r="F933" s="205"/>
    </row>
    <row r="934" spans="6:6" x14ac:dyDescent="0.3">
      <c r="F934" s="205"/>
    </row>
    <row r="935" spans="6:6" x14ac:dyDescent="0.3">
      <c r="F935" s="205"/>
    </row>
    <row r="936" spans="6:6" x14ac:dyDescent="0.3">
      <c r="F936" s="205"/>
    </row>
    <row r="937" spans="6:6" x14ac:dyDescent="0.3">
      <c r="F937" s="205"/>
    </row>
    <row r="938" spans="6:6" x14ac:dyDescent="0.3">
      <c r="F938" s="205"/>
    </row>
    <row r="939" spans="6:6" x14ac:dyDescent="0.3">
      <c r="F939" s="205"/>
    </row>
    <row r="940" spans="6:6" x14ac:dyDescent="0.3">
      <c r="F940" s="205"/>
    </row>
    <row r="941" spans="6:6" x14ac:dyDescent="0.3">
      <c r="F941" s="205"/>
    </row>
    <row r="942" spans="6:6" x14ac:dyDescent="0.3">
      <c r="F942" s="205"/>
    </row>
    <row r="943" spans="6:6" x14ac:dyDescent="0.3">
      <c r="F943" s="205"/>
    </row>
    <row r="944" spans="6:6" x14ac:dyDescent="0.3">
      <c r="F944" s="205"/>
    </row>
    <row r="945" spans="6:6" x14ac:dyDescent="0.3">
      <c r="F945" s="205"/>
    </row>
    <row r="946" spans="6:6" x14ac:dyDescent="0.3">
      <c r="F946" s="205"/>
    </row>
    <row r="947" spans="6:6" x14ac:dyDescent="0.3">
      <c r="F947" s="205"/>
    </row>
    <row r="948" spans="6:6" x14ac:dyDescent="0.3">
      <c r="F948" s="205"/>
    </row>
    <row r="949" spans="6:6" x14ac:dyDescent="0.3">
      <c r="F949" s="205"/>
    </row>
    <row r="950" spans="6:6" x14ac:dyDescent="0.3">
      <c r="F950" s="205"/>
    </row>
    <row r="951" spans="6:6" x14ac:dyDescent="0.3">
      <c r="F951" s="205"/>
    </row>
    <row r="952" spans="6:6" x14ac:dyDescent="0.3">
      <c r="F952" s="205"/>
    </row>
    <row r="953" spans="6:6" x14ac:dyDescent="0.3">
      <c r="F953" s="205"/>
    </row>
    <row r="954" spans="6:6" x14ac:dyDescent="0.3">
      <c r="F954" s="205"/>
    </row>
    <row r="955" spans="6:6" x14ac:dyDescent="0.3">
      <c r="F955" s="205"/>
    </row>
    <row r="956" spans="6:6" x14ac:dyDescent="0.3">
      <c r="F956" s="205"/>
    </row>
    <row r="957" spans="6:6" x14ac:dyDescent="0.3">
      <c r="F957" s="205"/>
    </row>
    <row r="958" spans="6:6" x14ac:dyDescent="0.3">
      <c r="F958" s="205"/>
    </row>
    <row r="959" spans="6:6" x14ac:dyDescent="0.3">
      <c r="F959" s="205"/>
    </row>
    <row r="960" spans="6:6" x14ac:dyDescent="0.3">
      <c r="F960" s="205"/>
    </row>
    <row r="961" spans="6:6" x14ac:dyDescent="0.3">
      <c r="F961" s="205"/>
    </row>
    <row r="962" spans="6:6" x14ac:dyDescent="0.3">
      <c r="F962" s="205"/>
    </row>
    <row r="963" spans="6:6" x14ac:dyDescent="0.3">
      <c r="F963" s="205"/>
    </row>
    <row r="964" spans="6:6" x14ac:dyDescent="0.3">
      <c r="F964" s="205"/>
    </row>
    <row r="965" spans="6:6" x14ac:dyDescent="0.3">
      <c r="F965" s="205"/>
    </row>
    <row r="966" spans="6:6" x14ac:dyDescent="0.3">
      <c r="F966" s="205"/>
    </row>
    <row r="967" spans="6:6" x14ac:dyDescent="0.3">
      <c r="F967" s="205"/>
    </row>
    <row r="968" spans="6:6" x14ac:dyDescent="0.3">
      <c r="F968" s="205"/>
    </row>
    <row r="969" spans="6:6" x14ac:dyDescent="0.3">
      <c r="F969" s="205"/>
    </row>
    <row r="970" spans="6:6" x14ac:dyDescent="0.3">
      <c r="F970" s="205"/>
    </row>
    <row r="971" spans="6:6" x14ac:dyDescent="0.3">
      <c r="F971" s="205"/>
    </row>
    <row r="972" spans="6:6" x14ac:dyDescent="0.3">
      <c r="F972" s="205"/>
    </row>
    <row r="973" spans="6:6" x14ac:dyDescent="0.3">
      <c r="F973" s="205"/>
    </row>
    <row r="974" spans="6:6" x14ac:dyDescent="0.3">
      <c r="F974" s="205"/>
    </row>
    <row r="975" spans="6:6" x14ac:dyDescent="0.3">
      <c r="F975" s="205"/>
    </row>
    <row r="976" spans="6:6" x14ac:dyDescent="0.3">
      <c r="F976" s="205"/>
    </row>
    <row r="977" spans="6:6" x14ac:dyDescent="0.3">
      <c r="F977" s="205"/>
    </row>
    <row r="978" spans="6:6" x14ac:dyDescent="0.3">
      <c r="F978" s="205"/>
    </row>
    <row r="979" spans="6:6" x14ac:dyDescent="0.3">
      <c r="F979" s="205"/>
    </row>
    <row r="980" spans="6:6" x14ac:dyDescent="0.3">
      <c r="F980" s="205"/>
    </row>
    <row r="981" spans="6:6" x14ac:dyDescent="0.3">
      <c r="F981" s="205"/>
    </row>
    <row r="982" spans="6:6" x14ac:dyDescent="0.3">
      <c r="F982" s="205"/>
    </row>
    <row r="983" spans="6:6" x14ac:dyDescent="0.3">
      <c r="F983" s="205"/>
    </row>
    <row r="984" spans="6:6" x14ac:dyDescent="0.3">
      <c r="F984" s="205"/>
    </row>
    <row r="985" spans="6:6" x14ac:dyDescent="0.3">
      <c r="F985" s="205"/>
    </row>
    <row r="986" spans="6:6" x14ac:dyDescent="0.3">
      <c r="F986" s="205"/>
    </row>
    <row r="987" spans="6:6" x14ac:dyDescent="0.3">
      <c r="F987" s="205"/>
    </row>
    <row r="988" spans="6:6" x14ac:dyDescent="0.3">
      <c r="F988" s="205"/>
    </row>
    <row r="989" spans="6:6" x14ac:dyDescent="0.3">
      <c r="F989" s="205"/>
    </row>
    <row r="990" spans="6:6" x14ac:dyDescent="0.3">
      <c r="F990" s="205"/>
    </row>
    <row r="991" spans="6:6" x14ac:dyDescent="0.3">
      <c r="F991" s="205"/>
    </row>
    <row r="992" spans="6:6" x14ac:dyDescent="0.3">
      <c r="F992" s="205"/>
    </row>
    <row r="993" spans="6:6" x14ac:dyDescent="0.3">
      <c r="F993" s="205"/>
    </row>
    <row r="994" spans="6:6" x14ac:dyDescent="0.3">
      <c r="F994" s="205"/>
    </row>
    <row r="995" spans="6:6" x14ac:dyDescent="0.3">
      <c r="F995" s="205"/>
    </row>
    <row r="996" spans="6:6" x14ac:dyDescent="0.3">
      <c r="F996" s="205"/>
    </row>
    <row r="997" spans="6:6" x14ac:dyDescent="0.3">
      <c r="F997" s="205"/>
    </row>
    <row r="998" spans="6:6" x14ac:dyDescent="0.3">
      <c r="F998" s="205"/>
    </row>
    <row r="999" spans="6:6" x14ac:dyDescent="0.3">
      <c r="F999" s="205"/>
    </row>
    <row r="1000" spans="6:6" x14ac:dyDescent="0.3">
      <c r="F1000" s="205"/>
    </row>
    <row r="1001" spans="6:6" x14ac:dyDescent="0.3">
      <c r="F1001" s="205"/>
    </row>
    <row r="1002" spans="6:6" x14ac:dyDescent="0.3">
      <c r="F1002" s="205"/>
    </row>
    <row r="1003" spans="6:6" x14ac:dyDescent="0.3">
      <c r="F1003" s="205"/>
    </row>
    <row r="1004" spans="6:6" x14ac:dyDescent="0.3">
      <c r="F1004" s="205"/>
    </row>
    <row r="1005" spans="6:6" x14ac:dyDescent="0.3">
      <c r="F1005" s="205"/>
    </row>
    <row r="1006" spans="6:6" x14ac:dyDescent="0.3">
      <c r="F1006" s="205"/>
    </row>
    <row r="1007" spans="6:6" x14ac:dyDescent="0.3">
      <c r="F1007" s="205"/>
    </row>
    <row r="1008" spans="6:6" x14ac:dyDescent="0.3">
      <c r="F1008" s="205"/>
    </row>
    <row r="1009" spans="6:6" x14ac:dyDescent="0.3">
      <c r="F1009" s="205"/>
    </row>
    <row r="1010" spans="6:6" x14ac:dyDescent="0.3">
      <c r="F1010" s="205"/>
    </row>
    <row r="1011" spans="6:6" x14ac:dyDescent="0.3">
      <c r="F1011" s="205"/>
    </row>
    <row r="1012" spans="6:6" x14ac:dyDescent="0.3">
      <c r="F1012" s="205"/>
    </row>
    <row r="1013" spans="6:6" x14ac:dyDescent="0.3">
      <c r="F1013" s="205"/>
    </row>
    <row r="1014" spans="6:6" x14ac:dyDescent="0.3">
      <c r="F1014" s="205"/>
    </row>
    <row r="1015" spans="6:6" x14ac:dyDescent="0.3">
      <c r="F1015" s="205"/>
    </row>
    <row r="1016" spans="6:6" x14ac:dyDescent="0.3">
      <c r="F1016" s="205"/>
    </row>
    <row r="1017" spans="6:6" x14ac:dyDescent="0.3">
      <c r="F1017" s="205"/>
    </row>
    <row r="1018" spans="6:6" x14ac:dyDescent="0.3">
      <c r="F1018" s="205"/>
    </row>
    <row r="1019" spans="6:6" x14ac:dyDescent="0.3">
      <c r="F1019" s="205"/>
    </row>
    <row r="1020" spans="6:6" x14ac:dyDescent="0.3">
      <c r="F1020" s="205"/>
    </row>
    <row r="1021" spans="6:6" x14ac:dyDescent="0.3">
      <c r="F1021" s="205"/>
    </row>
    <row r="1022" spans="6:6" x14ac:dyDescent="0.3">
      <c r="F1022" s="205"/>
    </row>
    <row r="1023" spans="6:6" x14ac:dyDescent="0.3">
      <c r="F1023" s="205"/>
    </row>
    <row r="1024" spans="6:6" x14ac:dyDescent="0.3">
      <c r="F1024" s="205"/>
    </row>
    <row r="1025" spans="6:6" x14ac:dyDescent="0.3">
      <c r="F1025" s="205"/>
    </row>
    <row r="1026" spans="6:6" x14ac:dyDescent="0.3">
      <c r="F1026" s="205"/>
    </row>
    <row r="1027" spans="6:6" x14ac:dyDescent="0.3">
      <c r="F1027" s="20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D45F-9A41-4779-9D8F-04C61D41433C}">
  <sheetPr>
    <tabColor theme="1" tint="0.499984740745262"/>
  </sheetPr>
  <dimension ref="A1:AQ1037"/>
  <sheetViews>
    <sheetView zoomScale="85" zoomScaleNormal="85" workbookViewId="0">
      <pane xSplit="3" ySplit="15" topLeftCell="D16" activePane="bottomRight" state="frozen"/>
      <selection activeCell="U46" sqref="U46"/>
      <selection pane="topRight" activeCell="U46" sqref="U46"/>
      <selection pane="bottomLeft" activeCell="U46" sqref="U46"/>
      <selection pane="bottomRight" activeCell="U46" sqref="U46"/>
    </sheetView>
  </sheetViews>
  <sheetFormatPr defaultRowHeight="14.4" outlineLevelCol="1" x14ac:dyDescent="0.3"/>
  <cols>
    <col min="1" max="1" width="4.33203125" style="16" customWidth="1"/>
    <col min="2" max="7" width="15.6640625" customWidth="1"/>
    <col min="8" max="8" width="27.88671875" customWidth="1"/>
    <col min="9" max="9" width="15.6640625" customWidth="1"/>
    <col min="10" max="10" width="19.5546875" customWidth="1"/>
    <col min="11" max="11" width="19.109375" customWidth="1"/>
    <col min="12" max="12" width="20.6640625" hidden="1" customWidth="1" outlineLevel="1"/>
    <col min="13" max="22" width="7.33203125" hidden="1" customWidth="1" outlineLevel="1"/>
    <col min="23" max="23" width="18" bestFit="1" customWidth="1" collapsed="1"/>
    <col min="24" max="24" width="20.5546875" bestFit="1" customWidth="1"/>
    <col min="25" max="25" width="18.6640625" customWidth="1"/>
    <col min="26" max="38" width="18.6640625" bestFit="1" customWidth="1"/>
  </cols>
  <sheetData>
    <row r="1" spans="2:43" s="166" customFormat="1" ht="5.0999999999999996" customHeight="1" x14ac:dyDescent="0.3"/>
    <row r="2" spans="2:43" s="166" customFormat="1" x14ac:dyDescent="0.3">
      <c r="B2" s="167" t="s">
        <v>1222</v>
      </c>
      <c r="H2" s="270" t="s">
        <v>1354</v>
      </c>
      <c r="I2" s="201">
        <f>1/3</f>
        <v>0.33333333333333331</v>
      </c>
      <c r="J2" s="166" t="s">
        <v>1302</v>
      </c>
    </row>
    <row r="3" spans="2:43" s="166" customFormat="1" x14ac:dyDescent="0.3">
      <c r="B3" s="168" t="s">
        <v>1223</v>
      </c>
      <c r="H3" s="271">
        <v>3</v>
      </c>
      <c r="I3" s="201">
        <f>1/3</f>
        <v>0.33333333333333331</v>
      </c>
      <c r="J3" s="166" t="s">
        <v>1303</v>
      </c>
    </row>
    <row r="4" spans="2:43" s="170" customFormat="1" ht="5.0999999999999996" customHeight="1" thickBot="1" x14ac:dyDescent="0.35">
      <c r="B4" s="169"/>
    </row>
    <row r="5" spans="2:43" s="166" customFormat="1" ht="14.4" customHeight="1" x14ac:dyDescent="0.3">
      <c r="B5" s="171" t="s">
        <v>1224</v>
      </c>
      <c r="C5" s="171" t="s">
        <v>1225</v>
      </c>
      <c r="D5" s="171"/>
      <c r="E5" s="171"/>
      <c r="F5" s="171" t="s">
        <v>1226</v>
      </c>
      <c r="G5" s="171" t="s">
        <v>1227</v>
      </c>
      <c r="H5" s="171" t="s">
        <v>1228</v>
      </c>
      <c r="I5" s="171" t="s">
        <v>1229</v>
      </c>
      <c r="J5" s="171" t="s">
        <v>1230</v>
      </c>
      <c r="K5" s="171" t="s">
        <v>1231</v>
      </c>
    </row>
    <row r="6" spans="2:43" x14ac:dyDescent="0.3">
      <c r="B6" t="s">
        <v>590</v>
      </c>
      <c r="C6" t="str">
        <f>_xlfn.IFNA(INDEX('[1]Country list'!$A$2:$A$166,MATCH(B6,'[1]Country list'!$B$2:$B$166,0)),"")</f>
        <v>ITA</v>
      </c>
      <c r="F6" t="s">
        <v>1232</v>
      </c>
      <c r="G6" t="str">
        <f>_xlfn.IFNA(INDEX('[1]Sector list'!$A$2:$A$122,MATCH(F6,'[1]Sector list'!$B$2:$B$122,0)),"")</f>
        <v>ALL</v>
      </c>
      <c r="H6" t="s">
        <v>1233</v>
      </c>
      <c r="I6" t="str">
        <f>_xlfn.IFNA(INDEX('[1]FD list'!$A$2:$A$122,MATCH(H6,'[1]FD list'!$B$2:$B$122,0)),"")</f>
        <v>FD_1</v>
      </c>
      <c r="J6" s="172" t="s">
        <v>1234</v>
      </c>
      <c r="K6" t="s">
        <v>1235</v>
      </c>
    </row>
    <row r="7" spans="2:43" x14ac:dyDescent="0.3">
      <c r="C7" t="s">
        <v>589</v>
      </c>
      <c r="F7" t="s">
        <v>1236</v>
      </c>
      <c r="G7">
        <f>_xlfn.IFNA(INDEX('[1]Sector list'!$A$2:$A$122,MATCH(F7,'[1]Sector list'!$B$2:$B$122,0)),"")</f>
        <v>43</v>
      </c>
      <c r="H7" t="s">
        <v>1232</v>
      </c>
      <c r="I7" t="str">
        <f>_xlfn.IFNA(INDEX('[1]FD list'!$A$2:$A$122,MATCH(H7,'[1]FD list'!$B$2:$B$122,0)),"")</f>
        <v>ALL</v>
      </c>
      <c r="J7" s="172" t="s">
        <v>1234</v>
      </c>
      <c r="K7" t="s">
        <v>1237</v>
      </c>
    </row>
    <row r="8" spans="2:43" x14ac:dyDescent="0.3">
      <c r="B8" t="s">
        <v>579</v>
      </c>
      <c r="C8" t="str">
        <f>_xlfn.IFNA(INDEX('[1]Country list'!$A$2:$A$166,MATCH(B8,'[1]Country list'!$B$2:$B$166,0)),"")</f>
        <v>DEU</v>
      </c>
      <c r="G8" s="173" t="s">
        <v>1238</v>
      </c>
      <c r="I8" t="s">
        <v>1239</v>
      </c>
      <c r="J8" t="s">
        <v>1240</v>
      </c>
      <c r="K8" t="s">
        <v>1241</v>
      </c>
    </row>
    <row r="9" spans="2:43" x14ac:dyDescent="0.3">
      <c r="B9" t="s">
        <v>866</v>
      </c>
      <c r="C9" t="str">
        <f>_xlfn.IFNA(INDEX('[1]Country list'!$A$2:$A$166,MATCH(B9,'[1]Country list'!$B$2:$B$166,0)),"")</f>
        <v>MWI</v>
      </c>
      <c r="F9" t="s">
        <v>1242</v>
      </c>
      <c r="G9">
        <f>_xlfn.IFNA(INDEX('[1]Sector list'!$A$2:$A$122,MATCH(F9,'[1]Sector list'!$B$2:$B$122,0)),"")</f>
        <v>98</v>
      </c>
      <c r="H9" t="s">
        <v>1243</v>
      </c>
      <c r="I9" t="str">
        <f>_xlfn.IFNA(INDEX('[1]FD list'!$A$2:$A$122,MATCH(H9,'[1]FD list'!$B$2:$B$122,0)),"")</f>
        <v>FD_4</v>
      </c>
      <c r="J9" s="172" t="s">
        <v>1234</v>
      </c>
      <c r="K9" t="s">
        <v>1244</v>
      </c>
    </row>
    <row r="10" spans="2:43" x14ac:dyDescent="0.3">
      <c r="J10" s="172"/>
    </row>
    <row r="11" spans="2:43" x14ac:dyDescent="0.3">
      <c r="J11" s="172"/>
    </row>
    <row r="12" spans="2:43" x14ac:dyDescent="0.3">
      <c r="J12" s="172"/>
    </row>
    <row r="13" spans="2:43" ht="14.4" customHeight="1" x14ac:dyDescent="0.3">
      <c r="C13" s="174" t="s">
        <v>1245</v>
      </c>
      <c r="E13" s="174" t="s">
        <v>1246</v>
      </c>
      <c r="G13" s="174" t="s">
        <v>1247</v>
      </c>
      <c r="I13" s="174" t="s">
        <v>1248</v>
      </c>
      <c r="J13" s="172" t="s">
        <v>1249</v>
      </c>
    </row>
    <row r="14" spans="2:43" s="176" customFormat="1" ht="14.4" customHeight="1" thickBot="1" x14ac:dyDescent="0.35">
      <c r="B14" s="175" t="s">
        <v>1250</v>
      </c>
      <c r="J14" s="177"/>
    </row>
    <row r="15" spans="2:43" s="166" customFormat="1" ht="14.4" customHeight="1" x14ac:dyDescent="0.3">
      <c r="B15" s="171" t="s">
        <v>1251</v>
      </c>
      <c r="C15" s="171" t="s">
        <v>1252</v>
      </c>
      <c r="D15" s="171" t="s">
        <v>1253</v>
      </c>
      <c r="E15" s="171" t="s">
        <v>1254</v>
      </c>
      <c r="F15" s="171" t="s">
        <v>1226</v>
      </c>
      <c r="G15" s="171" t="s">
        <v>1227</v>
      </c>
      <c r="H15" s="171" t="s">
        <v>1228</v>
      </c>
      <c r="I15" s="171" t="s">
        <v>1229</v>
      </c>
      <c r="J15" s="171" t="s">
        <v>1230</v>
      </c>
      <c r="K15" s="171" t="s">
        <v>1231</v>
      </c>
      <c r="L15" s="166">
        <v>2019</v>
      </c>
      <c r="M15" s="166">
        <v>2020</v>
      </c>
      <c r="N15" s="166">
        <v>2021</v>
      </c>
      <c r="O15" s="166">
        <v>2022</v>
      </c>
      <c r="P15" s="166">
        <v>2023</v>
      </c>
      <c r="Q15" s="166">
        <v>2024</v>
      </c>
      <c r="R15" s="166">
        <v>2025</v>
      </c>
      <c r="S15" s="166">
        <v>2026</v>
      </c>
      <c r="T15" s="166">
        <v>2027</v>
      </c>
      <c r="U15" s="166">
        <v>2028</v>
      </c>
      <c r="V15" s="166">
        <v>2029</v>
      </c>
      <c r="W15" s="166">
        <v>2030</v>
      </c>
      <c r="X15" s="166">
        <v>2031</v>
      </c>
      <c r="Y15" s="166">
        <v>2032</v>
      </c>
      <c r="Z15" s="166">
        <v>2033</v>
      </c>
      <c r="AA15" s="166">
        <v>2034</v>
      </c>
      <c r="AB15" s="166">
        <v>2035</v>
      </c>
      <c r="AC15" s="166">
        <v>2036</v>
      </c>
      <c r="AD15" s="166">
        <v>2037</v>
      </c>
      <c r="AE15" s="166">
        <v>2038</v>
      </c>
      <c r="AF15" s="166">
        <v>2039</v>
      </c>
      <c r="AG15" s="166">
        <v>2040</v>
      </c>
      <c r="AH15" s="166">
        <v>2041</v>
      </c>
      <c r="AI15" s="166">
        <v>2042</v>
      </c>
      <c r="AJ15" s="166">
        <v>2043</v>
      </c>
      <c r="AK15" s="166">
        <v>2044</v>
      </c>
      <c r="AL15" s="166">
        <v>2045</v>
      </c>
      <c r="AM15" s="166">
        <v>2046</v>
      </c>
      <c r="AN15" s="166">
        <v>2047</v>
      </c>
      <c r="AO15" s="166">
        <v>2048</v>
      </c>
      <c r="AP15" s="166">
        <v>2049</v>
      </c>
      <c r="AQ15" s="166">
        <v>2050</v>
      </c>
    </row>
    <row r="16" spans="2:43" x14ac:dyDescent="0.3">
      <c r="C16" s="161" t="s">
        <v>1058</v>
      </c>
      <c r="E16" s="161" t="s">
        <v>1058</v>
      </c>
      <c r="F16" t="s">
        <v>1232</v>
      </c>
      <c r="G16" t="s">
        <v>1232</v>
      </c>
      <c r="H16" t="s">
        <v>1233</v>
      </c>
      <c r="I16" t="s">
        <v>1239</v>
      </c>
      <c r="J16" t="s">
        <v>1240</v>
      </c>
      <c r="K16" s="266">
        <f>SUM(X16:AL16)/1000000</f>
        <v>11.046509262801486</v>
      </c>
      <c r="X16" s="202">
        <f>VLOOKUP($C16,'MSET pivots'!$B$4:$H$14,$H$3,FALSE)*1000000*$I$2*'MSET pivots'!E$65</f>
        <v>368222.49865373148</v>
      </c>
      <c r="Y16" s="202">
        <f>VLOOKUP($C16,'MSET pivots'!$B$4:$H$14,$H$3,FALSE)*1000000*$I2*'MSET pivots'!F$65</f>
        <v>420824.13468226022</v>
      </c>
      <c r="Z16" s="202">
        <f>VLOOKUP($C16,'MSET pivots'!$B$4:$H$14,$H$3,FALSE)*1000000*$I2*'MSET pivots'!G$65</f>
        <v>473425.77071078896</v>
      </c>
      <c r="AA16" s="202">
        <f>VLOOKUP($C16,'MSET pivots'!$B$4:$H$14,$H$3,FALSE)*1000000*$I2*'MSET pivots'!H$65</f>
        <v>526027.4067393177</v>
      </c>
      <c r="AB16" s="202">
        <f>VLOOKUP($C16,'MSET pivots'!$B$4:$H$14,$H$3,FALSE)*1000000*$I2*'MSET pivots'!I$65</f>
        <v>578629.04276784637</v>
      </c>
      <c r="AC16" s="202">
        <f>VLOOKUP($C16,'MSET pivots'!$B$4:$H$14,$H$3,FALSE)*1000000*$I2*'MSET pivots'!J$65</f>
        <v>631230.67879637505</v>
      </c>
      <c r="AD16" s="202">
        <f>VLOOKUP($C16,'MSET pivots'!$B$4:$H$14,$H$3,FALSE)*1000000*$I2*'MSET pivots'!K$65</f>
        <v>683832.31482490385</v>
      </c>
      <c r="AE16" s="202">
        <f>VLOOKUP($C16,'MSET pivots'!$B$4:$H$14,$H$3,FALSE)*1000000*$I2*'MSET pivots'!L$65</f>
        <v>736433.95085343253</v>
      </c>
      <c r="AF16" s="202">
        <f>VLOOKUP($C16,'MSET pivots'!$B$4:$H$14,$H$3,FALSE)*1000000*$I2*'MSET pivots'!M$65</f>
        <v>789035.58688196109</v>
      </c>
      <c r="AG16" s="202">
        <f>VLOOKUP($C16,'MSET pivots'!$B$4:$H$14,$H$3,FALSE)*1000000*$I2*'MSET pivots'!N$65</f>
        <v>841637.22291048977</v>
      </c>
      <c r="AH16" s="202">
        <f>VLOOKUP($C16,'MSET pivots'!$B$4:$H$14,$H$3,FALSE)*1000000*$I2*'MSET pivots'!O$65</f>
        <v>894238.85893901845</v>
      </c>
      <c r="AI16" s="202">
        <f>VLOOKUP($C16,'MSET pivots'!$B$4:$H$14,$H$3,FALSE)*1000000*$I2*'MSET pivots'!P$65</f>
        <v>946840.49496754701</v>
      </c>
      <c r="AJ16" s="202">
        <f>VLOOKUP($C16,'MSET pivots'!$B$4:$H$14,$H$3,FALSE)*1000000*$I2*'MSET pivots'!Q$65</f>
        <v>999442.13099607569</v>
      </c>
      <c r="AK16" s="202">
        <f>VLOOKUP($C16,'MSET pivots'!$B$4:$H$14,$H$3,FALSE)*1000000*$I2*'MSET pivots'!R$65</f>
        <v>1052043.7670246044</v>
      </c>
      <c r="AL16" s="202">
        <f>VLOOKUP($C16,'MSET pivots'!$B$4:$H$14,$H$3,FALSE)*1000000*$I2*'MSET pivots'!S$65</f>
        <v>1104645.4030531335</v>
      </c>
    </row>
    <row r="17" spans="1:38" x14ac:dyDescent="0.3">
      <c r="C17" s="161" t="s">
        <v>1058</v>
      </c>
      <c r="E17" s="161" t="s">
        <v>1058</v>
      </c>
      <c r="F17" t="s">
        <v>1232</v>
      </c>
      <c r="G17" t="s">
        <v>1232</v>
      </c>
      <c r="H17" t="s">
        <v>1255</v>
      </c>
      <c r="I17" t="s">
        <v>1256</v>
      </c>
      <c r="J17" t="s">
        <v>1240</v>
      </c>
      <c r="K17" s="266">
        <f t="shared" ref="K17:K23" si="0">SUM(X17:AL17)/1000000</f>
        <v>11.046509262801486</v>
      </c>
      <c r="X17" s="202">
        <f>VLOOKUP($C17,'MSET pivots'!$B$4:$H$14,$H$3,FALSE)*1000000*$I$3*'MSET pivots'!E$65</f>
        <v>368222.49865373148</v>
      </c>
      <c r="Y17" s="202">
        <f>VLOOKUP($C17,'MSET pivots'!$B$4:$H$14,$H$3,FALSE)*1000000*$I3*'MSET pivots'!F$65</f>
        <v>420824.13468226022</v>
      </c>
      <c r="Z17" s="202">
        <f>VLOOKUP($C17,'MSET pivots'!$B$4:$H$14,$H$3,FALSE)*1000000*$I3*'MSET pivots'!G$65</f>
        <v>473425.77071078896</v>
      </c>
      <c r="AA17" s="202">
        <f>VLOOKUP($C17,'MSET pivots'!$B$4:$H$14,$H$3,FALSE)*1000000*$I3*'MSET pivots'!H$65</f>
        <v>526027.4067393177</v>
      </c>
      <c r="AB17" s="202">
        <f>VLOOKUP($C17,'MSET pivots'!$B$4:$H$14,$H$3,FALSE)*1000000*$I3*'MSET pivots'!I$65</f>
        <v>578629.04276784637</v>
      </c>
      <c r="AC17" s="202">
        <f>VLOOKUP($C17,'MSET pivots'!$B$4:$H$14,$H$3,FALSE)*1000000*$I3*'MSET pivots'!J$65</f>
        <v>631230.67879637505</v>
      </c>
      <c r="AD17" s="202">
        <f>VLOOKUP($C17,'MSET pivots'!$B$4:$H$14,$H$3,FALSE)*1000000*$I3*'MSET pivots'!K$65</f>
        <v>683832.31482490385</v>
      </c>
      <c r="AE17" s="202">
        <f>VLOOKUP($C17,'MSET pivots'!$B$4:$H$14,$H$3,FALSE)*1000000*$I3*'MSET pivots'!L$65</f>
        <v>736433.95085343253</v>
      </c>
      <c r="AF17" s="202">
        <f>VLOOKUP($C17,'MSET pivots'!$B$4:$H$14,$H$3,FALSE)*1000000*$I3*'MSET pivots'!M$65</f>
        <v>789035.58688196109</v>
      </c>
      <c r="AG17" s="202">
        <f>VLOOKUP($C17,'MSET pivots'!$B$4:$H$14,$H$3,FALSE)*1000000*$I3*'MSET pivots'!N$65</f>
        <v>841637.22291048977</v>
      </c>
      <c r="AH17" s="202">
        <f>VLOOKUP($C17,'MSET pivots'!$B$4:$H$14,$H$3,FALSE)*1000000*$I3*'MSET pivots'!O$65</f>
        <v>894238.85893901845</v>
      </c>
      <c r="AI17" s="202">
        <f>VLOOKUP($C17,'MSET pivots'!$B$4:$H$14,$H$3,FALSE)*1000000*$I3*'MSET pivots'!P$65</f>
        <v>946840.49496754701</v>
      </c>
      <c r="AJ17" s="202">
        <f>VLOOKUP($C17,'MSET pivots'!$B$4:$H$14,$H$3,FALSE)*1000000*$I3*'MSET pivots'!Q$65</f>
        <v>999442.13099607569</v>
      </c>
      <c r="AK17" s="202">
        <f>VLOOKUP($C17,'MSET pivots'!$B$4:$H$14,$H$3,FALSE)*1000000*$I3*'MSET pivots'!R$65</f>
        <v>1052043.7670246044</v>
      </c>
      <c r="AL17" s="202">
        <f>VLOOKUP($C17,'MSET pivots'!$B$4:$H$14,$H$3,FALSE)*1000000*$I3*'MSET pivots'!S$65</f>
        <v>1104645.4030531335</v>
      </c>
    </row>
    <row r="18" spans="1:38" x14ac:dyDescent="0.3">
      <c r="C18" t="s">
        <v>1048</v>
      </c>
      <c r="E18" t="s">
        <v>1048</v>
      </c>
      <c r="F18" t="s">
        <v>1232</v>
      </c>
      <c r="G18" t="s">
        <v>1232</v>
      </c>
      <c r="H18" t="s">
        <v>1233</v>
      </c>
      <c r="I18" t="s">
        <v>1239</v>
      </c>
      <c r="J18" t="s">
        <v>1240</v>
      </c>
      <c r="K18" s="266">
        <f t="shared" si="0"/>
        <v>11.495605858689188</v>
      </c>
      <c r="X18" s="202">
        <f>VLOOKUP($C18,'MSET pivots'!$B$4:$H$14,$H$3,FALSE)*1000000*$I$2*'MSET pivots'!E$65</f>
        <v>383192.60973049683</v>
      </c>
      <c r="Y18" s="202">
        <f>VLOOKUP($C18,'MSET pivots'!$B$4:$H$14,$H$3,FALSE)*1000000*$I$2*'MSET pivots'!F$65</f>
        <v>437932.76889937051</v>
      </c>
      <c r="Z18" s="202">
        <f>VLOOKUP($C18,'MSET pivots'!$B$4:$H$14,$H$3,FALSE)*1000000*$I$2*'MSET pivots'!G$65</f>
        <v>492672.92806824419</v>
      </c>
      <c r="AA18" s="202">
        <f>VLOOKUP($C18,'MSET pivots'!$B$4:$H$14,$H$3,FALSE)*1000000*$I$2*'MSET pivots'!H$65</f>
        <v>547413.08723711793</v>
      </c>
      <c r="AB18" s="202">
        <f>VLOOKUP($C18,'MSET pivots'!$B$4:$H$14,$H$3,FALSE)*1000000*$I$2*'MSET pivots'!I$65</f>
        <v>602153.24640599161</v>
      </c>
      <c r="AC18" s="202">
        <f>VLOOKUP($C18,'MSET pivots'!$B$4:$H$14,$H$3,FALSE)*1000000*$I$2*'MSET pivots'!J$65</f>
        <v>656893.40557486529</v>
      </c>
      <c r="AD18" s="202">
        <f>VLOOKUP($C18,'MSET pivots'!$B$4:$H$14,$H$3,FALSE)*1000000*$I$2*'MSET pivots'!K$65</f>
        <v>711633.56474373909</v>
      </c>
      <c r="AE18" s="202">
        <f>VLOOKUP($C18,'MSET pivots'!$B$4:$H$14,$H$3,FALSE)*1000000*$I$2*'MSET pivots'!L$65</f>
        <v>766373.72391261265</v>
      </c>
      <c r="AF18" s="202">
        <f>VLOOKUP($C18,'MSET pivots'!$B$4:$H$14,$H$3,FALSE)*1000000*$I$2*'MSET pivots'!M$65</f>
        <v>821113.88308148633</v>
      </c>
      <c r="AG18" s="202">
        <f>VLOOKUP($C18,'MSET pivots'!$B$4:$H$14,$H$3,FALSE)*1000000*$I$2*'MSET pivots'!N$65</f>
        <v>875854.0422503599</v>
      </c>
      <c r="AH18" s="202">
        <f>VLOOKUP($C18,'MSET pivots'!$B$4:$H$14,$H$3,FALSE)*1000000*$I$2*'MSET pivots'!O$65</f>
        <v>930594.20141923358</v>
      </c>
      <c r="AI18" s="202">
        <f>VLOOKUP($C18,'MSET pivots'!$B$4:$H$14,$H$3,FALSE)*1000000*$I$2*'MSET pivots'!P$65</f>
        <v>985334.36058810714</v>
      </c>
      <c r="AJ18" s="202">
        <f>VLOOKUP($C18,'MSET pivots'!$B$4:$H$14,$H$3,FALSE)*1000000*$I$2*'MSET pivots'!Q$65</f>
        <v>1040074.5197569808</v>
      </c>
      <c r="AK18" s="202">
        <f>VLOOKUP($C18,'MSET pivots'!$B$4:$H$14,$H$3,FALSE)*1000000*$I$2*'MSET pivots'!R$65</f>
        <v>1094814.6789258544</v>
      </c>
      <c r="AL18" s="202">
        <f>VLOOKUP($C18,'MSET pivots'!$B$4:$H$14,$H$3,FALSE)*1000000*$I$2*'MSET pivots'!S$65</f>
        <v>1149554.8380947285</v>
      </c>
    </row>
    <row r="19" spans="1:38" x14ac:dyDescent="0.3">
      <c r="C19" t="s">
        <v>1048</v>
      </c>
      <c r="E19" t="s">
        <v>1048</v>
      </c>
      <c r="F19" t="s">
        <v>1232</v>
      </c>
      <c r="G19" t="s">
        <v>1232</v>
      </c>
      <c r="H19" t="s">
        <v>1255</v>
      </c>
      <c r="I19" t="s">
        <v>1256</v>
      </c>
      <c r="J19" t="s">
        <v>1240</v>
      </c>
      <c r="K19" s="266">
        <f t="shared" si="0"/>
        <v>11.495605858689188</v>
      </c>
      <c r="X19" s="202">
        <f>VLOOKUP($C19,'MSET pivots'!$B$4:$H$14,$H$3,FALSE)*1000000*$I$3*'MSET pivots'!E$65</f>
        <v>383192.60973049683</v>
      </c>
      <c r="Y19" s="202">
        <f>VLOOKUP($C19,'MSET pivots'!$B$4:$H$14,$H$3,FALSE)*1000000*$I$3*'MSET pivots'!F$65</f>
        <v>437932.76889937051</v>
      </c>
      <c r="Z19" s="202">
        <f>VLOOKUP($C19,'MSET pivots'!$B$4:$H$14,$H$3,FALSE)*1000000*$I$3*'MSET pivots'!G$65</f>
        <v>492672.92806824419</v>
      </c>
      <c r="AA19" s="202">
        <f>VLOOKUP($C19,'MSET pivots'!$B$4:$H$14,$H$3,FALSE)*1000000*$I$3*'MSET pivots'!H$65</f>
        <v>547413.08723711793</v>
      </c>
      <c r="AB19" s="202">
        <f>VLOOKUP($C19,'MSET pivots'!$B$4:$H$14,$H$3,FALSE)*1000000*$I$3*'MSET pivots'!I$65</f>
        <v>602153.24640599161</v>
      </c>
      <c r="AC19" s="202">
        <f>VLOOKUP($C19,'MSET pivots'!$B$4:$H$14,$H$3,FALSE)*1000000*$I$3*'MSET pivots'!J$65</f>
        <v>656893.40557486529</v>
      </c>
      <c r="AD19" s="202">
        <f>VLOOKUP($C19,'MSET pivots'!$B$4:$H$14,$H$3,FALSE)*1000000*$I$3*'MSET pivots'!K$65</f>
        <v>711633.56474373909</v>
      </c>
      <c r="AE19" s="202">
        <f>VLOOKUP($C19,'MSET pivots'!$B$4:$H$14,$H$3,FALSE)*1000000*$I$3*'MSET pivots'!L$65</f>
        <v>766373.72391261265</v>
      </c>
      <c r="AF19" s="202">
        <f>VLOOKUP($C19,'MSET pivots'!$B$4:$H$14,$H$3,FALSE)*1000000*$I$3*'MSET pivots'!M$65</f>
        <v>821113.88308148633</v>
      </c>
      <c r="AG19" s="202">
        <f>VLOOKUP($C19,'MSET pivots'!$B$4:$H$14,$H$3,FALSE)*1000000*$I$3*'MSET pivots'!N$65</f>
        <v>875854.0422503599</v>
      </c>
      <c r="AH19" s="202">
        <f>VLOOKUP($C19,'MSET pivots'!$B$4:$H$14,$H$3,FALSE)*1000000*$I$3*'MSET pivots'!O$65</f>
        <v>930594.20141923358</v>
      </c>
      <c r="AI19" s="202">
        <f>VLOOKUP($C19,'MSET pivots'!$B$4:$H$14,$H$3,FALSE)*1000000*$I$3*'MSET pivots'!P$65</f>
        <v>985334.36058810714</v>
      </c>
      <c r="AJ19" s="202">
        <f>VLOOKUP($C19,'MSET pivots'!$B$4:$H$14,$H$3,FALSE)*1000000*$I$3*'MSET pivots'!Q$65</f>
        <v>1040074.5197569808</v>
      </c>
      <c r="AK19" s="202">
        <f>VLOOKUP($C19,'MSET pivots'!$B$4:$H$14,$H$3,FALSE)*1000000*$I$3*'MSET pivots'!R$65</f>
        <v>1094814.6789258544</v>
      </c>
      <c r="AL19" s="202">
        <f>VLOOKUP($C19,'MSET pivots'!$B$4:$H$14,$H$3,FALSE)*1000000*$I$3*'MSET pivots'!S$65</f>
        <v>1149554.8380947285</v>
      </c>
    </row>
    <row r="20" spans="1:38" x14ac:dyDescent="0.3">
      <c r="C20" s="161" t="s">
        <v>1052</v>
      </c>
      <c r="E20" s="161" t="s">
        <v>1052</v>
      </c>
      <c r="F20" t="s">
        <v>1232</v>
      </c>
      <c r="G20" t="s">
        <v>1232</v>
      </c>
      <c r="H20" t="s">
        <v>1233</v>
      </c>
      <c r="I20" t="s">
        <v>1239</v>
      </c>
      <c r="J20" t="s">
        <v>1240</v>
      </c>
      <c r="K20" s="266">
        <f t="shared" si="0"/>
        <v>8.5250447453876568</v>
      </c>
      <c r="W20" s="178"/>
      <c r="X20" s="202">
        <f>VLOOKUP($C20,'MSET pivots'!$B$4:$H$14,$H$3,FALSE)*1000000*$I$2*'MSET pivots'!E$65</f>
        <v>284172.42068064882</v>
      </c>
      <c r="Y20" s="202">
        <f>VLOOKUP($C20,'MSET pivots'!$B$4:$H$14,$H$3,FALSE)*1000000*$I$2*'MSET pivots'!F$65</f>
        <v>324767.2629204386</v>
      </c>
      <c r="Z20" s="202">
        <f>VLOOKUP($C20,'MSET pivots'!$B$4:$H$14,$H$3,FALSE)*1000000*$I$2*'MSET pivots'!G$65</f>
        <v>365362.10516022838</v>
      </c>
      <c r="AA20" s="202">
        <f>VLOOKUP($C20,'MSET pivots'!$B$4:$H$14,$H$3,FALSE)*1000000*$I$2*'MSET pivots'!H$65</f>
        <v>405956.94740001817</v>
      </c>
      <c r="AB20" s="202">
        <f>VLOOKUP($C20,'MSET pivots'!$B$4:$H$14,$H$3,FALSE)*1000000*$I$2*'MSET pivots'!I$65</f>
        <v>446551.78963980795</v>
      </c>
      <c r="AC20" s="202">
        <f>VLOOKUP($C20,'MSET pivots'!$B$4:$H$14,$H$3,FALSE)*1000000*$I$2*'MSET pivots'!J$65</f>
        <v>487146.63187959773</v>
      </c>
      <c r="AD20" s="202">
        <f>VLOOKUP($C20,'MSET pivots'!$B$4:$H$14,$H$3,FALSE)*1000000*$I$2*'MSET pivots'!K$65</f>
        <v>527741.47411938757</v>
      </c>
      <c r="AE20" s="202">
        <f>VLOOKUP($C20,'MSET pivots'!$B$4:$H$14,$H$3,FALSE)*1000000*$I$2*'MSET pivots'!L$65</f>
        <v>568336.31635917723</v>
      </c>
      <c r="AF20" s="202">
        <f>VLOOKUP($C20,'MSET pivots'!$B$4:$H$14,$H$3,FALSE)*1000000*$I$2*'MSET pivots'!M$65</f>
        <v>608931.15859896701</v>
      </c>
      <c r="AG20" s="202">
        <f>VLOOKUP($C20,'MSET pivots'!$B$4:$H$14,$H$3,FALSE)*1000000*$I$2*'MSET pivots'!N$65</f>
        <v>649526.00083875668</v>
      </c>
      <c r="AH20" s="202">
        <f>VLOOKUP($C20,'MSET pivots'!$B$4:$H$14,$H$3,FALSE)*1000000*$I$2*'MSET pivots'!O$65</f>
        <v>690120.84307854646</v>
      </c>
      <c r="AI20" s="202">
        <f>VLOOKUP($C20,'MSET pivots'!$B$4:$H$14,$H$3,FALSE)*1000000*$I$2*'MSET pivots'!P$65</f>
        <v>730715.68531833612</v>
      </c>
      <c r="AJ20" s="202">
        <f>VLOOKUP($C20,'MSET pivots'!$B$4:$H$14,$H$3,FALSE)*1000000*$I$2*'MSET pivots'!Q$65</f>
        <v>771310.5275581259</v>
      </c>
      <c r="AK20" s="202">
        <f>VLOOKUP($C20,'MSET pivots'!$B$4:$H$14,$H$3,FALSE)*1000000*$I$2*'MSET pivots'!R$65</f>
        <v>811905.36979791557</v>
      </c>
      <c r="AL20" s="202">
        <f>VLOOKUP($C20,'MSET pivots'!$B$4:$H$14,$H$3,FALSE)*1000000*$I$2*'MSET pivots'!S$65</f>
        <v>852500.2120377057</v>
      </c>
    </row>
    <row r="21" spans="1:38" x14ac:dyDescent="0.3">
      <c r="C21" s="161" t="s">
        <v>1052</v>
      </c>
      <c r="E21" s="161" t="s">
        <v>1052</v>
      </c>
      <c r="F21" t="s">
        <v>1232</v>
      </c>
      <c r="G21" t="s">
        <v>1232</v>
      </c>
      <c r="H21" t="s">
        <v>1255</v>
      </c>
      <c r="I21" t="s">
        <v>1256</v>
      </c>
      <c r="J21" t="s">
        <v>1240</v>
      </c>
      <c r="K21" s="266">
        <f t="shared" si="0"/>
        <v>8.5250447453876568</v>
      </c>
      <c r="W21" s="178"/>
      <c r="X21" s="202">
        <f>VLOOKUP($C21,'MSET pivots'!$B$4:$H$14,$H$3,FALSE)*1000000*$I$3*'MSET pivots'!E$65</f>
        <v>284172.42068064882</v>
      </c>
      <c r="Y21" s="202">
        <f>VLOOKUP($C21,'MSET pivots'!$B$4:$H$14,$H$3,FALSE)*1000000*$I$3*'MSET pivots'!F$65</f>
        <v>324767.2629204386</v>
      </c>
      <c r="Z21" s="202">
        <f>VLOOKUP($C21,'MSET pivots'!$B$4:$H$14,$H$3,FALSE)*1000000*$I$3*'MSET pivots'!G$65</f>
        <v>365362.10516022838</v>
      </c>
      <c r="AA21" s="202">
        <f>VLOOKUP($C21,'MSET pivots'!$B$4:$H$14,$H$3,FALSE)*1000000*$I$3*'MSET pivots'!H$65</f>
        <v>405956.94740001817</v>
      </c>
      <c r="AB21" s="202">
        <f>VLOOKUP($C21,'MSET pivots'!$B$4:$H$14,$H$3,FALSE)*1000000*$I$3*'MSET pivots'!I$65</f>
        <v>446551.78963980795</v>
      </c>
      <c r="AC21" s="202">
        <f>VLOOKUP($C21,'MSET pivots'!$B$4:$H$14,$H$3,FALSE)*1000000*$I$3*'MSET pivots'!J$65</f>
        <v>487146.63187959773</v>
      </c>
      <c r="AD21" s="202">
        <f>VLOOKUP($C21,'MSET pivots'!$B$4:$H$14,$H$3,FALSE)*1000000*$I$3*'MSET pivots'!K$65</f>
        <v>527741.47411938757</v>
      </c>
      <c r="AE21" s="202">
        <f>VLOOKUP($C21,'MSET pivots'!$B$4:$H$14,$H$3,FALSE)*1000000*$I$3*'MSET pivots'!L$65</f>
        <v>568336.31635917723</v>
      </c>
      <c r="AF21" s="202">
        <f>VLOOKUP($C21,'MSET pivots'!$B$4:$H$14,$H$3,FALSE)*1000000*$I$3*'MSET pivots'!M$65</f>
        <v>608931.15859896701</v>
      </c>
      <c r="AG21" s="202">
        <f>VLOOKUP($C21,'MSET pivots'!$B$4:$H$14,$H$3,FALSE)*1000000*$I$3*'MSET pivots'!N$65</f>
        <v>649526.00083875668</v>
      </c>
      <c r="AH21" s="202">
        <f>VLOOKUP($C21,'MSET pivots'!$B$4:$H$14,$H$3,FALSE)*1000000*$I$3*'MSET pivots'!O$65</f>
        <v>690120.84307854646</v>
      </c>
      <c r="AI21" s="202">
        <f>VLOOKUP($C21,'MSET pivots'!$B$4:$H$14,$H$3,FALSE)*1000000*$I$3*'MSET pivots'!P$65</f>
        <v>730715.68531833612</v>
      </c>
      <c r="AJ21" s="202">
        <f>VLOOKUP($C21,'MSET pivots'!$B$4:$H$14,$H$3,FALSE)*1000000*$I$3*'MSET pivots'!Q$65</f>
        <v>771310.5275581259</v>
      </c>
      <c r="AK21" s="202">
        <f>VLOOKUP($C21,'MSET pivots'!$B$4:$H$14,$H$3,FALSE)*1000000*$I$3*'MSET pivots'!R$65</f>
        <v>811905.36979791557</v>
      </c>
      <c r="AL21" s="202">
        <f>VLOOKUP($C21,'MSET pivots'!$B$4:$H$14,$H$3,FALSE)*1000000*$I$3*'MSET pivots'!S$65</f>
        <v>852500.2120377057</v>
      </c>
    </row>
    <row r="22" spans="1:38" x14ac:dyDescent="0.3">
      <c r="B22" t="s">
        <v>653</v>
      </c>
      <c r="C22" t="s">
        <v>1021</v>
      </c>
      <c r="E22" t="s">
        <v>1021</v>
      </c>
      <c r="F22" t="s">
        <v>1232</v>
      </c>
      <c r="G22" t="s">
        <v>1232</v>
      </c>
      <c r="H22" t="s">
        <v>1233</v>
      </c>
      <c r="I22" t="s">
        <v>1239</v>
      </c>
      <c r="J22" t="s">
        <v>1240</v>
      </c>
      <c r="K22" s="266">
        <f t="shared" si="0"/>
        <v>10.630843653672349</v>
      </c>
      <c r="W22" s="261">
        <f>'Preliminary results'!$C$31*1000000*I2</f>
        <v>902060.73048874759</v>
      </c>
      <c r="X22" s="202">
        <f>VLOOKUP($C22,'MSET pivots'!$B$4:$H$14,$H$3,FALSE)*1000000*$I$2*'MSET pivots'!E$65</f>
        <v>354366.77051766153</v>
      </c>
      <c r="Y22" s="202">
        <f>VLOOKUP($C22,'MSET pivots'!$B$4:$H$14,$H$3,FALSE)*1000000*$I$2*'MSET pivots'!F$65</f>
        <v>404989.07619297039</v>
      </c>
      <c r="Z22" s="202">
        <f>VLOOKUP($C22,'MSET pivots'!$B$4:$H$14,$H$3,FALSE)*1000000*$I$2*'MSET pivots'!G$65</f>
        <v>455611.38186827919</v>
      </c>
      <c r="AA22" s="202">
        <f>VLOOKUP($C22,'MSET pivots'!$B$4:$H$14,$H$3,FALSE)*1000000*$I$2*'MSET pivots'!H$65</f>
        <v>506233.68754358805</v>
      </c>
      <c r="AB22" s="202">
        <f>VLOOKUP($C22,'MSET pivots'!$B$4:$H$14,$H$3,FALSE)*1000000*$I$2*'MSET pivots'!I$65</f>
        <v>556855.99321889691</v>
      </c>
      <c r="AC22" s="202">
        <f>VLOOKUP($C22,'MSET pivots'!$B$4:$H$14,$H$3,FALSE)*1000000*$I$2*'MSET pivots'!J$65</f>
        <v>607478.29889420571</v>
      </c>
      <c r="AD22" s="202">
        <f>VLOOKUP($C22,'MSET pivots'!$B$4:$H$14,$H$3,FALSE)*1000000*$I$2*'MSET pivots'!K$65</f>
        <v>658100.60456951451</v>
      </c>
      <c r="AE22" s="202">
        <f>VLOOKUP($C22,'MSET pivots'!$B$4:$H$14,$H$3,FALSE)*1000000*$I$2*'MSET pivots'!L$65</f>
        <v>708722.91024482332</v>
      </c>
      <c r="AF22" s="202">
        <f>VLOOKUP($C22,'MSET pivots'!$B$4:$H$14,$H$3,FALSE)*1000000*$I$2*'MSET pivots'!M$65</f>
        <v>759345.21592013212</v>
      </c>
      <c r="AG22" s="202">
        <f>VLOOKUP($C22,'MSET pivots'!$B$4:$H$14,$H$3,FALSE)*1000000*$I$2*'MSET pivots'!N$65</f>
        <v>809967.5215954408</v>
      </c>
      <c r="AH22" s="202">
        <f>VLOOKUP($C22,'MSET pivots'!$B$4:$H$14,$H$3,FALSE)*1000000*$I$2*'MSET pivots'!O$65</f>
        <v>860589.82727074961</v>
      </c>
      <c r="AI22" s="202">
        <f>VLOOKUP($C22,'MSET pivots'!$B$4:$H$14,$H$3,FALSE)*1000000*$I$2*'MSET pivots'!P$65</f>
        <v>911212.13294605841</v>
      </c>
      <c r="AJ22" s="202">
        <f>VLOOKUP($C22,'MSET pivots'!$B$4:$H$14,$H$3,FALSE)*1000000*$I$2*'MSET pivots'!Q$65</f>
        <v>961834.43862136721</v>
      </c>
      <c r="AK22" s="202">
        <f>VLOOKUP($C22,'MSET pivots'!$B$4:$H$14,$H$3,FALSE)*1000000*$I$2*'MSET pivots'!R$65</f>
        <v>1012456.7442966759</v>
      </c>
      <c r="AL22" s="202">
        <f>VLOOKUP($C22,'MSET pivots'!$B$4:$H$14,$H$3,FALSE)*1000000*$I$2*'MSET pivots'!S$65</f>
        <v>1063079.0499719852</v>
      </c>
    </row>
    <row r="23" spans="1:38" x14ac:dyDescent="0.3">
      <c r="B23" t="s">
        <v>653</v>
      </c>
      <c r="C23" t="s">
        <v>1021</v>
      </c>
      <c r="E23" t="s">
        <v>1021</v>
      </c>
      <c r="F23" t="s">
        <v>1232</v>
      </c>
      <c r="G23" t="s">
        <v>1232</v>
      </c>
      <c r="H23" t="s">
        <v>1255</v>
      </c>
      <c r="I23" t="s">
        <v>1256</v>
      </c>
      <c r="J23" t="s">
        <v>1240</v>
      </c>
      <c r="K23" s="266">
        <f t="shared" si="0"/>
        <v>10.630843653672349</v>
      </c>
      <c r="W23" s="261">
        <f>'Preliminary results'!$C$31*1000000*I3</f>
        <v>902060.73048874759</v>
      </c>
      <c r="X23" s="202">
        <f>VLOOKUP($C23,'MSET pivots'!$B$4:$H$14,$H$3,FALSE)*1000000*$I$3*'MSET pivots'!E$65</f>
        <v>354366.77051766153</v>
      </c>
      <c r="Y23" s="202">
        <f>VLOOKUP($C23,'MSET pivots'!$B$4:$H$14,$H$3,FALSE)*1000000*$I$3*'MSET pivots'!F$65</f>
        <v>404989.07619297039</v>
      </c>
      <c r="Z23" s="202">
        <f>VLOOKUP($C23,'MSET pivots'!$B$4:$H$14,$H$3,FALSE)*1000000*$I$3*'MSET pivots'!G$65</f>
        <v>455611.38186827919</v>
      </c>
      <c r="AA23" s="202">
        <f>VLOOKUP($C23,'MSET pivots'!$B$4:$H$14,$H$3,FALSE)*1000000*$I$3*'MSET pivots'!H$65</f>
        <v>506233.68754358805</v>
      </c>
      <c r="AB23" s="202">
        <f>VLOOKUP($C23,'MSET pivots'!$B$4:$H$14,$H$3,FALSE)*1000000*$I$3*'MSET pivots'!I$65</f>
        <v>556855.99321889691</v>
      </c>
      <c r="AC23" s="202">
        <f>VLOOKUP($C23,'MSET pivots'!$B$4:$H$14,$H$3,FALSE)*1000000*$I$3*'MSET pivots'!J$65</f>
        <v>607478.29889420571</v>
      </c>
      <c r="AD23" s="202">
        <f>VLOOKUP($C23,'MSET pivots'!$B$4:$H$14,$H$3,FALSE)*1000000*$I$3*'MSET pivots'!K$65</f>
        <v>658100.60456951451</v>
      </c>
      <c r="AE23" s="202">
        <f>VLOOKUP($C23,'MSET pivots'!$B$4:$H$14,$H$3,FALSE)*1000000*$I$3*'MSET pivots'!L$65</f>
        <v>708722.91024482332</v>
      </c>
      <c r="AF23" s="202">
        <f>VLOOKUP($C23,'MSET pivots'!$B$4:$H$14,$H$3,FALSE)*1000000*$I$3*'MSET pivots'!M$65</f>
        <v>759345.21592013212</v>
      </c>
      <c r="AG23" s="202">
        <f>VLOOKUP($C23,'MSET pivots'!$B$4:$H$14,$H$3,FALSE)*1000000*$I$3*'MSET pivots'!N$65</f>
        <v>809967.5215954408</v>
      </c>
      <c r="AH23" s="202">
        <f>VLOOKUP($C23,'MSET pivots'!$B$4:$H$14,$H$3,FALSE)*1000000*$I$3*'MSET pivots'!O$65</f>
        <v>860589.82727074961</v>
      </c>
      <c r="AI23" s="202">
        <f>VLOOKUP($C23,'MSET pivots'!$B$4:$H$14,$H$3,FALSE)*1000000*$I$3*'MSET pivots'!P$65</f>
        <v>911212.13294605841</v>
      </c>
      <c r="AJ23" s="202">
        <f>VLOOKUP($C23,'MSET pivots'!$B$4:$H$14,$H$3,FALSE)*1000000*$I$3*'MSET pivots'!Q$65</f>
        <v>961834.43862136721</v>
      </c>
      <c r="AK23" s="202">
        <f>VLOOKUP($C23,'MSET pivots'!$B$4:$H$14,$H$3,FALSE)*1000000*$I$3*'MSET pivots'!R$65</f>
        <v>1012456.7442966759</v>
      </c>
      <c r="AL23" s="202">
        <f>VLOOKUP($C23,'MSET pivots'!$B$4:$H$14,$H$3,FALSE)*1000000*$I$3*'MSET pivots'!S$65</f>
        <v>1063079.0499719852</v>
      </c>
    </row>
    <row r="24" spans="1:38" x14ac:dyDescent="0.3">
      <c r="A24" s="180"/>
      <c r="B24" s="180"/>
      <c r="C24" s="179" t="s">
        <v>1054</v>
      </c>
      <c r="D24" s="180"/>
      <c r="E24" s="179" t="s">
        <v>1054</v>
      </c>
      <c r="F24" s="180" t="s">
        <v>1232</v>
      </c>
      <c r="G24" s="180" t="s">
        <v>1232</v>
      </c>
      <c r="H24" s="180" t="s">
        <v>1255</v>
      </c>
      <c r="I24" s="180" t="s">
        <v>1256</v>
      </c>
      <c r="J24" s="181" t="s">
        <v>1234</v>
      </c>
      <c r="K24" s="231">
        <f t="shared" ref="K24:K29" si="1">SUM(X24:AL24)</f>
        <v>-8.8262815791993257E-3</v>
      </c>
      <c r="L24" s="180"/>
      <c r="M24" s="180"/>
      <c r="N24" s="180"/>
      <c r="O24" s="180"/>
      <c r="P24" s="180"/>
      <c r="Q24" s="180"/>
      <c r="R24" s="180"/>
      <c r="S24" s="180"/>
      <c r="T24" s="180"/>
      <c r="U24" s="180"/>
      <c r="V24" s="180"/>
      <c r="W24" s="180"/>
      <c r="X24" s="203">
        <f>VLOOKUP($C24,'MSET pivots'!$J$4:$P$14,'Final demand(3)'!$H$3,FALSE)*'MSET pivots'!E$65</f>
        <v>-2.9421379909203488E-4</v>
      </c>
      <c r="Y24" s="203">
        <f>VLOOKUP($C24,'MSET pivots'!$J$4:$P$14,'Final demand(3)'!$H$3,FALSE)*'MSET pivots'!F$65</f>
        <v>-3.362430809284044E-4</v>
      </c>
      <c r="Z24" s="203">
        <f>VLOOKUP($C24,'MSET pivots'!$J$4:$P$14,'Final demand(3)'!$H$3,FALSE)*'MSET pivots'!G$65</f>
        <v>-3.7827236276477398E-4</v>
      </c>
      <c r="AA24" s="203">
        <f>VLOOKUP($C24,'MSET pivots'!$J$4:$P$14,'Final demand(3)'!$H$3,FALSE)*'MSET pivots'!H$65</f>
        <v>-4.203016446011435E-4</v>
      </c>
      <c r="AB24" s="203">
        <f>VLOOKUP($C24,'MSET pivots'!$J$4:$P$14,'Final demand(3)'!$H$3,FALSE)*'MSET pivots'!I$65</f>
        <v>-4.6233092643751308E-4</v>
      </c>
      <c r="AC24" s="203">
        <f>VLOOKUP($C24,'MSET pivots'!$J$4:$P$14,'Final demand(3)'!$H$3,FALSE)*'MSET pivots'!J$65</f>
        <v>-5.0436020827388265E-4</v>
      </c>
      <c r="AD24" s="203">
        <f>VLOOKUP($C24,'MSET pivots'!$J$4:$P$14,'Final demand(3)'!$H$3,FALSE)*'MSET pivots'!K$65</f>
        <v>-5.4638949011025218E-4</v>
      </c>
      <c r="AE24" s="203">
        <f>VLOOKUP($C24,'MSET pivots'!$J$4:$P$14,'Final demand(3)'!$H$3,FALSE)*'MSET pivots'!L$65</f>
        <v>-5.884187719466217E-4</v>
      </c>
      <c r="AF24" s="203">
        <f>VLOOKUP($C24,'MSET pivots'!$J$4:$P$14,'Final demand(3)'!$H$3,FALSE)*'MSET pivots'!M$65</f>
        <v>-6.3044805378299122E-4</v>
      </c>
      <c r="AG24" s="203">
        <f>VLOOKUP($C24,'MSET pivots'!$J$4:$P$14,'Final demand(3)'!$H$3,FALSE)*'MSET pivots'!N$65</f>
        <v>-6.7247733561936064E-4</v>
      </c>
      <c r="AH24" s="203">
        <f>VLOOKUP($C24,'MSET pivots'!$J$4:$P$14,'Final demand(3)'!$H$3,FALSE)*'MSET pivots'!O$65</f>
        <v>-7.1450661745573016E-4</v>
      </c>
      <c r="AI24" s="203">
        <f>VLOOKUP($C24,'MSET pivots'!$J$4:$P$14,'Final demand(3)'!$H$3,FALSE)*'MSET pivots'!P$65</f>
        <v>-7.5653589929209968E-4</v>
      </c>
      <c r="AJ24" s="203">
        <f>VLOOKUP($C24,'MSET pivots'!$J$4:$P$14,'Final demand(3)'!$H$3,FALSE)*'MSET pivots'!Q$65</f>
        <v>-7.9856518112846921E-4</v>
      </c>
      <c r="AK24" s="203">
        <f>VLOOKUP($C24,'MSET pivots'!$J$4:$P$14,'Final demand(3)'!$H$3,FALSE)*'MSET pivots'!R$65</f>
        <v>-8.4059446296483862E-4</v>
      </c>
      <c r="AL24" s="203">
        <f>VLOOKUP($C24,'MSET pivots'!$J$4:$P$14,'Final demand(3)'!$H$3,FALSE)*'MSET pivots'!S$65</f>
        <v>-8.8262374480120847E-4</v>
      </c>
    </row>
    <row r="25" spans="1:38" x14ac:dyDescent="0.3">
      <c r="A25" s="180"/>
      <c r="B25" s="180"/>
      <c r="C25" s="179" t="s">
        <v>1011</v>
      </c>
      <c r="D25" s="180"/>
      <c r="E25" s="179" t="s">
        <v>1011</v>
      </c>
      <c r="F25" s="180" t="s">
        <v>1232</v>
      </c>
      <c r="G25" s="180" t="s">
        <v>1232</v>
      </c>
      <c r="H25" s="180" t="s">
        <v>1255</v>
      </c>
      <c r="I25" s="180" t="s">
        <v>1256</v>
      </c>
      <c r="J25" s="181" t="s">
        <v>1234</v>
      </c>
      <c r="K25" s="231">
        <f t="shared" si="1"/>
        <v>-4.5455366037206657E-3</v>
      </c>
      <c r="L25" s="180"/>
      <c r="M25" s="180"/>
      <c r="N25" s="180"/>
      <c r="O25" s="180"/>
      <c r="P25" s="180"/>
      <c r="Q25" s="180"/>
      <c r="R25" s="180"/>
      <c r="S25" s="180"/>
      <c r="T25" s="180"/>
      <c r="U25" s="180"/>
      <c r="V25" s="180"/>
      <c r="W25" s="180"/>
      <c r="X25" s="203">
        <f>VLOOKUP($C25,'MSET pivots'!$J$4:$P$14,'Final demand(3)'!$H$3,FALSE)*'MSET pivots'!E$65</f>
        <v>-1.5152015954762697E-4</v>
      </c>
      <c r="Y25" s="203">
        <f>VLOOKUP($C25,'MSET pivots'!$J$4:$P$14,'Final demand(3)'!$H$3,FALSE)*'MSET pivots'!F$65</f>
        <v>-1.7316524726673421E-4</v>
      </c>
      <c r="Z25" s="203">
        <f>VLOOKUP($C25,'MSET pivots'!$J$4:$P$14,'Final demand(3)'!$H$3,FALSE)*'MSET pivots'!G$65</f>
        <v>-1.9481033498584149E-4</v>
      </c>
      <c r="AA25" s="203">
        <f>VLOOKUP($C25,'MSET pivots'!$J$4:$P$14,'Final demand(3)'!$H$3,FALSE)*'MSET pivots'!H$65</f>
        <v>-2.1645542270494873E-4</v>
      </c>
      <c r="AB25" s="203">
        <f>VLOOKUP($C25,'MSET pivots'!$J$4:$P$14,'Final demand(3)'!$H$3,FALSE)*'MSET pivots'!I$65</f>
        <v>-2.3810051042405601E-4</v>
      </c>
      <c r="AC25" s="203">
        <f>VLOOKUP($C25,'MSET pivots'!$J$4:$P$14,'Final demand(3)'!$H$3,FALSE)*'MSET pivots'!J$65</f>
        <v>-2.5974559814316328E-4</v>
      </c>
      <c r="AD25" s="203">
        <f>VLOOKUP($C25,'MSET pivots'!$J$4:$P$14,'Final demand(3)'!$H$3,FALSE)*'MSET pivots'!K$65</f>
        <v>-2.8139068586227053E-4</v>
      </c>
      <c r="AE25" s="203">
        <f>VLOOKUP($C25,'MSET pivots'!$J$4:$P$14,'Final demand(3)'!$H$3,FALSE)*'MSET pivots'!L$65</f>
        <v>-3.0303577358137778E-4</v>
      </c>
      <c r="AF25" s="203">
        <f>VLOOKUP($C25,'MSET pivots'!$J$4:$P$14,'Final demand(3)'!$H$3,FALSE)*'MSET pivots'!M$65</f>
        <v>-3.2468086130048497E-4</v>
      </c>
      <c r="AG25" s="203">
        <f>VLOOKUP($C25,'MSET pivots'!$J$4:$P$14,'Final demand(3)'!$H$3,FALSE)*'MSET pivots'!N$65</f>
        <v>-3.4632594901959222E-4</v>
      </c>
      <c r="AH25" s="203">
        <f>VLOOKUP($C25,'MSET pivots'!$J$4:$P$14,'Final demand(3)'!$H$3,FALSE)*'MSET pivots'!O$65</f>
        <v>-3.6797103673869946E-4</v>
      </c>
      <c r="AI25" s="203">
        <f>VLOOKUP($C25,'MSET pivots'!$J$4:$P$14,'Final demand(3)'!$H$3,FALSE)*'MSET pivots'!P$65</f>
        <v>-3.8961612445780665E-4</v>
      </c>
      <c r="AJ25" s="203">
        <f>VLOOKUP($C25,'MSET pivots'!$J$4:$P$14,'Final demand(3)'!$H$3,FALSE)*'MSET pivots'!Q$65</f>
        <v>-4.112612121769139E-4</v>
      </c>
      <c r="AK25" s="203">
        <f>VLOOKUP($C25,'MSET pivots'!$J$4:$P$14,'Final demand(3)'!$H$3,FALSE)*'MSET pivots'!R$65</f>
        <v>-4.3290629989602115E-4</v>
      </c>
      <c r="AL25" s="203">
        <f>VLOOKUP($C25,'MSET pivots'!$J$4:$P$14,'Final demand(3)'!$H$3,FALSE)*'MSET pivots'!S$65</f>
        <v>-4.5455138761512856E-4</v>
      </c>
    </row>
    <row r="26" spans="1:38" x14ac:dyDescent="0.3">
      <c r="A26" s="180"/>
      <c r="B26" s="180"/>
      <c r="C26" s="179" t="s">
        <v>1053</v>
      </c>
      <c r="D26" s="180"/>
      <c r="E26" s="179" t="s">
        <v>1053</v>
      </c>
      <c r="F26" s="180" t="s">
        <v>1232</v>
      </c>
      <c r="G26" s="180" t="s">
        <v>1232</v>
      </c>
      <c r="H26" s="180" t="s">
        <v>1255</v>
      </c>
      <c r="I26" s="180" t="s">
        <v>1256</v>
      </c>
      <c r="J26" s="181" t="s">
        <v>1234</v>
      </c>
      <c r="K26" s="231">
        <f t="shared" si="1"/>
        <v>-9.4439390981379302E-3</v>
      </c>
      <c r="L26" s="180"/>
      <c r="M26" s="180"/>
      <c r="N26" s="180"/>
      <c r="O26" s="180"/>
      <c r="P26" s="180"/>
      <c r="Q26" s="180"/>
      <c r="R26" s="180"/>
      <c r="S26" s="180"/>
      <c r="T26" s="180"/>
      <c r="U26" s="180"/>
      <c r="V26" s="180"/>
      <c r="W26" s="180"/>
      <c r="X26" s="203">
        <f>VLOOKUP($C26,'MSET pivots'!$J$4:$P$14,'Final demand(3)'!$H$3,FALSE)*'MSET pivots'!E$65</f>
        <v>-3.1480269188387033E-4</v>
      </c>
      <c r="Y26" s="203">
        <f>VLOOKUP($C26,'MSET pivots'!$J$4:$P$14,'Final demand(3)'!$H$3,FALSE)*'MSET pivots'!F$65</f>
        <v>-3.597731558827263E-4</v>
      </c>
      <c r="Z26" s="203">
        <f>VLOOKUP($C26,'MSET pivots'!$J$4:$P$14,'Final demand(3)'!$H$3,FALSE)*'MSET pivots'!G$65</f>
        <v>-4.0474361988158226E-4</v>
      </c>
      <c r="AA26" s="203">
        <f>VLOOKUP($C26,'MSET pivots'!$J$4:$P$14,'Final demand(3)'!$H$3,FALSE)*'MSET pivots'!H$65</f>
        <v>-4.4971408388043822E-4</v>
      </c>
      <c r="AB26" s="203">
        <f>VLOOKUP($C26,'MSET pivots'!$J$4:$P$14,'Final demand(3)'!$H$3,FALSE)*'MSET pivots'!I$65</f>
        <v>-4.9468454787929413E-4</v>
      </c>
      <c r="AC26" s="203">
        <f>VLOOKUP($C26,'MSET pivots'!$J$4:$P$14,'Final demand(3)'!$H$3,FALSE)*'MSET pivots'!J$65</f>
        <v>-5.3965501187815015E-4</v>
      </c>
      <c r="AD26" s="203">
        <f>VLOOKUP($C26,'MSET pivots'!$J$4:$P$14,'Final demand(3)'!$H$3,FALSE)*'MSET pivots'!K$65</f>
        <v>-5.8462547587700606E-4</v>
      </c>
      <c r="AE26" s="203">
        <f>VLOOKUP($C26,'MSET pivots'!$J$4:$P$14,'Final demand(3)'!$H$3,FALSE)*'MSET pivots'!L$65</f>
        <v>-6.2959593987586197E-4</v>
      </c>
      <c r="AF26" s="203">
        <f>VLOOKUP($C26,'MSET pivots'!$J$4:$P$14,'Final demand(3)'!$H$3,FALSE)*'MSET pivots'!M$65</f>
        <v>-6.7456640387471788E-4</v>
      </c>
      <c r="AG26" s="203">
        <f>VLOOKUP($C26,'MSET pivots'!$J$4:$P$14,'Final demand(3)'!$H$3,FALSE)*'MSET pivots'!N$65</f>
        <v>-7.1953686787357379E-4</v>
      </c>
      <c r="AH26" s="203">
        <f>VLOOKUP($C26,'MSET pivots'!$J$4:$P$14,'Final demand(3)'!$H$3,FALSE)*'MSET pivots'!O$65</f>
        <v>-7.6450733187242959E-4</v>
      </c>
      <c r="AI26" s="203">
        <f>VLOOKUP($C26,'MSET pivots'!$J$4:$P$14,'Final demand(3)'!$H$3,FALSE)*'MSET pivots'!P$65</f>
        <v>-8.094777958712855E-4</v>
      </c>
      <c r="AJ26" s="203">
        <f>VLOOKUP($C26,'MSET pivots'!$J$4:$P$14,'Final demand(3)'!$H$3,FALSE)*'MSET pivots'!Q$65</f>
        <v>-8.5444825987014141E-4</v>
      </c>
      <c r="AK26" s="203">
        <f>VLOOKUP($C26,'MSET pivots'!$J$4:$P$14,'Final demand(3)'!$H$3,FALSE)*'MSET pivots'!R$65</f>
        <v>-8.9941872386899732E-4</v>
      </c>
      <c r="AL26" s="203">
        <f>VLOOKUP($C26,'MSET pivots'!$J$4:$P$14,'Final demand(3)'!$H$3,FALSE)*'MSET pivots'!S$65</f>
        <v>-9.4438918786785356E-4</v>
      </c>
    </row>
    <row r="27" spans="1:38" x14ac:dyDescent="0.3">
      <c r="A27" s="180"/>
      <c r="B27" s="180" t="s">
        <v>317</v>
      </c>
      <c r="C27" s="180" t="s">
        <v>1046</v>
      </c>
      <c r="D27" s="180"/>
      <c r="E27" s="180" t="s">
        <v>1046</v>
      </c>
      <c r="F27" s="180" t="s">
        <v>1232</v>
      </c>
      <c r="G27" s="180" t="s">
        <v>1232</v>
      </c>
      <c r="H27" s="180" t="s">
        <v>1255</v>
      </c>
      <c r="I27" s="180" t="s">
        <v>1256</v>
      </c>
      <c r="J27" s="181" t="s">
        <v>1234</v>
      </c>
      <c r="K27" s="231">
        <f t="shared" si="1"/>
        <v>-6.8766547589981849E-3</v>
      </c>
      <c r="L27" s="180"/>
      <c r="M27" s="180"/>
      <c r="N27" s="180"/>
      <c r="O27" s="180"/>
      <c r="P27" s="180"/>
      <c r="Q27" s="180"/>
      <c r="R27" s="180"/>
      <c r="S27" s="180"/>
      <c r="T27" s="180"/>
      <c r="U27" s="180"/>
      <c r="V27" s="180"/>
      <c r="W27" s="204">
        <f>('Preliminary results'!$C$31)/'Baseline govt spend'!$E$51</f>
        <v>6.6729533221219594E-4</v>
      </c>
      <c r="X27" s="203">
        <f>VLOOKUP($C27,'MSET pivots'!$J$4:$P$14,'Final demand(3)'!$H$3,FALSE)*'MSET pivots'!E$65</f>
        <v>-2.2922526361012746E-4</v>
      </c>
      <c r="Y27" s="203">
        <f>VLOOKUP($C27,'MSET pivots'!$J$4:$P$14,'Final demand(3)'!$H$3,FALSE)*'MSET pivots'!F$65</f>
        <v>-2.6197074746580625E-4</v>
      </c>
      <c r="Z27" s="203">
        <f>VLOOKUP($C27,'MSET pivots'!$J$4:$P$14,'Final demand(3)'!$H$3,FALSE)*'MSET pivots'!G$65</f>
        <v>-2.9471623132148507E-4</v>
      </c>
      <c r="AA27" s="203">
        <f>VLOOKUP($C27,'MSET pivots'!$J$4:$P$14,'Final demand(3)'!$H$3,FALSE)*'MSET pivots'!H$65</f>
        <v>-3.2746171517716388E-4</v>
      </c>
      <c r="AB27" s="203">
        <f>VLOOKUP($C27,'MSET pivots'!$J$4:$P$14,'Final demand(3)'!$H$3,FALSE)*'MSET pivots'!I$65</f>
        <v>-3.6020719903284265E-4</v>
      </c>
      <c r="AC27" s="203">
        <f>VLOOKUP($C27,'MSET pivots'!$J$4:$P$14,'Final demand(3)'!$H$3,FALSE)*'MSET pivots'!J$65</f>
        <v>-3.9295268288852146E-4</v>
      </c>
      <c r="AD27" s="203">
        <f>VLOOKUP($C27,'MSET pivots'!$J$4:$P$14,'Final demand(3)'!$H$3,FALSE)*'MSET pivots'!K$65</f>
        <v>-4.2569816674420028E-4</v>
      </c>
      <c r="AE27" s="203">
        <f>VLOOKUP($C27,'MSET pivots'!$J$4:$P$14,'Final demand(3)'!$H$3,FALSE)*'MSET pivots'!L$65</f>
        <v>-4.5844365059987904E-4</v>
      </c>
      <c r="AF27" s="203">
        <f>VLOOKUP($C27,'MSET pivots'!$J$4:$P$14,'Final demand(3)'!$H$3,FALSE)*'MSET pivots'!M$65</f>
        <v>-4.9118913445555775E-4</v>
      </c>
      <c r="AG27" s="203">
        <f>VLOOKUP($C27,'MSET pivots'!$J$4:$P$14,'Final demand(3)'!$H$3,FALSE)*'MSET pivots'!N$65</f>
        <v>-5.2393461831123651E-4</v>
      </c>
      <c r="AH27" s="203">
        <f>VLOOKUP($C27,'MSET pivots'!$J$4:$P$14,'Final demand(3)'!$H$3,FALSE)*'MSET pivots'!O$65</f>
        <v>-5.5668010216691527E-4</v>
      </c>
      <c r="AI27" s="203">
        <f>VLOOKUP($C27,'MSET pivots'!$J$4:$P$14,'Final demand(3)'!$H$3,FALSE)*'MSET pivots'!P$65</f>
        <v>-5.8942558602259403E-4</v>
      </c>
      <c r="AJ27" s="203">
        <f>VLOOKUP($C27,'MSET pivots'!$J$4:$P$14,'Final demand(3)'!$H$3,FALSE)*'MSET pivots'!Q$65</f>
        <v>-6.2217106987827279E-4</v>
      </c>
      <c r="AK27" s="203">
        <f>VLOOKUP($C27,'MSET pivots'!$J$4:$P$14,'Final demand(3)'!$H$3,FALSE)*'MSET pivots'!R$65</f>
        <v>-6.5491655373395156E-4</v>
      </c>
      <c r="AL27" s="203">
        <f>VLOOKUP($C27,'MSET pivots'!$J$4:$P$14,'Final demand(3)'!$H$3,FALSE)*'MSET pivots'!S$65</f>
        <v>-6.8766203758963054E-4</v>
      </c>
    </row>
    <row r="28" spans="1:38" x14ac:dyDescent="0.3">
      <c r="A28" s="180"/>
      <c r="B28" s="180"/>
      <c r="C28" s="179" t="s">
        <v>1056</v>
      </c>
      <c r="D28" s="180"/>
      <c r="E28" s="179" t="s">
        <v>1056</v>
      </c>
      <c r="F28" s="180" t="s">
        <v>1232</v>
      </c>
      <c r="G28" s="180" t="s">
        <v>1232</v>
      </c>
      <c r="H28" s="180" t="s">
        <v>1255</v>
      </c>
      <c r="I28" s="180" t="s">
        <v>1256</v>
      </c>
      <c r="J28" s="181" t="s">
        <v>1234</v>
      </c>
      <c r="K28" s="231">
        <f t="shared" si="1"/>
        <v>-2.3956582452104511E-3</v>
      </c>
      <c r="L28" s="180"/>
      <c r="M28" s="180"/>
      <c r="N28" s="180"/>
      <c r="O28" s="180"/>
      <c r="P28" s="180"/>
      <c r="Q28" s="180"/>
      <c r="R28" s="180"/>
      <c r="S28" s="180"/>
      <c r="T28" s="180"/>
      <c r="U28" s="180"/>
      <c r="V28" s="180"/>
      <c r="W28" s="180"/>
      <c r="X28" s="203">
        <f>VLOOKUP($C28,'MSET pivots'!$J$4:$P$14,'Final demand(3)'!$H$3,FALSE)*'MSET pivots'!E$65</f>
        <v>-7.985647266348187E-5</v>
      </c>
      <c r="Y28" s="203">
        <f>VLOOKUP($C28,'MSET pivots'!$J$4:$P$14,'Final demand(3)'!$H$3,FALSE)*'MSET pivots'!F$65</f>
        <v>-9.1264197951655433E-5</v>
      </c>
      <c r="Z28" s="203">
        <f>VLOOKUP($C28,'MSET pivots'!$J$4:$P$14,'Final demand(3)'!$H$3,FALSE)*'MSET pivots'!G$65</f>
        <v>-1.0267192323982898E-4</v>
      </c>
      <c r="AA28" s="203">
        <f>VLOOKUP($C28,'MSET pivots'!$J$4:$P$14,'Final demand(3)'!$H$3,FALSE)*'MSET pivots'!H$65</f>
        <v>-1.1407964852800254E-4</v>
      </c>
      <c r="AB28" s="203">
        <f>VLOOKUP($C28,'MSET pivots'!$J$4:$P$14,'Final demand(3)'!$H$3,FALSE)*'MSET pivots'!I$65</f>
        <v>-1.2548737381617609E-4</v>
      </c>
      <c r="AC28" s="203">
        <f>VLOOKUP($C28,'MSET pivots'!$J$4:$P$14,'Final demand(3)'!$H$3,FALSE)*'MSET pivots'!J$65</f>
        <v>-1.3689509910434967E-4</v>
      </c>
      <c r="AD28" s="203">
        <f>VLOOKUP($C28,'MSET pivots'!$J$4:$P$14,'Final demand(3)'!$H$3,FALSE)*'MSET pivots'!K$65</f>
        <v>-1.4830282439252322E-4</v>
      </c>
      <c r="AE28" s="203">
        <f>VLOOKUP($C28,'MSET pivots'!$J$4:$P$14,'Final demand(3)'!$H$3,FALSE)*'MSET pivots'!L$65</f>
        <v>-1.5971054968069677E-4</v>
      </c>
      <c r="AF28" s="203">
        <f>VLOOKUP($C28,'MSET pivots'!$J$4:$P$14,'Final demand(3)'!$H$3,FALSE)*'MSET pivots'!M$65</f>
        <v>-1.7111827496887029E-4</v>
      </c>
      <c r="AG28" s="203">
        <f>VLOOKUP($C28,'MSET pivots'!$J$4:$P$14,'Final demand(3)'!$H$3,FALSE)*'MSET pivots'!N$65</f>
        <v>-1.8252600025704384E-4</v>
      </c>
      <c r="AH28" s="203">
        <f>VLOOKUP($C28,'MSET pivots'!$J$4:$P$14,'Final demand(3)'!$H$3,FALSE)*'MSET pivots'!O$65</f>
        <v>-1.9393372554521739E-4</v>
      </c>
      <c r="AI28" s="203">
        <f>VLOOKUP($C28,'MSET pivots'!$J$4:$P$14,'Final demand(3)'!$H$3,FALSE)*'MSET pivots'!P$65</f>
        <v>-2.0534145083339091E-4</v>
      </c>
      <c r="AJ28" s="203">
        <f>VLOOKUP($C28,'MSET pivots'!$J$4:$P$14,'Final demand(3)'!$H$3,FALSE)*'MSET pivots'!Q$65</f>
        <v>-2.1674917612156446E-4</v>
      </c>
      <c r="AK28" s="203">
        <f>VLOOKUP($C28,'MSET pivots'!$J$4:$P$14,'Final demand(3)'!$H$3,FALSE)*'MSET pivots'!R$65</f>
        <v>-2.2815690140973801E-4</v>
      </c>
      <c r="AL28" s="203">
        <f>VLOOKUP($C28,'MSET pivots'!$J$4:$P$14,'Final demand(3)'!$H$3,FALSE)*'MSET pivots'!S$65</f>
        <v>-2.3956462669791164E-4</v>
      </c>
    </row>
    <row r="29" spans="1:38" x14ac:dyDescent="0.3">
      <c r="A29" s="180"/>
      <c r="B29" s="180"/>
      <c r="C29" s="179" t="s">
        <v>861</v>
      </c>
      <c r="D29" s="180"/>
      <c r="E29" s="179" t="s">
        <v>861</v>
      </c>
      <c r="F29" s="180" t="s">
        <v>1232</v>
      </c>
      <c r="G29" s="180" t="s">
        <v>1232</v>
      </c>
      <c r="H29" s="180" t="s">
        <v>1255</v>
      </c>
      <c r="I29" s="180" t="s">
        <v>1256</v>
      </c>
      <c r="J29" s="181" t="s">
        <v>1234</v>
      </c>
      <c r="K29" s="231">
        <f t="shared" si="1"/>
        <v>-1.9088338408480544E-2</v>
      </c>
      <c r="L29" s="180"/>
      <c r="M29" s="180"/>
      <c r="N29" s="180"/>
      <c r="O29" s="180"/>
      <c r="P29" s="180"/>
      <c r="Q29" s="180"/>
      <c r="R29" s="180"/>
      <c r="S29" s="180"/>
      <c r="T29" s="180"/>
      <c r="U29" s="180"/>
      <c r="V29" s="180"/>
      <c r="W29" s="180"/>
      <c r="X29" s="203">
        <f>VLOOKUP($C29,'MSET pivots'!$J$4:$P$14,'Final demand(3)'!$H$3,FALSE)*'MSET pivots'!E$65</f>
        <v>-6.3628749107083528E-4</v>
      </c>
      <c r="Y29" s="203">
        <f>VLOOKUP($C29,'MSET pivots'!$J$4:$P$14,'Final demand(3)'!$H$3,FALSE)*'MSET pivots'!F$65</f>
        <v>-7.2718297718910214E-4</v>
      </c>
      <c r="Z29" s="203">
        <f>VLOOKUP($C29,'MSET pivots'!$J$4:$P$14,'Final demand(3)'!$H$3,FALSE)*'MSET pivots'!G$65</f>
        <v>-8.18078463307369E-4</v>
      </c>
      <c r="AA29" s="203">
        <f>VLOOKUP($C29,'MSET pivots'!$J$4:$P$14,'Final demand(3)'!$H$3,FALSE)*'MSET pivots'!H$65</f>
        <v>-9.0897394942563586E-4</v>
      </c>
      <c r="AB29" s="203">
        <f>VLOOKUP($C29,'MSET pivots'!$J$4:$P$14,'Final demand(3)'!$H$3,FALSE)*'MSET pivots'!I$65</f>
        <v>-9.9986943554390261E-4</v>
      </c>
      <c r="AC29" s="203">
        <f>VLOOKUP($C29,'MSET pivots'!$J$4:$P$14,'Final demand(3)'!$H$3,FALSE)*'MSET pivots'!J$65</f>
        <v>-1.0907649216621697E-3</v>
      </c>
      <c r="AD29" s="203">
        <f>VLOOKUP($C29,'MSET pivots'!$J$4:$P$14,'Final demand(3)'!$H$3,FALSE)*'MSET pivots'!K$65</f>
        <v>-1.1816604077804365E-3</v>
      </c>
      <c r="AE29" s="203">
        <f>VLOOKUP($C29,'MSET pivots'!$J$4:$P$14,'Final demand(3)'!$H$3,FALSE)*'MSET pivots'!L$65</f>
        <v>-1.2725558938987032E-3</v>
      </c>
      <c r="AF29" s="203">
        <f>VLOOKUP($C29,'MSET pivots'!$J$4:$P$14,'Final demand(3)'!$H$3,FALSE)*'MSET pivots'!M$65</f>
        <v>-1.3634513800169698E-3</v>
      </c>
      <c r="AG29" s="203">
        <f>VLOOKUP($C29,'MSET pivots'!$J$4:$P$14,'Final demand(3)'!$H$3,FALSE)*'MSET pivots'!N$65</f>
        <v>-1.4543468661352367E-3</v>
      </c>
      <c r="AH29" s="203">
        <f>VLOOKUP($C29,'MSET pivots'!$J$4:$P$14,'Final demand(3)'!$H$3,FALSE)*'MSET pivots'!O$65</f>
        <v>-1.5452423522535033E-3</v>
      </c>
      <c r="AI29" s="203">
        <f>VLOOKUP($C29,'MSET pivots'!$J$4:$P$14,'Final demand(3)'!$H$3,FALSE)*'MSET pivots'!P$65</f>
        <v>-1.6361378383717702E-3</v>
      </c>
      <c r="AJ29" s="203">
        <f>VLOOKUP($C29,'MSET pivots'!$J$4:$P$14,'Final demand(3)'!$H$3,FALSE)*'MSET pivots'!Q$65</f>
        <v>-1.7270333244900368E-3</v>
      </c>
      <c r="AK29" s="203">
        <f>VLOOKUP($C29,'MSET pivots'!$J$4:$P$14,'Final demand(3)'!$H$3,FALSE)*'MSET pivots'!R$65</f>
        <v>-1.8179288106083037E-3</v>
      </c>
      <c r="AL29" s="203">
        <f>VLOOKUP($C29,'MSET pivots'!$J$4:$P$14,'Final demand(3)'!$H$3,FALSE)*'MSET pivots'!S$65</f>
        <v>-1.9088242967265712E-3</v>
      </c>
    </row>
    <row r="30" spans="1:38" x14ac:dyDescent="0.3">
      <c r="J30" s="172"/>
    </row>
    <row r="31" spans="1:38" x14ac:dyDescent="0.3">
      <c r="J31" s="172"/>
    </row>
    <row r="32" spans="1:38" x14ac:dyDescent="0.3">
      <c r="J32" s="172"/>
    </row>
    <row r="33" spans="7:10" x14ac:dyDescent="0.3">
      <c r="J33" s="172"/>
    </row>
    <row r="34" spans="7:10" x14ac:dyDescent="0.3">
      <c r="J34" s="172"/>
    </row>
    <row r="35" spans="7:10" x14ac:dyDescent="0.3">
      <c r="G35" s="94"/>
      <c r="J35" s="172"/>
    </row>
    <row r="36" spans="7:10" x14ac:dyDescent="0.3">
      <c r="G36" s="94"/>
      <c r="J36" s="172"/>
    </row>
    <row r="37" spans="7:10" x14ac:dyDescent="0.3">
      <c r="G37" s="94"/>
      <c r="J37" s="172"/>
    </row>
    <row r="38" spans="7:10" x14ac:dyDescent="0.3">
      <c r="G38" s="94"/>
      <c r="J38" s="172"/>
    </row>
    <row r="39" spans="7:10" x14ac:dyDescent="0.3">
      <c r="G39" s="94"/>
      <c r="J39" s="172"/>
    </row>
    <row r="40" spans="7:10" x14ac:dyDescent="0.3">
      <c r="G40" s="94"/>
      <c r="J40" s="172"/>
    </row>
    <row r="41" spans="7:10" x14ac:dyDescent="0.3">
      <c r="G41" s="94"/>
      <c r="J41" s="172"/>
    </row>
    <row r="42" spans="7:10" x14ac:dyDescent="0.3">
      <c r="G42" t="str">
        <f>_xlfn.IFNA(INDEX('[1]Sector list'!$A$2:$A$122,MATCH(F42,'[1]Sector list'!$B$2:$B$122,0)),"")</f>
        <v/>
      </c>
      <c r="I42" t="str">
        <f>_xlfn.IFNA(INDEX('[1]FD list'!$A$2:$A$122,MATCH(H42,'[1]FD list'!$B$2:$B$122,0)),"")</f>
        <v/>
      </c>
      <c r="J42" s="172"/>
    </row>
    <row r="43" spans="7:10" x14ac:dyDescent="0.3">
      <c r="G43" t="str">
        <f>_xlfn.IFNA(INDEX('[1]Sector list'!$A$2:$A$122,MATCH(F43,'[1]Sector list'!$B$2:$B$122,0)),"")</f>
        <v/>
      </c>
      <c r="I43" t="str">
        <f>_xlfn.IFNA(INDEX('[1]FD list'!$A$2:$A$122,MATCH(H43,'[1]FD list'!$B$2:$B$122,0)),"")</f>
        <v/>
      </c>
      <c r="J43" s="172"/>
    </row>
    <row r="44" spans="7:10" x14ac:dyDescent="0.3">
      <c r="G44" t="str">
        <f>_xlfn.IFNA(INDEX('[1]Sector list'!$A$2:$A$122,MATCH(F44,'[1]Sector list'!$B$2:$B$122,0)),"")</f>
        <v/>
      </c>
      <c r="I44" t="str">
        <f>_xlfn.IFNA(INDEX('[1]FD list'!$A$2:$A$122,MATCH(H44,'[1]FD list'!$B$2:$B$122,0)),"")</f>
        <v/>
      </c>
      <c r="J44" s="172"/>
    </row>
    <row r="45" spans="7:10" x14ac:dyDescent="0.3">
      <c r="G45" t="str">
        <f>_xlfn.IFNA(INDEX('[1]Sector list'!$A$2:$A$122,MATCH(F45,'[1]Sector list'!$B$2:$B$122,0)),"")</f>
        <v/>
      </c>
      <c r="I45" t="str">
        <f>_xlfn.IFNA(INDEX('[1]FD list'!$A$2:$A$122,MATCH(H45,'[1]FD list'!$B$2:$B$122,0)),"")</f>
        <v/>
      </c>
      <c r="J45" s="172"/>
    </row>
    <row r="46" spans="7:10" x14ac:dyDescent="0.3">
      <c r="G46" t="str">
        <f>_xlfn.IFNA(INDEX('[1]Sector list'!$A$2:$A$122,MATCH(F46,'[1]Sector list'!$B$2:$B$122,0)),"")</f>
        <v/>
      </c>
      <c r="I46" t="str">
        <f>_xlfn.IFNA(INDEX('[1]FD list'!$A$2:$A$122,MATCH(H46,'[1]FD list'!$B$2:$B$122,0)),"")</f>
        <v/>
      </c>
      <c r="J46" s="172"/>
    </row>
    <row r="47" spans="7:10" x14ac:dyDescent="0.3">
      <c r="G47" t="str">
        <f>_xlfn.IFNA(INDEX('[1]Sector list'!$A$2:$A$122,MATCH(F47,'[1]Sector list'!$B$2:$B$122,0)),"")</f>
        <v/>
      </c>
      <c r="I47" t="str">
        <f>_xlfn.IFNA(INDEX('[1]FD list'!$A$2:$A$122,MATCH(H47,'[1]FD list'!$B$2:$B$122,0)),"")</f>
        <v/>
      </c>
      <c r="J47" s="172"/>
    </row>
    <row r="48" spans="7:10" x14ac:dyDescent="0.3">
      <c r="G48" t="str">
        <f>_xlfn.IFNA(INDEX('[1]Sector list'!$A$2:$A$122,MATCH(F48,'[1]Sector list'!$B$2:$B$122,0)),"")</f>
        <v/>
      </c>
      <c r="I48" t="str">
        <f>_xlfn.IFNA(INDEX('[1]FD list'!$A$2:$A$122,MATCH(H48,'[1]FD list'!$B$2:$B$122,0)),"")</f>
        <v/>
      </c>
      <c r="J48" s="172"/>
    </row>
    <row r="49" spans="7:10" x14ac:dyDescent="0.3">
      <c r="G49" t="str">
        <f>_xlfn.IFNA(INDEX('[1]Sector list'!$A$2:$A$122,MATCH(F49,'[1]Sector list'!$B$2:$B$122,0)),"")</f>
        <v/>
      </c>
      <c r="I49" t="str">
        <f>_xlfn.IFNA(INDEX('[1]FD list'!$A$2:$A$122,MATCH(H49,'[1]FD list'!$B$2:$B$122,0)),"")</f>
        <v/>
      </c>
      <c r="J49" s="172"/>
    </row>
    <row r="50" spans="7:10" x14ac:dyDescent="0.3">
      <c r="G50" t="str">
        <f>_xlfn.IFNA(INDEX('[1]Sector list'!$A$2:$A$122,MATCH(F50,'[1]Sector list'!$B$2:$B$122,0)),"")</f>
        <v/>
      </c>
      <c r="I50" t="str">
        <f>_xlfn.IFNA(INDEX('[1]FD list'!$A$2:$A$122,MATCH(H50,'[1]FD list'!$B$2:$B$122,0)),"")</f>
        <v/>
      </c>
      <c r="J50" s="172"/>
    </row>
    <row r="51" spans="7:10" x14ac:dyDescent="0.3">
      <c r="G51" t="str">
        <f>_xlfn.IFNA(INDEX('[1]Sector list'!$A$2:$A$122,MATCH(F51,'[1]Sector list'!$B$2:$B$122,0)),"")</f>
        <v/>
      </c>
      <c r="I51" t="str">
        <f>_xlfn.IFNA(INDEX('[1]FD list'!$A$2:$A$122,MATCH(H51,'[1]FD list'!$B$2:$B$122,0)),"")</f>
        <v/>
      </c>
      <c r="J51" s="172"/>
    </row>
    <row r="52" spans="7:10" x14ac:dyDescent="0.3">
      <c r="G52" t="str">
        <f>_xlfn.IFNA(INDEX('[1]Sector list'!$A$2:$A$122,MATCH(F52,'[1]Sector list'!$B$2:$B$122,0)),"")</f>
        <v/>
      </c>
      <c r="I52" t="str">
        <f>_xlfn.IFNA(INDEX('[1]FD list'!$A$2:$A$122,MATCH(H52,'[1]FD list'!$B$2:$B$122,0)),"")</f>
        <v/>
      </c>
      <c r="J52" s="172"/>
    </row>
    <row r="53" spans="7:10" x14ac:dyDescent="0.3">
      <c r="G53" t="str">
        <f>_xlfn.IFNA(INDEX('[1]Sector list'!$A$2:$A$122,MATCH(F53,'[1]Sector list'!$B$2:$B$122,0)),"")</f>
        <v/>
      </c>
      <c r="I53" t="str">
        <f>_xlfn.IFNA(INDEX('[1]FD list'!$A$2:$A$122,MATCH(H53,'[1]FD list'!$B$2:$B$122,0)),"")</f>
        <v/>
      </c>
      <c r="J53" s="172"/>
    </row>
    <row r="54" spans="7:10" x14ac:dyDescent="0.3">
      <c r="G54" t="str">
        <f>_xlfn.IFNA(INDEX('[1]Sector list'!$A$2:$A$122,MATCH(F54,'[1]Sector list'!$B$2:$B$122,0)),"")</f>
        <v/>
      </c>
      <c r="I54" t="str">
        <f>_xlfn.IFNA(INDEX('[1]FD list'!$A$2:$A$122,MATCH(H54,'[1]FD list'!$B$2:$B$122,0)),"")</f>
        <v/>
      </c>
      <c r="J54" s="172"/>
    </row>
    <row r="55" spans="7:10" x14ac:dyDescent="0.3">
      <c r="G55" t="str">
        <f>_xlfn.IFNA(INDEX('[1]Sector list'!$A$2:$A$122,MATCH(F55,'[1]Sector list'!$B$2:$B$122,0)),"")</f>
        <v/>
      </c>
      <c r="I55" t="str">
        <f>_xlfn.IFNA(INDEX('[1]FD list'!$A$2:$A$122,MATCH(H55,'[1]FD list'!$B$2:$B$122,0)),"")</f>
        <v/>
      </c>
      <c r="J55" s="172"/>
    </row>
    <row r="56" spans="7:10" x14ac:dyDescent="0.3">
      <c r="G56" t="str">
        <f>_xlfn.IFNA(INDEX('[1]Sector list'!$A$2:$A$122,MATCH(F56,'[1]Sector list'!$B$2:$B$122,0)),"")</f>
        <v/>
      </c>
      <c r="I56" t="str">
        <f>_xlfn.IFNA(INDEX('[1]FD list'!$A$2:$A$122,MATCH(H56,'[1]FD list'!$B$2:$B$122,0)),"")</f>
        <v/>
      </c>
      <c r="J56" s="172"/>
    </row>
    <row r="57" spans="7:10" x14ac:dyDescent="0.3">
      <c r="G57" t="str">
        <f>_xlfn.IFNA(INDEX('[1]Sector list'!$A$2:$A$122,MATCH(F57,'[1]Sector list'!$B$2:$B$122,0)),"")</f>
        <v/>
      </c>
      <c r="I57" t="str">
        <f>_xlfn.IFNA(INDEX('[1]FD list'!$A$2:$A$122,MATCH(H57,'[1]FD list'!$B$2:$B$122,0)),"")</f>
        <v/>
      </c>
      <c r="J57" s="172"/>
    </row>
    <row r="58" spans="7:10" x14ac:dyDescent="0.3">
      <c r="G58" t="str">
        <f>_xlfn.IFNA(INDEX('[1]Sector list'!$A$2:$A$122,MATCH(F58,'[1]Sector list'!$B$2:$B$122,0)),"")</f>
        <v/>
      </c>
      <c r="I58" t="str">
        <f>_xlfn.IFNA(INDEX('[1]FD list'!$A$2:$A$122,MATCH(H58,'[1]FD list'!$B$2:$B$122,0)),"")</f>
        <v/>
      </c>
      <c r="J58" s="172"/>
    </row>
    <row r="59" spans="7:10" x14ac:dyDescent="0.3">
      <c r="G59" t="str">
        <f>_xlfn.IFNA(INDEX('[1]Sector list'!$A$2:$A$122,MATCH(F59,'[1]Sector list'!$B$2:$B$122,0)),"")</f>
        <v/>
      </c>
      <c r="I59" t="str">
        <f>_xlfn.IFNA(INDEX('[1]FD list'!$A$2:$A$122,MATCH(H59,'[1]FD list'!$B$2:$B$122,0)),"")</f>
        <v/>
      </c>
      <c r="J59" s="172"/>
    </row>
    <row r="60" spans="7:10" x14ac:dyDescent="0.3">
      <c r="G60" t="str">
        <f>_xlfn.IFNA(INDEX('[1]Sector list'!$A$2:$A$122,MATCH(F60,'[1]Sector list'!$B$2:$B$122,0)),"")</f>
        <v/>
      </c>
      <c r="I60" t="str">
        <f>_xlfn.IFNA(INDEX('[1]FD list'!$A$2:$A$122,MATCH(H60,'[1]FD list'!$B$2:$B$122,0)),"")</f>
        <v/>
      </c>
      <c r="J60" s="172"/>
    </row>
    <row r="61" spans="7:10" x14ac:dyDescent="0.3">
      <c r="G61" t="str">
        <f>_xlfn.IFNA(INDEX('[1]Sector list'!$A$2:$A$122,MATCH(F61,'[1]Sector list'!$B$2:$B$122,0)),"")</f>
        <v/>
      </c>
      <c r="I61" t="str">
        <f>_xlfn.IFNA(INDEX('[1]FD list'!$A$2:$A$122,MATCH(H61,'[1]FD list'!$B$2:$B$122,0)),"")</f>
        <v/>
      </c>
      <c r="J61" s="172"/>
    </row>
    <row r="62" spans="7:10" x14ac:dyDescent="0.3">
      <c r="G62" t="str">
        <f>_xlfn.IFNA(INDEX('[1]Sector list'!$A$2:$A$122,MATCH(F62,'[1]Sector list'!$B$2:$B$122,0)),"")</f>
        <v/>
      </c>
      <c r="I62" t="str">
        <f>_xlfn.IFNA(INDEX('[1]FD list'!$A$2:$A$122,MATCH(H62,'[1]FD list'!$B$2:$B$122,0)),"")</f>
        <v/>
      </c>
      <c r="J62" s="172"/>
    </row>
    <row r="63" spans="7:10" x14ac:dyDescent="0.3">
      <c r="G63" t="str">
        <f>_xlfn.IFNA(INDEX('[1]Sector list'!$A$2:$A$122,MATCH(F63,'[1]Sector list'!$B$2:$B$122,0)),"")</f>
        <v/>
      </c>
      <c r="I63" t="str">
        <f>_xlfn.IFNA(INDEX('[1]FD list'!$A$2:$A$122,MATCH(H63,'[1]FD list'!$B$2:$B$122,0)),"")</f>
        <v/>
      </c>
      <c r="J63" s="172"/>
    </row>
    <row r="64" spans="7:10" x14ac:dyDescent="0.3">
      <c r="G64" t="str">
        <f>_xlfn.IFNA(INDEX('[1]Sector list'!$A$2:$A$122,MATCH(F64,'[1]Sector list'!$B$2:$B$122,0)),"")</f>
        <v/>
      </c>
      <c r="I64" t="str">
        <f>_xlfn.IFNA(INDEX('[1]FD list'!$A$2:$A$122,MATCH(H64,'[1]FD list'!$B$2:$B$122,0)),"")</f>
        <v/>
      </c>
      <c r="J64" s="172"/>
    </row>
    <row r="65" spans="7:10" x14ac:dyDescent="0.3">
      <c r="G65" t="str">
        <f>_xlfn.IFNA(INDEX('[1]Sector list'!$A$2:$A$122,MATCH(F65,'[1]Sector list'!$B$2:$B$122,0)),"")</f>
        <v/>
      </c>
      <c r="I65" t="str">
        <f>_xlfn.IFNA(INDEX('[1]FD list'!$A$2:$A$122,MATCH(H65,'[1]FD list'!$B$2:$B$122,0)),"")</f>
        <v/>
      </c>
      <c r="J65" s="172"/>
    </row>
    <row r="66" spans="7:10" x14ac:dyDescent="0.3">
      <c r="G66" t="str">
        <f>_xlfn.IFNA(INDEX('[1]Sector list'!$A$2:$A$122,MATCH(F66,'[1]Sector list'!$B$2:$B$122,0)),"")</f>
        <v/>
      </c>
      <c r="I66" t="str">
        <f>_xlfn.IFNA(INDEX('[1]FD list'!$A$2:$A$122,MATCH(H66,'[1]FD list'!$B$2:$B$122,0)),"")</f>
        <v/>
      </c>
      <c r="J66" s="172"/>
    </row>
    <row r="67" spans="7:10" x14ac:dyDescent="0.3">
      <c r="G67" t="str">
        <f>_xlfn.IFNA(INDEX('[1]Sector list'!$A$2:$A$122,MATCH(F67,'[1]Sector list'!$B$2:$B$122,0)),"")</f>
        <v/>
      </c>
      <c r="I67" t="str">
        <f>_xlfn.IFNA(INDEX('[1]FD list'!$A$2:$A$122,MATCH(H67,'[1]FD list'!$B$2:$B$122,0)),"")</f>
        <v/>
      </c>
      <c r="J67" s="172"/>
    </row>
    <row r="68" spans="7:10" x14ac:dyDescent="0.3">
      <c r="I68" t="str">
        <f>_xlfn.IFNA(INDEX('[1]FD list'!$A$2:$A$122,MATCH(H68,'[1]FD list'!$B$2:$B$122,0)),"")</f>
        <v/>
      </c>
      <c r="J68" s="172"/>
    </row>
    <row r="69" spans="7:10" x14ac:dyDescent="0.3">
      <c r="I69" t="str">
        <f>_xlfn.IFNA(INDEX('[1]FD list'!$A$2:$A$122,MATCH(H69,'[1]FD list'!$B$2:$B$122,0)),"")</f>
        <v/>
      </c>
      <c r="J69" s="172"/>
    </row>
    <row r="70" spans="7:10" x14ac:dyDescent="0.3">
      <c r="I70" t="str">
        <f>_xlfn.IFNA(INDEX('[1]FD list'!$A$2:$A$122,MATCH(H70,'[1]FD list'!$B$2:$B$122,0)),"")</f>
        <v/>
      </c>
      <c r="J70" s="172"/>
    </row>
    <row r="71" spans="7:10" x14ac:dyDescent="0.3">
      <c r="I71" t="str">
        <f>_xlfn.IFNA(INDEX('[1]FD list'!$A$2:$A$122,MATCH(H71,'[1]FD list'!$B$2:$B$122,0)),"")</f>
        <v/>
      </c>
      <c r="J71" s="172"/>
    </row>
    <row r="72" spans="7:10" x14ac:dyDescent="0.3">
      <c r="I72" t="str">
        <f>_xlfn.IFNA(INDEX('[1]FD list'!$A$2:$A$122,MATCH(H72,'[1]FD list'!$B$2:$B$122,0)),"")</f>
        <v/>
      </c>
      <c r="J72" s="172"/>
    </row>
    <row r="73" spans="7:10" x14ac:dyDescent="0.3">
      <c r="I73" t="str">
        <f>_xlfn.IFNA(INDEX('[1]FD list'!$A$2:$A$122,MATCH(H73,'[1]FD list'!$B$2:$B$122,0)),"")</f>
        <v/>
      </c>
      <c r="J73" s="172"/>
    </row>
    <row r="74" spans="7:10" x14ac:dyDescent="0.3">
      <c r="I74" t="str">
        <f>_xlfn.IFNA(INDEX('[1]FD list'!$A$2:$A$122,MATCH(H74,'[1]FD list'!$B$2:$B$122,0)),"")</f>
        <v/>
      </c>
      <c r="J74" s="172"/>
    </row>
    <row r="75" spans="7:10" x14ac:dyDescent="0.3">
      <c r="I75" t="str">
        <f>_xlfn.IFNA(INDEX('[1]FD list'!$A$2:$A$122,MATCH(H75,'[1]FD list'!$B$2:$B$122,0)),"")</f>
        <v/>
      </c>
      <c r="J75" s="172"/>
    </row>
    <row r="76" spans="7:10" x14ac:dyDescent="0.3">
      <c r="I76" t="str">
        <f>_xlfn.IFNA(INDEX('[1]FD list'!$A$2:$A$122,MATCH(H76,'[1]FD list'!$B$2:$B$122,0)),"")</f>
        <v/>
      </c>
      <c r="J76" s="172"/>
    </row>
    <row r="77" spans="7:10" x14ac:dyDescent="0.3">
      <c r="I77" t="str">
        <f>_xlfn.IFNA(INDEX('[1]FD list'!$A$2:$A$122,MATCH(H77,'[1]FD list'!$B$2:$B$122,0)),"")</f>
        <v/>
      </c>
      <c r="J77" s="172"/>
    </row>
    <row r="78" spans="7:10" x14ac:dyDescent="0.3">
      <c r="I78" t="str">
        <f>_xlfn.IFNA(INDEX('[1]FD list'!$A$2:$A$122,MATCH(H78,'[1]FD list'!$B$2:$B$122,0)),"")</f>
        <v/>
      </c>
      <c r="J78" s="172"/>
    </row>
    <row r="79" spans="7:10" x14ac:dyDescent="0.3">
      <c r="I79" t="str">
        <f>_xlfn.IFNA(INDEX('[1]FD list'!$A$2:$A$122,MATCH(H79,'[1]FD list'!$B$2:$B$122,0)),"")</f>
        <v/>
      </c>
      <c r="J79" s="172"/>
    </row>
    <row r="80" spans="7:10" x14ac:dyDescent="0.3">
      <c r="I80" t="str">
        <f>_xlfn.IFNA(INDEX('[1]FD list'!$A$2:$A$122,MATCH(H80,'[1]FD list'!$B$2:$B$122,0)),"")</f>
        <v/>
      </c>
      <c r="J80" s="172"/>
    </row>
    <row r="81" spans="9:10" x14ac:dyDescent="0.3">
      <c r="I81" t="str">
        <f>_xlfn.IFNA(INDEX('[1]FD list'!$A$2:$A$122,MATCH(H81,'[1]FD list'!$B$2:$B$122,0)),"")</f>
        <v/>
      </c>
      <c r="J81" s="172"/>
    </row>
    <row r="82" spans="9:10" x14ac:dyDescent="0.3">
      <c r="I82" t="str">
        <f>_xlfn.IFNA(INDEX('[1]FD list'!$A$2:$A$122,MATCH(H82,'[1]FD list'!$B$2:$B$122,0)),"")</f>
        <v/>
      </c>
      <c r="J82" s="172"/>
    </row>
    <row r="83" spans="9:10" x14ac:dyDescent="0.3">
      <c r="I83" t="str">
        <f>_xlfn.IFNA(INDEX('[1]FD list'!$A$2:$A$122,MATCH(H83,'[1]FD list'!$B$2:$B$122,0)),"")</f>
        <v/>
      </c>
      <c r="J83" s="172"/>
    </row>
    <row r="84" spans="9:10" x14ac:dyDescent="0.3">
      <c r="I84" t="str">
        <f>_xlfn.IFNA(INDEX('[1]FD list'!$A$2:$A$122,MATCH(H84,'[1]FD list'!$B$2:$B$122,0)),"")</f>
        <v/>
      </c>
      <c r="J84" s="172"/>
    </row>
    <row r="85" spans="9:10" x14ac:dyDescent="0.3">
      <c r="I85" t="str">
        <f>_xlfn.IFNA(INDEX('[1]FD list'!$A$2:$A$122,MATCH(H85,'[1]FD list'!$B$2:$B$122,0)),"")</f>
        <v/>
      </c>
      <c r="J85" s="172"/>
    </row>
    <row r="86" spans="9:10" x14ac:dyDescent="0.3">
      <c r="I86" t="str">
        <f>_xlfn.IFNA(INDEX('[1]FD list'!$A$2:$A$122,MATCH(H86,'[1]FD list'!$B$2:$B$122,0)),"")</f>
        <v/>
      </c>
      <c r="J86" s="172"/>
    </row>
    <row r="87" spans="9:10" x14ac:dyDescent="0.3">
      <c r="I87" t="str">
        <f>_xlfn.IFNA(INDEX('[1]FD list'!$A$2:$A$122,MATCH(H87,'[1]FD list'!$B$2:$B$122,0)),"")</f>
        <v/>
      </c>
      <c r="J87" s="172"/>
    </row>
    <row r="88" spans="9:10" x14ac:dyDescent="0.3">
      <c r="I88" t="str">
        <f>_xlfn.IFNA(INDEX('[1]FD list'!$A$2:$A$122,MATCH(H88,'[1]FD list'!$B$2:$B$122,0)),"")</f>
        <v/>
      </c>
      <c r="J88" s="172"/>
    </row>
    <row r="89" spans="9:10" x14ac:dyDescent="0.3">
      <c r="I89" t="str">
        <f>_xlfn.IFNA(INDEX('[1]FD list'!$A$2:$A$122,MATCH(H89,'[1]FD list'!$B$2:$B$122,0)),"")</f>
        <v/>
      </c>
      <c r="J89" s="172"/>
    </row>
    <row r="90" spans="9:10" x14ac:dyDescent="0.3">
      <c r="I90" t="str">
        <f>_xlfn.IFNA(INDEX('[1]FD list'!$A$2:$A$122,MATCH(H90,'[1]FD list'!$B$2:$B$122,0)),"")</f>
        <v/>
      </c>
      <c r="J90" s="172"/>
    </row>
    <row r="91" spans="9:10" x14ac:dyDescent="0.3">
      <c r="I91" t="str">
        <f>_xlfn.IFNA(INDEX('[1]FD list'!$A$2:$A$122,MATCH(H91,'[1]FD list'!$B$2:$B$122,0)),"")</f>
        <v/>
      </c>
      <c r="J91" s="172"/>
    </row>
    <row r="92" spans="9:10" x14ac:dyDescent="0.3">
      <c r="I92" t="str">
        <f>_xlfn.IFNA(INDEX('[1]FD list'!$A$2:$A$122,MATCH(H92,'[1]FD list'!$B$2:$B$122,0)),"")</f>
        <v/>
      </c>
      <c r="J92" s="172"/>
    </row>
    <row r="93" spans="9:10" x14ac:dyDescent="0.3">
      <c r="I93" t="str">
        <f>_xlfn.IFNA(INDEX('[1]FD list'!$A$2:$A$122,MATCH(H93,'[1]FD list'!$B$2:$B$122,0)),"")</f>
        <v/>
      </c>
      <c r="J93" s="172"/>
    </row>
    <row r="94" spans="9:10" x14ac:dyDescent="0.3">
      <c r="I94" t="str">
        <f>_xlfn.IFNA(INDEX('[1]FD list'!$A$2:$A$122,MATCH(H94,'[1]FD list'!$B$2:$B$122,0)),"")</f>
        <v/>
      </c>
      <c r="J94" s="172"/>
    </row>
    <row r="95" spans="9:10" x14ac:dyDescent="0.3">
      <c r="I95" t="str">
        <f>_xlfn.IFNA(INDEX('[1]FD list'!$A$2:$A$122,MATCH(H95,'[1]FD list'!$B$2:$B$122,0)),"")</f>
        <v/>
      </c>
      <c r="J95" s="172"/>
    </row>
    <row r="96" spans="9:10" x14ac:dyDescent="0.3">
      <c r="I96" t="str">
        <f>_xlfn.IFNA(INDEX('[1]Sector list'!$A$2:$A$122,MATCH(H96,'[1]Sector list'!$B$2:$B$122,0)),"")</f>
        <v/>
      </c>
      <c r="J96" s="172"/>
    </row>
    <row r="97" spans="9:10" x14ac:dyDescent="0.3">
      <c r="I97" t="str">
        <f>_xlfn.IFNA(INDEX('[1]Sector list'!$A$2:$A$122,MATCH(H97,'[1]Sector list'!$B$2:$B$122,0)),"")</f>
        <v/>
      </c>
      <c r="J97" s="172"/>
    </row>
    <row r="98" spans="9:10" x14ac:dyDescent="0.3">
      <c r="I98" t="str">
        <f>_xlfn.IFNA(INDEX('[1]Sector list'!$A$2:$A$122,MATCH(H98,'[1]Sector list'!$B$2:$B$122,0)),"")</f>
        <v/>
      </c>
      <c r="J98" s="172"/>
    </row>
    <row r="99" spans="9:10" x14ac:dyDescent="0.3">
      <c r="I99" t="str">
        <f>_xlfn.IFNA(INDEX('[1]Sector list'!$A$2:$A$122,MATCH(H99,'[1]Sector list'!$B$2:$B$122,0)),"")</f>
        <v/>
      </c>
      <c r="J99" s="172"/>
    </row>
    <row r="100" spans="9:10" x14ac:dyDescent="0.3">
      <c r="I100" t="str">
        <f>_xlfn.IFNA(INDEX('[1]Sector list'!$A$2:$A$122,MATCH(H100,'[1]Sector list'!$B$2:$B$122,0)),"")</f>
        <v/>
      </c>
      <c r="J100" s="172"/>
    </row>
    <row r="101" spans="9:10" x14ac:dyDescent="0.3">
      <c r="I101" t="str">
        <f>_xlfn.IFNA(INDEX('[1]Sector list'!$A$2:$A$122,MATCH(H101,'[1]Sector list'!$B$2:$B$122,0)),"")</f>
        <v/>
      </c>
      <c r="J101" s="172"/>
    </row>
    <row r="102" spans="9:10" x14ac:dyDescent="0.3">
      <c r="I102" t="str">
        <f>_xlfn.IFNA(INDEX('[1]Sector list'!$A$2:$A$122,MATCH(H102,'[1]Sector list'!$B$2:$B$122,0)),"")</f>
        <v/>
      </c>
      <c r="J102" s="172"/>
    </row>
    <row r="103" spans="9:10" x14ac:dyDescent="0.3">
      <c r="I103" t="str">
        <f>_xlfn.IFNA(INDEX('[1]Sector list'!$A$2:$A$122,MATCH(H103,'[1]Sector list'!$B$2:$B$122,0)),"")</f>
        <v/>
      </c>
      <c r="J103" s="172"/>
    </row>
    <row r="104" spans="9:10" x14ac:dyDescent="0.3">
      <c r="I104" t="str">
        <f>_xlfn.IFNA(INDEX('[1]Sector list'!$A$2:$A$122,MATCH(H104,'[1]Sector list'!$B$2:$B$122,0)),"")</f>
        <v/>
      </c>
      <c r="J104" s="172"/>
    </row>
    <row r="105" spans="9:10" x14ac:dyDescent="0.3">
      <c r="I105" t="str">
        <f>_xlfn.IFNA(INDEX('[1]Sector list'!$A$2:$A$122,MATCH(H105,'[1]Sector list'!$B$2:$B$122,0)),"")</f>
        <v/>
      </c>
      <c r="J105" s="172"/>
    </row>
    <row r="106" spans="9:10" x14ac:dyDescent="0.3">
      <c r="I106" t="str">
        <f>_xlfn.IFNA(INDEX('[1]Sector list'!$A$2:$A$122,MATCH(H106,'[1]Sector list'!$B$2:$B$122,0)),"")</f>
        <v/>
      </c>
      <c r="J106" s="172"/>
    </row>
    <row r="107" spans="9:10" x14ac:dyDescent="0.3">
      <c r="I107" t="str">
        <f>_xlfn.IFNA(INDEX('[1]Sector list'!$A$2:$A$122,MATCH(H107,'[1]Sector list'!$B$2:$B$122,0)),"")</f>
        <v/>
      </c>
      <c r="J107" s="172"/>
    </row>
    <row r="108" spans="9:10" x14ac:dyDescent="0.3">
      <c r="I108" t="str">
        <f>_xlfn.IFNA(INDEX('[1]Sector list'!$A$2:$A$122,MATCH(H108,'[1]Sector list'!$B$2:$B$122,0)),"")</f>
        <v/>
      </c>
      <c r="J108" s="172"/>
    </row>
    <row r="109" spans="9:10" x14ac:dyDescent="0.3">
      <c r="I109" t="str">
        <f>_xlfn.IFNA(INDEX('[1]Sector list'!$A$2:$A$122,MATCH(H109,'[1]Sector list'!$B$2:$B$122,0)),"")</f>
        <v/>
      </c>
      <c r="J109" s="172"/>
    </row>
    <row r="110" spans="9:10" x14ac:dyDescent="0.3">
      <c r="I110" t="str">
        <f>_xlfn.IFNA(INDEX('[1]Sector list'!$A$2:$A$122,MATCH(H110,'[1]Sector list'!$B$2:$B$122,0)),"")</f>
        <v/>
      </c>
      <c r="J110" s="172"/>
    </row>
    <row r="111" spans="9:10" x14ac:dyDescent="0.3">
      <c r="I111" t="str">
        <f>_xlfn.IFNA(INDEX('[1]Sector list'!$A$2:$A$122,MATCH(H111,'[1]Sector list'!$B$2:$B$122,0)),"")</f>
        <v/>
      </c>
      <c r="J111" s="172"/>
    </row>
    <row r="112" spans="9:10" x14ac:dyDescent="0.3">
      <c r="I112" t="str">
        <f>_xlfn.IFNA(INDEX('[1]Sector list'!$A$2:$A$122,MATCH(H112,'[1]Sector list'!$B$2:$B$122,0)),"")</f>
        <v/>
      </c>
      <c r="J112" s="172"/>
    </row>
    <row r="113" spans="9:10" x14ac:dyDescent="0.3">
      <c r="I113" t="str">
        <f>_xlfn.IFNA(INDEX('[1]Sector list'!$A$2:$A$122,MATCH(H113,'[1]Sector list'!$B$2:$B$122,0)),"")</f>
        <v/>
      </c>
      <c r="J113" s="172"/>
    </row>
    <row r="114" spans="9:10" x14ac:dyDescent="0.3">
      <c r="I114" t="str">
        <f>_xlfn.IFNA(INDEX('[1]Sector list'!$A$2:$A$122,MATCH(H114,'[1]Sector list'!$B$2:$B$122,0)),"")</f>
        <v/>
      </c>
      <c r="J114" s="172"/>
    </row>
    <row r="115" spans="9:10" x14ac:dyDescent="0.3">
      <c r="I115" t="str">
        <f>_xlfn.IFNA(INDEX('[1]Sector list'!$A$2:$A$122,MATCH(H115,'[1]Sector list'!$B$2:$B$122,0)),"")</f>
        <v/>
      </c>
      <c r="J115" s="172"/>
    </row>
    <row r="116" spans="9:10" x14ac:dyDescent="0.3">
      <c r="I116" t="str">
        <f>_xlfn.IFNA(INDEX('[1]Sector list'!$A$2:$A$122,MATCH(H116,'[1]Sector list'!$B$2:$B$122,0)),"")</f>
        <v/>
      </c>
      <c r="J116" s="172"/>
    </row>
    <row r="117" spans="9:10" x14ac:dyDescent="0.3">
      <c r="I117" t="str">
        <f>_xlfn.IFNA(INDEX('[1]Sector list'!$A$2:$A$122,MATCH(H117,'[1]Sector list'!$B$2:$B$122,0)),"")</f>
        <v/>
      </c>
      <c r="J117" s="172"/>
    </row>
    <row r="118" spans="9:10" x14ac:dyDescent="0.3">
      <c r="I118" t="str">
        <f>_xlfn.IFNA(INDEX('[1]Sector list'!$A$2:$A$122,MATCH(H118,'[1]Sector list'!$B$2:$B$122,0)),"")</f>
        <v/>
      </c>
      <c r="J118" s="172"/>
    </row>
    <row r="119" spans="9:10" x14ac:dyDescent="0.3">
      <c r="I119" t="str">
        <f>_xlfn.IFNA(INDEX('[1]Sector list'!$A$2:$A$122,MATCH(H119,'[1]Sector list'!$B$2:$B$122,0)),"")</f>
        <v/>
      </c>
      <c r="J119" s="172"/>
    </row>
    <row r="120" spans="9:10" x14ac:dyDescent="0.3">
      <c r="I120" t="str">
        <f>_xlfn.IFNA(INDEX('[1]Sector list'!$A$2:$A$122,MATCH(H120,'[1]Sector list'!$B$2:$B$122,0)),"")</f>
        <v/>
      </c>
      <c r="J120" s="172"/>
    </row>
    <row r="121" spans="9:10" x14ac:dyDescent="0.3">
      <c r="I121" t="str">
        <f>_xlfn.IFNA(INDEX('[1]Sector list'!$A$2:$A$122,MATCH(H121,'[1]Sector list'!$B$2:$B$122,0)),"")</f>
        <v/>
      </c>
      <c r="J121" s="172"/>
    </row>
    <row r="122" spans="9:10" x14ac:dyDescent="0.3">
      <c r="I122" t="str">
        <f>_xlfn.IFNA(INDEX('[1]Sector list'!$A$2:$A$122,MATCH(H122,'[1]Sector list'!$B$2:$B$122,0)),"")</f>
        <v/>
      </c>
      <c r="J122" s="172"/>
    </row>
    <row r="123" spans="9:10" x14ac:dyDescent="0.3">
      <c r="I123" t="str">
        <f>_xlfn.IFNA(INDEX('[1]Sector list'!$A$2:$A$122,MATCH(H123,'[1]Sector list'!$B$2:$B$122,0)),"")</f>
        <v/>
      </c>
      <c r="J123" s="172"/>
    </row>
    <row r="124" spans="9:10" x14ac:dyDescent="0.3">
      <c r="I124" t="str">
        <f>_xlfn.IFNA(INDEX('[1]Sector list'!$A$2:$A$122,MATCH(H124,'[1]Sector list'!$B$2:$B$122,0)),"")</f>
        <v/>
      </c>
      <c r="J124" s="172"/>
    </row>
    <row r="125" spans="9:10" x14ac:dyDescent="0.3">
      <c r="I125" t="str">
        <f>_xlfn.IFNA(INDEX('[1]Sector list'!$A$2:$A$122,MATCH(H125,'[1]Sector list'!$B$2:$B$122,0)),"")</f>
        <v/>
      </c>
      <c r="J125" s="172"/>
    </row>
    <row r="126" spans="9:10" x14ac:dyDescent="0.3">
      <c r="I126" t="str">
        <f>_xlfn.IFNA(INDEX('[1]Sector list'!$A$2:$A$122,MATCH(H126,'[1]Sector list'!$B$2:$B$122,0)),"")</f>
        <v/>
      </c>
      <c r="J126" s="172"/>
    </row>
    <row r="127" spans="9:10" x14ac:dyDescent="0.3">
      <c r="I127" t="str">
        <f>_xlfn.IFNA(INDEX('[1]Sector list'!$A$2:$A$122,MATCH(H127,'[1]Sector list'!$B$2:$B$122,0)),"")</f>
        <v/>
      </c>
      <c r="J127" s="172"/>
    </row>
    <row r="128" spans="9:10" x14ac:dyDescent="0.3">
      <c r="I128" t="str">
        <f>_xlfn.IFNA(INDEX('[1]Sector list'!$A$2:$A$122,MATCH(H128,'[1]Sector list'!$B$2:$B$122,0)),"")</f>
        <v/>
      </c>
      <c r="J128" s="172"/>
    </row>
    <row r="129" spans="9:10" x14ac:dyDescent="0.3">
      <c r="I129" t="str">
        <f>_xlfn.IFNA(INDEX('[1]Sector list'!$A$2:$A$122,MATCH(H129,'[1]Sector list'!$B$2:$B$122,0)),"")</f>
        <v/>
      </c>
      <c r="J129" s="172"/>
    </row>
    <row r="130" spans="9:10" x14ac:dyDescent="0.3">
      <c r="I130" t="str">
        <f>_xlfn.IFNA(INDEX('[1]Sector list'!$A$2:$A$122,MATCH(H130,'[1]Sector list'!$B$2:$B$122,0)),"")</f>
        <v/>
      </c>
      <c r="J130" s="172"/>
    </row>
    <row r="131" spans="9:10" x14ac:dyDescent="0.3">
      <c r="I131" t="str">
        <f>_xlfn.IFNA(INDEX('[1]Sector list'!$A$2:$A$122,MATCH(H131,'[1]Sector list'!$B$2:$B$122,0)),"")</f>
        <v/>
      </c>
      <c r="J131" s="172"/>
    </row>
    <row r="132" spans="9:10" x14ac:dyDescent="0.3">
      <c r="I132" t="str">
        <f>_xlfn.IFNA(INDEX('[1]Sector list'!$A$2:$A$122,MATCH(H132,'[1]Sector list'!$B$2:$B$122,0)),"")</f>
        <v/>
      </c>
      <c r="J132" s="172"/>
    </row>
    <row r="133" spans="9:10" x14ac:dyDescent="0.3">
      <c r="I133" t="str">
        <f>_xlfn.IFNA(INDEX('[1]Sector list'!$A$2:$A$122,MATCH(H133,'[1]Sector list'!$B$2:$B$122,0)),"")</f>
        <v/>
      </c>
      <c r="J133" s="172"/>
    </row>
    <row r="134" spans="9:10" x14ac:dyDescent="0.3">
      <c r="I134" t="str">
        <f>_xlfn.IFNA(INDEX('[1]Sector list'!$A$2:$A$122,MATCH(H134,'[1]Sector list'!$B$2:$B$122,0)),"")</f>
        <v/>
      </c>
      <c r="J134" s="172"/>
    </row>
    <row r="135" spans="9:10" x14ac:dyDescent="0.3">
      <c r="I135" t="str">
        <f>_xlfn.IFNA(INDEX('[1]Sector list'!$A$2:$A$122,MATCH(H135,'[1]Sector list'!$B$2:$B$122,0)),"")</f>
        <v/>
      </c>
      <c r="J135" s="172"/>
    </row>
    <row r="136" spans="9:10" x14ac:dyDescent="0.3">
      <c r="I136" t="str">
        <f>_xlfn.IFNA(INDEX('[1]Sector list'!$A$2:$A$122,MATCH(H136,'[1]Sector list'!$B$2:$B$122,0)),"")</f>
        <v/>
      </c>
      <c r="J136" s="172"/>
    </row>
    <row r="137" spans="9:10" x14ac:dyDescent="0.3">
      <c r="I137" t="str">
        <f>_xlfn.IFNA(INDEX('[1]Sector list'!$A$2:$A$122,MATCH(H137,'[1]Sector list'!$B$2:$B$122,0)),"")</f>
        <v/>
      </c>
      <c r="J137" s="172"/>
    </row>
    <row r="138" spans="9:10" x14ac:dyDescent="0.3">
      <c r="I138" t="str">
        <f>_xlfn.IFNA(INDEX('[1]Sector list'!$A$2:$A$122,MATCH(H138,'[1]Sector list'!$B$2:$B$122,0)),"")</f>
        <v/>
      </c>
      <c r="J138" s="172"/>
    </row>
    <row r="139" spans="9:10" x14ac:dyDescent="0.3">
      <c r="I139" t="str">
        <f>_xlfn.IFNA(INDEX('[1]Sector list'!$A$2:$A$122,MATCH(H139,'[1]Sector list'!$B$2:$B$122,0)),"")</f>
        <v/>
      </c>
      <c r="J139" s="172"/>
    </row>
    <row r="140" spans="9:10" x14ac:dyDescent="0.3">
      <c r="I140" t="str">
        <f>_xlfn.IFNA(INDEX('[1]Sector list'!$A$2:$A$122,MATCH(H140,'[1]Sector list'!$B$2:$B$122,0)),"")</f>
        <v/>
      </c>
      <c r="J140" s="172"/>
    </row>
    <row r="141" spans="9:10" x14ac:dyDescent="0.3">
      <c r="I141" t="str">
        <f>_xlfn.IFNA(INDEX('[1]Sector list'!$A$2:$A$122,MATCH(H141,'[1]Sector list'!$B$2:$B$122,0)),"")</f>
        <v/>
      </c>
      <c r="J141" s="172"/>
    </row>
    <row r="142" spans="9:10" x14ac:dyDescent="0.3">
      <c r="I142" t="str">
        <f>_xlfn.IFNA(INDEX('[1]Sector list'!$A$2:$A$122,MATCH(H142,'[1]Sector list'!$B$2:$B$122,0)),"")</f>
        <v/>
      </c>
      <c r="J142" s="172"/>
    </row>
    <row r="143" spans="9:10" x14ac:dyDescent="0.3">
      <c r="I143" t="str">
        <f>_xlfn.IFNA(INDEX('[1]Sector list'!$A$2:$A$122,MATCH(H143,'[1]Sector list'!$B$2:$B$122,0)),"")</f>
        <v/>
      </c>
      <c r="J143" s="172"/>
    </row>
    <row r="144" spans="9:10" x14ac:dyDescent="0.3">
      <c r="I144" t="str">
        <f>_xlfn.IFNA(INDEX('[1]Sector list'!$A$2:$A$122,MATCH(H144,'[1]Sector list'!$B$2:$B$122,0)),"")</f>
        <v/>
      </c>
      <c r="J144" s="172"/>
    </row>
    <row r="145" spans="9:10" x14ac:dyDescent="0.3">
      <c r="I145" t="str">
        <f>_xlfn.IFNA(INDEX('[1]Sector list'!$A$2:$A$122,MATCH(H145,'[1]Sector list'!$B$2:$B$122,0)),"")</f>
        <v/>
      </c>
      <c r="J145" s="172"/>
    </row>
    <row r="146" spans="9:10" x14ac:dyDescent="0.3">
      <c r="I146" t="str">
        <f>_xlfn.IFNA(INDEX('[1]Sector list'!$A$2:$A$122,MATCH(H146,'[1]Sector list'!$B$2:$B$122,0)),"")</f>
        <v/>
      </c>
      <c r="J146" s="172"/>
    </row>
    <row r="147" spans="9:10" x14ac:dyDescent="0.3">
      <c r="I147" t="str">
        <f>_xlfn.IFNA(INDEX('[1]Sector list'!$A$2:$A$122,MATCH(H147,'[1]Sector list'!$B$2:$B$122,0)),"")</f>
        <v/>
      </c>
      <c r="J147" s="172"/>
    </row>
    <row r="148" spans="9:10" x14ac:dyDescent="0.3">
      <c r="I148" t="str">
        <f>_xlfn.IFNA(INDEX('[1]Sector list'!$A$2:$A$122,MATCH(H148,'[1]Sector list'!$B$2:$B$122,0)),"")</f>
        <v/>
      </c>
      <c r="J148" s="172"/>
    </row>
    <row r="149" spans="9:10" x14ac:dyDescent="0.3">
      <c r="I149" t="str">
        <f>_xlfn.IFNA(INDEX('[1]Sector list'!$A$2:$A$122,MATCH(H149,'[1]Sector list'!$B$2:$B$122,0)),"")</f>
        <v/>
      </c>
      <c r="J149" s="172"/>
    </row>
    <row r="150" spans="9:10" x14ac:dyDescent="0.3">
      <c r="I150" t="str">
        <f>_xlfn.IFNA(INDEX('[1]Sector list'!$A$2:$A$122,MATCH(H150,'[1]Sector list'!$B$2:$B$122,0)),"")</f>
        <v/>
      </c>
      <c r="J150" s="172"/>
    </row>
    <row r="151" spans="9:10" x14ac:dyDescent="0.3">
      <c r="I151" t="str">
        <f>_xlfn.IFNA(INDEX('[1]Sector list'!$A$2:$A$122,MATCH(H151,'[1]Sector list'!$B$2:$B$122,0)),"")</f>
        <v/>
      </c>
      <c r="J151" s="172"/>
    </row>
    <row r="152" spans="9:10" x14ac:dyDescent="0.3">
      <c r="I152" t="str">
        <f>_xlfn.IFNA(INDEX('[1]Sector list'!$A$2:$A$122,MATCH(H152,'[1]Sector list'!$B$2:$B$122,0)),"")</f>
        <v/>
      </c>
      <c r="J152" s="172"/>
    </row>
    <row r="153" spans="9:10" x14ac:dyDescent="0.3">
      <c r="I153" t="str">
        <f>_xlfn.IFNA(INDEX('[1]Sector list'!$A$2:$A$122,MATCH(H153,'[1]Sector list'!$B$2:$B$122,0)),"")</f>
        <v/>
      </c>
      <c r="J153" s="172"/>
    </row>
    <row r="154" spans="9:10" x14ac:dyDescent="0.3">
      <c r="I154" t="str">
        <f>_xlfn.IFNA(INDEX('[1]Sector list'!$A$2:$A$122,MATCH(H154,'[1]Sector list'!$B$2:$B$122,0)),"")</f>
        <v/>
      </c>
      <c r="J154" s="172"/>
    </row>
    <row r="155" spans="9:10" x14ac:dyDescent="0.3">
      <c r="I155" t="str">
        <f>_xlfn.IFNA(INDEX('[1]Sector list'!$A$2:$A$122,MATCH(H155,'[1]Sector list'!$B$2:$B$122,0)),"")</f>
        <v/>
      </c>
      <c r="J155" s="172"/>
    </row>
    <row r="156" spans="9:10" x14ac:dyDescent="0.3">
      <c r="I156" t="str">
        <f>_xlfn.IFNA(INDEX('[1]Sector list'!$A$2:$A$122,MATCH(H156,'[1]Sector list'!$B$2:$B$122,0)),"")</f>
        <v/>
      </c>
      <c r="J156" s="172"/>
    </row>
    <row r="157" spans="9:10" x14ac:dyDescent="0.3">
      <c r="I157" t="str">
        <f>_xlfn.IFNA(INDEX('[1]Sector list'!$A$2:$A$122,MATCH(H157,'[1]Sector list'!$B$2:$B$122,0)),"")</f>
        <v/>
      </c>
      <c r="J157" s="172"/>
    </row>
    <row r="158" spans="9:10" x14ac:dyDescent="0.3">
      <c r="I158" t="str">
        <f>_xlfn.IFNA(INDEX('[1]Sector list'!$A$2:$A$122,MATCH(H158,'[1]Sector list'!$B$2:$B$122,0)),"")</f>
        <v/>
      </c>
      <c r="J158" s="172"/>
    </row>
    <row r="159" spans="9:10" x14ac:dyDescent="0.3">
      <c r="I159" t="str">
        <f>_xlfn.IFNA(INDEX('[1]Sector list'!$A$2:$A$122,MATCH(H159,'[1]Sector list'!$B$2:$B$122,0)),"")</f>
        <v/>
      </c>
      <c r="J159" s="172"/>
    </row>
    <row r="160" spans="9:10" x14ac:dyDescent="0.3">
      <c r="I160" t="str">
        <f>_xlfn.IFNA(INDEX('[1]Sector list'!$A$2:$A$122,MATCH(H160,'[1]Sector list'!$B$2:$B$122,0)),"")</f>
        <v/>
      </c>
      <c r="J160" s="172"/>
    </row>
    <row r="161" spans="9:10" x14ac:dyDescent="0.3">
      <c r="I161" t="str">
        <f>_xlfn.IFNA(INDEX('[1]Sector list'!$A$2:$A$122,MATCH(H161,'[1]Sector list'!$B$2:$B$122,0)),"")</f>
        <v/>
      </c>
      <c r="J161" s="172"/>
    </row>
    <row r="162" spans="9:10" x14ac:dyDescent="0.3">
      <c r="I162" t="str">
        <f>_xlfn.IFNA(INDEX('[1]Sector list'!$A$2:$A$122,MATCH(H162,'[1]Sector list'!$B$2:$B$122,0)),"")</f>
        <v/>
      </c>
      <c r="J162" s="172"/>
    </row>
    <row r="163" spans="9:10" x14ac:dyDescent="0.3">
      <c r="I163" t="str">
        <f>_xlfn.IFNA(INDEX('[1]Sector list'!$A$2:$A$122,MATCH(H163,'[1]Sector list'!$B$2:$B$122,0)),"")</f>
        <v/>
      </c>
      <c r="J163" s="172"/>
    </row>
    <row r="164" spans="9:10" x14ac:dyDescent="0.3">
      <c r="I164" t="str">
        <f>_xlfn.IFNA(INDEX('[1]Sector list'!$A$2:$A$122,MATCH(H164,'[1]Sector list'!$B$2:$B$122,0)),"")</f>
        <v/>
      </c>
      <c r="J164" s="172"/>
    </row>
    <row r="165" spans="9:10" x14ac:dyDescent="0.3">
      <c r="I165" t="str">
        <f>_xlfn.IFNA(INDEX('[1]Sector list'!$A$2:$A$122,MATCH(H165,'[1]Sector list'!$B$2:$B$122,0)),"")</f>
        <v/>
      </c>
      <c r="J165" s="172"/>
    </row>
    <row r="166" spans="9:10" x14ac:dyDescent="0.3">
      <c r="I166" t="str">
        <f>_xlfn.IFNA(INDEX('[1]Sector list'!$A$2:$A$122,MATCH(H166,'[1]Sector list'!$B$2:$B$122,0)),"")</f>
        <v/>
      </c>
      <c r="J166" s="172"/>
    </row>
    <row r="167" spans="9:10" x14ac:dyDescent="0.3">
      <c r="I167" t="str">
        <f>_xlfn.IFNA(INDEX('[1]Sector list'!$A$2:$A$122,MATCH(H167,'[1]Sector list'!$B$2:$B$122,0)),"")</f>
        <v/>
      </c>
      <c r="J167" s="172"/>
    </row>
    <row r="168" spans="9:10" x14ac:dyDescent="0.3">
      <c r="I168" t="str">
        <f>_xlfn.IFNA(INDEX('[1]Sector list'!$A$2:$A$122,MATCH(H168,'[1]Sector list'!$B$2:$B$122,0)),"")</f>
        <v/>
      </c>
      <c r="J168" s="172"/>
    </row>
    <row r="169" spans="9:10" x14ac:dyDescent="0.3">
      <c r="I169" t="str">
        <f>_xlfn.IFNA(INDEX('[1]Sector list'!$A$2:$A$122,MATCH(H169,'[1]Sector list'!$B$2:$B$122,0)),"")</f>
        <v/>
      </c>
      <c r="J169" s="172"/>
    </row>
    <row r="170" spans="9:10" x14ac:dyDescent="0.3">
      <c r="I170" t="str">
        <f>_xlfn.IFNA(INDEX('[1]Sector list'!$A$2:$A$122,MATCH(H170,'[1]Sector list'!$B$2:$B$122,0)),"")</f>
        <v/>
      </c>
      <c r="J170" s="172"/>
    </row>
    <row r="171" spans="9:10" x14ac:dyDescent="0.3">
      <c r="I171" t="str">
        <f>_xlfn.IFNA(INDEX('[1]Sector list'!$A$2:$A$122,MATCH(H171,'[1]Sector list'!$B$2:$B$122,0)),"")</f>
        <v/>
      </c>
      <c r="J171" s="172"/>
    </row>
    <row r="172" spans="9:10" x14ac:dyDescent="0.3">
      <c r="I172" t="str">
        <f>_xlfn.IFNA(INDEX('[1]Sector list'!$A$2:$A$122,MATCH(H172,'[1]Sector list'!$B$2:$B$122,0)),"")</f>
        <v/>
      </c>
      <c r="J172" s="172"/>
    </row>
    <row r="173" spans="9:10" x14ac:dyDescent="0.3">
      <c r="I173" t="str">
        <f>_xlfn.IFNA(INDEX('[1]Sector list'!$A$2:$A$122,MATCH(H173,'[1]Sector list'!$B$2:$B$122,0)),"")</f>
        <v/>
      </c>
      <c r="J173" s="172"/>
    </row>
    <row r="174" spans="9:10" x14ac:dyDescent="0.3">
      <c r="I174" t="str">
        <f>_xlfn.IFNA(INDEX('[1]Sector list'!$A$2:$A$122,MATCH(H174,'[1]Sector list'!$B$2:$B$122,0)),"")</f>
        <v/>
      </c>
      <c r="J174" s="172"/>
    </row>
    <row r="175" spans="9:10" x14ac:dyDescent="0.3">
      <c r="I175" t="str">
        <f>_xlfn.IFNA(INDEX('[1]Sector list'!$A$2:$A$122,MATCH(H175,'[1]Sector list'!$B$2:$B$122,0)),"")</f>
        <v/>
      </c>
      <c r="J175" s="172"/>
    </row>
    <row r="176" spans="9:10" x14ac:dyDescent="0.3">
      <c r="I176" t="str">
        <f>_xlfn.IFNA(INDEX('[1]Sector list'!$A$2:$A$122,MATCH(H176,'[1]Sector list'!$B$2:$B$122,0)),"")</f>
        <v/>
      </c>
      <c r="J176" s="172"/>
    </row>
    <row r="177" spans="9:10" x14ac:dyDescent="0.3">
      <c r="I177" t="str">
        <f>_xlfn.IFNA(INDEX('[1]Sector list'!$A$2:$A$122,MATCH(H177,'[1]Sector list'!$B$2:$B$122,0)),"")</f>
        <v/>
      </c>
      <c r="J177" s="172"/>
    </row>
    <row r="178" spans="9:10" x14ac:dyDescent="0.3">
      <c r="I178" t="str">
        <f>_xlfn.IFNA(INDEX('[1]Sector list'!$A$2:$A$122,MATCH(H178,'[1]Sector list'!$B$2:$B$122,0)),"")</f>
        <v/>
      </c>
      <c r="J178" s="172"/>
    </row>
    <row r="179" spans="9:10" x14ac:dyDescent="0.3">
      <c r="I179" t="str">
        <f>_xlfn.IFNA(INDEX('[1]Sector list'!$A$2:$A$122,MATCH(H179,'[1]Sector list'!$B$2:$B$122,0)),"")</f>
        <v/>
      </c>
      <c r="J179" s="172"/>
    </row>
    <row r="180" spans="9:10" x14ac:dyDescent="0.3">
      <c r="I180" t="str">
        <f>_xlfn.IFNA(INDEX('[1]Sector list'!$A$2:$A$122,MATCH(H180,'[1]Sector list'!$B$2:$B$122,0)),"")</f>
        <v/>
      </c>
      <c r="J180" s="172"/>
    </row>
    <row r="181" spans="9:10" x14ac:dyDescent="0.3">
      <c r="I181" t="str">
        <f>_xlfn.IFNA(INDEX('[1]Sector list'!$A$2:$A$122,MATCH(H181,'[1]Sector list'!$B$2:$B$122,0)),"")</f>
        <v/>
      </c>
      <c r="J181" s="172"/>
    </row>
    <row r="182" spans="9:10" x14ac:dyDescent="0.3">
      <c r="I182" t="str">
        <f>_xlfn.IFNA(INDEX('[1]Sector list'!$A$2:$A$122,MATCH(H182,'[1]Sector list'!$B$2:$B$122,0)),"")</f>
        <v/>
      </c>
      <c r="J182" s="172"/>
    </row>
    <row r="183" spans="9:10" x14ac:dyDescent="0.3">
      <c r="I183" t="str">
        <f>_xlfn.IFNA(INDEX('[1]Sector list'!$A$2:$A$122,MATCH(H183,'[1]Sector list'!$B$2:$B$122,0)),"")</f>
        <v/>
      </c>
      <c r="J183" s="172"/>
    </row>
    <row r="184" spans="9:10" x14ac:dyDescent="0.3">
      <c r="I184" t="str">
        <f>_xlfn.IFNA(INDEX('[1]Sector list'!$A$2:$A$122,MATCH(H184,'[1]Sector list'!$B$2:$B$122,0)),"")</f>
        <v/>
      </c>
      <c r="J184" s="172"/>
    </row>
    <row r="185" spans="9:10" x14ac:dyDescent="0.3">
      <c r="I185" t="str">
        <f>_xlfn.IFNA(INDEX('[1]Sector list'!$A$2:$A$122,MATCH(H185,'[1]Sector list'!$B$2:$B$122,0)),"")</f>
        <v/>
      </c>
      <c r="J185" s="172"/>
    </row>
    <row r="186" spans="9:10" x14ac:dyDescent="0.3">
      <c r="I186" t="str">
        <f>_xlfn.IFNA(INDEX('[1]Sector list'!$A$2:$A$122,MATCH(H186,'[1]Sector list'!$B$2:$B$122,0)),"")</f>
        <v/>
      </c>
      <c r="J186" s="172"/>
    </row>
    <row r="187" spans="9:10" x14ac:dyDescent="0.3">
      <c r="I187" t="str">
        <f>_xlfn.IFNA(INDEX('[1]Sector list'!$A$2:$A$122,MATCH(H187,'[1]Sector list'!$B$2:$B$122,0)),"")</f>
        <v/>
      </c>
      <c r="J187" s="172"/>
    </row>
    <row r="188" spans="9:10" x14ac:dyDescent="0.3">
      <c r="I188" t="str">
        <f>_xlfn.IFNA(INDEX('[1]Sector list'!$A$2:$A$122,MATCH(H188,'[1]Sector list'!$B$2:$B$122,0)),"")</f>
        <v/>
      </c>
      <c r="J188" s="172"/>
    </row>
    <row r="189" spans="9:10" x14ac:dyDescent="0.3">
      <c r="I189" t="str">
        <f>_xlfn.IFNA(INDEX('[1]Sector list'!$A$2:$A$122,MATCH(H189,'[1]Sector list'!$B$2:$B$122,0)),"")</f>
        <v/>
      </c>
      <c r="J189" s="172"/>
    </row>
    <row r="190" spans="9:10" x14ac:dyDescent="0.3">
      <c r="I190" t="str">
        <f>_xlfn.IFNA(INDEX('[1]Sector list'!$A$2:$A$122,MATCH(H190,'[1]Sector list'!$B$2:$B$122,0)),"")</f>
        <v/>
      </c>
      <c r="J190" s="172"/>
    </row>
    <row r="191" spans="9:10" x14ac:dyDescent="0.3">
      <c r="I191" t="str">
        <f>_xlfn.IFNA(INDEX('[1]Sector list'!$A$2:$A$122,MATCH(H191,'[1]Sector list'!$B$2:$B$122,0)),"")</f>
        <v/>
      </c>
      <c r="J191" s="172"/>
    </row>
    <row r="192" spans="9:10" x14ac:dyDescent="0.3">
      <c r="I192" t="str">
        <f>_xlfn.IFNA(INDEX('[1]Sector list'!$A$2:$A$122,MATCH(H192,'[1]Sector list'!$B$2:$B$122,0)),"")</f>
        <v/>
      </c>
      <c r="J192" s="172"/>
    </row>
    <row r="193" spans="9:10" x14ac:dyDescent="0.3">
      <c r="I193" t="str">
        <f>_xlfn.IFNA(INDEX('[1]Sector list'!$A$2:$A$122,MATCH(H193,'[1]Sector list'!$B$2:$B$122,0)),"")</f>
        <v/>
      </c>
      <c r="J193" s="172"/>
    </row>
    <row r="194" spans="9:10" x14ac:dyDescent="0.3">
      <c r="I194" t="str">
        <f>_xlfn.IFNA(INDEX('[1]Sector list'!$A$2:$A$122,MATCH(H194,'[1]Sector list'!$B$2:$B$122,0)),"")</f>
        <v/>
      </c>
      <c r="J194" s="172"/>
    </row>
    <row r="195" spans="9:10" x14ac:dyDescent="0.3">
      <c r="I195" t="str">
        <f>_xlfn.IFNA(INDEX('[1]Sector list'!$A$2:$A$122,MATCH(H195,'[1]Sector list'!$B$2:$B$122,0)),"")</f>
        <v/>
      </c>
      <c r="J195" s="172"/>
    </row>
    <row r="196" spans="9:10" x14ac:dyDescent="0.3">
      <c r="I196" t="str">
        <f>_xlfn.IFNA(INDEX('[1]Sector list'!$A$2:$A$122,MATCH(H196,'[1]Sector list'!$B$2:$B$122,0)),"")</f>
        <v/>
      </c>
      <c r="J196" s="172"/>
    </row>
    <row r="197" spans="9:10" x14ac:dyDescent="0.3">
      <c r="I197" t="str">
        <f>_xlfn.IFNA(INDEX('[1]Sector list'!$A$2:$A$122,MATCH(H197,'[1]Sector list'!$B$2:$B$122,0)),"")</f>
        <v/>
      </c>
      <c r="J197" s="172"/>
    </row>
    <row r="198" spans="9:10" x14ac:dyDescent="0.3">
      <c r="I198" t="str">
        <f>_xlfn.IFNA(INDEX('[1]Sector list'!$A$2:$A$122,MATCH(H198,'[1]Sector list'!$B$2:$B$122,0)),"")</f>
        <v/>
      </c>
      <c r="J198" s="172"/>
    </row>
    <row r="199" spans="9:10" x14ac:dyDescent="0.3">
      <c r="I199" t="str">
        <f>_xlfn.IFNA(INDEX('[1]Sector list'!$A$2:$A$122,MATCH(H199,'[1]Sector list'!$B$2:$B$122,0)),"")</f>
        <v/>
      </c>
      <c r="J199" s="172"/>
    </row>
    <row r="200" spans="9:10" x14ac:dyDescent="0.3">
      <c r="I200" t="str">
        <f>_xlfn.IFNA(INDEX('[1]Sector list'!$A$2:$A$122,MATCH(H200,'[1]Sector list'!$B$2:$B$122,0)),"")</f>
        <v/>
      </c>
      <c r="J200" s="172"/>
    </row>
    <row r="201" spans="9:10" x14ac:dyDescent="0.3">
      <c r="I201" t="str">
        <f>_xlfn.IFNA(INDEX('[1]Sector list'!$A$2:$A$122,MATCH(H201,'[1]Sector list'!$B$2:$B$122,0)),"")</f>
        <v/>
      </c>
      <c r="J201" s="172"/>
    </row>
    <row r="202" spans="9:10" x14ac:dyDescent="0.3">
      <c r="I202" t="str">
        <f>_xlfn.IFNA(INDEX('[1]Sector list'!$A$2:$A$122,MATCH(H202,'[1]Sector list'!$B$2:$B$122,0)),"")</f>
        <v/>
      </c>
      <c r="J202" s="172"/>
    </row>
    <row r="203" spans="9:10" x14ac:dyDescent="0.3">
      <c r="I203" t="str">
        <f>_xlfn.IFNA(INDEX('[1]Sector list'!$A$2:$A$122,MATCH(H203,'[1]Sector list'!$B$2:$B$122,0)),"")</f>
        <v/>
      </c>
      <c r="J203" s="172"/>
    </row>
    <row r="204" spans="9:10" x14ac:dyDescent="0.3">
      <c r="I204" t="str">
        <f>_xlfn.IFNA(INDEX('[1]Sector list'!$A$2:$A$122,MATCH(H204,'[1]Sector list'!$B$2:$B$122,0)),"")</f>
        <v/>
      </c>
      <c r="J204" s="172"/>
    </row>
    <row r="205" spans="9:10" x14ac:dyDescent="0.3">
      <c r="I205" t="str">
        <f>_xlfn.IFNA(INDEX('[1]Sector list'!$A$2:$A$122,MATCH(H205,'[1]Sector list'!$B$2:$B$122,0)),"")</f>
        <v/>
      </c>
      <c r="J205" s="172"/>
    </row>
    <row r="206" spans="9:10" x14ac:dyDescent="0.3">
      <c r="I206" t="str">
        <f>_xlfn.IFNA(INDEX('[1]Sector list'!$A$2:$A$122,MATCH(H206,'[1]Sector list'!$B$2:$B$122,0)),"")</f>
        <v/>
      </c>
      <c r="J206" s="172"/>
    </row>
    <row r="207" spans="9:10" x14ac:dyDescent="0.3">
      <c r="I207" t="str">
        <f>_xlfn.IFNA(INDEX('[1]Sector list'!$A$2:$A$122,MATCH(H207,'[1]Sector list'!$B$2:$B$122,0)),"")</f>
        <v/>
      </c>
      <c r="J207" s="172"/>
    </row>
    <row r="208" spans="9:10" x14ac:dyDescent="0.3">
      <c r="I208" t="str">
        <f>_xlfn.IFNA(INDEX('[1]Sector list'!$A$2:$A$122,MATCH(H208,'[1]Sector list'!$B$2:$B$122,0)),"")</f>
        <v/>
      </c>
      <c r="J208" s="172"/>
    </row>
    <row r="209" spans="9:10" x14ac:dyDescent="0.3">
      <c r="I209" t="str">
        <f>_xlfn.IFNA(INDEX('[1]Sector list'!$A$2:$A$122,MATCH(H209,'[1]Sector list'!$B$2:$B$122,0)),"")</f>
        <v/>
      </c>
      <c r="J209" s="172"/>
    </row>
    <row r="210" spans="9:10" x14ac:dyDescent="0.3">
      <c r="I210" t="str">
        <f>_xlfn.IFNA(INDEX('[1]Sector list'!$A$2:$A$122,MATCH(H210,'[1]Sector list'!$B$2:$B$122,0)),"")</f>
        <v/>
      </c>
      <c r="J210" s="172"/>
    </row>
    <row r="211" spans="9:10" x14ac:dyDescent="0.3">
      <c r="I211" t="str">
        <f>_xlfn.IFNA(INDEX('[1]Sector list'!$A$2:$A$122,MATCH(H211,'[1]Sector list'!$B$2:$B$122,0)),"")</f>
        <v/>
      </c>
      <c r="J211" s="172"/>
    </row>
    <row r="212" spans="9:10" x14ac:dyDescent="0.3">
      <c r="I212" t="str">
        <f>_xlfn.IFNA(INDEX('[1]Sector list'!$A$2:$A$122,MATCH(H212,'[1]Sector list'!$B$2:$B$122,0)),"")</f>
        <v/>
      </c>
      <c r="J212" s="172"/>
    </row>
    <row r="213" spans="9:10" x14ac:dyDescent="0.3">
      <c r="I213" t="str">
        <f>_xlfn.IFNA(INDEX('[1]Sector list'!$A$2:$A$122,MATCH(H213,'[1]Sector list'!$B$2:$B$122,0)),"")</f>
        <v/>
      </c>
      <c r="J213" s="172"/>
    </row>
    <row r="214" spans="9:10" x14ac:dyDescent="0.3">
      <c r="I214" t="str">
        <f>_xlfn.IFNA(INDEX('[1]Sector list'!$A$2:$A$122,MATCH(H214,'[1]Sector list'!$B$2:$B$122,0)),"")</f>
        <v/>
      </c>
      <c r="J214" s="172"/>
    </row>
    <row r="215" spans="9:10" x14ac:dyDescent="0.3">
      <c r="I215" t="str">
        <f>_xlfn.IFNA(INDEX('[1]Sector list'!$A$2:$A$122,MATCH(H215,'[1]Sector list'!$B$2:$B$122,0)),"")</f>
        <v/>
      </c>
      <c r="J215" s="172"/>
    </row>
    <row r="216" spans="9:10" x14ac:dyDescent="0.3">
      <c r="I216" t="str">
        <f>_xlfn.IFNA(INDEX('[1]Sector list'!$A$2:$A$122,MATCH(H216,'[1]Sector list'!$B$2:$B$122,0)),"")</f>
        <v/>
      </c>
      <c r="J216" s="172"/>
    </row>
    <row r="217" spans="9:10" x14ac:dyDescent="0.3">
      <c r="I217" t="str">
        <f>_xlfn.IFNA(INDEX('[1]Sector list'!$A$2:$A$122,MATCH(H217,'[1]Sector list'!$B$2:$B$122,0)),"")</f>
        <v/>
      </c>
      <c r="J217" s="172"/>
    </row>
    <row r="218" spans="9:10" x14ac:dyDescent="0.3">
      <c r="I218" t="str">
        <f>_xlfn.IFNA(INDEX('[1]Sector list'!$A$2:$A$122,MATCH(H218,'[1]Sector list'!$B$2:$B$122,0)),"")</f>
        <v/>
      </c>
      <c r="J218" s="172"/>
    </row>
    <row r="219" spans="9:10" x14ac:dyDescent="0.3">
      <c r="I219" t="str">
        <f>_xlfn.IFNA(INDEX('[1]Sector list'!$A$2:$A$122,MATCH(H219,'[1]Sector list'!$B$2:$B$122,0)),"")</f>
        <v/>
      </c>
      <c r="J219" s="172"/>
    </row>
    <row r="220" spans="9:10" x14ac:dyDescent="0.3">
      <c r="I220" t="str">
        <f>_xlfn.IFNA(INDEX('[1]Sector list'!$A$2:$A$122,MATCH(H220,'[1]Sector list'!$B$2:$B$122,0)),"")</f>
        <v/>
      </c>
      <c r="J220" s="172"/>
    </row>
    <row r="221" spans="9:10" x14ac:dyDescent="0.3">
      <c r="I221" t="str">
        <f>_xlfn.IFNA(INDEX('[1]Sector list'!$A$2:$A$122,MATCH(H221,'[1]Sector list'!$B$2:$B$122,0)),"")</f>
        <v/>
      </c>
      <c r="J221" s="172"/>
    </row>
    <row r="222" spans="9:10" x14ac:dyDescent="0.3">
      <c r="I222" t="str">
        <f>_xlfn.IFNA(INDEX('[1]Sector list'!$A$2:$A$122,MATCH(H222,'[1]Sector list'!$B$2:$B$122,0)),"")</f>
        <v/>
      </c>
      <c r="J222" s="172"/>
    </row>
    <row r="223" spans="9:10" x14ac:dyDescent="0.3">
      <c r="I223" t="str">
        <f>_xlfn.IFNA(INDEX('[1]Sector list'!$A$2:$A$122,MATCH(H223,'[1]Sector list'!$B$2:$B$122,0)),"")</f>
        <v/>
      </c>
      <c r="J223" s="172"/>
    </row>
    <row r="224" spans="9:10" x14ac:dyDescent="0.3">
      <c r="I224" t="str">
        <f>_xlfn.IFNA(INDEX('[1]Sector list'!$A$2:$A$122,MATCH(H224,'[1]Sector list'!$B$2:$B$122,0)),"")</f>
        <v/>
      </c>
      <c r="J224" s="172"/>
    </row>
    <row r="225" spans="9:10" x14ac:dyDescent="0.3">
      <c r="I225" t="str">
        <f>_xlfn.IFNA(INDEX('[1]Sector list'!$A$2:$A$122,MATCH(H225,'[1]Sector list'!$B$2:$B$122,0)),"")</f>
        <v/>
      </c>
      <c r="J225" s="172"/>
    </row>
    <row r="226" spans="9:10" x14ac:dyDescent="0.3">
      <c r="I226" t="str">
        <f>_xlfn.IFNA(INDEX('[1]Sector list'!$A$2:$A$122,MATCH(H226,'[1]Sector list'!$B$2:$B$122,0)),"")</f>
        <v/>
      </c>
      <c r="J226" s="172"/>
    </row>
    <row r="227" spans="9:10" x14ac:dyDescent="0.3">
      <c r="I227" t="str">
        <f>_xlfn.IFNA(INDEX('[1]Sector list'!$A$2:$A$122,MATCH(H227,'[1]Sector list'!$B$2:$B$122,0)),"")</f>
        <v/>
      </c>
      <c r="J227" s="172"/>
    </row>
    <row r="228" spans="9:10" x14ac:dyDescent="0.3">
      <c r="I228" t="str">
        <f>_xlfn.IFNA(INDEX('[1]Sector list'!$A$2:$A$122,MATCH(H228,'[1]Sector list'!$B$2:$B$122,0)),"")</f>
        <v/>
      </c>
      <c r="J228" s="172"/>
    </row>
    <row r="229" spans="9:10" x14ac:dyDescent="0.3">
      <c r="I229" t="str">
        <f>_xlfn.IFNA(INDEX('[1]Sector list'!$A$2:$A$122,MATCH(H229,'[1]Sector list'!$B$2:$B$122,0)),"")</f>
        <v/>
      </c>
      <c r="J229" s="172"/>
    </row>
    <row r="230" spans="9:10" x14ac:dyDescent="0.3">
      <c r="I230" t="str">
        <f>_xlfn.IFNA(INDEX('[1]Sector list'!$A$2:$A$122,MATCH(H230,'[1]Sector list'!$B$2:$B$122,0)),"")</f>
        <v/>
      </c>
      <c r="J230" s="172"/>
    </row>
    <row r="231" spans="9:10" x14ac:dyDescent="0.3">
      <c r="I231" t="str">
        <f>_xlfn.IFNA(INDEX('[1]Sector list'!$A$2:$A$122,MATCH(H231,'[1]Sector list'!$B$2:$B$122,0)),"")</f>
        <v/>
      </c>
      <c r="J231" s="172"/>
    </row>
    <row r="232" spans="9:10" x14ac:dyDescent="0.3">
      <c r="I232" t="str">
        <f>_xlfn.IFNA(INDEX('[1]Sector list'!$A$2:$A$122,MATCH(H232,'[1]Sector list'!$B$2:$B$122,0)),"")</f>
        <v/>
      </c>
      <c r="J232" s="172"/>
    </row>
    <row r="233" spans="9:10" x14ac:dyDescent="0.3">
      <c r="I233" t="str">
        <f>_xlfn.IFNA(INDEX('[1]Sector list'!$A$2:$A$122,MATCH(H233,'[1]Sector list'!$B$2:$B$122,0)),"")</f>
        <v/>
      </c>
      <c r="J233" s="172"/>
    </row>
    <row r="234" spans="9:10" x14ac:dyDescent="0.3">
      <c r="I234" t="str">
        <f>_xlfn.IFNA(INDEX('[1]Sector list'!$A$2:$A$122,MATCH(H234,'[1]Sector list'!$B$2:$B$122,0)),"")</f>
        <v/>
      </c>
      <c r="J234" s="172"/>
    </row>
    <row r="235" spans="9:10" x14ac:dyDescent="0.3">
      <c r="I235" t="str">
        <f>_xlfn.IFNA(INDEX('[1]Sector list'!$A$2:$A$122,MATCH(H235,'[1]Sector list'!$B$2:$B$122,0)),"")</f>
        <v/>
      </c>
      <c r="J235" s="172"/>
    </row>
    <row r="236" spans="9:10" x14ac:dyDescent="0.3">
      <c r="I236" t="str">
        <f>_xlfn.IFNA(INDEX('[1]Sector list'!$A$2:$A$122,MATCH(H236,'[1]Sector list'!$B$2:$B$122,0)),"")</f>
        <v/>
      </c>
      <c r="J236" s="172"/>
    </row>
    <row r="237" spans="9:10" x14ac:dyDescent="0.3">
      <c r="I237" t="str">
        <f>_xlfn.IFNA(INDEX('[1]Sector list'!$A$2:$A$122,MATCH(H237,'[1]Sector list'!$B$2:$B$122,0)),"")</f>
        <v/>
      </c>
      <c r="J237" s="172"/>
    </row>
    <row r="238" spans="9:10" x14ac:dyDescent="0.3">
      <c r="I238" t="str">
        <f>_xlfn.IFNA(INDEX('[1]Sector list'!$A$2:$A$122,MATCH(H238,'[1]Sector list'!$B$2:$B$122,0)),"")</f>
        <v/>
      </c>
      <c r="J238" s="172"/>
    </row>
    <row r="239" spans="9:10" x14ac:dyDescent="0.3">
      <c r="I239" t="str">
        <f>_xlfn.IFNA(INDEX('[1]Sector list'!$A$2:$A$122,MATCH(H239,'[1]Sector list'!$B$2:$B$122,0)),"")</f>
        <v/>
      </c>
      <c r="J239" s="172"/>
    </row>
    <row r="240" spans="9:10" x14ac:dyDescent="0.3">
      <c r="I240" t="str">
        <f>_xlfn.IFNA(INDEX('[1]Sector list'!$A$2:$A$122,MATCH(H240,'[1]Sector list'!$B$2:$B$122,0)),"")</f>
        <v/>
      </c>
      <c r="J240" s="172"/>
    </row>
    <row r="241" spans="9:10" x14ac:dyDescent="0.3">
      <c r="I241" t="str">
        <f>_xlfn.IFNA(INDEX('[1]Sector list'!$A$2:$A$122,MATCH(H241,'[1]Sector list'!$B$2:$B$122,0)),"")</f>
        <v/>
      </c>
      <c r="J241" s="172"/>
    </row>
    <row r="242" spans="9:10" x14ac:dyDescent="0.3">
      <c r="I242" t="str">
        <f>_xlfn.IFNA(INDEX('[1]Sector list'!$A$2:$A$122,MATCH(H242,'[1]Sector list'!$B$2:$B$122,0)),"")</f>
        <v/>
      </c>
      <c r="J242" s="172"/>
    </row>
    <row r="243" spans="9:10" x14ac:dyDescent="0.3">
      <c r="I243" t="str">
        <f>_xlfn.IFNA(INDEX('[1]Sector list'!$A$2:$A$122,MATCH(H243,'[1]Sector list'!$B$2:$B$122,0)),"")</f>
        <v/>
      </c>
      <c r="J243" s="172"/>
    </row>
    <row r="244" spans="9:10" x14ac:dyDescent="0.3">
      <c r="I244" t="str">
        <f>_xlfn.IFNA(INDEX('[1]Sector list'!$A$2:$A$122,MATCH(H244,'[1]Sector list'!$B$2:$B$122,0)),"")</f>
        <v/>
      </c>
      <c r="J244" s="172"/>
    </row>
    <row r="245" spans="9:10" x14ac:dyDescent="0.3">
      <c r="I245" t="str">
        <f>_xlfn.IFNA(INDEX('[1]Sector list'!$A$2:$A$122,MATCH(H245,'[1]Sector list'!$B$2:$B$122,0)),"")</f>
        <v/>
      </c>
      <c r="J245" s="172"/>
    </row>
    <row r="246" spans="9:10" x14ac:dyDescent="0.3">
      <c r="I246" t="str">
        <f>_xlfn.IFNA(INDEX('[1]Sector list'!$A$2:$A$122,MATCH(H246,'[1]Sector list'!$B$2:$B$122,0)),"")</f>
        <v/>
      </c>
      <c r="J246" s="172"/>
    </row>
    <row r="247" spans="9:10" x14ac:dyDescent="0.3">
      <c r="I247" t="str">
        <f>_xlfn.IFNA(INDEX('[1]Sector list'!$A$2:$A$122,MATCH(H247,'[1]Sector list'!$B$2:$B$122,0)),"")</f>
        <v/>
      </c>
      <c r="J247" s="172"/>
    </row>
    <row r="248" spans="9:10" x14ac:dyDescent="0.3">
      <c r="I248" t="str">
        <f>_xlfn.IFNA(INDEX('[1]Sector list'!$A$2:$A$122,MATCH(H248,'[1]Sector list'!$B$2:$B$122,0)),"")</f>
        <v/>
      </c>
      <c r="J248" s="172"/>
    </row>
    <row r="249" spans="9:10" x14ac:dyDescent="0.3">
      <c r="I249" t="str">
        <f>_xlfn.IFNA(INDEX('[1]Sector list'!$A$2:$A$122,MATCH(H249,'[1]Sector list'!$B$2:$B$122,0)),"")</f>
        <v/>
      </c>
      <c r="J249" s="172"/>
    </row>
    <row r="250" spans="9:10" x14ac:dyDescent="0.3">
      <c r="I250" t="str">
        <f>_xlfn.IFNA(INDEX('[1]Sector list'!$A$2:$A$122,MATCH(H250,'[1]Sector list'!$B$2:$B$122,0)),"")</f>
        <v/>
      </c>
      <c r="J250" s="172"/>
    </row>
    <row r="251" spans="9:10" x14ac:dyDescent="0.3">
      <c r="I251" t="str">
        <f>_xlfn.IFNA(INDEX('[1]Sector list'!$A$2:$A$122,MATCH(H251,'[1]Sector list'!$B$2:$B$122,0)),"")</f>
        <v/>
      </c>
      <c r="J251" s="172"/>
    </row>
    <row r="252" spans="9:10" x14ac:dyDescent="0.3">
      <c r="I252" t="str">
        <f>_xlfn.IFNA(INDEX('[1]Sector list'!$A$2:$A$122,MATCH(H252,'[1]Sector list'!$B$2:$B$122,0)),"")</f>
        <v/>
      </c>
      <c r="J252" s="172"/>
    </row>
    <row r="253" spans="9:10" x14ac:dyDescent="0.3">
      <c r="I253" t="str">
        <f>_xlfn.IFNA(INDEX('[1]Sector list'!$A$2:$A$122,MATCH(H253,'[1]Sector list'!$B$2:$B$122,0)),"")</f>
        <v/>
      </c>
      <c r="J253" s="172"/>
    </row>
    <row r="254" spans="9:10" x14ac:dyDescent="0.3">
      <c r="I254" t="str">
        <f>_xlfn.IFNA(INDEX('[1]Sector list'!$A$2:$A$122,MATCH(H254,'[1]Sector list'!$B$2:$B$122,0)),"")</f>
        <v/>
      </c>
      <c r="J254" s="172"/>
    </row>
    <row r="255" spans="9:10" x14ac:dyDescent="0.3">
      <c r="I255" t="str">
        <f>_xlfn.IFNA(INDEX('[1]Sector list'!$A$2:$A$122,MATCH(H255,'[1]Sector list'!$B$2:$B$122,0)),"")</f>
        <v/>
      </c>
      <c r="J255" s="172"/>
    </row>
    <row r="256" spans="9:10" x14ac:dyDescent="0.3">
      <c r="I256" t="str">
        <f>_xlfn.IFNA(INDEX('[1]Sector list'!$A$2:$A$122,MATCH(H256,'[1]Sector list'!$B$2:$B$122,0)),"")</f>
        <v/>
      </c>
      <c r="J256" s="172"/>
    </row>
    <row r="257" spans="9:10" x14ac:dyDescent="0.3">
      <c r="I257" t="str">
        <f>_xlfn.IFNA(INDEX('[1]Sector list'!$A$2:$A$122,MATCH(H257,'[1]Sector list'!$B$2:$B$122,0)),"")</f>
        <v/>
      </c>
      <c r="J257" s="172"/>
    </row>
    <row r="258" spans="9:10" x14ac:dyDescent="0.3">
      <c r="I258" t="str">
        <f>_xlfn.IFNA(INDEX('[1]Sector list'!$A$2:$A$122,MATCH(H258,'[1]Sector list'!$B$2:$B$122,0)),"")</f>
        <v/>
      </c>
      <c r="J258" s="172"/>
    </row>
    <row r="259" spans="9:10" x14ac:dyDescent="0.3">
      <c r="I259" t="str">
        <f>_xlfn.IFNA(INDEX('[1]Sector list'!$A$2:$A$122,MATCH(H259,'[1]Sector list'!$B$2:$B$122,0)),"")</f>
        <v/>
      </c>
      <c r="J259" s="172"/>
    </row>
    <row r="260" spans="9:10" x14ac:dyDescent="0.3">
      <c r="I260" t="str">
        <f>_xlfn.IFNA(INDEX('[1]Sector list'!$A$2:$A$122,MATCH(H260,'[1]Sector list'!$B$2:$B$122,0)),"")</f>
        <v/>
      </c>
      <c r="J260" s="172"/>
    </row>
    <row r="261" spans="9:10" x14ac:dyDescent="0.3">
      <c r="I261" t="str">
        <f>_xlfn.IFNA(INDEX('[1]Sector list'!$A$2:$A$122,MATCH(H261,'[1]Sector list'!$B$2:$B$122,0)),"")</f>
        <v/>
      </c>
      <c r="J261" s="172"/>
    </row>
    <row r="262" spans="9:10" x14ac:dyDescent="0.3">
      <c r="I262" t="str">
        <f>_xlfn.IFNA(INDEX('[1]Sector list'!$A$2:$A$122,MATCH(H262,'[1]Sector list'!$B$2:$B$122,0)),"")</f>
        <v/>
      </c>
      <c r="J262" s="172"/>
    </row>
    <row r="263" spans="9:10" x14ac:dyDescent="0.3">
      <c r="I263" t="str">
        <f>_xlfn.IFNA(INDEX('[1]Sector list'!$A$2:$A$122,MATCH(H263,'[1]Sector list'!$B$2:$B$122,0)),"")</f>
        <v/>
      </c>
      <c r="J263" s="172"/>
    </row>
    <row r="264" spans="9:10" x14ac:dyDescent="0.3">
      <c r="I264" t="str">
        <f>_xlfn.IFNA(INDEX('[1]Sector list'!$A$2:$A$122,MATCH(H264,'[1]Sector list'!$B$2:$B$122,0)),"")</f>
        <v/>
      </c>
      <c r="J264" s="172"/>
    </row>
    <row r="265" spans="9:10" x14ac:dyDescent="0.3">
      <c r="I265" t="str">
        <f>_xlfn.IFNA(INDEX('[1]Sector list'!$A$2:$A$122,MATCH(H265,'[1]Sector list'!$B$2:$B$122,0)),"")</f>
        <v/>
      </c>
      <c r="J265" s="172"/>
    </row>
    <row r="266" spans="9:10" x14ac:dyDescent="0.3">
      <c r="I266" t="str">
        <f>_xlfn.IFNA(INDEX('[1]Sector list'!$A$2:$A$122,MATCH(H266,'[1]Sector list'!$B$2:$B$122,0)),"")</f>
        <v/>
      </c>
      <c r="J266" s="172"/>
    </row>
    <row r="267" spans="9:10" x14ac:dyDescent="0.3">
      <c r="I267" t="str">
        <f>_xlfn.IFNA(INDEX('[1]Sector list'!$A$2:$A$122,MATCH(H267,'[1]Sector list'!$B$2:$B$122,0)),"")</f>
        <v/>
      </c>
      <c r="J267" s="172"/>
    </row>
    <row r="268" spans="9:10" x14ac:dyDescent="0.3">
      <c r="I268" t="str">
        <f>_xlfn.IFNA(INDEX('[1]Sector list'!$A$2:$A$122,MATCH(H268,'[1]Sector list'!$B$2:$B$122,0)),"")</f>
        <v/>
      </c>
      <c r="J268" s="172"/>
    </row>
    <row r="269" spans="9:10" x14ac:dyDescent="0.3">
      <c r="I269" t="str">
        <f>_xlfn.IFNA(INDEX('[1]Sector list'!$A$2:$A$122,MATCH(H269,'[1]Sector list'!$B$2:$B$122,0)),"")</f>
        <v/>
      </c>
      <c r="J269" s="172"/>
    </row>
    <row r="270" spans="9:10" x14ac:dyDescent="0.3">
      <c r="I270" t="str">
        <f>_xlfn.IFNA(INDEX('[1]Sector list'!$A$2:$A$122,MATCH(H270,'[1]Sector list'!$B$2:$B$122,0)),"")</f>
        <v/>
      </c>
      <c r="J270" s="172"/>
    </row>
    <row r="271" spans="9:10" x14ac:dyDescent="0.3">
      <c r="I271" t="str">
        <f>_xlfn.IFNA(INDEX('[1]Sector list'!$A$2:$A$122,MATCH(H271,'[1]Sector list'!$B$2:$B$122,0)),"")</f>
        <v/>
      </c>
      <c r="J271" s="172"/>
    </row>
    <row r="272" spans="9:10" x14ac:dyDescent="0.3">
      <c r="I272" t="str">
        <f>_xlfn.IFNA(INDEX('[1]Sector list'!$A$2:$A$122,MATCH(H272,'[1]Sector list'!$B$2:$B$122,0)),"")</f>
        <v/>
      </c>
      <c r="J272" s="172"/>
    </row>
    <row r="273" spans="9:10" x14ac:dyDescent="0.3">
      <c r="I273" t="str">
        <f>_xlfn.IFNA(INDEX('[1]Sector list'!$A$2:$A$122,MATCH(H273,'[1]Sector list'!$B$2:$B$122,0)),"")</f>
        <v/>
      </c>
      <c r="J273" s="172"/>
    </row>
    <row r="274" spans="9:10" x14ac:dyDescent="0.3">
      <c r="I274" t="str">
        <f>_xlfn.IFNA(INDEX('[1]Sector list'!$A$2:$A$122,MATCH(H274,'[1]Sector list'!$B$2:$B$122,0)),"")</f>
        <v/>
      </c>
      <c r="J274" s="172"/>
    </row>
    <row r="275" spans="9:10" x14ac:dyDescent="0.3">
      <c r="I275" t="str">
        <f>_xlfn.IFNA(INDEX('[1]Sector list'!$A$2:$A$122,MATCH(H275,'[1]Sector list'!$B$2:$B$122,0)),"")</f>
        <v/>
      </c>
      <c r="J275" s="172"/>
    </row>
    <row r="276" spans="9:10" x14ac:dyDescent="0.3">
      <c r="I276" t="str">
        <f>_xlfn.IFNA(INDEX('[1]Sector list'!$A$2:$A$122,MATCH(H276,'[1]Sector list'!$B$2:$B$122,0)),"")</f>
        <v/>
      </c>
      <c r="J276" s="172"/>
    </row>
    <row r="277" spans="9:10" x14ac:dyDescent="0.3">
      <c r="I277" t="str">
        <f>_xlfn.IFNA(INDEX('[1]Sector list'!$A$2:$A$122,MATCH(H277,'[1]Sector list'!$B$2:$B$122,0)),"")</f>
        <v/>
      </c>
      <c r="J277" s="172"/>
    </row>
    <row r="278" spans="9:10" x14ac:dyDescent="0.3">
      <c r="I278" t="str">
        <f>_xlfn.IFNA(INDEX('[1]Sector list'!$A$2:$A$122,MATCH(H278,'[1]Sector list'!$B$2:$B$122,0)),"")</f>
        <v/>
      </c>
      <c r="J278" s="172"/>
    </row>
    <row r="279" spans="9:10" x14ac:dyDescent="0.3">
      <c r="I279" t="str">
        <f>_xlfn.IFNA(INDEX('[1]Sector list'!$A$2:$A$122,MATCH(H279,'[1]Sector list'!$B$2:$B$122,0)),"")</f>
        <v/>
      </c>
      <c r="J279" s="172"/>
    </row>
    <row r="280" spans="9:10" x14ac:dyDescent="0.3">
      <c r="I280" t="str">
        <f>_xlfn.IFNA(INDEX('[1]Sector list'!$A$2:$A$122,MATCH(H280,'[1]Sector list'!$B$2:$B$122,0)),"")</f>
        <v/>
      </c>
      <c r="J280" s="172"/>
    </row>
    <row r="281" spans="9:10" x14ac:dyDescent="0.3">
      <c r="I281" t="str">
        <f>_xlfn.IFNA(INDEX('[1]Sector list'!$A$2:$A$122,MATCH(H281,'[1]Sector list'!$B$2:$B$122,0)),"")</f>
        <v/>
      </c>
      <c r="J281" s="172"/>
    </row>
    <row r="282" spans="9:10" x14ac:dyDescent="0.3">
      <c r="I282" t="str">
        <f>_xlfn.IFNA(INDEX('[1]Sector list'!$A$2:$A$122,MATCH(H282,'[1]Sector list'!$B$2:$B$122,0)),"")</f>
        <v/>
      </c>
      <c r="J282" s="172"/>
    </row>
    <row r="283" spans="9:10" x14ac:dyDescent="0.3">
      <c r="I283" t="str">
        <f>_xlfn.IFNA(INDEX('[1]Sector list'!$A$2:$A$122,MATCH(H283,'[1]Sector list'!$B$2:$B$122,0)),"")</f>
        <v/>
      </c>
      <c r="J283" s="172"/>
    </row>
    <row r="284" spans="9:10" x14ac:dyDescent="0.3">
      <c r="I284" t="str">
        <f>_xlfn.IFNA(INDEX('[1]Sector list'!$A$2:$A$122,MATCH(H284,'[1]Sector list'!$B$2:$B$122,0)),"")</f>
        <v/>
      </c>
      <c r="J284" s="172"/>
    </row>
    <row r="285" spans="9:10" x14ac:dyDescent="0.3">
      <c r="I285" t="str">
        <f>_xlfn.IFNA(INDEX('[1]Sector list'!$A$2:$A$122,MATCH(H285,'[1]Sector list'!$B$2:$B$122,0)),"")</f>
        <v/>
      </c>
      <c r="J285" s="172"/>
    </row>
    <row r="286" spans="9:10" x14ac:dyDescent="0.3">
      <c r="I286" t="str">
        <f>_xlfn.IFNA(INDEX('[1]Sector list'!$A$2:$A$122,MATCH(H286,'[1]Sector list'!$B$2:$B$122,0)),"")</f>
        <v/>
      </c>
      <c r="J286" s="172"/>
    </row>
    <row r="287" spans="9:10" x14ac:dyDescent="0.3">
      <c r="I287" t="str">
        <f>_xlfn.IFNA(INDEX('[1]Sector list'!$A$2:$A$122,MATCH(H287,'[1]Sector list'!$B$2:$B$122,0)),"")</f>
        <v/>
      </c>
      <c r="J287" s="172"/>
    </row>
    <row r="288" spans="9:10" x14ac:dyDescent="0.3">
      <c r="I288" t="str">
        <f>_xlfn.IFNA(INDEX('[1]Sector list'!$A$2:$A$122,MATCH(H288,'[1]Sector list'!$B$2:$B$122,0)),"")</f>
        <v/>
      </c>
      <c r="J288" s="172"/>
    </row>
    <row r="289" spans="9:10" x14ac:dyDescent="0.3">
      <c r="I289" t="str">
        <f>_xlfn.IFNA(INDEX('[1]Sector list'!$A$2:$A$122,MATCH(H289,'[1]Sector list'!$B$2:$B$122,0)),"")</f>
        <v/>
      </c>
      <c r="J289" s="172"/>
    </row>
    <row r="290" spans="9:10" x14ac:dyDescent="0.3">
      <c r="I290" t="str">
        <f>_xlfn.IFNA(INDEX('[1]Sector list'!$A$2:$A$122,MATCH(H290,'[1]Sector list'!$B$2:$B$122,0)),"")</f>
        <v/>
      </c>
      <c r="J290" s="172"/>
    </row>
    <row r="291" spans="9:10" x14ac:dyDescent="0.3">
      <c r="I291" t="str">
        <f>_xlfn.IFNA(INDEX('[1]Sector list'!$A$2:$A$122,MATCH(H291,'[1]Sector list'!$B$2:$B$122,0)),"")</f>
        <v/>
      </c>
      <c r="J291" s="172"/>
    </row>
    <row r="292" spans="9:10" x14ac:dyDescent="0.3">
      <c r="I292" t="str">
        <f>_xlfn.IFNA(INDEX('[1]Sector list'!$A$2:$A$122,MATCH(H292,'[1]Sector list'!$B$2:$B$122,0)),"")</f>
        <v/>
      </c>
      <c r="J292" s="172"/>
    </row>
    <row r="293" spans="9:10" x14ac:dyDescent="0.3">
      <c r="I293" t="str">
        <f>_xlfn.IFNA(INDEX('[1]Sector list'!$A$2:$A$122,MATCH(H293,'[1]Sector list'!$B$2:$B$122,0)),"")</f>
        <v/>
      </c>
      <c r="J293" s="172"/>
    </row>
    <row r="294" spans="9:10" x14ac:dyDescent="0.3">
      <c r="I294" t="str">
        <f>_xlfn.IFNA(INDEX('[1]Sector list'!$A$2:$A$122,MATCH(H294,'[1]Sector list'!$B$2:$B$122,0)),"")</f>
        <v/>
      </c>
      <c r="J294" s="172"/>
    </row>
    <row r="295" spans="9:10" x14ac:dyDescent="0.3">
      <c r="I295" t="str">
        <f>_xlfn.IFNA(INDEX('[1]Sector list'!$A$2:$A$122,MATCH(H295,'[1]Sector list'!$B$2:$B$122,0)),"")</f>
        <v/>
      </c>
      <c r="J295" s="172"/>
    </row>
    <row r="296" spans="9:10" x14ac:dyDescent="0.3">
      <c r="I296" t="str">
        <f>_xlfn.IFNA(INDEX('[1]Sector list'!$A$2:$A$122,MATCH(H296,'[1]Sector list'!$B$2:$B$122,0)),"")</f>
        <v/>
      </c>
      <c r="J296" s="172"/>
    </row>
    <row r="297" spans="9:10" x14ac:dyDescent="0.3">
      <c r="I297" t="str">
        <f>_xlfn.IFNA(INDEX('[1]Sector list'!$A$2:$A$122,MATCH(H297,'[1]Sector list'!$B$2:$B$122,0)),"")</f>
        <v/>
      </c>
      <c r="J297" s="172"/>
    </row>
    <row r="298" spans="9:10" x14ac:dyDescent="0.3">
      <c r="I298" t="str">
        <f>_xlfn.IFNA(INDEX('[1]Sector list'!$A$2:$A$122,MATCH(H298,'[1]Sector list'!$B$2:$B$122,0)),"")</f>
        <v/>
      </c>
      <c r="J298" s="172"/>
    </row>
    <row r="299" spans="9:10" x14ac:dyDescent="0.3">
      <c r="I299" t="str">
        <f>_xlfn.IFNA(INDEX('[1]Sector list'!$A$2:$A$122,MATCH(H299,'[1]Sector list'!$B$2:$B$122,0)),"")</f>
        <v/>
      </c>
      <c r="J299" s="172"/>
    </row>
    <row r="300" spans="9:10" x14ac:dyDescent="0.3">
      <c r="I300" t="str">
        <f>_xlfn.IFNA(INDEX('[1]Sector list'!$A$2:$A$122,MATCH(H300,'[1]Sector list'!$B$2:$B$122,0)),"")</f>
        <v/>
      </c>
      <c r="J300" s="172"/>
    </row>
    <row r="301" spans="9:10" x14ac:dyDescent="0.3">
      <c r="I301" t="str">
        <f>_xlfn.IFNA(INDEX('[1]Sector list'!$A$2:$A$122,MATCH(H301,'[1]Sector list'!$B$2:$B$122,0)),"")</f>
        <v/>
      </c>
      <c r="J301" s="172"/>
    </row>
    <row r="302" spans="9:10" x14ac:dyDescent="0.3">
      <c r="I302" t="str">
        <f>_xlfn.IFNA(INDEX('[1]Sector list'!$A$2:$A$122,MATCH(H302,'[1]Sector list'!$B$2:$B$122,0)),"")</f>
        <v/>
      </c>
      <c r="J302" s="172"/>
    </row>
    <row r="303" spans="9:10" x14ac:dyDescent="0.3">
      <c r="I303" t="str">
        <f>_xlfn.IFNA(INDEX('[1]Sector list'!$A$2:$A$122,MATCH(H303,'[1]Sector list'!$B$2:$B$122,0)),"")</f>
        <v/>
      </c>
      <c r="J303" s="172"/>
    </row>
    <row r="304" spans="9:10" x14ac:dyDescent="0.3">
      <c r="I304" t="str">
        <f>_xlfn.IFNA(INDEX('[1]Sector list'!$A$2:$A$122,MATCH(H304,'[1]Sector list'!$B$2:$B$122,0)),"")</f>
        <v/>
      </c>
      <c r="J304" s="172"/>
    </row>
    <row r="305" spans="9:10" x14ac:dyDescent="0.3">
      <c r="I305" t="str">
        <f>_xlfn.IFNA(INDEX('[1]Sector list'!$A$2:$A$122,MATCH(H305,'[1]Sector list'!$B$2:$B$122,0)),"")</f>
        <v/>
      </c>
      <c r="J305" s="172"/>
    </row>
    <row r="306" spans="9:10" x14ac:dyDescent="0.3">
      <c r="I306" t="str">
        <f>_xlfn.IFNA(INDEX('[1]Sector list'!$A$2:$A$122,MATCH(H306,'[1]Sector list'!$B$2:$B$122,0)),"")</f>
        <v/>
      </c>
      <c r="J306" s="172"/>
    </row>
    <row r="307" spans="9:10" x14ac:dyDescent="0.3">
      <c r="I307" t="str">
        <f>_xlfn.IFNA(INDEX('[1]Sector list'!$A$2:$A$122,MATCH(H307,'[1]Sector list'!$B$2:$B$122,0)),"")</f>
        <v/>
      </c>
      <c r="J307" s="172"/>
    </row>
    <row r="308" spans="9:10" x14ac:dyDescent="0.3">
      <c r="I308" t="str">
        <f>_xlfn.IFNA(INDEX('[1]Sector list'!$A$2:$A$122,MATCH(H308,'[1]Sector list'!$B$2:$B$122,0)),"")</f>
        <v/>
      </c>
      <c r="J308" s="172"/>
    </row>
    <row r="309" spans="9:10" x14ac:dyDescent="0.3">
      <c r="I309" t="str">
        <f>_xlfn.IFNA(INDEX('[1]Sector list'!$A$2:$A$122,MATCH(H309,'[1]Sector list'!$B$2:$B$122,0)),"")</f>
        <v/>
      </c>
      <c r="J309" s="172"/>
    </row>
    <row r="310" spans="9:10" x14ac:dyDescent="0.3">
      <c r="I310" t="str">
        <f>_xlfn.IFNA(INDEX('[1]Sector list'!$A$2:$A$122,MATCH(H310,'[1]Sector list'!$B$2:$B$122,0)),"")</f>
        <v/>
      </c>
      <c r="J310" s="172"/>
    </row>
    <row r="311" spans="9:10" x14ac:dyDescent="0.3">
      <c r="I311" t="str">
        <f>_xlfn.IFNA(INDEX('[1]Sector list'!$A$2:$A$122,MATCH(H311,'[1]Sector list'!$B$2:$B$122,0)),"")</f>
        <v/>
      </c>
      <c r="J311" s="172"/>
    </row>
    <row r="312" spans="9:10" x14ac:dyDescent="0.3">
      <c r="I312" t="str">
        <f>_xlfn.IFNA(INDEX('[1]Sector list'!$A$2:$A$122,MATCH(H312,'[1]Sector list'!$B$2:$B$122,0)),"")</f>
        <v/>
      </c>
      <c r="J312" s="172"/>
    </row>
    <row r="313" spans="9:10" x14ac:dyDescent="0.3">
      <c r="I313" t="str">
        <f>_xlfn.IFNA(INDEX('[1]Sector list'!$A$2:$A$122,MATCH(H313,'[1]Sector list'!$B$2:$B$122,0)),"")</f>
        <v/>
      </c>
      <c r="J313" s="172"/>
    </row>
    <row r="314" spans="9:10" x14ac:dyDescent="0.3">
      <c r="I314" t="str">
        <f>_xlfn.IFNA(INDEX('[1]Sector list'!$A$2:$A$122,MATCH(H314,'[1]Sector list'!$B$2:$B$122,0)),"")</f>
        <v/>
      </c>
      <c r="J314" s="172"/>
    </row>
    <row r="315" spans="9:10" x14ac:dyDescent="0.3">
      <c r="I315" t="str">
        <f>_xlfn.IFNA(INDEX('[1]Sector list'!$A$2:$A$122,MATCH(H315,'[1]Sector list'!$B$2:$B$122,0)),"")</f>
        <v/>
      </c>
      <c r="J315" s="172"/>
    </row>
    <row r="316" spans="9:10" x14ac:dyDescent="0.3">
      <c r="I316" t="str">
        <f>_xlfn.IFNA(INDEX('[1]Sector list'!$A$2:$A$122,MATCH(H316,'[1]Sector list'!$B$2:$B$122,0)),"")</f>
        <v/>
      </c>
      <c r="J316" s="172"/>
    </row>
    <row r="317" spans="9:10" x14ac:dyDescent="0.3">
      <c r="I317" t="str">
        <f>_xlfn.IFNA(INDEX('[1]Sector list'!$A$2:$A$122,MATCH(H317,'[1]Sector list'!$B$2:$B$122,0)),"")</f>
        <v/>
      </c>
      <c r="J317" s="172"/>
    </row>
    <row r="318" spans="9:10" x14ac:dyDescent="0.3">
      <c r="I318" t="str">
        <f>_xlfn.IFNA(INDEX('[1]Sector list'!$A$2:$A$122,MATCH(H318,'[1]Sector list'!$B$2:$B$122,0)),"")</f>
        <v/>
      </c>
      <c r="J318" s="172"/>
    </row>
    <row r="319" spans="9:10" x14ac:dyDescent="0.3">
      <c r="I319" t="str">
        <f>_xlfn.IFNA(INDEX('[1]Sector list'!$A$2:$A$122,MATCH(H319,'[1]Sector list'!$B$2:$B$122,0)),"")</f>
        <v/>
      </c>
      <c r="J319" s="172"/>
    </row>
    <row r="320" spans="9:10" x14ac:dyDescent="0.3">
      <c r="I320" t="str">
        <f>_xlfn.IFNA(INDEX('[1]Sector list'!$A$2:$A$122,MATCH(H320,'[1]Sector list'!$B$2:$B$122,0)),"")</f>
        <v/>
      </c>
      <c r="J320" s="172"/>
    </row>
    <row r="321" spans="9:10" x14ac:dyDescent="0.3">
      <c r="I321" t="str">
        <f>_xlfn.IFNA(INDEX('[1]Sector list'!$A$2:$A$122,MATCH(H321,'[1]Sector list'!$B$2:$B$122,0)),"")</f>
        <v/>
      </c>
      <c r="J321" s="172"/>
    </row>
    <row r="322" spans="9:10" x14ac:dyDescent="0.3">
      <c r="I322" t="str">
        <f>_xlfn.IFNA(INDEX('[1]Sector list'!$A$2:$A$122,MATCH(H322,'[1]Sector list'!$B$2:$B$122,0)),"")</f>
        <v/>
      </c>
      <c r="J322" s="172"/>
    </row>
    <row r="323" spans="9:10" x14ac:dyDescent="0.3">
      <c r="I323" t="str">
        <f>_xlfn.IFNA(INDEX('[1]Sector list'!$A$2:$A$122,MATCH(H323,'[1]Sector list'!$B$2:$B$122,0)),"")</f>
        <v/>
      </c>
      <c r="J323" s="172"/>
    </row>
    <row r="324" spans="9:10" x14ac:dyDescent="0.3">
      <c r="I324" t="str">
        <f>_xlfn.IFNA(INDEX('[1]Sector list'!$A$2:$A$122,MATCH(H324,'[1]Sector list'!$B$2:$B$122,0)),"")</f>
        <v/>
      </c>
      <c r="J324" s="172"/>
    </row>
    <row r="325" spans="9:10" x14ac:dyDescent="0.3">
      <c r="I325" t="str">
        <f>_xlfn.IFNA(INDEX('[1]Sector list'!$A$2:$A$122,MATCH(H325,'[1]Sector list'!$B$2:$B$122,0)),"")</f>
        <v/>
      </c>
      <c r="J325" s="172"/>
    </row>
    <row r="326" spans="9:10" x14ac:dyDescent="0.3">
      <c r="I326" t="str">
        <f>_xlfn.IFNA(INDEX('[1]Sector list'!$A$2:$A$122,MATCH(H326,'[1]Sector list'!$B$2:$B$122,0)),"")</f>
        <v/>
      </c>
      <c r="J326" s="172"/>
    </row>
    <row r="327" spans="9:10" x14ac:dyDescent="0.3">
      <c r="I327" t="str">
        <f>_xlfn.IFNA(INDEX('[1]Sector list'!$A$2:$A$122,MATCH(H327,'[1]Sector list'!$B$2:$B$122,0)),"")</f>
        <v/>
      </c>
      <c r="J327" s="172"/>
    </row>
    <row r="328" spans="9:10" x14ac:dyDescent="0.3">
      <c r="I328" t="str">
        <f>_xlfn.IFNA(INDEX('[1]Sector list'!$A$2:$A$122,MATCH(H328,'[1]Sector list'!$B$2:$B$122,0)),"")</f>
        <v/>
      </c>
      <c r="J328" s="172"/>
    </row>
    <row r="329" spans="9:10" x14ac:dyDescent="0.3">
      <c r="I329" t="str">
        <f>_xlfn.IFNA(INDEX('[1]Sector list'!$A$2:$A$122,MATCH(H329,'[1]Sector list'!$B$2:$B$122,0)),"")</f>
        <v/>
      </c>
      <c r="J329" s="172"/>
    </row>
    <row r="330" spans="9:10" x14ac:dyDescent="0.3">
      <c r="I330" t="str">
        <f>_xlfn.IFNA(INDEX('[1]Sector list'!$A$2:$A$122,MATCH(H330,'[1]Sector list'!$B$2:$B$122,0)),"")</f>
        <v/>
      </c>
      <c r="J330" s="172"/>
    </row>
    <row r="331" spans="9:10" x14ac:dyDescent="0.3">
      <c r="I331" t="str">
        <f>_xlfn.IFNA(INDEX('[1]Sector list'!$A$2:$A$122,MATCH(H331,'[1]Sector list'!$B$2:$B$122,0)),"")</f>
        <v/>
      </c>
      <c r="J331" s="172"/>
    </row>
    <row r="332" spans="9:10" x14ac:dyDescent="0.3">
      <c r="I332" t="str">
        <f>_xlfn.IFNA(INDEX('[1]Sector list'!$A$2:$A$122,MATCH(H332,'[1]Sector list'!$B$2:$B$122,0)),"")</f>
        <v/>
      </c>
      <c r="J332" s="172"/>
    </row>
    <row r="333" spans="9:10" x14ac:dyDescent="0.3">
      <c r="I333" t="str">
        <f>_xlfn.IFNA(INDEX('[1]Sector list'!$A$2:$A$122,MATCH(H333,'[1]Sector list'!$B$2:$B$122,0)),"")</f>
        <v/>
      </c>
      <c r="J333" s="172"/>
    </row>
    <row r="334" spans="9:10" x14ac:dyDescent="0.3">
      <c r="I334" t="str">
        <f>_xlfn.IFNA(INDEX('[1]Sector list'!$A$2:$A$122,MATCH(H334,'[1]Sector list'!$B$2:$B$122,0)),"")</f>
        <v/>
      </c>
      <c r="J334" s="172"/>
    </row>
    <row r="335" spans="9:10" x14ac:dyDescent="0.3">
      <c r="I335" t="str">
        <f>_xlfn.IFNA(INDEX('[1]Sector list'!$A$2:$A$122,MATCH(H335,'[1]Sector list'!$B$2:$B$122,0)),"")</f>
        <v/>
      </c>
      <c r="J335" s="172"/>
    </row>
    <row r="336" spans="9:10" x14ac:dyDescent="0.3">
      <c r="I336" t="str">
        <f>_xlfn.IFNA(INDEX('[1]Sector list'!$A$2:$A$122,MATCH(H336,'[1]Sector list'!$B$2:$B$122,0)),"")</f>
        <v/>
      </c>
      <c r="J336" s="172"/>
    </row>
    <row r="337" spans="9:10" x14ac:dyDescent="0.3">
      <c r="I337" t="str">
        <f>_xlfn.IFNA(INDEX('[1]Sector list'!$A$2:$A$122,MATCH(H337,'[1]Sector list'!$B$2:$B$122,0)),"")</f>
        <v/>
      </c>
      <c r="J337" s="172"/>
    </row>
    <row r="338" spans="9:10" x14ac:dyDescent="0.3">
      <c r="I338" t="str">
        <f>_xlfn.IFNA(INDEX('[1]Sector list'!$A$2:$A$122,MATCH(H338,'[1]Sector list'!$B$2:$B$122,0)),"")</f>
        <v/>
      </c>
      <c r="J338" s="172"/>
    </row>
    <row r="339" spans="9:10" x14ac:dyDescent="0.3">
      <c r="I339" t="str">
        <f>_xlfn.IFNA(INDEX('[1]Sector list'!$A$2:$A$122,MATCH(H339,'[1]Sector list'!$B$2:$B$122,0)),"")</f>
        <v/>
      </c>
      <c r="J339" s="172"/>
    </row>
    <row r="340" spans="9:10" x14ac:dyDescent="0.3">
      <c r="I340" t="str">
        <f>_xlfn.IFNA(INDEX('[1]Sector list'!$A$2:$A$122,MATCH(H340,'[1]Sector list'!$B$2:$B$122,0)),"")</f>
        <v/>
      </c>
      <c r="J340" s="172"/>
    </row>
    <row r="341" spans="9:10" x14ac:dyDescent="0.3">
      <c r="I341" t="str">
        <f>_xlfn.IFNA(INDEX('[1]Sector list'!$A$2:$A$122,MATCH(H341,'[1]Sector list'!$B$2:$B$122,0)),"")</f>
        <v/>
      </c>
      <c r="J341" s="172"/>
    </row>
    <row r="342" spans="9:10" x14ac:dyDescent="0.3">
      <c r="I342" t="str">
        <f>_xlfn.IFNA(INDEX('[1]Sector list'!$A$2:$A$122,MATCH(H342,'[1]Sector list'!$B$2:$B$122,0)),"")</f>
        <v/>
      </c>
      <c r="J342" s="172"/>
    </row>
    <row r="343" spans="9:10" x14ac:dyDescent="0.3">
      <c r="I343" t="str">
        <f>_xlfn.IFNA(INDEX('[1]Sector list'!$A$2:$A$122,MATCH(H343,'[1]Sector list'!$B$2:$B$122,0)),"")</f>
        <v/>
      </c>
      <c r="J343" s="172"/>
    </row>
    <row r="344" spans="9:10" x14ac:dyDescent="0.3">
      <c r="I344" t="str">
        <f>_xlfn.IFNA(INDEX('[1]Sector list'!$A$2:$A$122,MATCH(H344,'[1]Sector list'!$B$2:$B$122,0)),"")</f>
        <v/>
      </c>
      <c r="J344" s="172"/>
    </row>
    <row r="345" spans="9:10" x14ac:dyDescent="0.3">
      <c r="I345" t="str">
        <f>_xlfn.IFNA(INDEX('[1]Sector list'!$A$2:$A$122,MATCH(H345,'[1]Sector list'!$B$2:$B$122,0)),"")</f>
        <v/>
      </c>
      <c r="J345" s="172"/>
    </row>
    <row r="346" spans="9:10" x14ac:dyDescent="0.3">
      <c r="I346" t="str">
        <f>_xlfn.IFNA(INDEX('[1]Sector list'!$A$2:$A$122,MATCH(H346,'[1]Sector list'!$B$2:$B$122,0)),"")</f>
        <v/>
      </c>
      <c r="J346" s="172"/>
    </row>
    <row r="347" spans="9:10" x14ac:dyDescent="0.3">
      <c r="I347" t="str">
        <f>_xlfn.IFNA(INDEX('[1]Sector list'!$A$2:$A$122,MATCH(H347,'[1]Sector list'!$B$2:$B$122,0)),"")</f>
        <v/>
      </c>
      <c r="J347" s="172"/>
    </row>
    <row r="348" spans="9:10" x14ac:dyDescent="0.3">
      <c r="I348" t="str">
        <f>_xlfn.IFNA(INDEX('[1]Sector list'!$A$2:$A$122,MATCH(H348,'[1]Sector list'!$B$2:$B$122,0)),"")</f>
        <v/>
      </c>
      <c r="J348" s="172"/>
    </row>
    <row r="349" spans="9:10" x14ac:dyDescent="0.3">
      <c r="I349" t="str">
        <f>_xlfn.IFNA(INDEX('[1]Sector list'!$A$2:$A$122,MATCH(H349,'[1]Sector list'!$B$2:$B$122,0)),"")</f>
        <v/>
      </c>
      <c r="J349" s="172"/>
    </row>
    <row r="350" spans="9:10" x14ac:dyDescent="0.3">
      <c r="I350" t="str">
        <f>_xlfn.IFNA(INDEX('[1]Sector list'!$A$2:$A$122,MATCH(H350,'[1]Sector list'!$B$2:$B$122,0)),"")</f>
        <v/>
      </c>
      <c r="J350" s="172"/>
    </row>
    <row r="351" spans="9:10" x14ac:dyDescent="0.3">
      <c r="I351" t="str">
        <f>_xlfn.IFNA(INDEX('[1]Sector list'!$A$2:$A$122,MATCH(H351,'[1]Sector list'!$B$2:$B$122,0)),"")</f>
        <v/>
      </c>
      <c r="J351" s="172"/>
    </row>
    <row r="352" spans="9:10" x14ac:dyDescent="0.3">
      <c r="I352" t="str">
        <f>_xlfn.IFNA(INDEX('[1]Sector list'!$A$2:$A$122,MATCH(H352,'[1]Sector list'!$B$2:$B$122,0)),"")</f>
        <v/>
      </c>
      <c r="J352" s="172"/>
    </row>
    <row r="353" spans="9:10" x14ac:dyDescent="0.3">
      <c r="I353" t="str">
        <f>_xlfn.IFNA(INDEX('[1]Sector list'!$A$2:$A$122,MATCH(H353,'[1]Sector list'!$B$2:$B$122,0)),"")</f>
        <v/>
      </c>
      <c r="J353" s="172"/>
    </row>
    <row r="354" spans="9:10" x14ac:dyDescent="0.3">
      <c r="I354" t="str">
        <f>_xlfn.IFNA(INDEX('[1]Sector list'!$A$2:$A$122,MATCH(H354,'[1]Sector list'!$B$2:$B$122,0)),"")</f>
        <v/>
      </c>
      <c r="J354" s="172"/>
    </row>
    <row r="355" spans="9:10" x14ac:dyDescent="0.3">
      <c r="I355" t="str">
        <f>_xlfn.IFNA(INDEX('[1]Sector list'!$A$2:$A$122,MATCH(H355,'[1]Sector list'!$B$2:$B$122,0)),"")</f>
        <v/>
      </c>
      <c r="J355" s="172"/>
    </row>
    <row r="356" spans="9:10" x14ac:dyDescent="0.3">
      <c r="I356" t="str">
        <f>_xlfn.IFNA(INDEX('[1]Sector list'!$A$2:$A$122,MATCH(H356,'[1]Sector list'!$B$2:$B$122,0)),"")</f>
        <v/>
      </c>
      <c r="J356" s="172"/>
    </row>
    <row r="357" spans="9:10" x14ac:dyDescent="0.3">
      <c r="I357" t="str">
        <f>_xlfn.IFNA(INDEX('[1]Sector list'!$A$2:$A$122,MATCH(H357,'[1]Sector list'!$B$2:$B$122,0)),"")</f>
        <v/>
      </c>
      <c r="J357" s="172"/>
    </row>
    <row r="358" spans="9:10" x14ac:dyDescent="0.3">
      <c r="I358" t="str">
        <f>_xlfn.IFNA(INDEX('[1]Sector list'!$A$2:$A$122,MATCH(H358,'[1]Sector list'!$B$2:$B$122,0)),"")</f>
        <v/>
      </c>
      <c r="J358" s="172"/>
    </row>
    <row r="359" spans="9:10" x14ac:dyDescent="0.3">
      <c r="I359" t="str">
        <f>_xlfn.IFNA(INDEX('[1]Sector list'!$A$2:$A$122,MATCH(H359,'[1]Sector list'!$B$2:$B$122,0)),"")</f>
        <v/>
      </c>
      <c r="J359" s="172"/>
    </row>
    <row r="360" spans="9:10" x14ac:dyDescent="0.3">
      <c r="I360" t="str">
        <f>_xlfn.IFNA(INDEX('[1]Sector list'!$A$2:$A$122,MATCH(H360,'[1]Sector list'!$B$2:$B$122,0)),"")</f>
        <v/>
      </c>
      <c r="J360" s="172"/>
    </row>
    <row r="361" spans="9:10" x14ac:dyDescent="0.3">
      <c r="I361" t="str">
        <f>_xlfn.IFNA(INDEX('[1]Sector list'!$A$2:$A$122,MATCH(H361,'[1]Sector list'!$B$2:$B$122,0)),"")</f>
        <v/>
      </c>
      <c r="J361" s="172"/>
    </row>
    <row r="362" spans="9:10" x14ac:dyDescent="0.3">
      <c r="I362" t="str">
        <f>_xlfn.IFNA(INDEX('[1]Sector list'!$A$2:$A$122,MATCH(H362,'[1]Sector list'!$B$2:$B$122,0)),"")</f>
        <v/>
      </c>
      <c r="J362" s="172"/>
    </row>
    <row r="363" spans="9:10" x14ac:dyDescent="0.3">
      <c r="I363" t="str">
        <f>_xlfn.IFNA(INDEX('[1]Sector list'!$A$2:$A$122,MATCH(H363,'[1]Sector list'!$B$2:$B$122,0)),"")</f>
        <v/>
      </c>
      <c r="J363" s="172"/>
    </row>
    <row r="364" spans="9:10" x14ac:dyDescent="0.3">
      <c r="I364" t="str">
        <f>_xlfn.IFNA(INDEX('[1]Sector list'!$A$2:$A$122,MATCH(H364,'[1]Sector list'!$B$2:$B$122,0)),"")</f>
        <v/>
      </c>
      <c r="J364" s="172"/>
    </row>
    <row r="365" spans="9:10" x14ac:dyDescent="0.3">
      <c r="I365" t="str">
        <f>_xlfn.IFNA(INDEX('[1]Sector list'!$A$2:$A$122,MATCH(H365,'[1]Sector list'!$B$2:$B$122,0)),"")</f>
        <v/>
      </c>
      <c r="J365" s="172"/>
    </row>
    <row r="366" spans="9:10" x14ac:dyDescent="0.3">
      <c r="I366" t="str">
        <f>_xlfn.IFNA(INDEX('[1]Sector list'!$A$2:$A$122,MATCH(H366,'[1]Sector list'!$B$2:$B$122,0)),"")</f>
        <v/>
      </c>
      <c r="J366" s="172"/>
    </row>
    <row r="367" spans="9:10" x14ac:dyDescent="0.3">
      <c r="I367" t="str">
        <f>_xlfn.IFNA(INDEX('[1]Sector list'!$A$2:$A$122,MATCH(H367,'[1]Sector list'!$B$2:$B$122,0)),"")</f>
        <v/>
      </c>
      <c r="J367" s="172"/>
    </row>
    <row r="368" spans="9:10" x14ac:dyDescent="0.3">
      <c r="I368" t="str">
        <f>_xlfn.IFNA(INDEX('[1]Sector list'!$A$2:$A$122,MATCH(H368,'[1]Sector list'!$B$2:$B$122,0)),"")</f>
        <v/>
      </c>
      <c r="J368" s="172"/>
    </row>
    <row r="369" spans="9:10" x14ac:dyDescent="0.3">
      <c r="I369" t="str">
        <f>_xlfn.IFNA(INDEX('[1]Sector list'!$A$2:$A$122,MATCH(H369,'[1]Sector list'!$B$2:$B$122,0)),"")</f>
        <v/>
      </c>
      <c r="J369" s="172"/>
    </row>
    <row r="370" spans="9:10" x14ac:dyDescent="0.3">
      <c r="I370" t="str">
        <f>_xlfn.IFNA(INDEX('[1]Sector list'!$A$2:$A$122,MATCH(H370,'[1]Sector list'!$B$2:$B$122,0)),"")</f>
        <v/>
      </c>
      <c r="J370" s="172"/>
    </row>
    <row r="371" spans="9:10" x14ac:dyDescent="0.3">
      <c r="I371" t="str">
        <f>_xlfn.IFNA(INDEX('[1]Sector list'!$A$2:$A$122,MATCH(H371,'[1]Sector list'!$B$2:$B$122,0)),"")</f>
        <v/>
      </c>
      <c r="J371" s="172"/>
    </row>
    <row r="372" spans="9:10" x14ac:dyDescent="0.3">
      <c r="I372" t="str">
        <f>_xlfn.IFNA(INDEX('[1]Sector list'!$A$2:$A$122,MATCH(H372,'[1]Sector list'!$B$2:$B$122,0)),"")</f>
        <v/>
      </c>
      <c r="J372" s="172"/>
    </row>
    <row r="373" spans="9:10" x14ac:dyDescent="0.3">
      <c r="I373" t="str">
        <f>_xlfn.IFNA(INDEX('[1]Sector list'!$A$2:$A$122,MATCH(H373,'[1]Sector list'!$B$2:$B$122,0)),"")</f>
        <v/>
      </c>
      <c r="J373" s="172"/>
    </row>
    <row r="374" spans="9:10" x14ac:dyDescent="0.3">
      <c r="I374" t="str">
        <f>_xlfn.IFNA(INDEX('[1]Sector list'!$A$2:$A$122,MATCH(H374,'[1]Sector list'!$B$2:$B$122,0)),"")</f>
        <v/>
      </c>
      <c r="J374" s="172"/>
    </row>
    <row r="375" spans="9:10" x14ac:dyDescent="0.3">
      <c r="I375" t="str">
        <f>_xlfn.IFNA(INDEX('[1]Sector list'!$A$2:$A$122,MATCH(H375,'[1]Sector list'!$B$2:$B$122,0)),"")</f>
        <v/>
      </c>
      <c r="J375" s="172"/>
    </row>
    <row r="376" spans="9:10" x14ac:dyDescent="0.3">
      <c r="I376" t="str">
        <f>_xlfn.IFNA(INDEX('[1]Sector list'!$A$2:$A$122,MATCH(H376,'[1]Sector list'!$B$2:$B$122,0)),"")</f>
        <v/>
      </c>
      <c r="J376" s="172"/>
    </row>
    <row r="377" spans="9:10" x14ac:dyDescent="0.3">
      <c r="I377" t="str">
        <f>_xlfn.IFNA(INDEX('[1]Sector list'!$A$2:$A$122,MATCH(H377,'[1]Sector list'!$B$2:$B$122,0)),"")</f>
        <v/>
      </c>
      <c r="J377" s="172"/>
    </row>
    <row r="378" spans="9:10" x14ac:dyDescent="0.3">
      <c r="I378" t="str">
        <f>_xlfn.IFNA(INDEX('[1]Sector list'!$A$2:$A$122,MATCH(H378,'[1]Sector list'!$B$2:$B$122,0)),"")</f>
        <v/>
      </c>
      <c r="J378" s="172"/>
    </row>
    <row r="379" spans="9:10" x14ac:dyDescent="0.3">
      <c r="I379" t="str">
        <f>_xlfn.IFNA(INDEX('[1]Sector list'!$A$2:$A$122,MATCH(H379,'[1]Sector list'!$B$2:$B$122,0)),"")</f>
        <v/>
      </c>
      <c r="J379" s="172"/>
    </row>
    <row r="380" spans="9:10" x14ac:dyDescent="0.3">
      <c r="I380" t="str">
        <f>_xlfn.IFNA(INDEX('[1]Sector list'!$A$2:$A$122,MATCH(H380,'[1]Sector list'!$B$2:$B$122,0)),"")</f>
        <v/>
      </c>
      <c r="J380" s="172"/>
    </row>
    <row r="381" spans="9:10" x14ac:dyDescent="0.3">
      <c r="I381" t="str">
        <f>_xlfn.IFNA(INDEX('[1]Sector list'!$A$2:$A$122,MATCH(H381,'[1]Sector list'!$B$2:$B$122,0)),"")</f>
        <v/>
      </c>
      <c r="J381" s="172"/>
    </row>
    <row r="382" spans="9:10" x14ac:dyDescent="0.3">
      <c r="I382" t="str">
        <f>_xlfn.IFNA(INDEX('[1]Sector list'!$A$2:$A$122,MATCH(H382,'[1]Sector list'!$B$2:$B$122,0)),"")</f>
        <v/>
      </c>
      <c r="J382" s="172"/>
    </row>
    <row r="383" spans="9:10" x14ac:dyDescent="0.3">
      <c r="I383" t="str">
        <f>_xlfn.IFNA(INDEX('[1]Sector list'!$A$2:$A$122,MATCH(H383,'[1]Sector list'!$B$2:$B$122,0)),"")</f>
        <v/>
      </c>
      <c r="J383" s="172"/>
    </row>
    <row r="384" spans="9:10" x14ac:dyDescent="0.3">
      <c r="I384" t="str">
        <f>_xlfn.IFNA(INDEX('[1]Sector list'!$A$2:$A$122,MATCH(H384,'[1]Sector list'!$B$2:$B$122,0)),"")</f>
        <v/>
      </c>
      <c r="J384" s="172"/>
    </row>
    <row r="385" spans="9:10" x14ac:dyDescent="0.3">
      <c r="I385" t="str">
        <f>_xlfn.IFNA(INDEX('[1]Sector list'!$A$2:$A$122,MATCH(H385,'[1]Sector list'!$B$2:$B$122,0)),"")</f>
        <v/>
      </c>
      <c r="J385" s="172"/>
    </row>
    <row r="386" spans="9:10" x14ac:dyDescent="0.3">
      <c r="I386" t="str">
        <f>_xlfn.IFNA(INDEX('[1]Sector list'!$A$2:$A$122,MATCH(H386,'[1]Sector list'!$B$2:$B$122,0)),"")</f>
        <v/>
      </c>
      <c r="J386" s="172"/>
    </row>
    <row r="387" spans="9:10" x14ac:dyDescent="0.3">
      <c r="I387" t="str">
        <f>_xlfn.IFNA(INDEX('[1]Sector list'!$A$2:$A$122,MATCH(H387,'[1]Sector list'!$B$2:$B$122,0)),"")</f>
        <v/>
      </c>
      <c r="J387" s="172"/>
    </row>
    <row r="388" spans="9:10" x14ac:dyDescent="0.3">
      <c r="I388" t="str">
        <f>_xlfn.IFNA(INDEX('[1]Sector list'!$A$2:$A$122,MATCH(H388,'[1]Sector list'!$B$2:$B$122,0)),"")</f>
        <v/>
      </c>
      <c r="J388" s="172"/>
    </row>
    <row r="389" spans="9:10" x14ac:dyDescent="0.3">
      <c r="I389" t="str">
        <f>_xlfn.IFNA(INDEX('[1]Sector list'!$A$2:$A$122,MATCH(H389,'[1]Sector list'!$B$2:$B$122,0)),"")</f>
        <v/>
      </c>
      <c r="J389" s="172"/>
    </row>
    <row r="390" spans="9:10" x14ac:dyDescent="0.3">
      <c r="I390" t="str">
        <f>_xlfn.IFNA(INDEX('[1]Sector list'!$A$2:$A$122,MATCH(H390,'[1]Sector list'!$B$2:$B$122,0)),"")</f>
        <v/>
      </c>
      <c r="J390" s="172"/>
    </row>
    <row r="391" spans="9:10" x14ac:dyDescent="0.3">
      <c r="I391" t="str">
        <f>_xlfn.IFNA(INDEX('[1]Sector list'!$A$2:$A$122,MATCH(H391,'[1]Sector list'!$B$2:$B$122,0)),"")</f>
        <v/>
      </c>
      <c r="J391" s="172"/>
    </row>
    <row r="392" spans="9:10" x14ac:dyDescent="0.3">
      <c r="I392" t="str">
        <f>_xlfn.IFNA(INDEX('[1]Sector list'!$A$2:$A$122,MATCH(H392,'[1]Sector list'!$B$2:$B$122,0)),"")</f>
        <v/>
      </c>
      <c r="J392" s="172"/>
    </row>
    <row r="393" spans="9:10" x14ac:dyDescent="0.3">
      <c r="I393" t="str">
        <f>_xlfn.IFNA(INDEX('[1]Sector list'!$A$2:$A$122,MATCH(H393,'[1]Sector list'!$B$2:$B$122,0)),"")</f>
        <v/>
      </c>
      <c r="J393" s="172"/>
    </row>
    <row r="394" spans="9:10" x14ac:dyDescent="0.3">
      <c r="I394" t="str">
        <f>_xlfn.IFNA(INDEX('[1]Sector list'!$A$2:$A$122,MATCH(H394,'[1]Sector list'!$B$2:$B$122,0)),"")</f>
        <v/>
      </c>
      <c r="J394" s="172"/>
    </row>
    <row r="395" spans="9:10" x14ac:dyDescent="0.3">
      <c r="I395" t="str">
        <f>_xlfn.IFNA(INDEX('[1]Sector list'!$A$2:$A$122,MATCH(H395,'[1]Sector list'!$B$2:$B$122,0)),"")</f>
        <v/>
      </c>
      <c r="J395" s="172"/>
    </row>
    <row r="396" spans="9:10" x14ac:dyDescent="0.3">
      <c r="I396" t="str">
        <f>_xlfn.IFNA(INDEX('[1]Sector list'!$A$2:$A$122,MATCH(H396,'[1]Sector list'!$B$2:$B$122,0)),"")</f>
        <v/>
      </c>
      <c r="J396" s="172"/>
    </row>
    <row r="397" spans="9:10" x14ac:dyDescent="0.3">
      <c r="I397" t="str">
        <f>_xlfn.IFNA(INDEX('[1]Sector list'!$A$2:$A$122,MATCH(H397,'[1]Sector list'!$B$2:$B$122,0)),"")</f>
        <v/>
      </c>
      <c r="J397" s="172"/>
    </row>
    <row r="398" spans="9:10" x14ac:dyDescent="0.3">
      <c r="I398" t="str">
        <f>_xlfn.IFNA(INDEX('[1]Sector list'!$A$2:$A$122,MATCH(H398,'[1]Sector list'!$B$2:$B$122,0)),"")</f>
        <v/>
      </c>
      <c r="J398" s="172"/>
    </row>
    <row r="399" spans="9:10" x14ac:dyDescent="0.3">
      <c r="I399" t="str">
        <f>_xlfn.IFNA(INDEX('[1]Sector list'!$A$2:$A$122,MATCH(H399,'[1]Sector list'!$B$2:$B$122,0)),"")</f>
        <v/>
      </c>
      <c r="J399" s="172"/>
    </row>
    <row r="400" spans="9:10" x14ac:dyDescent="0.3">
      <c r="I400" t="str">
        <f>_xlfn.IFNA(INDEX('[1]Sector list'!$A$2:$A$122,MATCH(H400,'[1]Sector list'!$B$2:$B$122,0)),"")</f>
        <v/>
      </c>
      <c r="J400" s="172"/>
    </row>
    <row r="401" spans="9:10" x14ac:dyDescent="0.3">
      <c r="I401" t="str">
        <f>_xlfn.IFNA(INDEX('[1]Sector list'!$A$2:$A$122,MATCH(H401,'[1]Sector list'!$B$2:$B$122,0)),"")</f>
        <v/>
      </c>
      <c r="J401" s="172"/>
    </row>
    <row r="402" spans="9:10" x14ac:dyDescent="0.3">
      <c r="I402" t="str">
        <f>_xlfn.IFNA(INDEX('[1]Sector list'!$A$2:$A$122,MATCH(H402,'[1]Sector list'!$B$2:$B$122,0)),"")</f>
        <v/>
      </c>
      <c r="J402" s="172"/>
    </row>
    <row r="403" spans="9:10" x14ac:dyDescent="0.3">
      <c r="I403" t="str">
        <f>_xlfn.IFNA(INDEX('[1]Sector list'!$A$2:$A$122,MATCH(H403,'[1]Sector list'!$B$2:$B$122,0)),"")</f>
        <v/>
      </c>
      <c r="J403" s="172"/>
    </row>
    <row r="404" spans="9:10" x14ac:dyDescent="0.3">
      <c r="I404" t="str">
        <f>_xlfn.IFNA(INDEX('[1]Sector list'!$A$2:$A$122,MATCH(H404,'[1]Sector list'!$B$2:$B$122,0)),"")</f>
        <v/>
      </c>
      <c r="J404" s="172"/>
    </row>
    <row r="405" spans="9:10" x14ac:dyDescent="0.3">
      <c r="I405" t="str">
        <f>_xlfn.IFNA(INDEX('[1]Sector list'!$A$2:$A$122,MATCH(H405,'[1]Sector list'!$B$2:$B$122,0)),"")</f>
        <v/>
      </c>
      <c r="J405" s="172"/>
    </row>
    <row r="406" spans="9:10" x14ac:dyDescent="0.3">
      <c r="I406" t="str">
        <f>_xlfn.IFNA(INDEX('[1]Sector list'!$A$2:$A$122,MATCH(H406,'[1]Sector list'!$B$2:$B$122,0)),"")</f>
        <v/>
      </c>
      <c r="J406" s="172"/>
    </row>
    <row r="407" spans="9:10" x14ac:dyDescent="0.3">
      <c r="I407" t="str">
        <f>_xlfn.IFNA(INDEX('[1]Sector list'!$A$2:$A$122,MATCH(H407,'[1]Sector list'!$B$2:$B$122,0)),"")</f>
        <v/>
      </c>
      <c r="J407" s="172"/>
    </row>
    <row r="408" spans="9:10" x14ac:dyDescent="0.3">
      <c r="I408" t="str">
        <f>_xlfn.IFNA(INDEX('[1]Sector list'!$A$2:$A$122,MATCH(H408,'[1]Sector list'!$B$2:$B$122,0)),"")</f>
        <v/>
      </c>
      <c r="J408" s="172"/>
    </row>
    <row r="409" spans="9:10" x14ac:dyDescent="0.3">
      <c r="I409" t="str">
        <f>_xlfn.IFNA(INDEX('[1]Sector list'!$A$2:$A$122,MATCH(H409,'[1]Sector list'!$B$2:$B$122,0)),"")</f>
        <v/>
      </c>
      <c r="J409" s="172"/>
    </row>
    <row r="410" spans="9:10" x14ac:dyDescent="0.3">
      <c r="I410" t="str">
        <f>_xlfn.IFNA(INDEX('[1]Sector list'!$A$2:$A$122,MATCH(H410,'[1]Sector list'!$B$2:$B$122,0)),"")</f>
        <v/>
      </c>
      <c r="J410" s="172"/>
    </row>
    <row r="411" spans="9:10" x14ac:dyDescent="0.3">
      <c r="I411" t="str">
        <f>_xlfn.IFNA(INDEX('[1]Sector list'!$A$2:$A$122,MATCH(H411,'[1]Sector list'!$B$2:$B$122,0)),"")</f>
        <v/>
      </c>
      <c r="J411" s="172"/>
    </row>
    <row r="412" spans="9:10" x14ac:dyDescent="0.3">
      <c r="I412" t="str">
        <f>_xlfn.IFNA(INDEX('[1]Sector list'!$A$2:$A$122,MATCH(H412,'[1]Sector list'!$B$2:$B$122,0)),"")</f>
        <v/>
      </c>
      <c r="J412" s="172"/>
    </row>
    <row r="413" spans="9:10" x14ac:dyDescent="0.3">
      <c r="I413" t="str">
        <f>_xlfn.IFNA(INDEX('[1]Sector list'!$A$2:$A$122,MATCH(H413,'[1]Sector list'!$B$2:$B$122,0)),"")</f>
        <v/>
      </c>
      <c r="J413" s="172"/>
    </row>
    <row r="414" spans="9:10" x14ac:dyDescent="0.3">
      <c r="I414" t="str">
        <f>_xlfn.IFNA(INDEX('[1]Sector list'!$A$2:$A$122,MATCH(H414,'[1]Sector list'!$B$2:$B$122,0)),"")</f>
        <v/>
      </c>
      <c r="J414" s="172"/>
    </row>
    <row r="415" spans="9:10" x14ac:dyDescent="0.3">
      <c r="I415" t="str">
        <f>_xlfn.IFNA(INDEX('[1]Sector list'!$A$2:$A$122,MATCH(H415,'[1]Sector list'!$B$2:$B$122,0)),"")</f>
        <v/>
      </c>
      <c r="J415" s="172"/>
    </row>
    <row r="416" spans="9:10" x14ac:dyDescent="0.3">
      <c r="I416" t="str">
        <f>_xlfn.IFNA(INDEX('[1]Sector list'!$A$2:$A$122,MATCH(H416,'[1]Sector list'!$B$2:$B$122,0)),"")</f>
        <v/>
      </c>
      <c r="J416" s="172"/>
    </row>
    <row r="417" spans="9:10" x14ac:dyDescent="0.3">
      <c r="I417" t="str">
        <f>_xlfn.IFNA(INDEX('[1]Sector list'!$A$2:$A$122,MATCH(H417,'[1]Sector list'!$B$2:$B$122,0)),"")</f>
        <v/>
      </c>
      <c r="J417" s="172"/>
    </row>
    <row r="418" spans="9:10" x14ac:dyDescent="0.3">
      <c r="I418" t="str">
        <f>_xlfn.IFNA(INDEX('[1]Sector list'!$A$2:$A$122,MATCH(H418,'[1]Sector list'!$B$2:$B$122,0)),"")</f>
        <v/>
      </c>
      <c r="J418" s="172"/>
    </row>
    <row r="419" spans="9:10" x14ac:dyDescent="0.3">
      <c r="I419" t="str">
        <f>_xlfn.IFNA(INDEX('[1]Sector list'!$A$2:$A$122,MATCH(H419,'[1]Sector list'!$B$2:$B$122,0)),"")</f>
        <v/>
      </c>
      <c r="J419" s="172"/>
    </row>
    <row r="420" spans="9:10" x14ac:dyDescent="0.3">
      <c r="I420" t="str">
        <f>_xlfn.IFNA(INDEX('[1]Sector list'!$A$2:$A$122,MATCH(H420,'[1]Sector list'!$B$2:$B$122,0)),"")</f>
        <v/>
      </c>
      <c r="J420" s="172"/>
    </row>
    <row r="421" spans="9:10" x14ac:dyDescent="0.3">
      <c r="I421" t="str">
        <f>_xlfn.IFNA(INDEX('[1]Sector list'!$A$2:$A$122,MATCH(H421,'[1]Sector list'!$B$2:$B$122,0)),"")</f>
        <v/>
      </c>
      <c r="J421" s="172"/>
    </row>
    <row r="422" spans="9:10" x14ac:dyDescent="0.3">
      <c r="I422" t="str">
        <f>_xlfn.IFNA(INDEX('[1]Sector list'!$A$2:$A$122,MATCH(H422,'[1]Sector list'!$B$2:$B$122,0)),"")</f>
        <v/>
      </c>
      <c r="J422" s="172"/>
    </row>
    <row r="423" spans="9:10" x14ac:dyDescent="0.3">
      <c r="I423" t="str">
        <f>_xlfn.IFNA(INDEX('[1]Sector list'!$A$2:$A$122,MATCH(H423,'[1]Sector list'!$B$2:$B$122,0)),"")</f>
        <v/>
      </c>
      <c r="J423" s="172"/>
    </row>
    <row r="424" spans="9:10" x14ac:dyDescent="0.3">
      <c r="I424" t="str">
        <f>_xlfn.IFNA(INDEX('[1]Sector list'!$A$2:$A$122,MATCH(H424,'[1]Sector list'!$B$2:$B$122,0)),"")</f>
        <v/>
      </c>
      <c r="J424" s="172"/>
    </row>
    <row r="425" spans="9:10" x14ac:dyDescent="0.3">
      <c r="I425" t="str">
        <f>_xlfn.IFNA(INDEX('[1]Sector list'!$A$2:$A$122,MATCH(H425,'[1]Sector list'!$B$2:$B$122,0)),"")</f>
        <v/>
      </c>
      <c r="J425" s="172"/>
    </row>
    <row r="426" spans="9:10" x14ac:dyDescent="0.3">
      <c r="I426" t="str">
        <f>_xlfn.IFNA(INDEX('[1]Sector list'!$A$2:$A$122,MATCH(H426,'[1]Sector list'!$B$2:$B$122,0)),"")</f>
        <v/>
      </c>
      <c r="J426" s="172"/>
    </row>
    <row r="427" spans="9:10" x14ac:dyDescent="0.3">
      <c r="I427" t="str">
        <f>_xlfn.IFNA(INDEX('[1]Sector list'!$A$2:$A$122,MATCH(H427,'[1]Sector list'!$B$2:$B$122,0)),"")</f>
        <v/>
      </c>
      <c r="J427" s="172"/>
    </row>
    <row r="428" spans="9:10" x14ac:dyDescent="0.3">
      <c r="I428" t="str">
        <f>_xlfn.IFNA(INDEX('[1]Sector list'!$A$2:$A$122,MATCH(H428,'[1]Sector list'!$B$2:$B$122,0)),"")</f>
        <v/>
      </c>
      <c r="J428" s="172"/>
    </row>
    <row r="429" spans="9:10" x14ac:dyDescent="0.3">
      <c r="I429" t="str">
        <f>_xlfn.IFNA(INDEX('[1]Sector list'!$A$2:$A$122,MATCH(H429,'[1]Sector list'!$B$2:$B$122,0)),"")</f>
        <v/>
      </c>
      <c r="J429" s="172"/>
    </row>
    <row r="430" spans="9:10" x14ac:dyDescent="0.3">
      <c r="I430" t="str">
        <f>_xlfn.IFNA(INDEX('[1]Sector list'!$A$2:$A$122,MATCH(H430,'[1]Sector list'!$B$2:$B$122,0)),"")</f>
        <v/>
      </c>
      <c r="J430" s="172"/>
    </row>
    <row r="431" spans="9:10" x14ac:dyDescent="0.3">
      <c r="I431" t="str">
        <f>_xlfn.IFNA(INDEX('[1]Sector list'!$A$2:$A$122,MATCH(H431,'[1]Sector list'!$B$2:$B$122,0)),"")</f>
        <v/>
      </c>
      <c r="J431" s="172"/>
    </row>
    <row r="432" spans="9:10" x14ac:dyDescent="0.3">
      <c r="I432" t="str">
        <f>_xlfn.IFNA(INDEX('[1]Sector list'!$A$2:$A$122,MATCH(H432,'[1]Sector list'!$B$2:$B$122,0)),"")</f>
        <v/>
      </c>
      <c r="J432" s="172"/>
    </row>
    <row r="433" spans="9:10" x14ac:dyDescent="0.3">
      <c r="I433" t="str">
        <f>_xlfn.IFNA(INDEX('[1]Sector list'!$A$2:$A$122,MATCH(H433,'[1]Sector list'!$B$2:$B$122,0)),"")</f>
        <v/>
      </c>
      <c r="J433" s="172"/>
    </row>
    <row r="434" spans="9:10" x14ac:dyDescent="0.3">
      <c r="I434" t="str">
        <f>_xlfn.IFNA(INDEX('[1]Sector list'!$A$2:$A$122,MATCH(H434,'[1]Sector list'!$B$2:$B$122,0)),"")</f>
        <v/>
      </c>
      <c r="J434" s="172"/>
    </row>
    <row r="435" spans="9:10" x14ac:dyDescent="0.3">
      <c r="I435" t="str">
        <f>_xlfn.IFNA(INDEX('[1]Sector list'!$A$2:$A$122,MATCH(H435,'[1]Sector list'!$B$2:$B$122,0)),"")</f>
        <v/>
      </c>
      <c r="J435" s="172"/>
    </row>
    <row r="436" spans="9:10" x14ac:dyDescent="0.3">
      <c r="I436" t="str">
        <f>_xlfn.IFNA(INDEX('[1]Sector list'!$A$2:$A$122,MATCH(H436,'[1]Sector list'!$B$2:$B$122,0)),"")</f>
        <v/>
      </c>
      <c r="J436" s="172"/>
    </row>
    <row r="437" spans="9:10" x14ac:dyDescent="0.3">
      <c r="I437" t="str">
        <f>_xlfn.IFNA(INDEX('[1]Sector list'!$A$2:$A$122,MATCH(H437,'[1]Sector list'!$B$2:$B$122,0)),"")</f>
        <v/>
      </c>
      <c r="J437" s="172"/>
    </row>
    <row r="438" spans="9:10" x14ac:dyDescent="0.3">
      <c r="I438" t="str">
        <f>_xlfn.IFNA(INDEX('[1]Sector list'!$A$2:$A$122,MATCH(H438,'[1]Sector list'!$B$2:$B$122,0)),"")</f>
        <v/>
      </c>
      <c r="J438" s="172"/>
    </row>
    <row r="439" spans="9:10" x14ac:dyDescent="0.3">
      <c r="I439" t="str">
        <f>_xlfn.IFNA(INDEX('[1]Sector list'!$A$2:$A$122,MATCH(H439,'[1]Sector list'!$B$2:$B$122,0)),"")</f>
        <v/>
      </c>
      <c r="J439" s="172"/>
    </row>
    <row r="440" spans="9:10" x14ac:dyDescent="0.3">
      <c r="I440" t="str">
        <f>_xlfn.IFNA(INDEX('[1]Sector list'!$A$2:$A$122,MATCH(H440,'[1]Sector list'!$B$2:$B$122,0)),"")</f>
        <v/>
      </c>
      <c r="J440" s="172"/>
    </row>
    <row r="441" spans="9:10" x14ac:dyDescent="0.3">
      <c r="I441" t="str">
        <f>_xlfn.IFNA(INDEX('[1]Sector list'!$A$2:$A$122,MATCH(H441,'[1]Sector list'!$B$2:$B$122,0)),"")</f>
        <v/>
      </c>
      <c r="J441" s="172"/>
    </row>
    <row r="442" spans="9:10" x14ac:dyDescent="0.3">
      <c r="I442" t="str">
        <f>_xlfn.IFNA(INDEX('[1]Sector list'!$A$2:$A$122,MATCH(H442,'[1]Sector list'!$B$2:$B$122,0)),"")</f>
        <v/>
      </c>
      <c r="J442" s="172"/>
    </row>
    <row r="443" spans="9:10" x14ac:dyDescent="0.3">
      <c r="I443" t="str">
        <f>_xlfn.IFNA(INDEX('[1]Sector list'!$A$2:$A$122,MATCH(H443,'[1]Sector list'!$B$2:$B$122,0)),"")</f>
        <v/>
      </c>
      <c r="J443" s="172"/>
    </row>
    <row r="444" spans="9:10" x14ac:dyDescent="0.3">
      <c r="I444" t="str">
        <f>_xlfn.IFNA(INDEX('[1]Sector list'!$A$2:$A$122,MATCH(H444,'[1]Sector list'!$B$2:$B$122,0)),"")</f>
        <v/>
      </c>
      <c r="J444" s="172"/>
    </row>
    <row r="445" spans="9:10" x14ac:dyDescent="0.3">
      <c r="I445" t="str">
        <f>_xlfn.IFNA(INDEX('[1]Sector list'!$A$2:$A$122,MATCH(H445,'[1]Sector list'!$B$2:$B$122,0)),"")</f>
        <v/>
      </c>
      <c r="J445" s="172"/>
    </row>
    <row r="446" spans="9:10" x14ac:dyDescent="0.3">
      <c r="I446" t="str">
        <f>_xlfn.IFNA(INDEX('[1]Sector list'!$A$2:$A$122,MATCH(H446,'[1]Sector list'!$B$2:$B$122,0)),"")</f>
        <v/>
      </c>
      <c r="J446" s="172"/>
    </row>
    <row r="447" spans="9:10" x14ac:dyDescent="0.3">
      <c r="I447" t="str">
        <f>_xlfn.IFNA(INDEX('[1]Sector list'!$A$2:$A$122,MATCH(H447,'[1]Sector list'!$B$2:$B$122,0)),"")</f>
        <v/>
      </c>
      <c r="J447" s="172"/>
    </row>
    <row r="448" spans="9:10" x14ac:dyDescent="0.3">
      <c r="I448" t="str">
        <f>_xlfn.IFNA(INDEX('[1]Sector list'!$A$2:$A$122,MATCH(H448,'[1]Sector list'!$B$2:$B$122,0)),"")</f>
        <v/>
      </c>
      <c r="J448" s="172"/>
    </row>
    <row r="449" spans="9:10" x14ac:dyDescent="0.3">
      <c r="I449" t="str">
        <f>_xlfn.IFNA(INDEX('[1]Sector list'!$A$2:$A$122,MATCH(H449,'[1]Sector list'!$B$2:$B$122,0)),"")</f>
        <v/>
      </c>
      <c r="J449" s="172"/>
    </row>
    <row r="450" spans="9:10" x14ac:dyDescent="0.3">
      <c r="I450" t="str">
        <f>_xlfn.IFNA(INDEX('[1]Sector list'!$A$2:$A$122,MATCH(H450,'[1]Sector list'!$B$2:$B$122,0)),"")</f>
        <v/>
      </c>
      <c r="J450" s="172"/>
    </row>
    <row r="451" spans="9:10" x14ac:dyDescent="0.3">
      <c r="I451" t="str">
        <f>_xlfn.IFNA(INDEX('[1]Sector list'!$A$2:$A$122,MATCH(H451,'[1]Sector list'!$B$2:$B$122,0)),"")</f>
        <v/>
      </c>
      <c r="J451" s="172"/>
    </row>
    <row r="452" spans="9:10" x14ac:dyDescent="0.3">
      <c r="I452" t="str">
        <f>_xlfn.IFNA(INDEX('[1]Sector list'!$A$2:$A$122,MATCH(H452,'[1]Sector list'!$B$2:$B$122,0)),"")</f>
        <v/>
      </c>
      <c r="J452" s="172"/>
    </row>
    <row r="453" spans="9:10" x14ac:dyDescent="0.3">
      <c r="I453" t="str">
        <f>_xlfn.IFNA(INDEX('[1]Sector list'!$A$2:$A$122,MATCH(H453,'[1]Sector list'!$B$2:$B$122,0)),"")</f>
        <v/>
      </c>
      <c r="J453" s="172"/>
    </row>
    <row r="454" spans="9:10" x14ac:dyDescent="0.3">
      <c r="I454" t="str">
        <f>_xlfn.IFNA(INDEX('[1]Sector list'!$A$2:$A$122,MATCH(H454,'[1]Sector list'!$B$2:$B$122,0)),"")</f>
        <v/>
      </c>
      <c r="J454" s="172"/>
    </row>
    <row r="455" spans="9:10" x14ac:dyDescent="0.3">
      <c r="I455" t="str">
        <f>_xlfn.IFNA(INDEX('[1]Sector list'!$A$2:$A$122,MATCH(H455,'[1]Sector list'!$B$2:$B$122,0)),"")</f>
        <v/>
      </c>
      <c r="J455" s="172"/>
    </row>
    <row r="456" spans="9:10" x14ac:dyDescent="0.3">
      <c r="I456" t="str">
        <f>_xlfn.IFNA(INDEX('[1]Sector list'!$A$2:$A$122,MATCH(H456,'[1]Sector list'!$B$2:$B$122,0)),"")</f>
        <v/>
      </c>
      <c r="J456" s="172"/>
    </row>
    <row r="457" spans="9:10" x14ac:dyDescent="0.3">
      <c r="I457" t="str">
        <f>_xlfn.IFNA(INDEX('[1]Sector list'!$A$2:$A$122,MATCH(H457,'[1]Sector list'!$B$2:$B$122,0)),"")</f>
        <v/>
      </c>
      <c r="J457" s="172"/>
    </row>
    <row r="458" spans="9:10" x14ac:dyDescent="0.3">
      <c r="I458" t="str">
        <f>_xlfn.IFNA(INDEX('[1]Sector list'!$A$2:$A$122,MATCH(H458,'[1]Sector list'!$B$2:$B$122,0)),"")</f>
        <v/>
      </c>
      <c r="J458" s="172"/>
    </row>
    <row r="459" spans="9:10" x14ac:dyDescent="0.3">
      <c r="I459" t="str">
        <f>_xlfn.IFNA(INDEX('[1]Sector list'!$A$2:$A$122,MATCH(H459,'[1]Sector list'!$B$2:$B$122,0)),"")</f>
        <v/>
      </c>
      <c r="J459" s="172"/>
    </row>
    <row r="460" spans="9:10" x14ac:dyDescent="0.3">
      <c r="I460" t="str">
        <f>_xlfn.IFNA(INDEX('[1]Sector list'!$A$2:$A$122,MATCH(H460,'[1]Sector list'!$B$2:$B$122,0)),"")</f>
        <v/>
      </c>
      <c r="J460" s="172"/>
    </row>
    <row r="461" spans="9:10" x14ac:dyDescent="0.3">
      <c r="I461" t="str">
        <f>_xlfn.IFNA(INDEX('[1]Sector list'!$A$2:$A$122,MATCH(H461,'[1]Sector list'!$B$2:$B$122,0)),"")</f>
        <v/>
      </c>
      <c r="J461" s="172"/>
    </row>
    <row r="462" spans="9:10" x14ac:dyDescent="0.3">
      <c r="I462" t="str">
        <f>_xlfn.IFNA(INDEX('[1]Sector list'!$A$2:$A$122,MATCH(H462,'[1]Sector list'!$B$2:$B$122,0)),"")</f>
        <v/>
      </c>
      <c r="J462" s="172"/>
    </row>
    <row r="463" spans="9:10" x14ac:dyDescent="0.3">
      <c r="I463" t="str">
        <f>_xlfn.IFNA(INDEX('[1]Sector list'!$A$2:$A$122,MATCH(H463,'[1]Sector list'!$B$2:$B$122,0)),"")</f>
        <v/>
      </c>
      <c r="J463" s="172"/>
    </row>
    <row r="464" spans="9:10" x14ac:dyDescent="0.3">
      <c r="I464" t="str">
        <f>_xlfn.IFNA(INDEX('[1]Sector list'!$A$2:$A$122,MATCH(H464,'[1]Sector list'!$B$2:$B$122,0)),"")</f>
        <v/>
      </c>
      <c r="J464" s="172"/>
    </row>
    <row r="465" spans="9:10" x14ac:dyDescent="0.3">
      <c r="I465" t="str">
        <f>_xlfn.IFNA(INDEX('[1]Sector list'!$A$2:$A$122,MATCH(H465,'[1]Sector list'!$B$2:$B$122,0)),"")</f>
        <v/>
      </c>
      <c r="J465" s="172"/>
    </row>
    <row r="466" spans="9:10" x14ac:dyDescent="0.3">
      <c r="I466" t="str">
        <f>_xlfn.IFNA(INDEX('[1]Sector list'!$A$2:$A$122,MATCH(H466,'[1]Sector list'!$B$2:$B$122,0)),"")</f>
        <v/>
      </c>
      <c r="J466" s="172"/>
    </row>
    <row r="467" spans="9:10" x14ac:dyDescent="0.3">
      <c r="I467" t="str">
        <f>_xlfn.IFNA(INDEX('[1]Sector list'!$A$2:$A$122,MATCH(H467,'[1]Sector list'!$B$2:$B$122,0)),"")</f>
        <v/>
      </c>
      <c r="J467" s="172"/>
    </row>
    <row r="468" spans="9:10" x14ac:dyDescent="0.3">
      <c r="I468" t="str">
        <f>_xlfn.IFNA(INDEX('[1]Sector list'!$A$2:$A$122,MATCH(H468,'[1]Sector list'!$B$2:$B$122,0)),"")</f>
        <v/>
      </c>
      <c r="J468" s="172"/>
    </row>
    <row r="469" spans="9:10" x14ac:dyDescent="0.3">
      <c r="I469" t="str">
        <f>_xlfn.IFNA(INDEX('[1]Sector list'!$A$2:$A$122,MATCH(H469,'[1]Sector list'!$B$2:$B$122,0)),"")</f>
        <v/>
      </c>
      <c r="J469" s="172"/>
    </row>
    <row r="470" spans="9:10" x14ac:dyDescent="0.3">
      <c r="I470" t="str">
        <f>_xlfn.IFNA(INDEX('[1]Sector list'!$A$2:$A$122,MATCH(H470,'[1]Sector list'!$B$2:$B$122,0)),"")</f>
        <v/>
      </c>
      <c r="J470" s="172"/>
    </row>
    <row r="471" spans="9:10" x14ac:dyDescent="0.3">
      <c r="I471" t="str">
        <f>_xlfn.IFNA(INDEX('[1]Sector list'!$A$2:$A$122,MATCH(H471,'[1]Sector list'!$B$2:$B$122,0)),"")</f>
        <v/>
      </c>
      <c r="J471" s="172"/>
    </row>
    <row r="472" spans="9:10" x14ac:dyDescent="0.3">
      <c r="I472" t="str">
        <f>_xlfn.IFNA(INDEX('[1]Sector list'!$A$2:$A$122,MATCH(H472,'[1]Sector list'!$B$2:$B$122,0)),"")</f>
        <v/>
      </c>
      <c r="J472" s="172"/>
    </row>
    <row r="473" spans="9:10" x14ac:dyDescent="0.3">
      <c r="I473" t="str">
        <f>_xlfn.IFNA(INDEX('[1]Sector list'!$A$2:$A$122,MATCH(H473,'[1]Sector list'!$B$2:$B$122,0)),"")</f>
        <v/>
      </c>
      <c r="J473" s="172"/>
    </row>
    <row r="474" spans="9:10" x14ac:dyDescent="0.3">
      <c r="I474" t="str">
        <f>_xlfn.IFNA(INDEX('[1]Sector list'!$A$2:$A$122,MATCH(H474,'[1]Sector list'!$B$2:$B$122,0)),"")</f>
        <v/>
      </c>
      <c r="J474" s="172"/>
    </row>
    <row r="475" spans="9:10" x14ac:dyDescent="0.3">
      <c r="I475" t="str">
        <f>_xlfn.IFNA(INDEX('[1]Sector list'!$A$2:$A$122,MATCH(H475,'[1]Sector list'!$B$2:$B$122,0)),"")</f>
        <v/>
      </c>
      <c r="J475" s="172"/>
    </row>
    <row r="476" spans="9:10" x14ac:dyDescent="0.3">
      <c r="I476" t="str">
        <f>_xlfn.IFNA(INDEX('[1]Sector list'!$A$2:$A$122,MATCH(H476,'[1]Sector list'!$B$2:$B$122,0)),"")</f>
        <v/>
      </c>
      <c r="J476" s="172"/>
    </row>
    <row r="477" spans="9:10" x14ac:dyDescent="0.3">
      <c r="I477" t="str">
        <f>_xlfn.IFNA(INDEX('[1]Sector list'!$A$2:$A$122,MATCH(H477,'[1]Sector list'!$B$2:$B$122,0)),"")</f>
        <v/>
      </c>
      <c r="J477" s="172"/>
    </row>
    <row r="478" spans="9:10" x14ac:dyDescent="0.3">
      <c r="I478" t="str">
        <f>_xlfn.IFNA(INDEX('[1]Sector list'!$A$2:$A$122,MATCH(H478,'[1]Sector list'!$B$2:$B$122,0)),"")</f>
        <v/>
      </c>
      <c r="J478" s="172"/>
    </row>
    <row r="479" spans="9:10" x14ac:dyDescent="0.3">
      <c r="I479" t="str">
        <f>_xlfn.IFNA(INDEX('[1]Sector list'!$A$2:$A$122,MATCH(H479,'[1]Sector list'!$B$2:$B$122,0)),"")</f>
        <v/>
      </c>
      <c r="J479" s="172"/>
    </row>
    <row r="480" spans="9:10" x14ac:dyDescent="0.3">
      <c r="I480" t="str">
        <f>_xlfn.IFNA(INDEX('[1]Sector list'!$A$2:$A$122,MATCH(H480,'[1]Sector list'!$B$2:$B$122,0)),"")</f>
        <v/>
      </c>
      <c r="J480" s="172"/>
    </row>
    <row r="481" spans="9:10" x14ac:dyDescent="0.3">
      <c r="I481" t="str">
        <f>_xlfn.IFNA(INDEX('[1]Sector list'!$A$2:$A$122,MATCH(H481,'[1]Sector list'!$B$2:$B$122,0)),"")</f>
        <v/>
      </c>
      <c r="J481" s="172"/>
    </row>
    <row r="482" spans="9:10" x14ac:dyDescent="0.3">
      <c r="I482" t="str">
        <f>_xlfn.IFNA(INDEX('[1]Sector list'!$A$2:$A$122,MATCH(H482,'[1]Sector list'!$B$2:$B$122,0)),"")</f>
        <v/>
      </c>
      <c r="J482" s="172"/>
    </row>
    <row r="483" spans="9:10" x14ac:dyDescent="0.3">
      <c r="I483" t="str">
        <f>_xlfn.IFNA(INDEX('[1]Sector list'!$A$2:$A$122,MATCH(H483,'[1]Sector list'!$B$2:$B$122,0)),"")</f>
        <v/>
      </c>
      <c r="J483" s="172"/>
    </row>
    <row r="484" spans="9:10" x14ac:dyDescent="0.3">
      <c r="I484" t="str">
        <f>_xlfn.IFNA(INDEX('[1]Sector list'!$A$2:$A$122,MATCH(H484,'[1]Sector list'!$B$2:$B$122,0)),"")</f>
        <v/>
      </c>
      <c r="J484" s="172"/>
    </row>
    <row r="485" spans="9:10" x14ac:dyDescent="0.3">
      <c r="I485" t="str">
        <f>_xlfn.IFNA(INDEX('[1]Sector list'!$A$2:$A$122,MATCH(H485,'[1]Sector list'!$B$2:$B$122,0)),"")</f>
        <v/>
      </c>
      <c r="J485" s="172"/>
    </row>
    <row r="486" spans="9:10" x14ac:dyDescent="0.3">
      <c r="I486" t="str">
        <f>_xlfn.IFNA(INDEX('[1]Sector list'!$A$2:$A$122,MATCH(H486,'[1]Sector list'!$B$2:$B$122,0)),"")</f>
        <v/>
      </c>
      <c r="J486" s="172"/>
    </row>
    <row r="487" spans="9:10" x14ac:dyDescent="0.3">
      <c r="I487" t="str">
        <f>_xlfn.IFNA(INDEX('[1]Sector list'!$A$2:$A$122,MATCH(H487,'[1]Sector list'!$B$2:$B$122,0)),"")</f>
        <v/>
      </c>
      <c r="J487" s="172"/>
    </row>
    <row r="488" spans="9:10" x14ac:dyDescent="0.3">
      <c r="I488" t="str">
        <f>_xlfn.IFNA(INDEX('[1]Sector list'!$A$2:$A$122,MATCH(H488,'[1]Sector list'!$B$2:$B$122,0)),"")</f>
        <v/>
      </c>
      <c r="J488" s="172"/>
    </row>
    <row r="489" spans="9:10" x14ac:dyDescent="0.3">
      <c r="I489" t="str">
        <f>_xlfn.IFNA(INDEX('[1]Sector list'!$A$2:$A$122,MATCH(H489,'[1]Sector list'!$B$2:$B$122,0)),"")</f>
        <v/>
      </c>
      <c r="J489" s="172"/>
    </row>
    <row r="490" spans="9:10" x14ac:dyDescent="0.3">
      <c r="I490" t="str">
        <f>_xlfn.IFNA(INDEX('[1]Sector list'!$A$2:$A$122,MATCH(H490,'[1]Sector list'!$B$2:$B$122,0)),"")</f>
        <v/>
      </c>
      <c r="J490" s="172"/>
    </row>
    <row r="491" spans="9:10" x14ac:dyDescent="0.3">
      <c r="I491" t="str">
        <f>_xlfn.IFNA(INDEX('[1]Sector list'!$A$2:$A$122,MATCH(H491,'[1]Sector list'!$B$2:$B$122,0)),"")</f>
        <v/>
      </c>
      <c r="J491" s="172"/>
    </row>
    <row r="492" spans="9:10" x14ac:dyDescent="0.3">
      <c r="I492" t="str">
        <f>_xlfn.IFNA(INDEX('[1]Sector list'!$A$2:$A$122,MATCH(H492,'[1]Sector list'!$B$2:$B$122,0)),"")</f>
        <v/>
      </c>
      <c r="J492" s="172"/>
    </row>
    <row r="493" spans="9:10" x14ac:dyDescent="0.3">
      <c r="I493" t="str">
        <f>_xlfn.IFNA(INDEX('[1]Sector list'!$A$2:$A$122,MATCH(H493,'[1]Sector list'!$B$2:$B$122,0)),"")</f>
        <v/>
      </c>
      <c r="J493" s="172"/>
    </row>
    <row r="494" spans="9:10" x14ac:dyDescent="0.3">
      <c r="I494" t="str">
        <f>_xlfn.IFNA(INDEX('[1]Sector list'!$A$2:$A$122,MATCH(H494,'[1]Sector list'!$B$2:$B$122,0)),"")</f>
        <v/>
      </c>
      <c r="J494" s="172"/>
    </row>
    <row r="495" spans="9:10" x14ac:dyDescent="0.3">
      <c r="I495" t="str">
        <f>_xlfn.IFNA(INDEX('[1]Sector list'!$A$2:$A$122,MATCH(H495,'[1]Sector list'!$B$2:$B$122,0)),"")</f>
        <v/>
      </c>
      <c r="J495" s="172"/>
    </row>
    <row r="496" spans="9:10" x14ac:dyDescent="0.3">
      <c r="I496" t="str">
        <f>_xlfn.IFNA(INDEX('[1]Sector list'!$A$2:$A$122,MATCH(H496,'[1]Sector list'!$B$2:$B$122,0)),"")</f>
        <v/>
      </c>
      <c r="J496" s="172"/>
    </row>
    <row r="497" spans="9:10" x14ac:dyDescent="0.3">
      <c r="I497" t="str">
        <f>_xlfn.IFNA(INDEX('[1]Sector list'!$A$2:$A$122,MATCH(H497,'[1]Sector list'!$B$2:$B$122,0)),"")</f>
        <v/>
      </c>
      <c r="J497" s="172"/>
    </row>
    <row r="498" spans="9:10" x14ac:dyDescent="0.3">
      <c r="I498" t="str">
        <f>_xlfn.IFNA(INDEX('[1]Sector list'!$A$2:$A$122,MATCH(H498,'[1]Sector list'!$B$2:$B$122,0)),"")</f>
        <v/>
      </c>
      <c r="J498" s="172"/>
    </row>
    <row r="499" spans="9:10" x14ac:dyDescent="0.3">
      <c r="I499" t="str">
        <f>_xlfn.IFNA(INDEX('[1]Sector list'!$A$2:$A$122,MATCH(H499,'[1]Sector list'!$B$2:$B$122,0)),"")</f>
        <v/>
      </c>
      <c r="J499" s="172"/>
    </row>
    <row r="500" spans="9:10" x14ac:dyDescent="0.3">
      <c r="I500" t="str">
        <f>_xlfn.IFNA(INDEX('[1]Sector list'!$A$2:$A$122,MATCH(H500,'[1]Sector list'!$B$2:$B$122,0)),"")</f>
        <v/>
      </c>
      <c r="J500" s="172"/>
    </row>
    <row r="501" spans="9:10" x14ac:dyDescent="0.3">
      <c r="I501" t="str">
        <f>_xlfn.IFNA(INDEX('[1]Sector list'!$A$2:$A$122,MATCH(H501,'[1]Sector list'!$B$2:$B$122,0)),"")</f>
        <v/>
      </c>
      <c r="J501" s="172"/>
    </row>
    <row r="502" spans="9:10" x14ac:dyDescent="0.3">
      <c r="I502" t="str">
        <f>_xlfn.IFNA(INDEX('[1]Sector list'!$A$2:$A$122,MATCH(H502,'[1]Sector list'!$B$2:$B$122,0)),"")</f>
        <v/>
      </c>
      <c r="J502" s="172"/>
    </row>
    <row r="503" spans="9:10" x14ac:dyDescent="0.3">
      <c r="I503" t="str">
        <f>_xlfn.IFNA(INDEX('[1]Sector list'!$A$2:$A$122,MATCH(H503,'[1]Sector list'!$B$2:$B$122,0)),"")</f>
        <v/>
      </c>
      <c r="J503" s="172"/>
    </row>
    <row r="504" spans="9:10" x14ac:dyDescent="0.3">
      <c r="I504" t="str">
        <f>_xlfn.IFNA(INDEX('[1]Sector list'!$A$2:$A$122,MATCH(H504,'[1]Sector list'!$B$2:$B$122,0)),"")</f>
        <v/>
      </c>
      <c r="J504" s="172"/>
    </row>
    <row r="505" spans="9:10" x14ac:dyDescent="0.3">
      <c r="I505" t="str">
        <f>_xlfn.IFNA(INDEX('[1]Sector list'!$A$2:$A$122,MATCH(H505,'[1]Sector list'!$B$2:$B$122,0)),"")</f>
        <v/>
      </c>
      <c r="J505" s="172"/>
    </row>
    <row r="506" spans="9:10" x14ac:dyDescent="0.3">
      <c r="I506" t="str">
        <f>_xlfn.IFNA(INDEX('[1]Sector list'!$A$2:$A$122,MATCH(H506,'[1]Sector list'!$B$2:$B$122,0)),"")</f>
        <v/>
      </c>
      <c r="J506" s="172"/>
    </row>
    <row r="507" spans="9:10" x14ac:dyDescent="0.3">
      <c r="I507" t="str">
        <f>_xlfn.IFNA(INDEX('[1]Sector list'!$A$2:$A$122,MATCH(H507,'[1]Sector list'!$B$2:$B$122,0)),"")</f>
        <v/>
      </c>
      <c r="J507" s="172"/>
    </row>
    <row r="508" spans="9:10" x14ac:dyDescent="0.3">
      <c r="I508" t="str">
        <f>_xlfn.IFNA(INDEX('[1]Sector list'!$A$2:$A$122,MATCH(H508,'[1]Sector list'!$B$2:$B$122,0)),"")</f>
        <v/>
      </c>
      <c r="J508" s="172"/>
    </row>
    <row r="509" spans="9:10" x14ac:dyDescent="0.3">
      <c r="I509" t="str">
        <f>_xlfn.IFNA(INDEX('[1]Sector list'!$A$2:$A$122,MATCH(H509,'[1]Sector list'!$B$2:$B$122,0)),"")</f>
        <v/>
      </c>
      <c r="J509" s="172"/>
    </row>
    <row r="510" spans="9:10" x14ac:dyDescent="0.3">
      <c r="I510" t="str">
        <f>_xlfn.IFNA(INDEX('[1]Sector list'!$A$2:$A$122,MATCH(H510,'[1]Sector list'!$B$2:$B$122,0)),"")</f>
        <v/>
      </c>
      <c r="J510" s="172"/>
    </row>
    <row r="511" spans="9:10" x14ac:dyDescent="0.3">
      <c r="I511" t="str">
        <f>_xlfn.IFNA(INDEX('[1]Sector list'!$A$2:$A$122,MATCH(H511,'[1]Sector list'!$B$2:$B$122,0)),"")</f>
        <v/>
      </c>
      <c r="J511" s="172"/>
    </row>
    <row r="512" spans="9:10" x14ac:dyDescent="0.3">
      <c r="I512" t="str">
        <f>_xlfn.IFNA(INDEX('[1]Sector list'!$A$2:$A$122,MATCH(H512,'[1]Sector list'!$B$2:$B$122,0)),"")</f>
        <v/>
      </c>
      <c r="J512" s="172"/>
    </row>
    <row r="513" spans="9:10" x14ac:dyDescent="0.3">
      <c r="I513" t="str">
        <f>_xlfn.IFNA(INDEX('[1]Sector list'!$A$2:$A$122,MATCH(H513,'[1]Sector list'!$B$2:$B$122,0)),"")</f>
        <v/>
      </c>
      <c r="J513" s="172"/>
    </row>
    <row r="514" spans="9:10" x14ac:dyDescent="0.3">
      <c r="I514" t="str">
        <f>_xlfn.IFNA(INDEX('[1]Sector list'!$A$2:$A$122,MATCH(H514,'[1]Sector list'!$B$2:$B$122,0)),"")</f>
        <v/>
      </c>
      <c r="J514" s="172"/>
    </row>
    <row r="515" spans="9:10" x14ac:dyDescent="0.3">
      <c r="I515" t="str">
        <f>_xlfn.IFNA(INDEX('[1]Sector list'!$A$2:$A$122,MATCH(H515,'[1]Sector list'!$B$2:$B$122,0)),"")</f>
        <v/>
      </c>
      <c r="J515" s="172"/>
    </row>
    <row r="516" spans="9:10" x14ac:dyDescent="0.3">
      <c r="I516" t="str">
        <f>_xlfn.IFNA(INDEX('[1]Sector list'!$A$2:$A$122,MATCH(H516,'[1]Sector list'!$B$2:$B$122,0)),"")</f>
        <v/>
      </c>
      <c r="J516" s="172"/>
    </row>
    <row r="517" spans="9:10" x14ac:dyDescent="0.3">
      <c r="I517" t="str">
        <f>_xlfn.IFNA(INDEX('[1]Sector list'!$A$2:$A$122,MATCH(H517,'[1]Sector list'!$B$2:$B$122,0)),"")</f>
        <v/>
      </c>
      <c r="J517" s="172"/>
    </row>
    <row r="518" spans="9:10" x14ac:dyDescent="0.3">
      <c r="I518" t="str">
        <f>_xlfn.IFNA(INDEX('[1]Sector list'!$A$2:$A$122,MATCH(H518,'[1]Sector list'!$B$2:$B$122,0)),"")</f>
        <v/>
      </c>
      <c r="J518" s="172"/>
    </row>
    <row r="519" spans="9:10" x14ac:dyDescent="0.3">
      <c r="I519" t="str">
        <f>_xlfn.IFNA(INDEX('[1]Sector list'!$A$2:$A$122,MATCH(H519,'[1]Sector list'!$B$2:$B$122,0)),"")</f>
        <v/>
      </c>
      <c r="J519" s="172"/>
    </row>
    <row r="520" spans="9:10" x14ac:dyDescent="0.3">
      <c r="I520" t="str">
        <f>_xlfn.IFNA(INDEX('[1]Sector list'!$A$2:$A$122,MATCH(H520,'[1]Sector list'!$B$2:$B$122,0)),"")</f>
        <v/>
      </c>
      <c r="J520" s="172"/>
    </row>
    <row r="521" spans="9:10" x14ac:dyDescent="0.3">
      <c r="I521" t="str">
        <f>_xlfn.IFNA(INDEX('[1]Sector list'!$A$2:$A$122,MATCH(H521,'[1]Sector list'!$B$2:$B$122,0)),"")</f>
        <v/>
      </c>
      <c r="J521" s="172"/>
    </row>
    <row r="522" spans="9:10" x14ac:dyDescent="0.3">
      <c r="I522" t="str">
        <f>_xlfn.IFNA(INDEX('[1]Sector list'!$A$2:$A$122,MATCH(H522,'[1]Sector list'!$B$2:$B$122,0)),"")</f>
        <v/>
      </c>
      <c r="J522" s="172"/>
    </row>
    <row r="523" spans="9:10" x14ac:dyDescent="0.3">
      <c r="I523" t="str">
        <f>_xlfn.IFNA(INDEX('[1]Sector list'!$A$2:$A$122,MATCH(H523,'[1]Sector list'!$B$2:$B$122,0)),"")</f>
        <v/>
      </c>
      <c r="J523" s="172"/>
    </row>
    <row r="524" spans="9:10" x14ac:dyDescent="0.3">
      <c r="I524" t="str">
        <f>_xlfn.IFNA(INDEX('[1]Sector list'!$A$2:$A$122,MATCH(H524,'[1]Sector list'!$B$2:$B$122,0)),"")</f>
        <v/>
      </c>
      <c r="J524" s="172"/>
    </row>
    <row r="525" spans="9:10" x14ac:dyDescent="0.3">
      <c r="I525" t="str">
        <f>_xlfn.IFNA(INDEX('[1]Sector list'!$A$2:$A$122,MATCH(H525,'[1]Sector list'!$B$2:$B$122,0)),"")</f>
        <v/>
      </c>
      <c r="J525" s="172"/>
    </row>
    <row r="526" spans="9:10" x14ac:dyDescent="0.3">
      <c r="I526" t="str">
        <f>_xlfn.IFNA(INDEX('[1]Sector list'!$A$2:$A$122,MATCH(H526,'[1]Sector list'!$B$2:$B$122,0)),"")</f>
        <v/>
      </c>
      <c r="J526" s="172"/>
    </row>
    <row r="527" spans="9:10" x14ac:dyDescent="0.3">
      <c r="I527" t="str">
        <f>_xlfn.IFNA(INDEX('[1]Sector list'!$A$2:$A$122,MATCH(H527,'[1]Sector list'!$B$2:$B$122,0)),"")</f>
        <v/>
      </c>
      <c r="J527" s="172"/>
    </row>
    <row r="528" spans="9:10" x14ac:dyDescent="0.3">
      <c r="I528" t="str">
        <f>_xlfn.IFNA(INDEX('[1]Sector list'!$A$2:$A$122,MATCH(H528,'[1]Sector list'!$B$2:$B$122,0)),"")</f>
        <v/>
      </c>
      <c r="J528" s="172"/>
    </row>
    <row r="529" spans="9:10" x14ac:dyDescent="0.3">
      <c r="I529" t="str">
        <f>_xlfn.IFNA(INDEX('[1]Sector list'!$A$2:$A$122,MATCH(H529,'[1]Sector list'!$B$2:$B$122,0)),"")</f>
        <v/>
      </c>
      <c r="J529" s="172"/>
    </row>
    <row r="530" spans="9:10" x14ac:dyDescent="0.3">
      <c r="I530" t="str">
        <f>_xlfn.IFNA(INDEX('[1]Sector list'!$A$2:$A$122,MATCH(H530,'[1]Sector list'!$B$2:$B$122,0)),"")</f>
        <v/>
      </c>
      <c r="J530" s="172"/>
    </row>
    <row r="531" spans="9:10" x14ac:dyDescent="0.3">
      <c r="I531" t="str">
        <f>_xlfn.IFNA(INDEX('[1]Sector list'!$A$2:$A$122,MATCH(H531,'[1]Sector list'!$B$2:$B$122,0)),"")</f>
        <v/>
      </c>
      <c r="J531" s="172"/>
    </row>
    <row r="532" spans="9:10" x14ac:dyDescent="0.3">
      <c r="I532" t="str">
        <f>_xlfn.IFNA(INDEX('[1]Sector list'!$A$2:$A$122,MATCH(H532,'[1]Sector list'!$B$2:$B$122,0)),"")</f>
        <v/>
      </c>
      <c r="J532" s="172"/>
    </row>
    <row r="533" spans="9:10" x14ac:dyDescent="0.3">
      <c r="I533" t="str">
        <f>_xlfn.IFNA(INDEX('[1]Sector list'!$A$2:$A$122,MATCH(H533,'[1]Sector list'!$B$2:$B$122,0)),"")</f>
        <v/>
      </c>
      <c r="J533" s="172"/>
    </row>
    <row r="534" spans="9:10" x14ac:dyDescent="0.3">
      <c r="I534" t="str">
        <f>_xlfn.IFNA(INDEX('[1]Sector list'!$A$2:$A$122,MATCH(H534,'[1]Sector list'!$B$2:$B$122,0)),"")</f>
        <v/>
      </c>
      <c r="J534" s="172"/>
    </row>
    <row r="535" spans="9:10" x14ac:dyDescent="0.3">
      <c r="I535" t="str">
        <f>_xlfn.IFNA(INDEX('[1]Sector list'!$A$2:$A$122,MATCH(H535,'[1]Sector list'!$B$2:$B$122,0)),"")</f>
        <v/>
      </c>
      <c r="J535" s="172"/>
    </row>
    <row r="536" spans="9:10" x14ac:dyDescent="0.3">
      <c r="I536" t="str">
        <f>_xlfn.IFNA(INDEX('[1]Sector list'!$A$2:$A$122,MATCH(H536,'[1]Sector list'!$B$2:$B$122,0)),"")</f>
        <v/>
      </c>
      <c r="J536" s="172"/>
    </row>
    <row r="537" spans="9:10" x14ac:dyDescent="0.3">
      <c r="I537" t="str">
        <f>_xlfn.IFNA(INDEX('[1]Sector list'!$A$2:$A$122,MATCH(H537,'[1]Sector list'!$B$2:$B$122,0)),"")</f>
        <v/>
      </c>
      <c r="J537" s="172"/>
    </row>
    <row r="538" spans="9:10" x14ac:dyDescent="0.3">
      <c r="I538" t="str">
        <f>_xlfn.IFNA(INDEX('[1]Sector list'!$A$2:$A$122,MATCH(H538,'[1]Sector list'!$B$2:$B$122,0)),"")</f>
        <v/>
      </c>
      <c r="J538" s="172"/>
    </row>
    <row r="539" spans="9:10" x14ac:dyDescent="0.3">
      <c r="I539" t="str">
        <f>_xlfn.IFNA(INDEX('[1]Sector list'!$A$2:$A$122,MATCH(H539,'[1]Sector list'!$B$2:$B$122,0)),"")</f>
        <v/>
      </c>
      <c r="J539" s="172"/>
    </row>
    <row r="540" spans="9:10" x14ac:dyDescent="0.3">
      <c r="I540" t="str">
        <f>_xlfn.IFNA(INDEX('[1]Sector list'!$A$2:$A$122,MATCH(H540,'[1]Sector list'!$B$2:$B$122,0)),"")</f>
        <v/>
      </c>
      <c r="J540" s="172"/>
    </row>
    <row r="541" spans="9:10" x14ac:dyDescent="0.3">
      <c r="I541" t="str">
        <f>_xlfn.IFNA(INDEX('[1]Sector list'!$A$2:$A$122,MATCH(H541,'[1]Sector list'!$B$2:$B$122,0)),"")</f>
        <v/>
      </c>
      <c r="J541" s="172"/>
    </row>
    <row r="542" spans="9:10" x14ac:dyDescent="0.3">
      <c r="I542" t="str">
        <f>_xlfn.IFNA(INDEX('[1]Sector list'!$A$2:$A$122,MATCH(H542,'[1]Sector list'!$B$2:$B$122,0)),"")</f>
        <v/>
      </c>
      <c r="J542" s="172"/>
    </row>
    <row r="543" spans="9:10" x14ac:dyDescent="0.3">
      <c r="I543" t="str">
        <f>_xlfn.IFNA(INDEX('[1]Sector list'!$A$2:$A$122,MATCH(H543,'[1]Sector list'!$B$2:$B$122,0)),"")</f>
        <v/>
      </c>
      <c r="J543" s="172"/>
    </row>
    <row r="544" spans="9:10" x14ac:dyDescent="0.3">
      <c r="I544" t="str">
        <f>_xlfn.IFNA(INDEX('[1]Sector list'!$A$2:$A$122,MATCH(H544,'[1]Sector list'!$B$2:$B$122,0)),"")</f>
        <v/>
      </c>
      <c r="J544" s="172"/>
    </row>
    <row r="545" spans="9:10" x14ac:dyDescent="0.3">
      <c r="I545" t="str">
        <f>_xlfn.IFNA(INDEX('[1]Sector list'!$A$2:$A$122,MATCH(H545,'[1]Sector list'!$B$2:$B$122,0)),"")</f>
        <v/>
      </c>
      <c r="J545" s="172"/>
    </row>
    <row r="546" spans="9:10" x14ac:dyDescent="0.3">
      <c r="I546" t="str">
        <f>_xlfn.IFNA(INDEX('[1]Sector list'!$A$2:$A$122,MATCH(H546,'[1]Sector list'!$B$2:$B$122,0)),"")</f>
        <v/>
      </c>
      <c r="J546" s="172"/>
    </row>
    <row r="547" spans="9:10" x14ac:dyDescent="0.3">
      <c r="I547" t="str">
        <f>_xlfn.IFNA(INDEX('[1]Sector list'!$A$2:$A$122,MATCH(H547,'[1]Sector list'!$B$2:$B$122,0)),"")</f>
        <v/>
      </c>
      <c r="J547" s="172"/>
    </row>
    <row r="548" spans="9:10" x14ac:dyDescent="0.3">
      <c r="I548" t="str">
        <f>_xlfn.IFNA(INDEX('[1]Sector list'!$A$2:$A$122,MATCH(H548,'[1]Sector list'!$B$2:$B$122,0)),"")</f>
        <v/>
      </c>
      <c r="J548" s="172"/>
    </row>
    <row r="549" spans="9:10" x14ac:dyDescent="0.3">
      <c r="I549" t="str">
        <f>_xlfn.IFNA(INDEX('[1]Sector list'!$A$2:$A$122,MATCH(H549,'[1]Sector list'!$B$2:$B$122,0)),"")</f>
        <v/>
      </c>
      <c r="J549" s="172"/>
    </row>
    <row r="550" spans="9:10" x14ac:dyDescent="0.3">
      <c r="I550" t="str">
        <f>_xlfn.IFNA(INDEX('[1]Sector list'!$A$2:$A$122,MATCH(H550,'[1]Sector list'!$B$2:$B$122,0)),"")</f>
        <v/>
      </c>
      <c r="J550" s="172"/>
    </row>
    <row r="551" spans="9:10" x14ac:dyDescent="0.3">
      <c r="I551" t="str">
        <f>_xlfn.IFNA(INDEX('[1]Sector list'!$A$2:$A$122,MATCH(H551,'[1]Sector list'!$B$2:$B$122,0)),"")</f>
        <v/>
      </c>
      <c r="J551" s="172"/>
    </row>
    <row r="552" spans="9:10" x14ac:dyDescent="0.3">
      <c r="I552" t="str">
        <f>_xlfn.IFNA(INDEX('[1]Sector list'!$A$2:$A$122,MATCH(H552,'[1]Sector list'!$B$2:$B$122,0)),"")</f>
        <v/>
      </c>
      <c r="J552" s="172"/>
    </row>
    <row r="553" spans="9:10" x14ac:dyDescent="0.3">
      <c r="I553" t="str">
        <f>_xlfn.IFNA(INDEX('[1]Sector list'!$A$2:$A$122,MATCH(H553,'[1]Sector list'!$B$2:$B$122,0)),"")</f>
        <v/>
      </c>
      <c r="J553" s="172"/>
    </row>
    <row r="554" spans="9:10" x14ac:dyDescent="0.3">
      <c r="I554" t="str">
        <f>_xlfn.IFNA(INDEX('[1]Sector list'!$A$2:$A$122,MATCH(H554,'[1]Sector list'!$B$2:$B$122,0)),"")</f>
        <v/>
      </c>
      <c r="J554" s="172"/>
    </row>
    <row r="555" spans="9:10" x14ac:dyDescent="0.3">
      <c r="I555" t="str">
        <f>_xlfn.IFNA(INDEX('[1]Sector list'!$A$2:$A$122,MATCH(H555,'[1]Sector list'!$B$2:$B$122,0)),"")</f>
        <v/>
      </c>
      <c r="J555" s="172"/>
    </row>
    <row r="556" spans="9:10" x14ac:dyDescent="0.3">
      <c r="I556" t="str">
        <f>_xlfn.IFNA(INDEX('[1]Sector list'!$A$2:$A$122,MATCH(H556,'[1]Sector list'!$B$2:$B$122,0)),"")</f>
        <v/>
      </c>
      <c r="J556" s="172"/>
    </row>
    <row r="557" spans="9:10" x14ac:dyDescent="0.3">
      <c r="I557" t="str">
        <f>_xlfn.IFNA(INDEX('[1]Sector list'!$A$2:$A$122,MATCH(H557,'[1]Sector list'!$B$2:$B$122,0)),"")</f>
        <v/>
      </c>
      <c r="J557" s="172"/>
    </row>
    <row r="558" spans="9:10" x14ac:dyDescent="0.3">
      <c r="I558" t="str">
        <f>_xlfn.IFNA(INDEX('[1]Sector list'!$A$2:$A$122,MATCH(H558,'[1]Sector list'!$B$2:$B$122,0)),"")</f>
        <v/>
      </c>
      <c r="J558" s="172"/>
    </row>
    <row r="559" spans="9:10" x14ac:dyDescent="0.3">
      <c r="I559" t="str">
        <f>_xlfn.IFNA(INDEX('[1]Sector list'!$A$2:$A$122,MATCH(H559,'[1]Sector list'!$B$2:$B$122,0)),"")</f>
        <v/>
      </c>
      <c r="J559" s="172"/>
    </row>
    <row r="560" spans="9:10" x14ac:dyDescent="0.3">
      <c r="I560" t="str">
        <f>_xlfn.IFNA(INDEX('[1]Sector list'!$A$2:$A$122,MATCH(H560,'[1]Sector list'!$B$2:$B$122,0)),"")</f>
        <v/>
      </c>
      <c r="J560" s="172"/>
    </row>
    <row r="561" spans="9:10" x14ac:dyDescent="0.3">
      <c r="I561" t="str">
        <f>_xlfn.IFNA(INDEX('[1]Sector list'!$A$2:$A$122,MATCH(H561,'[1]Sector list'!$B$2:$B$122,0)),"")</f>
        <v/>
      </c>
      <c r="J561" s="172"/>
    </row>
    <row r="562" spans="9:10" x14ac:dyDescent="0.3">
      <c r="I562" t="str">
        <f>_xlfn.IFNA(INDEX('[1]Sector list'!$A$2:$A$122,MATCH(H562,'[1]Sector list'!$B$2:$B$122,0)),"")</f>
        <v/>
      </c>
      <c r="J562" s="172"/>
    </row>
    <row r="563" spans="9:10" x14ac:dyDescent="0.3">
      <c r="I563" t="str">
        <f>_xlfn.IFNA(INDEX('[1]Sector list'!$A$2:$A$122,MATCH(H563,'[1]Sector list'!$B$2:$B$122,0)),"")</f>
        <v/>
      </c>
      <c r="J563" s="172"/>
    </row>
    <row r="564" spans="9:10" x14ac:dyDescent="0.3">
      <c r="I564" t="str">
        <f>_xlfn.IFNA(INDEX('[1]Sector list'!$A$2:$A$122,MATCH(H564,'[1]Sector list'!$B$2:$B$122,0)),"")</f>
        <v/>
      </c>
      <c r="J564" s="172"/>
    </row>
    <row r="565" spans="9:10" x14ac:dyDescent="0.3">
      <c r="I565" t="str">
        <f>_xlfn.IFNA(INDEX('[1]Sector list'!$A$2:$A$122,MATCH(H565,'[1]Sector list'!$B$2:$B$122,0)),"")</f>
        <v/>
      </c>
      <c r="J565" s="172"/>
    </row>
    <row r="566" spans="9:10" x14ac:dyDescent="0.3">
      <c r="I566" t="str">
        <f>_xlfn.IFNA(INDEX('[1]Sector list'!$A$2:$A$122,MATCH(H566,'[1]Sector list'!$B$2:$B$122,0)),"")</f>
        <v/>
      </c>
      <c r="J566" s="172"/>
    </row>
    <row r="567" spans="9:10" x14ac:dyDescent="0.3">
      <c r="I567" t="str">
        <f>_xlfn.IFNA(INDEX('[1]Sector list'!$A$2:$A$122,MATCH(H567,'[1]Sector list'!$B$2:$B$122,0)),"")</f>
        <v/>
      </c>
      <c r="J567" s="172"/>
    </row>
    <row r="568" spans="9:10" x14ac:dyDescent="0.3">
      <c r="I568" t="str">
        <f>_xlfn.IFNA(INDEX('[1]Sector list'!$A$2:$A$122,MATCH(H568,'[1]Sector list'!$B$2:$B$122,0)),"")</f>
        <v/>
      </c>
      <c r="J568" s="172"/>
    </row>
    <row r="569" spans="9:10" x14ac:dyDescent="0.3">
      <c r="I569" t="str">
        <f>_xlfn.IFNA(INDEX('[1]Sector list'!$A$2:$A$122,MATCH(H569,'[1]Sector list'!$B$2:$B$122,0)),"")</f>
        <v/>
      </c>
      <c r="J569" s="172"/>
    </row>
    <row r="570" spans="9:10" x14ac:dyDescent="0.3">
      <c r="I570" t="str">
        <f>_xlfn.IFNA(INDEX('[1]Sector list'!$A$2:$A$122,MATCH(H570,'[1]Sector list'!$B$2:$B$122,0)),"")</f>
        <v/>
      </c>
      <c r="J570" s="172"/>
    </row>
    <row r="571" spans="9:10" x14ac:dyDescent="0.3">
      <c r="I571" t="str">
        <f>_xlfn.IFNA(INDEX('[1]Sector list'!$A$2:$A$122,MATCH(H571,'[1]Sector list'!$B$2:$B$122,0)),"")</f>
        <v/>
      </c>
      <c r="J571" s="172"/>
    </row>
    <row r="572" spans="9:10" x14ac:dyDescent="0.3">
      <c r="I572" t="str">
        <f>_xlfn.IFNA(INDEX('[1]Sector list'!$A$2:$A$122,MATCH(H572,'[1]Sector list'!$B$2:$B$122,0)),"")</f>
        <v/>
      </c>
      <c r="J572" s="172"/>
    </row>
    <row r="573" spans="9:10" x14ac:dyDescent="0.3">
      <c r="I573" t="str">
        <f>_xlfn.IFNA(INDEX('[1]Sector list'!$A$2:$A$122,MATCH(H573,'[1]Sector list'!$B$2:$B$122,0)),"")</f>
        <v/>
      </c>
      <c r="J573" s="172"/>
    </row>
    <row r="574" spans="9:10" x14ac:dyDescent="0.3">
      <c r="I574" t="str">
        <f>_xlfn.IFNA(INDEX('[1]Sector list'!$A$2:$A$122,MATCH(H574,'[1]Sector list'!$B$2:$B$122,0)),"")</f>
        <v/>
      </c>
      <c r="J574" s="172"/>
    </row>
    <row r="575" spans="9:10" x14ac:dyDescent="0.3">
      <c r="I575" t="str">
        <f>_xlfn.IFNA(INDEX('[1]Sector list'!$A$2:$A$122,MATCH(H575,'[1]Sector list'!$B$2:$B$122,0)),"")</f>
        <v/>
      </c>
      <c r="J575" s="172"/>
    </row>
    <row r="576" spans="9:10" x14ac:dyDescent="0.3">
      <c r="I576" t="str">
        <f>_xlfn.IFNA(INDEX('[1]Sector list'!$A$2:$A$122,MATCH(H576,'[1]Sector list'!$B$2:$B$122,0)),"")</f>
        <v/>
      </c>
      <c r="J576" s="172"/>
    </row>
    <row r="577" spans="9:10" x14ac:dyDescent="0.3">
      <c r="I577" t="str">
        <f>_xlfn.IFNA(INDEX('[1]Sector list'!$A$2:$A$122,MATCH(H577,'[1]Sector list'!$B$2:$B$122,0)),"")</f>
        <v/>
      </c>
      <c r="J577" s="172"/>
    </row>
    <row r="578" spans="9:10" x14ac:dyDescent="0.3">
      <c r="I578" t="str">
        <f>_xlfn.IFNA(INDEX('[1]Sector list'!$A$2:$A$122,MATCH(H578,'[1]Sector list'!$B$2:$B$122,0)),"")</f>
        <v/>
      </c>
      <c r="J578" s="172"/>
    </row>
    <row r="579" spans="9:10" x14ac:dyDescent="0.3">
      <c r="I579" t="str">
        <f>_xlfn.IFNA(INDEX('[1]Sector list'!$A$2:$A$122,MATCH(H579,'[1]Sector list'!$B$2:$B$122,0)),"")</f>
        <v/>
      </c>
      <c r="J579" s="172"/>
    </row>
    <row r="580" spans="9:10" x14ac:dyDescent="0.3">
      <c r="I580" t="str">
        <f>_xlfn.IFNA(INDEX('[1]Sector list'!$A$2:$A$122,MATCH(H580,'[1]Sector list'!$B$2:$B$122,0)),"")</f>
        <v/>
      </c>
      <c r="J580" s="172"/>
    </row>
    <row r="581" spans="9:10" x14ac:dyDescent="0.3">
      <c r="I581" t="str">
        <f>_xlfn.IFNA(INDEX('[1]Sector list'!$A$2:$A$122,MATCH(H581,'[1]Sector list'!$B$2:$B$122,0)),"")</f>
        <v/>
      </c>
      <c r="J581" s="172"/>
    </row>
    <row r="582" spans="9:10" x14ac:dyDescent="0.3">
      <c r="I582" t="str">
        <f>_xlfn.IFNA(INDEX('[1]Sector list'!$A$2:$A$122,MATCH(H582,'[1]Sector list'!$B$2:$B$122,0)),"")</f>
        <v/>
      </c>
      <c r="J582" s="172"/>
    </row>
    <row r="583" spans="9:10" x14ac:dyDescent="0.3">
      <c r="I583" t="str">
        <f>_xlfn.IFNA(INDEX('[1]Sector list'!$A$2:$A$122,MATCH(H583,'[1]Sector list'!$B$2:$B$122,0)),"")</f>
        <v/>
      </c>
      <c r="J583" s="172"/>
    </row>
    <row r="584" spans="9:10" x14ac:dyDescent="0.3">
      <c r="I584" t="str">
        <f>_xlfn.IFNA(INDEX('[1]Sector list'!$A$2:$A$122,MATCH(H584,'[1]Sector list'!$B$2:$B$122,0)),"")</f>
        <v/>
      </c>
      <c r="J584" s="172"/>
    </row>
    <row r="585" spans="9:10" x14ac:dyDescent="0.3">
      <c r="I585" t="str">
        <f>_xlfn.IFNA(INDEX('[1]Sector list'!$A$2:$A$122,MATCH(H585,'[1]Sector list'!$B$2:$B$122,0)),"")</f>
        <v/>
      </c>
      <c r="J585" s="172"/>
    </row>
    <row r="586" spans="9:10" x14ac:dyDescent="0.3">
      <c r="I586" t="str">
        <f>_xlfn.IFNA(INDEX('[1]Sector list'!$A$2:$A$122,MATCH(H586,'[1]Sector list'!$B$2:$B$122,0)),"")</f>
        <v/>
      </c>
      <c r="J586" s="172"/>
    </row>
    <row r="587" spans="9:10" x14ac:dyDescent="0.3">
      <c r="I587" t="str">
        <f>_xlfn.IFNA(INDEX('[1]Sector list'!$A$2:$A$122,MATCH(H587,'[1]Sector list'!$B$2:$B$122,0)),"")</f>
        <v/>
      </c>
      <c r="J587" s="172"/>
    </row>
    <row r="588" spans="9:10" x14ac:dyDescent="0.3">
      <c r="I588" t="str">
        <f>_xlfn.IFNA(INDEX('[1]Sector list'!$A$2:$A$122,MATCH(H588,'[1]Sector list'!$B$2:$B$122,0)),"")</f>
        <v/>
      </c>
      <c r="J588" s="172"/>
    </row>
    <row r="589" spans="9:10" x14ac:dyDescent="0.3">
      <c r="I589" t="str">
        <f>_xlfn.IFNA(INDEX('[1]Sector list'!$A$2:$A$122,MATCH(H589,'[1]Sector list'!$B$2:$B$122,0)),"")</f>
        <v/>
      </c>
      <c r="J589" s="172"/>
    </row>
    <row r="590" spans="9:10" x14ac:dyDescent="0.3">
      <c r="I590" t="str">
        <f>_xlfn.IFNA(INDEX('[1]Sector list'!$A$2:$A$122,MATCH(H590,'[1]Sector list'!$B$2:$B$122,0)),"")</f>
        <v/>
      </c>
      <c r="J590" s="172"/>
    </row>
    <row r="591" spans="9:10" x14ac:dyDescent="0.3">
      <c r="I591" t="str">
        <f>_xlfn.IFNA(INDEX('[1]Sector list'!$A$2:$A$122,MATCH(H591,'[1]Sector list'!$B$2:$B$122,0)),"")</f>
        <v/>
      </c>
      <c r="J591" s="172"/>
    </row>
    <row r="592" spans="9:10" x14ac:dyDescent="0.3">
      <c r="I592" t="str">
        <f>_xlfn.IFNA(INDEX('[1]Sector list'!$A$2:$A$122,MATCH(H592,'[1]Sector list'!$B$2:$B$122,0)),"")</f>
        <v/>
      </c>
      <c r="J592" s="172"/>
    </row>
    <row r="593" spans="9:10" x14ac:dyDescent="0.3">
      <c r="I593" t="str">
        <f>_xlfn.IFNA(INDEX('[1]Sector list'!$A$2:$A$122,MATCH(H593,'[1]Sector list'!$B$2:$B$122,0)),"")</f>
        <v/>
      </c>
      <c r="J593" s="172"/>
    </row>
    <row r="594" spans="9:10" x14ac:dyDescent="0.3">
      <c r="I594" t="str">
        <f>_xlfn.IFNA(INDEX('[1]Sector list'!$A$2:$A$122,MATCH(H594,'[1]Sector list'!$B$2:$B$122,0)),"")</f>
        <v/>
      </c>
      <c r="J594" s="172"/>
    </row>
    <row r="595" spans="9:10" x14ac:dyDescent="0.3">
      <c r="I595" t="str">
        <f>_xlfn.IFNA(INDEX('[1]Sector list'!$A$2:$A$122,MATCH(H595,'[1]Sector list'!$B$2:$B$122,0)),"")</f>
        <v/>
      </c>
      <c r="J595" s="172"/>
    </row>
    <row r="596" spans="9:10" x14ac:dyDescent="0.3">
      <c r="I596" t="str">
        <f>_xlfn.IFNA(INDEX('[1]Sector list'!$A$2:$A$122,MATCH(H596,'[1]Sector list'!$B$2:$B$122,0)),"")</f>
        <v/>
      </c>
      <c r="J596" s="172"/>
    </row>
    <row r="597" spans="9:10" x14ac:dyDescent="0.3">
      <c r="I597" t="str">
        <f>_xlfn.IFNA(INDEX('[1]Sector list'!$A$2:$A$122,MATCH(H597,'[1]Sector list'!$B$2:$B$122,0)),"")</f>
        <v/>
      </c>
      <c r="J597" s="172"/>
    </row>
    <row r="598" spans="9:10" x14ac:dyDescent="0.3">
      <c r="I598" t="str">
        <f>_xlfn.IFNA(INDEX('[1]Sector list'!$A$2:$A$122,MATCH(H598,'[1]Sector list'!$B$2:$B$122,0)),"")</f>
        <v/>
      </c>
      <c r="J598" s="172"/>
    </row>
    <row r="599" spans="9:10" x14ac:dyDescent="0.3">
      <c r="I599" t="str">
        <f>_xlfn.IFNA(INDEX('[1]Sector list'!$A$2:$A$122,MATCH(H599,'[1]Sector list'!$B$2:$B$122,0)),"")</f>
        <v/>
      </c>
      <c r="J599" s="172"/>
    </row>
    <row r="600" spans="9:10" x14ac:dyDescent="0.3">
      <c r="I600" t="str">
        <f>_xlfn.IFNA(INDEX('[1]Sector list'!$A$2:$A$122,MATCH(H600,'[1]Sector list'!$B$2:$B$122,0)),"")</f>
        <v/>
      </c>
      <c r="J600" s="172"/>
    </row>
    <row r="601" spans="9:10" x14ac:dyDescent="0.3">
      <c r="I601" t="str">
        <f>_xlfn.IFNA(INDEX('[1]Sector list'!$A$2:$A$122,MATCH(H601,'[1]Sector list'!$B$2:$B$122,0)),"")</f>
        <v/>
      </c>
      <c r="J601" s="172"/>
    </row>
    <row r="602" spans="9:10" x14ac:dyDescent="0.3">
      <c r="I602" t="str">
        <f>_xlfn.IFNA(INDEX('[1]Sector list'!$A$2:$A$122,MATCH(H602,'[1]Sector list'!$B$2:$B$122,0)),"")</f>
        <v/>
      </c>
      <c r="J602" s="172"/>
    </row>
    <row r="603" spans="9:10" x14ac:dyDescent="0.3">
      <c r="I603" t="str">
        <f>_xlfn.IFNA(INDEX('[1]Sector list'!$A$2:$A$122,MATCH(H603,'[1]Sector list'!$B$2:$B$122,0)),"")</f>
        <v/>
      </c>
      <c r="J603" s="172"/>
    </row>
    <row r="604" spans="9:10" x14ac:dyDescent="0.3">
      <c r="I604" t="str">
        <f>_xlfn.IFNA(INDEX('[1]Sector list'!$A$2:$A$122,MATCH(H604,'[1]Sector list'!$B$2:$B$122,0)),"")</f>
        <v/>
      </c>
      <c r="J604" s="172"/>
    </row>
    <row r="605" spans="9:10" x14ac:dyDescent="0.3">
      <c r="I605" t="str">
        <f>_xlfn.IFNA(INDEX('[1]Sector list'!$A$2:$A$122,MATCH(H605,'[1]Sector list'!$B$2:$B$122,0)),"")</f>
        <v/>
      </c>
      <c r="J605" s="172"/>
    </row>
    <row r="606" spans="9:10" x14ac:dyDescent="0.3">
      <c r="I606" t="str">
        <f>_xlfn.IFNA(INDEX('[1]Sector list'!$A$2:$A$122,MATCH(H606,'[1]Sector list'!$B$2:$B$122,0)),"")</f>
        <v/>
      </c>
      <c r="J606" s="172"/>
    </row>
    <row r="607" spans="9:10" x14ac:dyDescent="0.3">
      <c r="I607" t="str">
        <f>_xlfn.IFNA(INDEX('[1]Sector list'!$A$2:$A$122,MATCH(H607,'[1]Sector list'!$B$2:$B$122,0)),"")</f>
        <v/>
      </c>
      <c r="J607" s="172"/>
    </row>
    <row r="608" spans="9:10" x14ac:dyDescent="0.3">
      <c r="I608" t="str">
        <f>_xlfn.IFNA(INDEX('[1]Sector list'!$A$2:$A$122,MATCH(H608,'[1]Sector list'!$B$2:$B$122,0)),"")</f>
        <v/>
      </c>
      <c r="J608" s="172"/>
    </row>
    <row r="609" spans="9:10" x14ac:dyDescent="0.3">
      <c r="I609" t="str">
        <f>_xlfn.IFNA(INDEX('[1]Sector list'!$A$2:$A$122,MATCH(H609,'[1]Sector list'!$B$2:$B$122,0)),"")</f>
        <v/>
      </c>
      <c r="J609" s="172"/>
    </row>
    <row r="610" spans="9:10" x14ac:dyDescent="0.3">
      <c r="I610" t="str">
        <f>_xlfn.IFNA(INDEX('[1]Sector list'!$A$2:$A$122,MATCH(H610,'[1]Sector list'!$B$2:$B$122,0)),"")</f>
        <v/>
      </c>
      <c r="J610" s="172"/>
    </row>
    <row r="611" spans="9:10" x14ac:dyDescent="0.3">
      <c r="I611" t="str">
        <f>_xlfn.IFNA(INDEX('[1]Sector list'!$A$2:$A$122,MATCH(H611,'[1]Sector list'!$B$2:$B$122,0)),"")</f>
        <v/>
      </c>
      <c r="J611" s="172"/>
    </row>
    <row r="612" spans="9:10" x14ac:dyDescent="0.3">
      <c r="I612" t="str">
        <f>_xlfn.IFNA(INDEX('[1]Sector list'!$A$2:$A$122,MATCH(H612,'[1]Sector list'!$B$2:$B$122,0)),"")</f>
        <v/>
      </c>
      <c r="J612" s="172"/>
    </row>
    <row r="613" spans="9:10" x14ac:dyDescent="0.3">
      <c r="I613" t="str">
        <f>_xlfn.IFNA(INDEX('[1]Sector list'!$A$2:$A$122,MATCH(H613,'[1]Sector list'!$B$2:$B$122,0)),"")</f>
        <v/>
      </c>
      <c r="J613" s="172"/>
    </row>
    <row r="614" spans="9:10" x14ac:dyDescent="0.3">
      <c r="I614" t="str">
        <f>_xlfn.IFNA(INDEX('[1]Sector list'!$A$2:$A$122,MATCH(H614,'[1]Sector list'!$B$2:$B$122,0)),"")</f>
        <v/>
      </c>
      <c r="J614" s="172"/>
    </row>
    <row r="615" spans="9:10" x14ac:dyDescent="0.3">
      <c r="I615" t="str">
        <f>_xlfn.IFNA(INDEX('[1]Sector list'!$A$2:$A$122,MATCH(H615,'[1]Sector list'!$B$2:$B$122,0)),"")</f>
        <v/>
      </c>
      <c r="J615" s="172"/>
    </row>
    <row r="616" spans="9:10" x14ac:dyDescent="0.3">
      <c r="I616" t="str">
        <f>_xlfn.IFNA(INDEX('[1]Sector list'!$A$2:$A$122,MATCH(H616,'[1]Sector list'!$B$2:$B$122,0)),"")</f>
        <v/>
      </c>
      <c r="J616" s="172"/>
    </row>
    <row r="617" spans="9:10" x14ac:dyDescent="0.3">
      <c r="I617" t="str">
        <f>_xlfn.IFNA(INDEX('[1]Sector list'!$A$2:$A$122,MATCH(H617,'[1]Sector list'!$B$2:$B$122,0)),"")</f>
        <v/>
      </c>
      <c r="J617" s="172"/>
    </row>
    <row r="618" spans="9:10" x14ac:dyDescent="0.3">
      <c r="I618" t="str">
        <f>_xlfn.IFNA(INDEX('[1]Sector list'!$A$2:$A$122,MATCH(H618,'[1]Sector list'!$B$2:$B$122,0)),"")</f>
        <v/>
      </c>
      <c r="J618" s="172"/>
    </row>
    <row r="619" spans="9:10" x14ac:dyDescent="0.3">
      <c r="I619" t="str">
        <f>_xlfn.IFNA(INDEX('[1]Sector list'!$A$2:$A$122,MATCH(H619,'[1]Sector list'!$B$2:$B$122,0)),"")</f>
        <v/>
      </c>
      <c r="J619" s="172"/>
    </row>
    <row r="620" spans="9:10" x14ac:dyDescent="0.3">
      <c r="I620" t="str">
        <f>_xlfn.IFNA(INDEX('[1]Sector list'!$A$2:$A$122,MATCH(H620,'[1]Sector list'!$B$2:$B$122,0)),"")</f>
        <v/>
      </c>
      <c r="J620" s="172"/>
    </row>
    <row r="621" spans="9:10" x14ac:dyDescent="0.3">
      <c r="I621" t="str">
        <f>_xlfn.IFNA(INDEX('[1]Sector list'!$A$2:$A$122,MATCH(H621,'[1]Sector list'!$B$2:$B$122,0)),"")</f>
        <v/>
      </c>
      <c r="J621" s="172"/>
    </row>
    <row r="622" spans="9:10" x14ac:dyDescent="0.3">
      <c r="I622" t="str">
        <f>_xlfn.IFNA(INDEX('[1]Sector list'!$A$2:$A$122,MATCH(H622,'[1]Sector list'!$B$2:$B$122,0)),"")</f>
        <v/>
      </c>
      <c r="J622" s="172"/>
    </row>
    <row r="623" spans="9:10" x14ac:dyDescent="0.3">
      <c r="I623" t="str">
        <f>_xlfn.IFNA(INDEX('[1]Sector list'!$A$2:$A$122,MATCH(H623,'[1]Sector list'!$B$2:$B$122,0)),"")</f>
        <v/>
      </c>
      <c r="J623" s="172"/>
    </row>
    <row r="624" spans="9:10" x14ac:dyDescent="0.3">
      <c r="I624" t="str">
        <f>_xlfn.IFNA(INDEX('[1]Sector list'!$A$2:$A$122,MATCH(H624,'[1]Sector list'!$B$2:$B$122,0)),"")</f>
        <v/>
      </c>
      <c r="J624" s="172"/>
    </row>
    <row r="625" spans="9:10" x14ac:dyDescent="0.3">
      <c r="I625" t="str">
        <f>_xlfn.IFNA(INDEX('[1]Sector list'!$A$2:$A$122,MATCH(H625,'[1]Sector list'!$B$2:$B$122,0)),"")</f>
        <v/>
      </c>
      <c r="J625" s="172"/>
    </row>
    <row r="626" spans="9:10" x14ac:dyDescent="0.3">
      <c r="I626" t="str">
        <f>_xlfn.IFNA(INDEX('[1]Sector list'!$A$2:$A$122,MATCH(H626,'[1]Sector list'!$B$2:$B$122,0)),"")</f>
        <v/>
      </c>
      <c r="J626" s="172"/>
    </row>
    <row r="627" spans="9:10" x14ac:dyDescent="0.3">
      <c r="I627" t="str">
        <f>_xlfn.IFNA(INDEX('[1]Sector list'!$A$2:$A$122,MATCH(H627,'[1]Sector list'!$B$2:$B$122,0)),"")</f>
        <v/>
      </c>
      <c r="J627" s="172"/>
    </row>
    <row r="628" spans="9:10" x14ac:dyDescent="0.3">
      <c r="I628" t="str">
        <f>_xlfn.IFNA(INDEX('[1]Sector list'!$A$2:$A$122,MATCH(H628,'[1]Sector list'!$B$2:$B$122,0)),"")</f>
        <v/>
      </c>
      <c r="J628" s="172"/>
    </row>
    <row r="629" spans="9:10" x14ac:dyDescent="0.3">
      <c r="I629" t="str">
        <f>_xlfn.IFNA(INDEX('[1]Sector list'!$A$2:$A$122,MATCH(H629,'[1]Sector list'!$B$2:$B$122,0)),"")</f>
        <v/>
      </c>
      <c r="J629" s="172"/>
    </row>
    <row r="630" spans="9:10" x14ac:dyDescent="0.3">
      <c r="I630" t="str">
        <f>_xlfn.IFNA(INDEX('[1]Sector list'!$A$2:$A$122,MATCH(H630,'[1]Sector list'!$B$2:$B$122,0)),"")</f>
        <v/>
      </c>
      <c r="J630" s="172"/>
    </row>
    <row r="631" spans="9:10" x14ac:dyDescent="0.3">
      <c r="I631" t="str">
        <f>_xlfn.IFNA(INDEX('[1]Sector list'!$A$2:$A$122,MATCH(H631,'[1]Sector list'!$B$2:$B$122,0)),"")</f>
        <v/>
      </c>
      <c r="J631" s="172"/>
    </row>
    <row r="632" spans="9:10" x14ac:dyDescent="0.3">
      <c r="I632" t="str">
        <f>_xlfn.IFNA(INDEX('[1]Sector list'!$A$2:$A$122,MATCH(H632,'[1]Sector list'!$B$2:$B$122,0)),"")</f>
        <v/>
      </c>
      <c r="J632" s="172"/>
    </row>
    <row r="633" spans="9:10" x14ac:dyDescent="0.3">
      <c r="I633" t="str">
        <f>_xlfn.IFNA(INDEX('[1]Sector list'!$A$2:$A$122,MATCH(H633,'[1]Sector list'!$B$2:$B$122,0)),"")</f>
        <v/>
      </c>
      <c r="J633" s="172"/>
    </row>
    <row r="634" spans="9:10" x14ac:dyDescent="0.3">
      <c r="I634" t="str">
        <f>_xlfn.IFNA(INDEX('[1]Sector list'!$A$2:$A$122,MATCH(H634,'[1]Sector list'!$B$2:$B$122,0)),"")</f>
        <v/>
      </c>
      <c r="J634" s="172"/>
    </row>
    <row r="635" spans="9:10" x14ac:dyDescent="0.3">
      <c r="I635" t="str">
        <f>_xlfn.IFNA(INDEX('[1]Sector list'!$A$2:$A$122,MATCH(H635,'[1]Sector list'!$B$2:$B$122,0)),"")</f>
        <v/>
      </c>
      <c r="J635" s="172"/>
    </row>
    <row r="636" spans="9:10" x14ac:dyDescent="0.3">
      <c r="I636" t="str">
        <f>_xlfn.IFNA(INDEX('[1]Sector list'!$A$2:$A$122,MATCH(H636,'[1]Sector list'!$B$2:$B$122,0)),"")</f>
        <v/>
      </c>
      <c r="J636" s="172"/>
    </row>
    <row r="637" spans="9:10" x14ac:dyDescent="0.3">
      <c r="I637" t="str">
        <f>_xlfn.IFNA(INDEX('[1]Sector list'!$A$2:$A$122,MATCH(H637,'[1]Sector list'!$B$2:$B$122,0)),"")</f>
        <v/>
      </c>
      <c r="J637" s="172"/>
    </row>
    <row r="638" spans="9:10" x14ac:dyDescent="0.3">
      <c r="I638" t="str">
        <f>_xlfn.IFNA(INDEX('[1]Sector list'!$A$2:$A$122,MATCH(H638,'[1]Sector list'!$B$2:$B$122,0)),"")</f>
        <v/>
      </c>
      <c r="J638" s="172"/>
    </row>
    <row r="639" spans="9:10" x14ac:dyDescent="0.3">
      <c r="I639" t="str">
        <f>_xlfn.IFNA(INDEX('[1]Sector list'!$A$2:$A$122,MATCH(H639,'[1]Sector list'!$B$2:$B$122,0)),"")</f>
        <v/>
      </c>
      <c r="J639" s="172"/>
    </row>
    <row r="640" spans="9:10" x14ac:dyDescent="0.3">
      <c r="I640" t="str">
        <f>_xlfn.IFNA(INDEX('[1]Sector list'!$A$2:$A$122,MATCH(H640,'[1]Sector list'!$B$2:$B$122,0)),"")</f>
        <v/>
      </c>
      <c r="J640" s="172"/>
    </row>
    <row r="641" spans="9:10" x14ac:dyDescent="0.3">
      <c r="I641" t="str">
        <f>_xlfn.IFNA(INDEX('[1]Sector list'!$A$2:$A$122,MATCH(H641,'[1]Sector list'!$B$2:$B$122,0)),"")</f>
        <v/>
      </c>
      <c r="J641" s="172"/>
    </row>
    <row r="642" spans="9:10" x14ac:dyDescent="0.3">
      <c r="I642" t="str">
        <f>_xlfn.IFNA(INDEX('[1]Sector list'!$A$2:$A$122,MATCH(H642,'[1]Sector list'!$B$2:$B$122,0)),"")</f>
        <v/>
      </c>
      <c r="J642" s="172"/>
    </row>
    <row r="643" spans="9:10" x14ac:dyDescent="0.3">
      <c r="I643" t="str">
        <f>_xlfn.IFNA(INDEX('[1]Sector list'!$A$2:$A$122,MATCH(H643,'[1]Sector list'!$B$2:$B$122,0)),"")</f>
        <v/>
      </c>
      <c r="J643" s="172"/>
    </row>
    <row r="644" spans="9:10" x14ac:dyDescent="0.3">
      <c r="I644" t="str">
        <f>_xlfn.IFNA(INDEX('[1]Sector list'!$A$2:$A$122,MATCH(H644,'[1]Sector list'!$B$2:$B$122,0)),"")</f>
        <v/>
      </c>
      <c r="J644" s="172"/>
    </row>
    <row r="645" spans="9:10" x14ac:dyDescent="0.3">
      <c r="I645" t="str">
        <f>_xlfn.IFNA(INDEX('[1]Sector list'!$A$2:$A$122,MATCH(H645,'[1]Sector list'!$B$2:$B$122,0)),"")</f>
        <v/>
      </c>
      <c r="J645" s="172"/>
    </row>
    <row r="646" spans="9:10" x14ac:dyDescent="0.3">
      <c r="I646" t="str">
        <f>_xlfn.IFNA(INDEX('[1]Sector list'!$A$2:$A$122,MATCH(H646,'[1]Sector list'!$B$2:$B$122,0)),"")</f>
        <v/>
      </c>
      <c r="J646" s="172"/>
    </row>
    <row r="647" spans="9:10" x14ac:dyDescent="0.3">
      <c r="I647" t="str">
        <f>_xlfn.IFNA(INDEX('[1]Sector list'!$A$2:$A$122,MATCH(H647,'[1]Sector list'!$B$2:$B$122,0)),"")</f>
        <v/>
      </c>
      <c r="J647" s="172"/>
    </row>
    <row r="648" spans="9:10" x14ac:dyDescent="0.3">
      <c r="I648" t="str">
        <f>_xlfn.IFNA(INDEX('[1]Sector list'!$A$2:$A$122,MATCH(H648,'[1]Sector list'!$B$2:$B$122,0)),"")</f>
        <v/>
      </c>
      <c r="J648" s="172"/>
    </row>
    <row r="649" spans="9:10" x14ac:dyDescent="0.3">
      <c r="I649" t="str">
        <f>_xlfn.IFNA(INDEX('[1]Sector list'!$A$2:$A$122,MATCH(H649,'[1]Sector list'!$B$2:$B$122,0)),"")</f>
        <v/>
      </c>
      <c r="J649" s="172"/>
    </row>
    <row r="650" spans="9:10" x14ac:dyDescent="0.3">
      <c r="I650" t="str">
        <f>_xlfn.IFNA(INDEX('[1]Sector list'!$A$2:$A$122,MATCH(H650,'[1]Sector list'!$B$2:$B$122,0)),"")</f>
        <v/>
      </c>
      <c r="J650" s="172"/>
    </row>
    <row r="651" spans="9:10" x14ac:dyDescent="0.3">
      <c r="I651" t="str">
        <f>_xlfn.IFNA(INDEX('[1]Sector list'!$A$2:$A$122,MATCH(H651,'[1]Sector list'!$B$2:$B$122,0)),"")</f>
        <v/>
      </c>
      <c r="J651" s="172"/>
    </row>
    <row r="652" spans="9:10" x14ac:dyDescent="0.3">
      <c r="I652" t="str">
        <f>_xlfn.IFNA(INDEX('[1]Sector list'!$A$2:$A$122,MATCH(H652,'[1]Sector list'!$B$2:$B$122,0)),"")</f>
        <v/>
      </c>
      <c r="J652" s="172"/>
    </row>
    <row r="653" spans="9:10" x14ac:dyDescent="0.3">
      <c r="I653" t="str">
        <f>_xlfn.IFNA(INDEX('[1]Sector list'!$A$2:$A$122,MATCH(H653,'[1]Sector list'!$B$2:$B$122,0)),"")</f>
        <v/>
      </c>
      <c r="J653" s="172"/>
    </row>
    <row r="654" spans="9:10" x14ac:dyDescent="0.3">
      <c r="I654" t="str">
        <f>_xlfn.IFNA(INDEX('[1]Sector list'!$A$2:$A$122,MATCH(H654,'[1]Sector list'!$B$2:$B$122,0)),"")</f>
        <v/>
      </c>
      <c r="J654" s="172"/>
    </row>
    <row r="655" spans="9:10" x14ac:dyDescent="0.3">
      <c r="I655" t="str">
        <f>_xlfn.IFNA(INDEX('[1]Sector list'!$A$2:$A$122,MATCH(H655,'[1]Sector list'!$B$2:$B$122,0)),"")</f>
        <v/>
      </c>
      <c r="J655" s="172"/>
    </row>
    <row r="656" spans="9:10" x14ac:dyDescent="0.3">
      <c r="I656" t="str">
        <f>_xlfn.IFNA(INDEX('[1]Sector list'!$A$2:$A$122,MATCH(H656,'[1]Sector list'!$B$2:$B$122,0)),"")</f>
        <v/>
      </c>
      <c r="J656" s="172"/>
    </row>
    <row r="657" spans="9:10" x14ac:dyDescent="0.3">
      <c r="I657" t="str">
        <f>_xlfn.IFNA(INDEX('[1]Sector list'!$A$2:$A$122,MATCH(H657,'[1]Sector list'!$B$2:$B$122,0)),"")</f>
        <v/>
      </c>
      <c r="J657" s="172"/>
    </row>
    <row r="658" spans="9:10" x14ac:dyDescent="0.3">
      <c r="I658" t="str">
        <f>_xlfn.IFNA(INDEX('[1]Sector list'!$A$2:$A$122,MATCH(H658,'[1]Sector list'!$B$2:$B$122,0)),"")</f>
        <v/>
      </c>
      <c r="J658" s="172"/>
    </row>
    <row r="659" spans="9:10" x14ac:dyDescent="0.3">
      <c r="I659" t="str">
        <f>_xlfn.IFNA(INDEX('[1]Sector list'!$A$2:$A$122,MATCH(H659,'[1]Sector list'!$B$2:$B$122,0)),"")</f>
        <v/>
      </c>
      <c r="J659" s="172"/>
    </row>
    <row r="660" spans="9:10" x14ac:dyDescent="0.3">
      <c r="I660" t="str">
        <f>_xlfn.IFNA(INDEX('[1]Sector list'!$A$2:$A$122,MATCH(H660,'[1]Sector list'!$B$2:$B$122,0)),"")</f>
        <v/>
      </c>
      <c r="J660" s="172"/>
    </row>
    <row r="661" spans="9:10" x14ac:dyDescent="0.3">
      <c r="I661" t="str">
        <f>_xlfn.IFNA(INDEX('[1]Sector list'!$A$2:$A$122,MATCH(H661,'[1]Sector list'!$B$2:$B$122,0)),"")</f>
        <v/>
      </c>
      <c r="J661" s="172"/>
    </row>
    <row r="662" spans="9:10" x14ac:dyDescent="0.3">
      <c r="I662" t="str">
        <f>_xlfn.IFNA(INDEX('[1]Sector list'!$A$2:$A$122,MATCH(H662,'[1]Sector list'!$B$2:$B$122,0)),"")</f>
        <v/>
      </c>
      <c r="J662" s="172"/>
    </row>
    <row r="663" spans="9:10" x14ac:dyDescent="0.3">
      <c r="I663" t="str">
        <f>_xlfn.IFNA(INDEX('[1]Sector list'!$A$2:$A$122,MATCH(H663,'[1]Sector list'!$B$2:$B$122,0)),"")</f>
        <v/>
      </c>
      <c r="J663" s="172"/>
    </row>
    <row r="664" spans="9:10" x14ac:dyDescent="0.3">
      <c r="I664" t="str">
        <f>_xlfn.IFNA(INDEX('[1]Sector list'!$A$2:$A$122,MATCH(H664,'[1]Sector list'!$B$2:$B$122,0)),"")</f>
        <v/>
      </c>
      <c r="J664" s="172"/>
    </row>
    <row r="665" spans="9:10" x14ac:dyDescent="0.3">
      <c r="I665" t="str">
        <f>_xlfn.IFNA(INDEX('[1]Sector list'!$A$2:$A$122,MATCH(H665,'[1]Sector list'!$B$2:$B$122,0)),"")</f>
        <v/>
      </c>
      <c r="J665" s="172"/>
    </row>
    <row r="666" spans="9:10" x14ac:dyDescent="0.3">
      <c r="I666" t="str">
        <f>_xlfn.IFNA(INDEX('[1]Sector list'!$A$2:$A$122,MATCH(H666,'[1]Sector list'!$B$2:$B$122,0)),"")</f>
        <v/>
      </c>
      <c r="J666" s="172"/>
    </row>
    <row r="667" spans="9:10" x14ac:dyDescent="0.3">
      <c r="I667" t="str">
        <f>_xlfn.IFNA(INDEX('[1]Sector list'!$A$2:$A$122,MATCH(H667,'[1]Sector list'!$B$2:$B$122,0)),"")</f>
        <v/>
      </c>
      <c r="J667" s="172"/>
    </row>
    <row r="668" spans="9:10" x14ac:dyDescent="0.3">
      <c r="I668" t="str">
        <f>_xlfn.IFNA(INDEX('[1]Sector list'!$A$2:$A$122,MATCH(H668,'[1]Sector list'!$B$2:$B$122,0)),"")</f>
        <v/>
      </c>
      <c r="J668" s="172"/>
    </row>
    <row r="669" spans="9:10" x14ac:dyDescent="0.3">
      <c r="I669" t="str">
        <f>_xlfn.IFNA(INDEX('[1]Sector list'!$A$2:$A$122,MATCH(H669,'[1]Sector list'!$B$2:$B$122,0)),"")</f>
        <v/>
      </c>
      <c r="J669" s="172"/>
    </row>
    <row r="670" spans="9:10" x14ac:dyDescent="0.3">
      <c r="I670" t="str">
        <f>_xlfn.IFNA(INDEX('[1]Sector list'!$A$2:$A$122,MATCH(H670,'[1]Sector list'!$B$2:$B$122,0)),"")</f>
        <v/>
      </c>
      <c r="J670" s="172"/>
    </row>
    <row r="671" spans="9:10" x14ac:dyDescent="0.3">
      <c r="I671" t="str">
        <f>_xlfn.IFNA(INDEX('[1]Sector list'!$A$2:$A$122,MATCH(H671,'[1]Sector list'!$B$2:$B$122,0)),"")</f>
        <v/>
      </c>
      <c r="J671" s="172"/>
    </row>
    <row r="672" spans="9:10" x14ac:dyDescent="0.3">
      <c r="I672" t="str">
        <f>_xlfn.IFNA(INDEX('[1]Sector list'!$A$2:$A$122,MATCH(H672,'[1]Sector list'!$B$2:$B$122,0)),"")</f>
        <v/>
      </c>
      <c r="J672" s="172"/>
    </row>
    <row r="673" spans="9:10" x14ac:dyDescent="0.3">
      <c r="I673" t="str">
        <f>_xlfn.IFNA(INDEX('[1]Sector list'!$A$2:$A$122,MATCH(H673,'[1]Sector list'!$B$2:$B$122,0)),"")</f>
        <v/>
      </c>
      <c r="J673" s="172"/>
    </row>
    <row r="674" spans="9:10" x14ac:dyDescent="0.3">
      <c r="I674" t="str">
        <f>_xlfn.IFNA(INDEX('[1]Sector list'!$A$2:$A$122,MATCH(H674,'[1]Sector list'!$B$2:$B$122,0)),"")</f>
        <v/>
      </c>
      <c r="J674" s="172"/>
    </row>
    <row r="675" spans="9:10" x14ac:dyDescent="0.3">
      <c r="I675" t="str">
        <f>_xlfn.IFNA(INDEX('[1]Sector list'!$A$2:$A$122,MATCH(H675,'[1]Sector list'!$B$2:$B$122,0)),"")</f>
        <v/>
      </c>
      <c r="J675" s="172"/>
    </row>
    <row r="676" spans="9:10" x14ac:dyDescent="0.3">
      <c r="I676" t="str">
        <f>_xlfn.IFNA(INDEX('[1]Sector list'!$A$2:$A$122,MATCH(H676,'[1]Sector list'!$B$2:$B$122,0)),"")</f>
        <v/>
      </c>
      <c r="J676" s="172"/>
    </row>
    <row r="677" spans="9:10" x14ac:dyDescent="0.3">
      <c r="I677" t="str">
        <f>_xlfn.IFNA(INDEX('[1]Sector list'!$A$2:$A$122,MATCH(H677,'[1]Sector list'!$B$2:$B$122,0)),"")</f>
        <v/>
      </c>
      <c r="J677" s="172"/>
    </row>
    <row r="678" spans="9:10" x14ac:dyDescent="0.3">
      <c r="I678" t="str">
        <f>_xlfn.IFNA(INDEX('[1]Sector list'!$A$2:$A$122,MATCH(H678,'[1]Sector list'!$B$2:$B$122,0)),"")</f>
        <v/>
      </c>
      <c r="J678" s="172"/>
    </row>
    <row r="679" spans="9:10" x14ac:dyDescent="0.3">
      <c r="I679" t="str">
        <f>_xlfn.IFNA(INDEX('[1]Sector list'!$A$2:$A$122,MATCH(H679,'[1]Sector list'!$B$2:$B$122,0)),"")</f>
        <v/>
      </c>
      <c r="J679" s="172"/>
    </row>
    <row r="680" spans="9:10" x14ac:dyDescent="0.3">
      <c r="I680" t="str">
        <f>_xlfn.IFNA(INDEX('[1]Sector list'!$A$2:$A$122,MATCH(H680,'[1]Sector list'!$B$2:$B$122,0)),"")</f>
        <v/>
      </c>
      <c r="J680" s="172"/>
    </row>
    <row r="681" spans="9:10" x14ac:dyDescent="0.3">
      <c r="I681" t="str">
        <f>_xlfn.IFNA(INDEX('[1]Sector list'!$A$2:$A$122,MATCH(H681,'[1]Sector list'!$B$2:$B$122,0)),"")</f>
        <v/>
      </c>
      <c r="J681" s="172"/>
    </row>
    <row r="682" spans="9:10" x14ac:dyDescent="0.3">
      <c r="I682" t="str">
        <f>_xlfn.IFNA(INDEX('[1]Sector list'!$A$2:$A$122,MATCH(H682,'[1]Sector list'!$B$2:$B$122,0)),"")</f>
        <v/>
      </c>
      <c r="J682" s="172"/>
    </row>
    <row r="683" spans="9:10" x14ac:dyDescent="0.3">
      <c r="I683" t="str">
        <f>_xlfn.IFNA(INDEX('[1]Sector list'!$A$2:$A$122,MATCH(H683,'[1]Sector list'!$B$2:$B$122,0)),"")</f>
        <v/>
      </c>
      <c r="J683" s="172"/>
    </row>
    <row r="684" spans="9:10" x14ac:dyDescent="0.3">
      <c r="I684" t="str">
        <f>_xlfn.IFNA(INDEX('[1]Sector list'!$A$2:$A$122,MATCH(H684,'[1]Sector list'!$B$2:$B$122,0)),"")</f>
        <v/>
      </c>
      <c r="J684" s="172"/>
    </row>
    <row r="685" spans="9:10" x14ac:dyDescent="0.3">
      <c r="I685" t="str">
        <f>_xlfn.IFNA(INDEX('[1]Sector list'!$A$2:$A$122,MATCH(H685,'[1]Sector list'!$B$2:$B$122,0)),"")</f>
        <v/>
      </c>
      <c r="J685" s="172"/>
    </row>
    <row r="686" spans="9:10" x14ac:dyDescent="0.3">
      <c r="I686" t="str">
        <f>_xlfn.IFNA(INDEX('[1]Sector list'!$A$2:$A$122,MATCH(H686,'[1]Sector list'!$B$2:$B$122,0)),"")</f>
        <v/>
      </c>
      <c r="J686" s="172"/>
    </row>
    <row r="687" spans="9:10" x14ac:dyDescent="0.3">
      <c r="I687" t="str">
        <f>_xlfn.IFNA(INDEX('[1]Sector list'!$A$2:$A$122,MATCH(H687,'[1]Sector list'!$B$2:$B$122,0)),"")</f>
        <v/>
      </c>
      <c r="J687" s="172"/>
    </row>
    <row r="688" spans="9:10" x14ac:dyDescent="0.3">
      <c r="I688" t="str">
        <f>_xlfn.IFNA(INDEX('[1]Sector list'!$A$2:$A$122,MATCH(H688,'[1]Sector list'!$B$2:$B$122,0)),"")</f>
        <v/>
      </c>
      <c r="J688" s="172"/>
    </row>
    <row r="689" spans="9:10" x14ac:dyDescent="0.3">
      <c r="I689" t="str">
        <f>_xlfn.IFNA(INDEX('[1]Sector list'!$A$2:$A$122,MATCH(H689,'[1]Sector list'!$B$2:$B$122,0)),"")</f>
        <v/>
      </c>
      <c r="J689" s="172"/>
    </row>
    <row r="690" spans="9:10" x14ac:dyDescent="0.3">
      <c r="I690" t="str">
        <f>_xlfn.IFNA(INDEX('[1]Sector list'!$A$2:$A$122,MATCH(H690,'[1]Sector list'!$B$2:$B$122,0)),"")</f>
        <v/>
      </c>
      <c r="J690" s="172"/>
    </row>
    <row r="691" spans="9:10" x14ac:dyDescent="0.3">
      <c r="I691" t="str">
        <f>_xlfn.IFNA(INDEX('[1]Sector list'!$A$2:$A$122,MATCH(H691,'[1]Sector list'!$B$2:$B$122,0)),"")</f>
        <v/>
      </c>
      <c r="J691" s="172"/>
    </row>
    <row r="692" spans="9:10" x14ac:dyDescent="0.3">
      <c r="I692" t="str">
        <f>_xlfn.IFNA(INDEX('[1]Sector list'!$A$2:$A$122,MATCH(H692,'[1]Sector list'!$B$2:$B$122,0)),"")</f>
        <v/>
      </c>
      <c r="J692" s="172"/>
    </row>
    <row r="693" spans="9:10" x14ac:dyDescent="0.3">
      <c r="I693" t="str">
        <f>_xlfn.IFNA(INDEX('[1]Sector list'!$A$2:$A$122,MATCH(H693,'[1]Sector list'!$B$2:$B$122,0)),"")</f>
        <v/>
      </c>
      <c r="J693" s="172"/>
    </row>
    <row r="694" spans="9:10" x14ac:dyDescent="0.3">
      <c r="I694" t="str">
        <f>_xlfn.IFNA(INDEX('[1]Sector list'!$A$2:$A$122,MATCH(H694,'[1]Sector list'!$B$2:$B$122,0)),"")</f>
        <v/>
      </c>
      <c r="J694" s="172"/>
    </row>
    <row r="695" spans="9:10" x14ac:dyDescent="0.3">
      <c r="I695" t="str">
        <f>_xlfn.IFNA(INDEX('[1]Sector list'!$A$2:$A$122,MATCH(H695,'[1]Sector list'!$B$2:$B$122,0)),"")</f>
        <v/>
      </c>
      <c r="J695" s="172"/>
    </row>
    <row r="696" spans="9:10" x14ac:dyDescent="0.3">
      <c r="I696" t="str">
        <f>_xlfn.IFNA(INDEX('[1]Sector list'!$A$2:$A$122,MATCH(H696,'[1]Sector list'!$B$2:$B$122,0)),"")</f>
        <v/>
      </c>
      <c r="J696" s="172"/>
    </row>
    <row r="697" spans="9:10" x14ac:dyDescent="0.3">
      <c r="I697" t="str">
        <f>_xlfn.IFNA(INDEX('[1]Sector list'!$A$2:$A$122,MATCH(H697,'[1]Sector list'!$B$2:$B$122,0)),"")</f>
        <v/>
      </c>
      <c r="J697" s="172"/>
    </row>
    <row r="698" spans="9:10" x14ac:dyDescent="0.3">
      <c r="I698" t="str">
        <f>_xlfn.IFNA(INDEX('[1]Sector list'!$A$2:$A$122,MATCH(H698,'[1]Sector list'!$B$2:$B$122,0)),"")</f>
        <v/>
      </c>
      <c r="J698" s="172"/>
    </row>
    <row r="699" spans="9:10" x14ac:dyDescent="0.3">
      <c r="I699" t="str">
        <f>_xlfn.IFNA(INDEX('[1]Sector list'!$A$2:$A$122,MATCH(H699,'[1]Sector list'!$B$2:$B$122,0)),"")</f>
        <v/>
      </c>
      <c r="J699" s="172"/>
    </row>
    <row r="700" spans="9:10" x14ac:dyDescent="0.3">
      <c r="I700" t="str">
        <f>_xlfn.IFNA(INDEX('[1]Sector list'!$A$2:$A$122,MATCH(H700,'[1]Sector list'!$B$2:$B$122,0)),"")</f>
        <v/>
      </c>
      <c r="J700" s="172"/>
    </row>
    <row r="701" spans="9:10" x14ac:dyDescent="0.3">
      <c r="I701" t="str">
        <f>_xlfn.IFNA(INDEX('[1]Sector list'!$A$2:$A$122,MATCH(H701,'[1]Sector list'!$B$2:$B$122,0)),"")</f>
        <v/>
      </c>
      <c r="J701" s="172"/>
    </row>
    <row r="702" spans="9:10" x14ac:dyDescent="0.3">
      <c r="I702" t="str">
        <f>_xlfn.IFNA(INDEX('[1]Sector list'!$A$2:$A$122,MATCH(H702,'[1]Sector list'!$B$2:$B$122,0)),"")</f>
        <v/>
      </c>
      <c r="J702" s="172"/>
    </row>
    <row r="703" spans="9:10" x14ac:dyDescent="0.3">
      <c r="I703" t="str">
        <f>_xlfn.IFNA(INDEX('[1]Sector list'!$A$2:$A$122,MATCH(H703,'[1]Sector list'!$B$2:$B$122,0)),"")</f>
        <v/>
      </c>
      <c r="J703" s="172"/>
    </row>
    <row r="704" spans="9:10" x14ac:dyDescent="0.3">
      <c r="I704" t="str">
        <f>_xlfn.IFNA(INDEX('[1]Sector list'!$A$2:$A$122,MATCH(H704,'[1]Sector list'!$B$2:$B$122,0)),"")</f>
        <v/>
      </c>
      <c r="J704" s="172"/>
    </row>
    <row r="705" spans="9:10" x14ac:dyDescent="0.3">
      <c r="I705" t="str">
        <f>_xlfn.IFNA(INDEX('[1]Sector list'!$A$2:$A$122,MATCH(H705,'[1]Sector list'!$B$2:$B$122,0)),"")</f>
        <v/>
      </c>
      <c r="J705" s="172"/>
    </row>
    <row r="706" spans="9:10" x14ac:dyDescent="0.3">
      <c r="I706" t="str">
        <f>_xlfn.IFNA(INDEX('[1]Sector list'!$A$2:$A$122,MATCH(H706,'[1]Sector list'!$B$2:$B$122,0)),"")</f>
        <v/>
      </c>
      <c r="J706" s="172"/>
    </row>
    <row r="707" spans="9:10" x14ac:dyDescent="0.3">
      <c r="I707" t="str">
        <f>_xlfn.IFNA(INDEX('[1]Sector list'!$A$2:$A$122,MATCH(H707,'[1]Sector list'!$B$2:$B$122,0)),"")</f>
        <v/>
      </c>
      <c r="J707" s="172"/>
    </row>
    <row r="708" spans="9:10" x14ac:dyDescent="0.3">
      <c r="I708" t="str">
        <f>_xlfn.IFNA(INDEX('[1]Sector list'!$A$2:$A$122,MATCH(H708,'[1]Sector list'!$B$2:$B$122,0)),"")</f>
        <v/>
      </c>
      <c r="J708" s="172"/>
    </row>
    <row r="709" spans="9:10" x14ac:dyDescent="0.3">
      <c r="I709" t="str">
        <f>_xlfn.IFNA(INDEX('[1]Sector list'!$A$2:$A$122,MATCH(H709,'[1]Sector list'!$B$2:$B$122,0)),"")</f>
        <v/>
      </c>
      <c r="J709" s="172"/>
    </row>
    <row r="710" spans="9:10" x14ac:dyDescent="0.3">
      <c r="I710" t="str">
        <f>_xlfn.IFNA(INDEX('[1]Sector list'!$A$2:$A$122,MATCH(H710,'[1]Sector list'!$B$2:$B$122,0)),"")</f>
        <v/>
      </c>
      <c r="J710" s="172"/>
    </row>
    <row r="711" spans="9:10" x14ac:dyDescent="0.3">
      <c r="I711" t="str">
        <f>_xlfn.IFNA(INDEX('[1]Sector list'!$A$2:$A$122,MATCH(H711,'[1]Sector list'!$B$2:$B$122,0)),"")</f>
        <v/>
      </c>
      <c r="J711" s="172"/>
    </row>
    <row r="712" spans="9:10" x14ac:dyDescent="0.3">
      <c r="I712" t="str">
        <f>_xlfn.IFNA(INDEX('[1]Sector list'!$A$2:$A$122,MATCH(H712,'[1]Sector list'!$B$2:$B$122,0)),"")</f>
        <v/>
      </c>
      <c r="J712" s="172"/>
    </row>
    <row r="713" spans="9:10" x14ac:dyDescent="0.3">
      <c r="I713" t="str">
        <f>_xlfn.IFNA(INDEX('[1]Sector list'!$A$2:$A$122,MATCH(H713,'[1]Sector list'!$B$2:$B$122,0)),"")</f>
        <v/>
      </c>
      <c r="J713" s="172"/>
    </row>
    <row r="714" spans="9:10" x14ac:dyDescent="0.3">
      <c r="I714" t="str">
        <f>_xlfn.IFNA(INDEX('[1]Sector list'!$A$2:$A$122,MATCH(H714,'[1]Sector list'!$B$2:$B$122,0)),"")</f>
        <v/>
      </c>
      <c r="J714" s="172"/>
    </row>
    <row r="715" spans="9:10" x14ac:dyDescent="0.3">
      <c r="I715" t="str">
        <f>_xlfn.IFNA(INDEX('[1]Sector list'!$A$2:$A$122,MATCH(H715,'[1]Sector list'!$B$2:$B$122,0)),"")</f>
        <v/>
      </c>
      <c r="J715" s="172"/>
    </row>
    <row r="716" spans="9:10" x14ac:dyDescent="0.3">
      <c r="I716" t="str">
        <f>_xlfn.IFNA(INDEX('[1]Sector list'!$A$2:$A$122,MATCH(H716,'[1]Sector list'!$B$2:$B$122,0)),"")</f>
        <v/>
      </c>
      <c r="J716" s="172"/>
    </row>
    <row r="717" spans="9:10" x14ac:dyDescent="0.3">
      <c r="I717" t="str">
        <f>_xlfn.IFNA(INDEX('[1]Sector list'!$A$2:$A$122,MATCH(H717,'[1]Sector list'!$B$2:$B$122,0)),"")</f>
        <v/>
      </c>
      <c r="J717" s="172"/>
    </row>
    <row r="718" spans="9:10" x14ac:dyDescent="0.3">
      <c r="I718" t="str">
        <f>_xlfn.IFNA(INDEX('[1]Sector list'!$A$2:$A$122,MATCH(H718,'[1]Sector list'!$B$2:$B$122,0)),"")</f>
        <v/>
      </c>
      <c r="J718" s="172"/>
    </row>
    <row r="719" spans="9:10" x14ac:dyDescent="0.3">
      <c r="I719" t="str">
        <f>_xlfn.IFNA(INDEX('[1]Sector list'!$A$2:$A$122,MATCH(H719,'[1]Sector list'!$B$2:$B$122,0)),"")</f>
        <v/>
      </c>
      <c r="J719" s="172"/>
    </row>
    <row r="720" spans="9:10" x14ac:dyDescent="0.3">
      <c r="I720" t="str">
        <f>_xlfn.IFNA(INDEX('[1]Sector list'!$A$2:$A$122,MATCH(H720,'[1]Sector list'!$B$2:$B$122,0)),"")</f>
        <v/>
      </c>
      <c r="J720" s="172"/>
    </row>
    <row r="721" spans="9:10" x14ac:dyDescent="0.3">
      <c r="I721" t="str">
        <f>_xlfn.IFNA(INDEX('[1]Sector list'!$A$2:$A$122,MATCH(H721,'[1]Sector list'!$B$2:$B$122,0)),"")</f>
        <v/>
      </c>
      <c r="J721" s="172"/>
    </row>
    <row r="722" spans="9:10" x14ac:dyDescent="0.3">
      <c r="I722" t="str">
        <f>_xlfn.IFNA(INDEX('[1]Sector list'!$A$2:$A$122,MATCH(H722,'[1]Sector list'!$B$2:$B$122,0)),"")</f>
        <v/>
      </c>
      <c r="J722" s="172"/>
    </row>
    <row r="723" spans="9:10" x14ac:dyDescent="0.3">
      <c r="I723" t="str">
        <f>_xlfn.IFNA(INDEX('[1]Sector list'!$A$2:$A$122,MATCH(H723,'[1]Sector list'!$B$2:$B$122,0)),"")</f>
        <v/>
      </c>
      <c r="J723" s="172"/>
    </row>
    <row r="724" spans="9:10" x14ac:dyDescent="0.3">
      <c r="I724" t="str">
        <f>_xlfn.IFNA(INDEX('[1]Sector list'!$A$2:$A$122,MATCH(H724,'[1]Sector list'!$B$2:$B$122,0)),"")</f>
        <v/>
      </c>
      <c r="J724" s="172"/>
    </row>
    <row r="725" spans="9:10" x14ac:dyDescent="0.3">
      <c r="I725" t="str">
        <f>_xlfn.IFNA(INDEX('[1]Sector list'!$A$2:$A$122,MATCH(H725,'[1]Sector list'!$B$2:$B$122,0)),"")</f>
        <v/>
      </c>
      <c r="J725" s="172"/>
    </row>
    <row r="726" spans="9:10" x14ac:dyDescent="0.3">
      <c r="I726" t="str">
        <f>_xlfn.IFNA(INDEX('[1]Sector list'!$A$2:$A$122,MATCH(H726,'[1]Sector list'!$B$2:$B$122,0)),"")</f>
        <v/>
      </c>
      <c r="J726" s="172"/>
    </row>
    <row r="727" spans="9:10" x14ac:dyDescent="0.3">
      <c r="I727" t="str">
        <f>_xlfn.IFNA(INDEX('[1]Sector list'!$A$2:$A$122,MATCH(H727,'[1]Sector list'!$B$2:$B$122,0)),"")</f>
        <v/>
      </c>
      <c r="J727" s="172"/>
    </row>
    <row r="728" spans="9:10" x14ac:dyDescent="0.3">
      <c r="I728" t="str">
        <f>_xlfn.IFNA(INDEX('[1]Sector list'!$A$2:$A$122,MATCH(H728,'[1]Sector list'!$B$2:$B$122,0)),"")</f>
        <v/>
      </c>
      <c r="J728" s="172"/>
    </row>
    <row r="729" spans="9:10" x14ac:dyDescent="0.3">
      <c r="I729" t="str">
        <f>_xlfn.IFNA(INDEX('[1]Sector list'!$A$2:$A$122,MATCH(H729,'[1]Sector list'!$B$2:$B$122,0)),"")</f>
        <v/>
      </c>
      <c r="J729" s="172"/>
    </row>
    <row r="730" spans="9:10" x14ac:dyDescent="0.3">
      <c r="I730" t="str">
        <f>_xlfn.IFNA(INDEX('[1]Sector list'!$A$2:$A$122,MATCH(H730,'[1]Sector list'!$B$2:$B$122,0)),"")</f>
        <v/>
      </c>
      <c r="J730" s="172"/>
    </row>
    <row r="731" spans="9:10" x14ac:dyDescent="0.3">
      <c r="I731" t="str">
        <f>_xlfn.IFNA(INDEX('[1]Sector list'!$A$2:$A$122,MATCH(H731,'[1]Sector list'!$B$2:$B$122,0)),"")</f>
        <v/>
      </c>
      <c r="J731" s="172"/>
    </row>
    <row r="732" spans="9:10" x14ac:dyDescent="0.3">
      <c r="I732" t="str">
        <f>_xlfn.IFNA(INDEX('[1]Sector list'!$A$2:$A$122,MATCH(H732,'[1]Sector list'!$B$2:$B$122,0)),"")</f>
        <v/>
      </c>
      <c r="J732" s="172"/>
    </row>
    <row r="733" spans="9:10" x14ac:dyDescent="0.3">
      <c r="I733" t="str">
        <f>_xlfn.IFNA(INDEX('[1]Sector list'!$A$2:$A$122,MATCH(H733,'[1]Sector list'!$B$2:$B$122,0)),"")</f>
        <v/>
      </c>
      <c r="J733" s="172"/>
    </row>
    <row r="734" spans="9:10" x14ac:dyDescent="0.3">
      <c r="I734" t="str">
        <f>_xlfn.IFNA(INDEX('[1]Sector list'!$A$2:$A$122,MATCH(H734,'[1]Sector list'!$B$2:$B$122,0)),"")</f>
        <v/>
      </c>
      <c r="J734" s="172"/>
    </row>
    <row r="735" spans="9:10" x14ac:dyDescent="0.3">
      <c r="I735" t="str">
        <f>_xlfn.IFNA(INDEX('[1]Sector list'!$A$2:$A$122,MATCH(H735,'[1]Sector list'!$B$2:$B$122,0)),"")</f>
        <v/>
      </c>
      <c r="J735" s="172"/>
    </row>
    <row r="736" spans="9:10" x14ac:dyDescent="0.3">
      <c r="I736" t="str">
        <f>_xlfn.IFNA(INDEX('[1]Sector list'!$A$2:$A$122,MATCH(H736,'[1]Sector list'!$B$2:$B$122,0)),"")</f>
        <v/>
      </c>
      <c r="J736" s="172"/>
    </row>
    <row r="737" spans="9:10" x14ac:dyDescent="0.3">
      <c r="I737" t="str">
        <f>_xlfn.IFNA(INDEX('[1]Sector list'!$A$2:$A$122,MATCH(H737,'[1]Sector list'!$B$2:$B$122,0)),"")</f>
        <v/>
      </c>
      <c r="J737" s="172"/>
    </row>
    <row r="738" spans="9:10" x14ac:dyDescent="0.3">
      <c r="I738" t="str">
        <f>_xlfn.IFNA(INDEX('[1]Sector list'!$A$2:$A$122,MATCH(H738,'[1]Sector list'!$B$2:$B$122,0)),"")</f>
        <v/>
      </c>
      <c r="J738" s="172"/>
    </row>
    <row r="739" spans="9:10" x14ac:dyDescent="0.3">
      <c r="I739" t="str">
        <f>_xlfn.IFNA(INDEX('[1]Sector list'!$A$2:$A$122,MATCH(H739,'[1]Sector list'!$B$2:$B$122,0)),"")</f>
        <v/>
      </c>
      <c r="J739" s="172"/>
    </row>
    <row r="740" spans="9:10" x14ac:dyDescent="0.3">
      <c r="I740" t="str">
        <f>_xlfn.IFNA(INDEX('[1]Sector list'!$A$2:$A$122,MATCH(H740,'[1]Sector list'!$B$2:$B$122,0)),"")</f>
        <v/>
      </c>
      <c r="J740" s="172"/>
    </row>
    <row r="741" spans="9:10" x14ac:dyDescent="0.3">
      <c r="I741" t="str">
        <f>_xlfn.IFNA(INDEX('[1]Sector list'!$A$2:$A$122,MATCH(H741,'[1]Sector list'!$B$2:$B$122,0)),"")</f>
        <v/>
      </c>
      <c r="J741" s="172"/>
    </row>
    <row r="742" spans="9:10" x14ac:dyDescent="0.3">
      <c r="I742" t="str">
        <f>_xlfn.IFNA(INDEX('[1]Sector list'!$A$2:$A$122,MATCH(H742,'[1]Sector list'!$B$2:$B$122,0)),"")</f>
        <v/>
      </c>
      <c r="J742" s="172"/>
    </row>
    <row r="743" spans="9:10" x14ac:dyDescent="0.3">
      <c r="I743" t="str">
        <f>_xlfn.IFNA(INDEX('[1]Sector list'!$A$2:$A$122,MATCH(H743,'[1]Sector list'!$B$2:$B$122,0)),"")</f>
        <v/>
      </c>
      <c r="J743" s="172"/>
    </row>
    <row r="744" spans="9:10" x14ac:dyDescent="0.3">
      <c r="I744" t="str">
        <f>_xlfn.IFNA(INDEX('[1]Sector list'!$A$2:$A$122,MATCH(H744,'[1]Sector list'!$B$2:$B$122,0)),"")</f>
        <v/>
      </c>
      <c r="J744" s="172"/>
    </row>
    <row r="745" spans="9:10" x14ac:dyDescent="0.3">
      <c r="I745" t="str">
        <f>_xlfn.IFNA(INDEX('[1]Sector list'!$A$2:$A$122,MATCH(H745,'[1]Sector list'!$B$2:$B$122,0)),"")</f>
        <v/>
      </c>
      <c r="J745" s="172"/>
    </row>
    <row r="746" spans="9:10" x14ac:dyDescent="0.3">
      <c r="I746" t="str">
        <f>_xlfn.IFNA(INDEX('[1]Sector list'!$A$2:$A$122,MATCH(H746,'[1]Sector list'!$B$2:$B$122,0)),"")</f>
        <v/>
      </c>
      <c r="J746" s="172"/>
    </row>
    <row r="747" spans="9:10" x14ac:dyDescent="0.3">
      <c r="I747" t="str">
        <f>_xlfn.IFNA(INDEX('[1]Sector list'!$A$2:$A$122,MATCH(H747,'[1]Sector list'!$B$2:$B$122,0)),"")</f>
        <v/>
      </c>
      <c r="J747" s="172"/>
    </row>
    <row r="748" spans="9:10" x14ac:dyDescent="0.3">
      <c r="I748" t="str">
        <f>_xlfn.IFNA(INDEX('[1]Sector list'!$A$2:$A$122,MATCH(H748,'[1]Sector list'!$B$2:$B$122,0)),"")</f>
        <v/>
      </c>
      <c r="J748" s="172"/>
    </row>
    <row r="749" spans="9:10" x14ac:dyDescent="0.3">
      <c r="I749" t="str">
        <f>_xlfn.IFNA(INDEX('[1]Sector list'!$A$2:$A$122,MATCH(H749,'[1]Sector list'!$B$2:$B$122,0)),"")</f>
        <v/>
      </c>
      <c r="J749" s="172"/>
    </row>
    <row r="750" spans="9:10" x14ac:dyDescent="0.3">
      <c r="I750" t="str">
        <f>_xlfn.IFNA(INDEX('[1]Sector list'!$A$2:$A$122,MATCH(H750,'[1]Sector list'!$B$2:$B$122,0)),"")</f>
        <v/>
      </c>
      <c r="J750" s="172"/>
    </row>
    <row r="751" spans="9:10" x14ac:dyDescent="0.3">
      <c r="I751" t="str">
        <f>_xlfn.IFNA(INDEX('[1]Sector list'!$A$2:$A$122,MATCH(H751,'[1]Sector list'!$B$2:$B$122,0)),"")</f>
        <v/>
      </c>
      <c r="J751" s="172"/>
    </row>
    <row r="752" spans="9:10" x14ac:dyDescent="0.3">
      <c r="I752" t="str">
        <f>_xlfn.IFNA(INDEX('[1]Sector list'!$A$2:$A$122,MATCH(H752,'[1]Sector list'!$B$2:$B$122,0)),"")</f>
        <v/>
      </c>
      <c r="J752" s="172"/>
    </row>
    <row r="753" spans="9:10" x14ac:dyDescent="0.3">
      <c r="I753" t="str">
        <f>_xlfn.IFNA(INDEX('[1]Sector list'!$A$2:$A$122,MATCH(H753,'[1]Sector list'!$B$2:$B$122,0)),"")</f>
        <v/>
      </c>
      <c r="J753" s="172"/>
    </row>
    <row r="754" spans="9:10" x14ac:dyDescent="0.3">
      <c r="I754" t="str">
        <f>_xlfn.IFNA(INDEX('[1]Sector list'!$A$2:$A$122,MATCH(H754,'[1]Sector list'!$B$2:$B$122,0)),"")</f>
        <v/>
      </c>
      <c r="J754" s="172"/>
    </row>
    <row r="755" spans="9:10" x14ac:dyDescent="0.3">
      <c r="I755" t="str">
        <f>_xlfn.IFNA(INDEX('[1]Sector list'!$A$2:$A$122,MATCH(H755,'[1]Sector list'!$B$2:$B$122,0)),"")</f>
        <v/>
      </c>
      <c r="J755" s="172"/>
    </row>
    <row r="756" spans="9:10" x14ac:dyDescent="0.3">
      <c r="I756" t="str">
        <f>_xlfn.IFNA(INDEX('[1]Sector list'!$A$2:$A$122,MATCH(H756,'[1]Sector list'!$B$2:$B$122,0)),"")</f>
        <v/>
      </c>
      <c r="J756" s="172"/>
    </row>
    <row r="757" spans="9:10" x14ac:dyDescent="0.3">
      <c r="I757" t="str">
        <f>_xlfn.IFNA(INDEX('[1]Sector list'!$A$2:$A$122,MATCH(H757,'[1]Sector list'!$B$2:$B$122,0)),"")</f>
        <v/>
      </c>
      <c r="J757" s="172"/>
    </row>
    <row r="758" spans="9:10" x14ac:dyDescent="0.3">
      <c r="I758" t="str">
        <f>_xlfn.IFNA(INDEX('[1]Sector list'!$A$2:$A$122,MATCH(H758,'[1]Sector list'!$B$2:$B$122,0)),"")</f>
        <v/>
      </c>
      <c r="J758" s="172"/>
    </row>
    <row r="759" spans="9:10" x14ac:dyDescent="0.3">
      <c r="I759" t="str">
        <f>_xlfn.IFNA(INDEX('[1]Sector list'!$A$2:$A$122,MATCH(H759,'[1]Sector list'!$B$2:$B$122,0)),"")</f>
        <v/>
      </c>
      <c r="J759" s="172"/>
    </row>
    <row r="760" spans="9:10" x14ac:dyDescent="0.3">
      <c r="I760" t="str">
        <f>_xlfn.IFNA(INDEX('[1]Sector list'!$A$2:$A$122,MATCH(H760,'[1]Sector list'!$B$2:$B$122,0)),"")</f>
        <v/>
      </c>
      <c r="J760" s="172"/>
    </row>
    <row r="761" spans="9:10" x14ac:dyDescent="0.3">
      <c r="I761" t="str">
        <f>_xlfn.IFNA(INDEX('[1]Sector list'!$A$2:$A$122,MATCH(H761,'[1]Sector list'!$B$2:$B$122,0)),"")</f>
        <v/>
      </c>
      <c r="J761" s="172"/>
    </row>
    <row r="762" spans="9:10" x14ac:dyDescent="0.3">
      <c r="I762" t="str">
        <f>_xlfn.IFNA(INDEX('[1]Sector list'!$A$2:$A$122,MATCH(H762,'[1]Sector list'!$B$2:$B$122,0)),"")</f>
        <v/>
      </c>
      <c r="J762" s="172"/>
    </row>
    <row r="763" spans="9:10" x14ac:dyDescent="0.3">
      <c r="I763" t="str">
        <f>_xlfn.IFNA(INDEX('[1]Sector list'!$A$2:$A$122,MATCH(H763,'[1]Sector list'!$B$2:$B$122,0)),"")</f>
        <v/>
      </c>
      <c r="J763" s="172"/>
    </row>
    <row r="764" spans="9:10" x14ac:dyDescent="0.3">
      <c r="I764" t="str">
        <f>_xlfn.IFNA(INDEX('[1]Sector list'!$A$2:$A$122,MATCH(H764,'[1]Sector list'!$B$2:$B$122,0)),"")</f>
        <v/>
      </c>
      <c r="J764" s="172"/>
    </row>
    <row r="765" spans="9:10" x14ac:dyDescent="0.3">
      <c r="I765" t="str">
        <f>_xlfn.IFNA(INDEX('[1]Sector list'!$A$2:$A$122,MATCH(H765,'[1]Sector list'!$B$2:$B$122,0)),"")</f>
        <v/>
      </c>
      <c r="J765" s="172"/>
    </row>
    <row r="766" spans="9:10" x14ac:dyDescent="0.3">
      <c r="I766" t="str">
        <f>_xlfn.IFNA(INDEX('[1]Sector list'!$A$2:$A$122,MATCH(H766,'[1]Sector list'!$B$2:$B$122,0)),"")</f>
        <v/>
      </c>
      <c r="J766" s="172"/>
    </row>
    <row r="767" spans="9:10" x14ac:dyDescent="0.3">
      <c r="I767" t="str">
        <f>_xlfn.IFNA(INDEX('[1]Sector list'!$A$2:$A$122,MATCH(H767,'[1]Sector list'!$B$2:$B$122,0)),"")</f>
        <v/>
      </c>
      <c r="J767" s="172"/>
    </row>
    <row r="768" spans="9:10" x14ac:dyDescent="0.3">
      <c r="I768" t="str">
        <f>_xlfn.IFNA(INDEX('[1]Sector list'!$A$2:$A$122,MATCH(H768,'[1]Sector list'!$B$2:$B$122,0)),"")</f>
        <v/>
      </c>
      <c r="J768" s="172"/>
    </row>
    <row r="769" spans="9:10" x14ac:dyDescent="0.3">
      <c r="I769" t="str">
        <f>_xlfn.IFNA(INDEX('[1]Sector list'!$A$2:$A$122,MATCH(H769,'[1]Sector list'!$B$2:$B$122,0)),"")</f>
        <v/>
      </c>
      <c r="J769" s="172"/>
    </row>
    <row r="770" spans="9:10" x14ac:dyDescent="0.3">
      <c r="I770" t="str">
        <f>_xlfn.IFNA(INDEX('[1]Sector list'!$A$2:$A$122,MATCH(H770,'[1]Sector list'!$B$2:$B$122,0)),"")</f>
        <v/>
      </c>
      <c r="J770" s="172"/>
    </row>
    <row r="771" spans="9:10" x14ac:dyDescent="0.3">
      <c r="I771" t="str">
        <f>_xlfn.IFNA(INDEX('[1]Sector list'!$A$2:$A$122,MATCH(H771,'[1]Sector list'!$B$2:$B$122,0)),"")</f>
        <v/>
      </c>
      <c r="J771" s="172"/>
    </row>
    <row r="772" spans="9:10" x14ac:dyDescent="0.3">
      <c r="I772" t="str">
        <f>_xlfn.IFNA(INDEX('[1]Sector list'!$A$2:$A$122,MATCH(H772,'[1]Sector list'!$B$2:$B$122,0)),"")</f>
        <v/>
      </c>
      <c r="J772" s="172"/>
    </row>
    <row r="773" spans="9:10" x14ac:dyDescent="0.3">
      <c r="I773" t="str">
        <f>_xlfn.IFNA(INDEX('[1]Sector list'!$A$2:$A$122,MATCH(H773,'[1]Sector list'!$B$2:$B$122,0)),"")</f>
        <v/>
      </c>
      <c r="J773" s="172"/>
    </row>
    <row r="774" spans="9:10" x14ac:dyDescent="0.3">
      <c r="I774" t="str">
        <f>_xlfn.IFNA(INDEX('[1]Sector list'!$A$2:$A$122,MATCH(H774,'[1]Sector list'!$B$2:$B$122,0)),"")</f>
        <v/>
      </c>
      <c r="J774" s="172"/>
    </row>
    <row r="775" spans="9:10" x14ac:dyDescent="0.3">
      <c r="I775" t="str">
        <f>_xlfn.IFNA(INDEX('[1]Sector list'!$A$2:$A$122,MATCH(H775,'[1]Sector list'!$B$2:$B$122,0)),"")</f>
        <v/>
      </c>
      <c r="J775" s="172"/>
    </row>
    <row r="776" spans="9:10" x14ac:dyDescent="0.3">
      <c r="I776" t="str">
        <f>_xlfn.IFNA(INDEX('[1]Sector list'!$A$2:$A$122,MATCH(H776,'[1]Sector list'!$B$2:$B$122,0)),"")</f>
        <v/>
      </c>
      <c r="J776" s="172"/>
    </row>
    <row r="777" spans="9:10" x14ac:dyDescent="0.3">
      <c r="I777" t="str">
        <f>_xlfn.IFNA(INDEX('[1]Sector list'!$A$2:$A$122,MATCH(H777,'[1]Sector list'!$B$2:$B$122,0)),"")</f>
        <v/>
      </c>
      <c r="J777" s="172"/>
    </row>
    <row r="778" spans="9:10" x14ac:dyDescent="0.3">
      <c r="I778" t="str">
        <f>_xlfn.IFNA(INDEX('[1]Sector list'!$A$2:$A$122,MATCH(H778,'[1]Sector list'!$B$2:$B$122,0)),"")</f>
        <v/>
      </c>
      <c r="J778" s="172"/>
    </row>
    <row r="779" spans="9:10" x14ac:dyDescent="0.3">
      <c r="I779" t="str">
        <f>_xlfn.IFNA(INDEX('[1]Sector list'!$A$2:$A$122,MATCH(H779,'[1]Sector list'!$B$2:$B$122,0)),"")</f>
        <v/>
      </c>
      <c r="J779" s="172"/>
    </row>
    <row r="780" spans="9:10" x14ac:dyDescent="0.3">
      <c r="I780" t="str">
        <f>_xlfn.IFNA(INDEX('[1]Sector list'!$A$2:$A$122,MATCH(H780,'[1]Sector list'!$B$2:$B$122,0)),"")</f>
        <v/>
      </c>
      <c r="J780" s="172"/>
    </row>
    <row r="781" spans="9:10" x14ac:dyDescent="0.3">
      <c r="I781" t="str">
        <f>_xlfn.IFNA(INDEX('[1]Sector list'!$A$2:$A$122,MATCH(H781,'[1]Sector list'!$B$2:$B$122,0)),"")</f>
        <v/>
      </c>
      <c r="J781" s="172"/>
    </row>
    <row r="782" spans="9:10" x14ac:dyDescent="0.3">
      <c r="I782" t="str">
        <f>_xlfn.IFNA(INDEX('[1]Sector list'!$A$2:$A$122,MATCH(H782,'[1]Sector list'!$B$2:$B$122,0)),"")</f>
        <v/>
      </c>
      <c r="J782" s="172"/>
    </row>
    <row r="783" spans="9:10" x14ac:dyDescent="0.3">
      <c r="I783" t="str">
        <f>_xlfn.IFNA(INDEX('[1]Sector list'!$A$2:$A$122,MATCH(H783,'[1]Sector list'!$B$2:$B$122,0)),"")</f>
        <v/>
      </c>
      <c r="J783" s="172"/>
    </row>
    <row r="784" spans="9:10" x14ac:dyDescent="0.3">
      <c r="I784" t="str">
        <f>_xlfn.IFNA(INDEX('[1]Sector list'!$A$2:$A$122,MATCH(H784,'[1]Sector list'!$B$2:$B$122,0)),"")</f>
        <v/>
      </c>
      <c r="J784" s="172"/>
    </row>
    <row r="785" spans="9:10" x14ac:dyDescent="0.3">
      <c r="I785" t="str">
        <f>_xlfn.IFNA(INDEX('[1]Sector list'!$A$2:$A$122,MATCH(H785,'[1]Sector list'!$B$2:$B$122,0)),"")</f>
        <v/>
      </c>
      <c r="J785" s="172"/>
    </row>
    <row r="786" spans="9:10" x14ac:dyDescent="0.3">
      <c r="I786" t="str">
        <f>_xlfn.IFNA(INDEX('[1]Sector list'!$A$2:$A$122,MATCH(H786,'[1]Sector list'!$B$2:$B$122,0)),"")</f>
        <v/>
      </c>
      <c r="J786" s="172"/>
    </row>
    <row r="787" spans="9:10" x14ac:dyDescent="0.3">
      <c r="I787" t="str">
        <f>_xlfn.IFNA(INDEX('[1]Sector list'!$A$2:$A$122,MATCH(H787,'[1]Sector list'!$B$2:$B$122,0)),"")</f>
        <v/>
      </c>
      <c r="J787" s="172"/>
    </row>
    <row r="788" spans="9:10" x14ac:dyDescent="0.3">
      <c r="I788" t="str">
        <f>_xlfn.IFNA(INDEX('[1]Sector list'!$A$2:$A$122,MATCH(H788,'[1]Sector list'!$B$2:$B$122,0)),"")</f>
        <v/>
      </c>
      <c r="J788" s="172"/>
    </row>
    <row r="789" spans="9:10" x14ac:dyDescent="0.3">
      <c r="I789" t="str">
        <f>_xlfn.IFNA(INDEX('[1]Sector list'!$A$2:$A$122,MATCH(H789,'[1]Sector list'!$B$2:$B$122,0)),"")</f>
        <v/>
      </c>
      <c r="J789" s="172"/>
    </row>
    <row r="790" spans="9:10" x14ac:dyDescent="0.3">
      <c r="I790" t="str">
        <f>_xlfn.IFNA(INDEX('[1]Sector list'!$A$2:$A$122,MATCH(H790,'[1]Sector list'!$B$2:$B$122,0)),"")</f>
        <v/>
      </c>
      <c r="J790" s="172"/>
    </row>
    <row r="791" spans="9:10" x14ac:dyDescent="0.3">
      <c r="I791" t="str">
        <f>_xlfn.IFNA(INDEX('[1]Sector list'!$A$2:$A$122,MATCH(H791,'[1]Sector list'!$B$2:$B$122,0)),"")</f>
        <v/>
      </c>
      <c r="J791" s="172"/>
    </row>
    <row r="792" spans="9:10" x14ac:dyDescent="0.3">
      <c r="I792" t="str">
        <f>_xlfn.IFNA(INDEX('[1]Sector list'!$A$2:$A$122,MATCH(H792,'[1]Sector list'!$B$2:$B$122,0)),"")</f>
        <v/>
      </c>
      <c r="J792" s="172"/>
    </row>
    <row r="793" spans="9:10" x14ac:dyDescent="0.3">
      <c r="I793" t="str">
        <f>_xlfn.IFNA(INDEX('[1]Sector list'!$A$2:$A$122,MATCH(H793,'[1]Sector list'!$B$2:$B$122,0)),"")</f>
        <v/>
      </c>
      <c r="J793" s="172"/>
    </row>
    <row r="794" spans="9:10" x14ac:dyDescent="0.3">
      <c r="I794" t="str">
        <f>_xlfn.IFNA(INDEX('[1]Sector list'!$A$2:$A$122,MATCH(H794,'[1]Sector list'!$B$2:$B$122,0)),"")</f>
        <v/>
      </c>
      <c r="J794" s="172"/>
    </row>
    <row r="795" spans="9:10" x14ac:dyDescent="0.3">
      <c r="I795" t="str">
        <f>_xlfn.IFNA(INDEX('[1]Sector list'!$A$2:$A$122,MATCH(H795,'[1]Sector list'!$B$2:$B$122,0)),"")</f>
        <v/>
      </c>
      <c r="J795" s="172"/>
    </row>
    <row r="796" spans="9:10" x14ac:dyDescent="0.3">
      <c r="I796" t="str">
        <f>_xlfn.IFNA(INDEX('[1]Sector list'!$A$2:$A$122,MATCH(H796,'[1]Sector list'!$B$2:$B$122,0)),"")</f>
        <v/>
      </c>
      <c r="J796" s="172"/>
    </row>
    <row r="797" spans="9:10" x14ac:dyDescent="0.3">
      <c r="I797" t="str">
        <f>_xlfn.IFNA(INDEX('[1]Sector list'!$A$2:$A$122,MATCH(H797,'[1]Sector list'!$B$2:$B$122,0)),"")</f>
        <v/>
      </c>
      <c r="J797" s="172"/>
    </row>
    <row r="798" spans="9:10" x14ac:dyDescent="0.3">
      <c r="I798" t="str">
        <f>_xlfn.IFNA(INDEX('[1]Sector list'!$A$2:$A$122,MATCH(H798,'[1]Sector list'!$B$2:$B$122,0)),"")</f>
        <v/>
      </c>
      <c r="J798" s="172"/>
    </row>
    <row r="799" spans="9:10" x14ac:dyDescent="0.3">
      <c r="I799" t="str">
        <f>_xlfn.IFNA(INDEX('[1]Sector list'!$A$2:$A$122,MATCH(H799,'[1]Sector list'!$B$2:$B$122,0)),"")</f>
        <v/>
      </c>
      <c r="J799" s="172"/>
    </row>
    <row r="800" spans="9:10" x14ac:dyDescent="0.3">
      <c r="I800" t="str">
        <f>_xlfn.IFNA(INDEX('[1]Sector list'!$A$2:$A$122,MATCH(H800,'[1]Sector list'!$B$2:$B$122,0)),"")</f>
        <v/>
      </c>
      <c r="J800" s="172"/>
    </row>
    <row r="801" spans="9:10" x14ac:dyDescent="0.3">
      <c r="I801" t="str">
        <f>_xlfn.IFNA(INDEX('[1]Sector list'!$A$2:$A$122,MATCH(H801,'[1]Sector list'!$B$2:$B$122,0)),"")</f>
        <v/>
      </c>
      <c r="J801" s="172"/>
    </row>
    <row r="802" spans="9:10" x14ac:dyDescent="0.3">
      <c r="I802" t="str">
        <f>_xlfn.IFNA(INDEX('[1]Sector list'!$A$2:$A$122,MATCH(H802,'[1]Sector list'!$B$2:$B$122,0)),"")</f>
        <v/>
      </c>
      <c r="J802" s="172"/>
    </row>
    <row r="803" spans="9:10" x14ac:dyDescent="0.3">
      <c r="I803" t="str">
        <f>_xlfn.IFNA(INDEX('[1]Sector list'!$A$2:$A$122,MATCH(H803,'[1]Sector list'!$B$2:$B$122,0)),"")</f>
        <v/>
      </c>
      <c r="J803" s="172"/>
    </row>
    <row r="804" spans="9:10" x14ac:dyDescent="0.3">
      <c r="I804" t="str">
        <f>_xlfn.IFNA(INDEX('[1]Sector list'!$A$2:$A$122,MATCH(H804,'[1]Sector list'!$B$2:$B$122,0)),"")</f>
        <v/>
      </c>
      <c r="J804" s="172"/>
    </row>
    <row r="805" spans="9:10" x14ac:dyDescent="0.3">
      <c r="I805" t="str">
        <f>_xlfn.IFNA(INDEX('[1]Sector list'!$A$2:$A$122,MATCH(H805,'[1]Sector list'!$B$2:$B$122,0)),"")</f>
        <v/>
      </c>
      <c r="J805" s="172"/>
    </row>
    <row r="806" spans="9:10" x14ac:dyDescent="0.3">
      <c r="I806" t="str">
        <f>_xlfn.IFNA(INDEX('[1]Sector list'!$A$2:$A$122,MATCH(H806,'[1]Sector list'!$B$2:$B$122,0)),"")</f>
        <v/>
      </c>
      <c r="J806" s="172"/>
    </row>
    <row r="807" spans="9:10" x14ac:dyDescent="0.3">
      <c r="I807" t="str">
        <f>_xlfn.IFNA(INDEX('[1]Sector list'!$A$2:$A$122,MATCH(H807,'[1]Sector list'!$B$2:$B$122,0)),"")</f>
        <v/>
      </c>
      <c r="J807" s="172"/>
    </row>
    <row r="808" spans="9:10" x14ac:dyDescent="0.3">
      <c r="I808" t="str">
        <f>_xlfn.IFNA(INDEX('[1]Sector list'!$A$2:$A$122,MATCH(H808,'[1]Sector list'!$B$2:$B$122,0)),"")</f>
        <v/>
      </c>
      <c r="J808" s="172"/>
    </row>
    <row r="809" spans="9:10" x14ac:dyDescent="0.3">
      <c r="I809" t="str">
        <f>_xlfn.IFNA(INDEX('[1]Sector list'!$A$2:$A$122,MATCH(H809,'[1]Sector list'!$B$2:$B$122,0)),"")</f>
        <v/>
      </c>
      <c r="J809" s="172"/>
    </row>
    <row r="810" spans="9:10" x14ac:dyDescent="0.3">
      <c r="I810" t="str">
        <f>_xlfn.IFNA(INDEX('[1]Sector list'!$A$2:$A$122,MATCH(H810,'[1]Sector list'!$B$2:$B$122,0)),"")</f>
        <v/>
      </c>
      <c r="J810" s="172"/>
    </row>
    <row r="811" spans="9:10" x14ac:dyDescent="0.3">
      <c r="I811" t="str">
        <f>_xlfn.IFNA(INDEX('[1]Sector list'!$A$2:$A$122,MATCH(H811,'[1]Sector list'!$B$2:$B$122,0)),"")</f>
        <v/>
      </c>
      <c r="J811" s="172"/>
    </row>
    <row r="812" spans="9:10" x14ac:dyDescent="0.3">
      <c r="I812" t="str">
        <f>_xlfn.IFNA(INDEX('[1]Sector list'!$A$2:$A$122,MATCH(H812,'[1]Sector list'!$B$2:$B$122,0)),"")</f>
        <v/>
      </c>
      <c r="J812" s="172"/>
    </row>
    <row r="813" spans="9:10" x14ac:dyDescent="0.3">
      <c r="I813" t="str">
        <f>_xlfn.IFNA(INDEX('[1]Sector list'!$A$2:$A$122,MATCH(H813,'[1]Sector list'!$B$2:$B$122,0)),"")</f>
        <v/>
      </c>
      <c r="J813" s="172"/>
    </row>
    <row r="814" spans="9:10" x14ac:dyDescent="0.3">
      <c r="I814" t="str">
        <f>_xlfn.IFNA(INDEX('[1]Sector list'!$A$2:$A$122,MATCH(H814,'[1]Sector list'!$B$2:$B$122,0)),"")</f>
        <v/>
      </c>
      <c r="J814" s="172"/>
    </row>
    <row r="815" spans="9:10" x14ac:dyDescent="0.3">
      <c r="I815" t="str">
        <f>_xlfn.IFNA(INDEX('[1]Sector list'!$A$2:$A$122,MATCH(H815,'[1]Sector list'!$B$2:$B$122,0)),"")</f>
        <v/>
      </c>
      <c r="J815" s="172"/>
    </row>
    <row r="816" spans="9:10" x14ac:dyDescent="0.3">
      <c r="I816" t="str">
        <f>_xlfn.IFNA(INDEX('[1]Sector list'!$A$2:$A$122,MATCH(H816,'[1]Sector list'!$B$2:$B$122,0)),"")</f>
        <v/>
      </c>
      <c r="J816" s="172"/>
    </row>
    <row r="817" spans="9:10" x14ac:dyDescent="0.3">
      <c r="I817" t="str">
        <f>_xlfn.IFNA(INDEX('[1]Sector list'!$A$2:$A$122,MATCH(H817,'[1]Sector list'!$B$2:$B$122,0)),"")</f>
        <v/>
      </c>
      <c r="J817" s="172"/>
    </row>
    <row r="818" spans="9:10" x14ac:dyDescent="0.3">
      <c r="I818" t="str">
        <f>_xlfn.IFNA(INDEX('[1]Sector list'!$A$2:$A$122,MATCH(H818,'[1]Sector list'!$B$2:$B$122,0)),"")</f>
        <v/>
      </c>
      <c r="J818" s="172"/>
    </row>
    <row r="819" spans="9:10" x14ac:dyDescent="0.3">
      <c r="I819" t="str">
        <f>_xlfn.IFNA(INDEX('[1]Sector list'!$A$2:$A$122,MATCH(H819,'[1]Sector list'!$B$2:$B$122,0)),"")</f>
        <v/>
      </c>
      <c r="J819" s="172"/>
    </row>
    <row r="820" spans="9:10" x14ac:dyDescent="0.3">
      <c r="I820" t="str">
        <f>_xlfn.IFNA(INDEX('[1]Sector list'!$A$2:$A$122,MATCH(H820,'[1]Sector list'!$B$2:$B$122,0)),"")</f>
        <v/>
      </c>
      <c r="J820" s="172"/>
    </row>
    <row r="821" spans="9:10" x14ac:dyDescent="0.3">
      <c r="I821" t="str">
        <f>_xlfn.IFNA(INDEX('[1]Sector list'!$A$2:$A$122,MATCH(H821,'[1]Sector list'!$B$2:$B$122,0)),"")</f>
        <v/>
      </c>
      <c r="J821" s="172"/>
    </row>
    <row r="822" spans="9:10" x14ac:dyDescent="0.3">
      <c r="I822" t="str">
        <f>_xlfn.IFNA(INDEX('[1]Sector list'!$A$2:$A$122,MATCH(H822,'[1]Sector list'!$B$2:$B$122,0)),"")</f>
        <v/>
      </c>
      <c r="J822" s="172"/>
    </row>
    <row r="823" spans="9:10" x14ac:dyDescent="0.3">
      <c r="I823" t="str">
        <f>_xlfn.IFNA(INDEX('[1]Sector list'!$A$2:$A$122,MATCH(H823,'[1]Sector list'!$B$2:$B$122,0)),"")</f>
        <v/>
      </c>
      <c r="J823" s="172"/>
    </row>
    <row r="824" spans="9:10" x14ac:dyDescent="0.3">
      <c r="I824" t="str">
        <f>_xlfn.IFNA(INDEX('[1]Sector list'!$A$2:$A$122,MATCH(H824,'[1]Sector list'!$B$2:$B$122,0)),"")</f>
        <v/>
      </c>
      <c r="J824" s="172"/>
    </row>
    <row r="825" spans="9:10" x14ac:dyDescent="0.3">
      <c r="I825" t="str">
        <f>_xlfn.IFNA(INDEX('[1]Sector list'!$A$2:$A$122,MATCH(H825,'[1]Sector list'!$B$2:$B$122,0)),"")</f>
        <v/>
      </c>
      <c r="J825" s="172"/>
    </row>
    <row r="826" spans="9:10" x14ac:dyDescent="0.3">
      <c r="I826" t="str">
        <f>_xlfn.IFNA(INDEX('[1]Sector list'!$A$2:$A$122,MATCH(H826,'[1]Sector list'!$B$2:$B$122,0)),"")</f>
        <v/>
      </c>
      <c r="J826" s="172"/>
    </row>
    <row r="827" spans="9:10" x14ac:dyDescent="0.3">
      <c r="I827" t="str">
        <f>_xlfn.IFNA(INDEX('[1]Sector list'!$A$2:$A$122,MATCH(H827,'[1]Sector list'!$B$2:$B$122,0)),"")</f>
        <v/>
      </c>
      <c r="J827" s="172"/>
    </row>
    <row r="828" spans="9:10" x14ac:dyDescent="0.3">
      <c r="I828" t="str">
        <f>_xlfn.IFNA(INDEX('[1]Sector list'!$A$2:$A$122,MATCH(H828,'[1]Sector list'!$B$2:$B$122,0)),"")</f>
        <v/>
      </c>
      <c r="J828" s="172"/>
    </row>
    <row r="829" spans="9:10" x14ac:dyDescent="0.3">
      <c r="I829" t="str">
        <f>_xlfn.IFNA(INDEX('[1]Sector list'!$A$2:$A$122,MATCH(H829,'[1]Sector list'!$B$2:$B$122,0)),"")</f>
        <v/>
      </c>
      <c r="J829" s="172"/>
    </row>
    <row r="830" spans="9:10" x14ac:dyDescent="0.3">
      <c r="I830" t="str">
        <f>_xlfn.IFNA(INDEX('[1]Sector list'!$A$2:$A$122,MATCH(H830,'[1]Sector list'!$B$2:$B$122,0)),"")</f>
        <v/>
      </c>
      <c r="J830" s="172"/>
    </row>
    <row r="831" spans="9:10" x14ac:dyDescent="0.3">
      <c r="I831" t="str">
        <f>_xlfn.IFNA(INDEX('[1]Sector list'!$A$2:$A$122,MATCH(H831,'[1]Sector list'!$B$2:$B$122,0)),"")</f>
        <v/>
      </c>
      <c r="J831" s="172"/>
    </row>
    <row r="832" spans="9:10" x14ac:dyDescent="0.3">
      <c r="I832" t="str">
        <f>_xlfn.IFNA(INDEX('[1]Sector list'!$A$2:$A$122,MATCH(H832,'[1]Sector list'!$B$2:$B$122,0)),"")</f>
        <v/>
      </c>
      <c r="J832" s="172"/>
    </row>
    <row r="833" spans="9:10" x14ac:dyDescent="0.3">
      <c r="I833" t="str">
        <f>_xlfn.IFNA(INDEX('[1]Sector list'!$A$2:$A$122,MATCH(H833,'[1]Sector list'!$B$2:$B$122,0)),"")</f>
        <v/>
      </c>
      <c r="J833" s="172"/>
    </row>
    <row r="834" spans="9:10" x14ac:dyDescent="0.3">
      <c r="I834" t="str">
        <f>_xlfn.IFNA(INDEX('[1]Sector list'!$A$2:$A$122,MATCH(H834,'[1]Sector list'!$B$2:$B$122,0)),"")</f>
        <v/>
      </c>
      <c r="J834" s="172"/>
    </row>
    <row r="835" spans="9:10" x14ac:dyDescent="0.3">
      <c r="I835" t="str">
        <f>_xlfn.IFNA(INDEX('[1]Sector list'!$A$2:$A$122,MATCH(H835,'[1]Sector list'!$B$2:$B$122,0)),"")</f>
        <v/>
      </c>
      <c r="J835" s="172"/>
    </row>
    <row r="836" spans="9:10" x14ac:dyDescent="0.3">
      <c r="I836" t="str">
        <f>_xlfn.IFNA(INDEX('[1]Sector list'!$A$2:$A$122,MATCH(H836,'[1]Sector list'!$B$2:$B$122,0)),"")</f>
        <v/>
      </c>
      <c r="J836" s="172"/>
    </row>
    <row r="837" spans="9:10" x14ac:dyDescent="0.3">
      <c r="I837" t="str">
        <f>_xlfn.IFNA(INDEX('[1]Sector list'!$A$2:$A$122,MATCH(H837,'[1]Sector list'!$B$2:$B$122,0)),"")</f>
        <v/>
      </c>
      <c r="J837" s="172"/>
    </row>
    <row r="838" spans="9:10" x14ac:dyDescent="0.3">
      <c r="I838" t="str">
        <f>_xlfn.IFNA(INDEX('[1]Sector list'!$A$2:$A$122,MATCH(H838,'[1]Sector list'!$B$2:$B$122,0)),"")</f>
        <v/>
      </c>
      <c r="J838" s="172"/>
    </row>
    <row r="839" spans="9:10" x14ac:dyDescent="0.3">
      <c r="I839" t="str">
        <f>_xlfn.IFNA(INDEX('[1]Sector list'!$A$2:$A$122,MATCH(H839,'[1]Sector list'!$B$2:$B$122,0)),"")</f>
        <v/>
      </c>
      <c r="J839" s="172"/>
    </row>
    <row r="840" spans="9:10" x14ac:dyDescent="0.3">
      <c r="I840" t="str">
        <f>_xlfn.IFNA(INDEX('[1]Sector list'!$A$2:$A$122,MATCH(H840,'[1]Sector list'!$B$2:$B$122,0)),"")</f>
        <v/>
      </c>
      <c r="J840" s="172"/>
    </row>
    <row r="841" spans="9:10" x14ac:dyDescent="0.3">
      <c r="I841" t="str">
        <f>_xlfn.IFNA(INDEX('[1]Sector list'!$A$2:$A$122,MATCH(H841,'[1]Sector list'!$B$2:$B$122,0)),"")</f>
        <v/>
      </c>
      <c r="J841" s="172"/>
    </row>
    <row r="842" spans="9:10" x14ac:dyDescent="0.3">
      <c r="I842" t="str">
        <f>_xlfn.IFNA(INDEX('[1]Sector list'!$A$2:$A$122,MATCH(H842,'[1]Sector list'!$B$2:$B$122,0)),"")</f>
        <v/>
      </c>
      <c r="J842" s="172"/>
    </row>
    <row r="843" spans="9:10" x14ac:dyDescent="0.3">
      <c r="I843" t="str">
        <f>_xlfn.IFNA(INDEX('[1]Sector list'!$A$2:$A$122,MATCH(H843,'[1]Sector list'!$B$2:$B$122,0)),"")</f>
        <v/>
      </c>
      <c r="J843" s="172"/>
    </row>
    <row r="844" spans="9:10" x14ac:dyDescent="0.3">
      <c r="I844" t="str">
        <f>_xlfn.IFNA(INDEX('[1]Sector list'!$A$2:$A$122,MATCH(H844,'[1]Sector list'!$B$2:$B$122,0)),"")</f>
        <v/>
      </c>
      <c r="J844" s="172"/>
    </row>
    <row r="845" spans="9:10" x14ac:dyDescent="0.3">
      <c r="I845" t="str">
        <f>_xlfn.IFNA(INDEX('[1]Sector list'!$A$2:$A$122,MATCH(H845,'[1]Sector list'!$B$2:$B$122,0)),"")</f>
        <v/>
      </c>
      <c r="J845" s="172"/>
    </row>
    <row r="846" spans="9:10" x14ac:dyDescent="0.3">
      <c r="I846" t="str">
        <f>_xlfn.IFNA(INDEX('[1]Sector list'!$A$2:$A$122,MATCH(H846,'[1]Sector list'!$B$2:$B$122,0)),"")</f>
        <v/>
      </c>
      <c r="J846" s="172"/>
    </row>
    <row r="847" spans="9:10" x14ac:dyDescent="0.3">
      <c r="I847" t="str">
        <f>_xlfn.IFNA(INDEX('[1]Sector list'!$A$2:$A$122,MATCH(H847,'[1]Sector list'!$B$2:$B$122,0)),"")</f>
        <v/>
      </c>
      <c r="J847" s="172"/>
    </row>
    <row r="848" spans="9:10" x14ac:dyDescent="0.3">
      <c r="I848" t="str">
        <f>_xlfn.IFNA(INDEX('[1]Sector list'!$A$2:$A$122,MATCH(H848,'[1]Sector list'!$B$2:$B$122,0)),"")</f>
        <v/>
      </c>
      <c r="J848" s="172"/>
    </row>
    <row r="849" spans="9:10" x14ac:dyDescent="0.3">
      <c r="I849" t="str">
        <f>_xlfn.IFNA(INDEX('[1]Sector list'!$A$2:$A$122,MATCH(H849,'[1]Sector list'!$B$2:$B$122,0)),"")</f>
        <v/>
      </c>
      <c r="J849" s="172"/>
    </row>
    <row r="850" spans="9:10" x14ac:dyDescent="0.3">
      <c r="I850" t="str">
        <f>_xlfn.IFNA(INDEX('[1]Sector list'!$A$2:$A$122,MATCH(H850,'[1]Sector list'!$B$2:$B$122,0)),"")</f>
        <v/>
      </c>
      <c r="J850" s="172"/>
    </row>
    <row r="851" spans="9:10" x14ac:dyDescent="0.3">
      <c r="I851" t="str">
        <f>_xlfn.IFNA(INDEX('[1]Sector list'!$A$2:$A$122,MATCH(H851,'[1]Sector list'!$B$2:$B$122,0)),"")</f>
        <v/>
      </c>
      <c r="J851" s="172"/>
    </row>
    <row r="852" spans="9:10" x14ac:dyDescent="0.3">
      <c r="I852" t="str">
        <f>_xlfn.IFNA(INDEX('[1]Sector list'!$A$2:$A$122,MATCH(H852,'[1]Sector list'!$B$2:$B$122,0)),"")</f>
        <v/>
      </c>
      <c r="J852" s="172"/>
    </row>
    <row r="853" spans="9:10" x14ac:dyDescent="0.3">
      <c r="I853" t="str">
        <f>_xlfn.IFNA(INDEX('[1]Sector list'!$A$2:$A$122,MATCH(H853,'[1]Sector list'!$B$2:$B$122,0)),"")</f>
        <v/>
      </c>
      <c r="J853" s="172"/>
    </row>
    <row r="854" spans="9:10" x14ac:dyDescent="0.3">
      <c r="I854" t="str">
        <f>_xlfn.IFNA(INDEX('[1]Sector list'!$A$2:$A$122,MATCH(H854,'[1]Sector list'!$B$2:$B$122,0)),"")</f>
        <v/>
      </c>
      <c r="J854" s="172"/>
    </row>
    <row r="855" spans="9:10" x14ac:dyDescent="0.3">
      <c r="I855" t="str">
        <f>_xlfn.IFNA(INDEX('[1]Sector list'!$A$2:$A$122,MATCH(H855,'[1]Sector list'!$B$2:$B$122,0)),"")</f>
        <v/>
      </c>
      <c r="J855" s="172"/>
    </row>
    <row r="856" spans="9:10" x14ac:dyDescent="0.3">
      <c r="I856" t="str">
        <f>_xlfn.IFNA(INDEX('[1]Sector list'!$A$2:$A$122,MATCH(H856,'[1]Sector list'!$B$2:$B$122,0)),"")</f>
        <v/>
      </c>
      <c r="J856" s="172"/>
    </row>
    <row r="857" spans="9:10" x14ac:dyDescent="0.3">
      <c r="I857" t="str">
        <f>_xlfn.IFNA(INDEX('[1]Sector list'!$A$2:$A$122,MATCH(H857,'[1]Sector list'!$B$2:$B$122,0)),"")</f>
        <v/>
      </c>
      <c r="J857" s="172"/>
    </row>
    <row r="858" spans="9:10" x14ac:dyDescent="0.3">
      <c r="I858" t="str">
        <f>_xlfn.IFNA(INDEX('[1]Sector list'!$A$2:$A$122,MATCH(H858,'[1]Sector list'!$B$2:$B$122,0)),"")</f>
        <v/>
      </c>
      <c r="J858" s="172"/>
    </row>
    <row r="859" spans="9:10" x14ac:dyDescent="0.3">
      <c r="I859" t="str">
        <f>_xlfn.IFNA(INDEX('[1]Sector list'!$A$2:$A$122,MATCH(H859,'[1]Sector list'!$B$2:$B$122,0)),"")</f>
        <v/>
      </c>
      <c r="J859" s="172"/>
    </row>
    <row r="860" spans="9:10" x14ac:dyDescent="0.3">
      <c r="I860" t="str">
        <f>_xlfn.IFNA(INDEX('[1]Sector list'!$A$2:$A$122,MATCH(H860,'[1]Sector list'!$B$2:$B$122,0)),"")</f>
        <v/>
      </c>
      <c r="J860" s="172"/>
    </row>
    <row r="861" spans="9:10" x14ac:dyDescent="0.3">
      <c r="I861" t="str">
        <f>_xlfn.IFNA(INDEX('[1]Sector list'!$A$2:$A$122,MATCH(H861,'[1]Sector list'!$B$2:$B$122,0)),"")</f>
        <v/>
      </c>
      <c r="J861" s="172"/>
    </row>
    <row r="862" spans="9:10" x14ac:dyDescent="0.3">
      <c r="I862" t="str">
        <f>_xlfn.IFNA(INDEX('[1]Sector list'!$A$2:$A$122,MATCH(H862,'[1]Sector list'!$B$2:$B$122,0)),"")</f>
        <v/>
      </c>
      <c r="J862" s="172"/>
    </row>
    <row r="863" spans="9:10" x14ac:dyDescent="0.3">
      <c r="I863" t="str">
        <f>_xlfn.IFNA(INDEX('[1]Sector list'!$A$2:$A$122,MATCH(H863,'[1]Sector list'!$B$2:$B$122,0)),"")</f>
        <v/>
      </c>
      <c r="J863" s="172"/>
    </row>
    <row r="864" spans="9:10" x14ac:dyDescent="0.3">
      <c r="I864" t="str">
        <f>_xlfn.IFNA(INDEX('[1]Sector list'!$A$2:$A$122,MATCH(H864,'[1]Sector list'!$B$2:$B$122,0)),"")</f>
        <v/>
      </c>
      <c r="J864" s="172"/>
    </row>
    <row r="865" spans="9:10" x14ac:dyDescent="0.3">
      <c r="I865" t="str">
        <f>_xlfn.IFNA(INDEX('[1]Sector list'!$A$2:$A$122,MATCH(H865,'[1]Sector list'!$B$2:$B$122,0)),"")</f>
        <v/>
      </c>
      <c r="J865" s="172"/>
    </row>
    <row r="866" spans="9:10" x14ac:dyDescent="0.3">
      <c r="I866" t="str">
        <f>_xlfn.IFNA(INDEX('[1]Sector list'!$A$2:$A$122,MATCH(H866,'[1]Sector list'!$B$2:$B$122,0)),"")</f>
        <v/>
      </c>
      <c r="J866" s="172"/>
    </row>
    <row r="867" spans="9:10" x14ac:dyDescent="0.3">
      <c r="I867" t="str">
        <f>_xlfn.IFNA(INDEX('[1]Sector list'!$A$2:$A$122,MATCH(H867,'[1]Sector list'!$B$2:$B$122,0)),"")</f>
        <v/>
      </c>
      <c r="J867" s="172"/>
    </row>
    <row r="868" spans="9:10" x14ac:dyDescent="0.3">
      <c r="I868" t="str">
        <f>_xlfn.IFNA(INDEX('[1]Sector list'!$A$2:$A$122,MATCH(H868,'[1]Sector list'!$B$2:$B$122,0)),"")</f>
        <v/>
      </c>
      <c r="J868" s="172"/>
    </row>
    <row r="869" spans="9:10" x14ac:dyDescent="0.3">
      <c r="I869" t="str">
        <f>_xlfn.IFNA(INDEX('[1]Sector list'!$A$2:$A$122,MATCH(H869,'[1]Sector list'!$B$2:$B$122,0)),"")</f>
        <v/>
      </c>
      <c r="J869" s="172"/>
    </row>
    <row r="870" spans="9:10" x14ac:dyDescent="0.3">
      <c r="I870" t="str">
        <f>_xlfn.IFNA(INDEX('[1]Sector list'!$A$2:$A$122,MATCH(H870,'[1]Sector list'!$B$2:$B$122,0)),"")</f>
        <v/>
      </c>
      <c r="J870" s="172"/>
    </row>
    <row r="871" spans="9:10" x14ac:dyDescent="0.3">
      <c r="I871" t="str">
        <f>_xlfn.IFNA(INDEX('[1]Sector list'!$A$2:$A$122,MATCH(H871,'[1]Sector list'!$B$2:$B$122,0)),"")</f>
        <v/>
      </c>
      <c r="J871" s="172"/>
    </row>
    <row r="872" spans="9:10" x14ac:dyDescent="0.3">
      <c r="I872" t="str">
        <f>_xlfn.IFNA(INDEX('[1]Sector list'!$A$2:$A$122,MATCH(H872,'[1]Sector list'!$B$2:$B$122,0)),"")</f>
        <v/>
      </c>
      <c r="J872" s="172"/>
    </row>
    <row r="873" spans="9:10" x14ac:dyDescent="0.3">
      <c r="I873" t="str">
        <f>_xlfn.IFNA(INDEX('[1]Sector list'!$A$2:$A$122,MATCH(H873,'[1]Sector list'!$B$2:$B$122,0)),"")</f>
        <v/>
      </c>
      <c r="J873" s="172"/>
    </row>
    <row r="874" spans="9:10" x14ac:dyDescent="0.3">
      <c r="I874" t="str">
        <f>_xlfn.IFNA(INDEX('[1]Sector list'!$A$2:$A$122,MATCH(H874,'[1]Sector list'!$B$2:$B$122,0)),"")</f>
        <v/>
      </c>
      <c r="J874" s="172"/>
    </row>
    <row r="875" spans="9:10" x14ac:dyDescent="0.3">
      <c r="I875" t="str">
        <f>_xlfn.IFNA(INDEX('[1]Sector list'!$A$2:$A$122,MATCH(H875,'[1]Sector list'!$B$2:$B$122,0)),"")</f>
        <v/>
      </c>
      <c r="J875" s="172"/>
    </row>
    <row r="876" spans="9:10" x14ac:dyDescent="0.3">
      <c r="I876" t="str">
        <f>_xlfn.IFNA(INDEX('[1]Sector list'!$A$2:$A$122,MATCH(H876,'[1]Sector list'!$B$2:$B$122,0)),"")</f>
        <v/>
      </c>
      <c r="J876" s="172"/>
    </row>
    <row r="877" spans="9:10" x14ac:dyDescent="0.3">
      <c r="I877" t="str">
        <f>_xlfn.IFNA(INDEX('[1]Sector list'!$A$2:$A$122,MATCH(H877,'[1]Sector list'!$B$2:$B$122,0)),"")</f>
        <v/>
      </c>
      <c r="J877" s="172"/>
    </row>
    <row r="878" spans="9:10" x14ac:dyDescent="0.3">
      <c r="I878" t="str">
        <f>_xlfn.IFNA(INDEX('[1]Sector list'!$A$2:$A$122,MATCH(H878,'[1]Sector list'!$B$2:$B$122,0)),"")</f>
        <v/>
      </c>
      <c r="J878" s="172"/>
    </row>
    <row r="879" spans="9:10" x14ac:dyDescent="0.3">
      <c r="I879" t="str">
        <f>_xlfn.IFNA(INDEX('[1]Sector list'!$A$2:$A$122,MATCH(H879,'[1]Sector list'!$B$2:$B$122,0)),"")</f>
        <v/>
      </c>
      <c r="J879" s="172"/>
    </row>
    <row r="880" spans="9:10" x14ac:dyDescent="0.3">
      <c r="I880" t="str">
        <f>_xlfn.IFNA(INDEX('[1]Sector list'!$A$2:$A$122,MATCH(H880,'[1]Sector list'!$B$2:$B$122,0)),"")</f>
        <v/>
      </c>
      <c r="J880" s="172"/>
    </row>
    <row r="881" spans="9:10" x14ac:dyDescent="0.3">
      <c r="I881" t="str">
        <f>_xlfn.IFNA(INDEX('[1]Sector list'!$A$2:$A$122,MATCH(H881,'[1]Sector list'!$B$2:$B$122,0)),"")</f>
        <v/>
      </c>
      <c r="J881" s="172"/>
    </row>
    <row r="882" spans="9:10" x14ac:dyDescent="0.3">
      <c r="I882" t="str">
        <f>_xlfn.IFNA(INDEX('[1]Sector list'!$A$2:$A$122,MATCH(H882,'[1]Sector list'!$B$2:$B$122,0)),"")</f>
        <v/>
      </c>
      <c r="J882" s="172"/>
    </row>
    <row r="883" spans="9:10" x14ac:dyDescent="0.3">
      <c r="I883" t="str">
        <f>_xlfn.IFNA(INDEX('[1]Sector list'!$A$2:$A$122,MATCH(H883,'[1]Sector list'!$B$2:$B$122,0)),"")</f>
        <v/>
      </c>
      <c r="J883" s="172"/>
    </row>
    <row r="884" spans="9:10" x14ac:dyDescent="0.3">
      <c r="I884" t="str">
        <f>_xlfn.IFNA(INDEX('[1]Sector list'!$A$2:$A$122,MATCH(H884,'[1]Sector list'!$B$2:$B$122,0)),"")</f>
        <v/>
      </c>
      <c r="J884" s="172"/>
    </row>
    <row r="885" spans="9:10" x14ac:dyDescent="0.3">
      <c r="I885" t="str">
        <f>_xlfn.IFNA(INDEX('[1]Sector list'!$A$2:$A$122,MATCH(H885,'[1]Sector list'!$B$2:$B$122,0)),"")</f>
        <v/>
      </c>
      <c r="J885" s="172"/>
    </row>
    <row r="886" spans="9:10" x14ac:dyDescent="0.3">
      <c r="I886" t="str">
        <f>_xlfn.IFNA(INDEX('[1]Sector list'!$A$2:$A$122,MATCH(H886,'[1]Sector list'!$B$2:$B$122,0)),"")</f>
        <v/>
      </c>
      <c r="J886" s="172"/>
    </row>
    <row r="887" spans="9:10" x14ac:dyDescent="0.3">
      <c r="I887" t="str">
        <f>_xlfn.IFNA(INDEX('[1]Sector list'!$A$2:$A$122,MATCH(H887,'[1]Sector list'!$B$2:$B$122,0)),"")</f>
        <v/>
      </c>
      <c r="J887" s="172"/>
    </row>
    <row r="888" spans="9:10" x14ac:dyDescent="0.3">
      <c r="I888" t="str">
        <f>_xlfn.IFNA(INDEX('[1]Sector list'!$A$2:$A$122,MATCH(H888,'[1]Sector list'!$B$2:$B$122,0)),"")</f>
        <v/>
      </c>
      <c r="J888" s="172"/>
    </row>
    <row r="889" spans="9:10" x14ac:dyDescent="0.3">
      <c r="I889" t="str">
        <f>_xlfn.IFNA(INDEX('[1]Sector list'!$A$2:$A$122,MATCH(H889,'[1]Sector list'!$B$2:$B$122,0)),"")</f>
        <v/>
      </c>
      <c r="J889" s="172"/>
    </row>
    <row r="890" spans="9:10" x14ac:dyDescent="0.3">
      <c r="I890" t="str">
        <f>_xlfn.IFNA(INDEX('[1]Sector list'!$A$2:$A$122,MATCH(H890,'[1]Sector list'!$B$2:$B$122,0)),"")</f>
        <v/>
      </c>
      <c r="J890" s="172"/>
    </row>
    <row r="891" spans="9:10" x14ac:dyDescent="0.3">
      <c r="I891" t="str">
        <f>_xlfn.IFNA(INDEX('[1]Sector list'!$A$2:$A$122,MATCH(H891,'[1]Sector list'!$B$2:$B$122,0)),"")</f>
        <v/>
      </c>
      <c r="J891" s="172"/>
    </row>
    <row r="892" spans="9:10" x14ac:dyDescent="0.3">
      <c r="I892" t="str">
        <f>_xlfn.IFNA(INDEX('[1]Sector list'!$A$2:$A$122,MATCH(H892,'[1]Sector list'!$B$2:$B$122,0)),"")</f>
        <v/>
      </c>
      <c r="J892" s="172"/>
    </row>
    <row r="893" spans="9:10" x14ac:dyDescent="0.3">
      <c r="I893" t="str">
        <f>_xlfn.IFNA(INDEX('[1]Sector list'!$A$2:$A$122,MATCH(H893,'[1]Sector list'!$B$2:$B$122,0)),"")</f>
        <v/>
      </c>
      <c r="J893" s="172"/>
    </row>
    <row r="894" spans="9:10" x14ac:dyDescent="0.3">
      <c r="I894" t="str">
        <f>_xlfn.IFNA(INDEX('[1]Sector list'!$A$2:$A$122,MATCH(H894,'[1]Sector list'!$B$2:$B$122,0)),"")</f>
        <v/>
      </c>
      <c r="J894" s="172"/>
    </row>
    <row r="895" spans="9:10" x14ac:dyDescent="0.3">
      <c r="I895" t="str">
        <f>_xlfn.IFNA(INDEX('[1]Sector list'!$A$2:$A$122,MATCH(H895,'[1]Sector list'!$B$2:$B$122,0)),"")</f>
        <v/>
      </c>
      <c r="J895" s="172"/>
    </row>
    <row r="896" spans="9:10" x14ac:dyDescent="0.3">
      <c r="I896" t="str">
        <f>_xlfn.IFNA(INDEX('[1]Sector list'!$A$2:$A$122,MATCH(H896,'[1]Sector list'!$B$2:$B$122,0)),"")</f>
        <v/>
      </c>
      <c r="J896" s="172"/>
    </row>
    <row r="897" spans="9:10" x14ac:dyDescent="0.3">
      <c r="I897" t="str">
        <f>_xlfn.IFNA(INDEX('[1]Sector list'!$A$2:$A$122,MATCH(H897,'[1]Sector list'!$B$2:$B$122,0)),"")</f>
        <v/>
      </c>
      <c r="J897" s="172"/>
    </row>
    <row r="898" spans="9:10" x14ac:dyDescent="0.3">
      <c r="I898" t="str">
        <f>_xlfn.IFNA(INDEX('[1]Sector list'!$A$2:$A$122,MATCH(H898,'[1]Sector list'!$B$2:$B$122,0)),"")</f>
        <v/>
      </c>
      <c r="J898" s="172"/>
    </row>
    <row r="899" spans="9:10" x14ac:dyDescent="0.3">
      <c r="I899" t="str">
        <f>_xlfn.IFNA(INDEX('[1]Sector list'!$A$2:$A$122,MATCH(H899,'[1]Sector list'!$B$2:$B$122,0)),"")</f>
        <v/>
      </c>
      <c r="J899" s="172"/>
    </row>
    <row r="900" spans="9:10" x14ac:dyDescent="0.3">
      <c r="I900" t="str">
        <f>_xlfn.IFNA(INDEX('[1]Sector list'!$A$2:$A$122,MATCH(H900,'[1]Sector list'!$B$2:$B$122,0)),"")</f>
        <v/>
      </c>
      <c r="J900" s="172"/>
    </row>
    <row r="901" spans="9:10" x14ac:dyDescent="0.3">
      <c r="I901" t="str">
        <f>_xlfn.IFNA(INDEX('[1]Sector list'!$A$2:$A$122,MATCH(H901,'[1]Sector list'!$B$2:$B$122,0)),"")</f>
        <v/>
      </c>
      <c r="J901" s="172"/>
    </row>
    <row r="902" spans="9:10" x14ac:dyDescent="0.3">
      <c r="I902" t="str">
        <f>_xlfn.IFNA(INDEX('[1]Sector list'!$A$2:$A$122,MATCH(H902,'[1]Sector list'!$B$2:$B$122,0)),"")</f>
        <v/>
      </c>
      <c r="J902" s="172"/>
    </row>
    <row r="903" spans="9:10" x14ac:dyDescent="0.3">
      <c r="I903" t="str">
        <f>_xlfn.IFNA(INDEX('[1]Sector list'!$A$2:$A$122,MATCH(H903,'[1]Sector list'!$B$2:$B$122,0)),"")</f>
        <v/>
      </c>
      <c r="J903" s="172"/>
    </row>
    <row r="904" spans="9:10" x14ac:dyDescent="0.3">
      <c r="J904" s="172"/>
    </row>
    <row r="905" spans="9:10" x14ac:dyDescent="0.3">
      <c r="J905" s="172"/>
    </row>
    <row r="906" spans="9:10" x14ac:dyDescent="0.3">
      <c r="J906" s="172"/>
    </row>
    <row r="907" spans="9:10" x14ac:dyDescent="0.3">
      <c r="J907" s="172"/>
    </row>
    <row r="908" spans="9:10" x14ac:dyDescent="0.3">
      <c r="J908" s="172"/>
    </row>
    <row r="909" spans="9:10" x14ac:dyDescent="0.3">
      <c r="J909" s="172"/>
    </row>
    <row r="910" spans="9:10" x14ac:dyDescent="0.3">
      <c r="J910" s="172"/>
    </row>
    <row r="911" spans="9:10" x14ac:dyDescent="0.3">
      <c r="J911" s="172"/>
    </row>
    <row r="912" spans="9:10" x14ac:dyDescent="0.3">
      <c r="J912" s="172"/>
    </row>
    <row r="913" spans="10:10" x14ac:dyDescent="0.3">
      <c r="J913" s="172"/>
    </row>
    <row r="914" spans="10:10" x14ac:dyDescent="0.3">
      <c r="J914" s="172"/>
    </row>
    <row r="915" spans="10:10" x14ac:dyDescent="0.3">
      <c r="J915" s="172"/>
    </row>
    <row r="916" spans="10:10" x14ac:dyDescent="0.3">
      <c r="J916" s="172"/>
    </row>
    <row r="917" spans="10:10" x14ac:dyDescent="0.3">
      <c r="J917" s="172"/>
    </row>
    <row r="918" spans="10:10" x14ac:dyDescent="0.3">
      <c r="J918" s="172"/>
    </row>
    <row r="919" spans="10:10" x14ac:dyDescent="0.3">
      <c r="J919" s="172"/>
    </row>
    <row r="920" spans="10:10" x14ac:dyDescent="0.3">
      <c r="J920" s="172"/>
    </row>
    <row r="921" spans="10:10" x14ac:dyDescent="0.3">
      <c r="J921" s="172"/>
    </row>
    <row r="922" spans="10:10" x14ac:dyDescent="0.3">
      <c r="J922" s="172"/>
    </row>
    <row r="923" spans="10:10" x14ac:dyDescent="0.3">
      <c r="J923" s="172"/>
    </row>
    <row r="924" spans="10:10" x14ac:dyDescent="0.3">
      <c r="J924" s="172"/>
    </row>
    <row r="925" spans="10:10" x14ac:dyDescent="0.3">
      <c r="J925" s="172"/>
    </row>
    <row r="926" spans="10:10" x14ac:dyDescent="0.3">
      <c r="J926" s="172"/>
    </row>
    <row r="927" spans="10:10" x14ac:dyDescent="0.3">
      <c r="J927" s="172"/>
    </row>
    <row r="928" spans="10:10" x14ac:dyDescent="0.3">
      <c r="J928" s="172"/>
    </row>
    <row r="929" spans="10:10" x14ac:dyDescent="0.3">
      <c r="J929" s="172"/>
    </row>
    <row r="930" spans="10:10" x14ac:dyDescent="0.3">
      <c r="J930" s="172"/>
    </row>
    <row r="931" spans="10:10" x14ac:dyDescent="0.3">
      <c r="J931" s="172"/>
    </row>
    <row r="932" spans="10:10" x14ac:dyDescent="0.3">
      <c r="J932" s="172"/>
    </row>
    <row r="933" spans="10:10" x14ac:dyDescent="0.3">
      <c r="J933" s="172"/>
    </row>
    <row r="934" spans="10:10" x14ac:dyDescent="0.3">
      <c r="J934" s="172"/>
    </row>
    <row r="935" spans="10:10" x14ac:dyDescent="0.3">
      <c r="J935" s="172"/>
    </row>
    <row r="936" spans="10:10" x14ac:dyDescent="0.3">
      <c r="J936" s="172"/>
    </row>
    <row r="937" spans="10:10" x14ac:dyDescent="0.3">
      <c r="J937" s="172"/>
    </row>
    <row r="938" spans="10:10" x14ac:dyDescent="0.3">
      <c r="J938" s="172"/>
    </row>
    <row r="939" spans="10:10" x14ac:dyDescent="0.3">
      <c r="J939" s="172"/>
    </row>
    <row r="940" spans="10:10" x14ac:dyDescent="0.3">
      <c r="J940" s="172"/>
    </row>
    <row r="941" spans="10:10" x14ac:dyDescent="0.3">
      <c r="J941" s="172"/>
    </row>
    <row r="942" spans="10:10" x14ac:dyDescent="0.3">
      <c r="J942" s="172"/>
    </row>
    <row r="943" spans="10:10" x14ac:dyDescent="0.3">
      <c r="J943" s="172"/>
    </row>
    <row r="944" spans="10:10" x14ac:dyDescent="0.3">
      <c r="J944" s="172"/>
    </row>
    <row r="945" spans="10:10" x14ac:dyDescent="0.3">
      <c r="J945" s="172"/>
    </row>
    <row r="946" spans="10:10" x14ac:dyDescent="0.3">
      <c r="J946" s="172"/>
    </row>
    <row r="947" spans="10:10" x14ac:dyDescent="0.3">
      <c r="J947" s="172"/>
    </row>
    <row r="948" spans="10:10" x14ac:dyDescent="0.3">
      <c r="J948" s="172"/>
    </row>
    <row r="949" spans="10:10" x14ac:dyDescent="0.3">
      <c r="J949" s="172"/>
    </row>
    <row r="950" spans="10:10" x14ac:dyDescent="0.3">
      <c r="J950" s="172"/>
    </row>
    <row r="951" spans="10:10" x14ac:dyDescent="0.3">
      <c r="J951" s="172"/>
    </row>
    <row r="952" spans="10:10" x14ac:dyDescent="0.3">
      <c r="J952" s="172"/>
    </row>
    <row r="953" spans="10:10" x14ac:dyDescent="0.3">
      <c r="J953" s="172"/>
    </row>
    <row r="954" spans="10:10" x14ac:dyDescent="0.3">
      <c r="J954" s="172"/>
    </row>
    <row r="955" spans="10:10" x14ac:dyDescent="0.3">
      <c r="J955" s="172"/>
    </row>
    <row r="956" spans="10:10" x14ac:dyDescent="0.3">
      <c r="J956" s="172"/>
    </row>
    <row r="957" spans="10:10" x14ac:dyDescent="0.3">
      <c r="J957" s="172"/>
    </row>
    <row r="958" spans="10:10" x14ac:dyDescent="0.3">
      <c r="J958" s="172"/>
    </row>
    <row r="959" spans="10:10" x14ac:dyDescent="0.3">
      <c r="J959" s="172"/>
    </row>
    <row r="960" spans="10:10" x14ac:dyDescent="0.3">
      <c r="J960" s="172"/>
    </row>
    <row r="961" spans="10:10" x14ac:dyDescent="0.3">
      <c r="J961" s="172"/>
    </row>
    <row r="962" spans="10:10" x14ac:dyDescent="0.3">
      <c r="J962" s="172"/>
    </row>
    <row r="963" spans="10:10" x14ac:dyDescent="0.3">
      <c r="J963" s="172"/>
    </row>
    <row r="964" spans="10:10" x14ac:dyDescent="0.3">
      <c r="J964" s="172"/>
    </row>
    <row r="965" spans="10:10" x14ac:dyDescent="0.3">
      <c r="J965" s="172"/>
    </row>
    <row r="966" spans="10:10" x14ac:dyDescent="0.3">
      <c r="J966" s="172"/>
    </row>
    <row r="967" spans="10:10" x14ac:dyDescent="0.3">
      <c r="J967" s="172"/>
    </row>
    <row r="968" spans="10:10" x14ac:dyDescent="0.3">
      <c r="J968" s="172"/>
    </row>
    <row r="969" spans="10:10" x14ac:dyDescent="0.3">
      <c r="J969" s="172"/>
    </row>
    <row r="970" spans="10:10" x14ac:dyDescent="0.3">
      <c r="J970" s="172"/>
    </row>
    <row r="971" spans="10:10" x14ac:dyDescent="0.3">
      <c r="J971" s="172"/>
    </row>
    <row r="972" spans="10:10" x14ac:dyDescent="0.3">
      <c r="J972" s="172"/>
    </row>
    <row r="973" spans="10:10" x14ac:dyDescent="0.3">
      <c r="J973" s="172"/>
    </row>
    <row r="974" spans="10:10" x14ac:dyDescent="0.3">
      <c r="J974" s="172"/>
    </row>
    <row r="975" spans="10:10" x14ac:dyDescent="0.3">
      <c r="J975" s="172"/>
    </row>
    <row r="976" spans="10:10" x14ac:dyDescent="0.3">
      <c r="J976" s="172"/>
    </row>
    <row r="977" spans="10:10" x14ac:dyDescent="0.3">
      <c r="J977" s="172"/>
    </row>
    <row r="978" spans="10:10" x14ac:dyDescent="0.3">
      <c r="J978" s="172"/>
    </row>
    <row r="979" spans="10:10" x14ac:dyDescent="0.3">
      <c r="J979" s="172"/>
    </row>
    <row r="980" spans="10:10" x14ac:dyDescent="0.3">
      <c r="J980" s="172"/>
    </row>
    <row r="981" spans="10:10" x14ac:dyDescent="0.3">
      <c r="J981" s="172"/>
    </row>
    <row r="982" spans="10:10" x14ac:dyDescent="0.3">
      <c r="J982" s="172"/>
    </row>
    <row r="983" spans="10:10" x14ac:dyDescent="0.3">
      <c r="J983" s="172"/>
    </row>
    <row r="984" spans="10:10" x14ac:dyDescent="0.3">
      <c r="J984" s="172"/>
    </row>
    <row r="985" spans="10:10" x14ac:dyDescent="0.3">
      <c r="J985" s="172"/>
    </row>
    <row r="986" spans="10:10" x14ac:dyDescent="0.3">
      <c r="J986" s="172"/>
    </row>
    <row r="987" spans="10:10" x14ac:dyDescent="0.3">
      <c r="J987" s="172"/>
    </row>
    <row r="988" spans="10:10" x14ac:dyDescent="0.3">
      <c r="J988" s="172"/>
    </row>
    <row r="989" spans="10:10" x14ac:dyDescent="0.3">
      <c r="J989" s="172"/>
    </row>
    <row r="990" spans="10:10" x14ac:dyDescent="0.3">
      <c r="J990" s="172"/>
    </row>
    <row r="991" spans="10:10" x14ac:dyDescent="0.3">
      <c r="J991" s="172"/>
    </row>
    <row r="992" spans="10:10" x14ac:dyDescent="0.3">
      <c r="J992" s="172"/>
    </row>
    <row r="993" spans="10:10" x14ac:dyDescent="0.3">
      <c r="J993" s="172"/>
    </row>
    <row r="994" spans="10:10" x14ac:dyDescent="0.3">
      <c r="J994" s="172"/>
    </row>
    <row r="995" spans="10:10" x14ac:dyDescent="0.3">
      <c r="J995" s="172"/>
    </row>
    <row r="996" spans="10:10" x14ac:dyDescent="0.3">
      <c r="J996" s="172"/>
    </row>
    <row r="997" spans="10:10" x14ac:dyDescent="0.3">
      <c r="J997" s="172"/>
    </row>
    <row r="998" spans="10:10" x14ac:dyDescent="0.3">
      <c r="J998" s="172"/>
    </row>
    <row r="999" spans="10:10" x14ac:dyDescent="0.3">
      <c r="J999" s="172"/>
    </row>
    <row r="1000" spans="10:10" x14ac:dyDescent="0.3">
      <c r="J1000" s="172"/>
    </row>
    <row r="1001" spans="10:10" x14ac:dyDescent="0.3">
      <c r="J1001" s="172"/>
    </row>
    <row r="1002" spans="10:10" x14ac:dyDescent="0.3">
      <c r="J1002" s="172"/>
    </row>
    <row r="1003" spans="10:10" x14ac:dyDescent="0.3">
      <c r="J1003" s="172"/>
    </row>
    <row r="1004" spans="10:10" x14ac:dyDescent="0.3">
      <c r="J1004" s="172"/>
    </row>
    <row r="1005" spans="10:10" x14ac:dyDescent="0.3">
      <c r="J1005" s="172"/>
    </row>
    <row r="1006" spans="10:10" x14ac:dyDescent="0.3">
      <c r="J1006" s="172"/>
    </row>
    <row r="1007" spans="10:10" x14ac:dyDescent="0.3">
      <c r="J1007" s="172"/>
    </row>
    <row r="1008" spans="10:10" x14ac:dyDescent="0.3">
      <c r="J1008" s="172"/>
    </row>
    <row r="1009" spans="10:10" x14ac:dyDescent="0.3">
      <c r="J1009" s="172"/>
    </row>
    <row r="1010" spans="10:10" x14ac:dyDescent="0.3">
      <c r="J1010" s="172"/>
    </row>
    <row r="1011" spans="10:10" x14ac:dyDescent="0.3">
      <c r="J1011" s="172"/>
    </row>
    <row r="1012" spans="10:10" x14ac:dyDescent="0.3">
      <c r="J1012" s="172"/>
    </row>
    <row r="1013" spans="10:10" x14ac:dyDescent="0.3">
      <c r="J1013" s="172"/>
    </row>
    <row r="1014" spans="10:10" x14ac:dyDescent="0.3">
      <c r="J1014" s="172"/>
    </row>
    <row r="1015" spans="10:10" x14ac:dyDescent="0.3">
      <c r="J1015" s="172"/>
    </row>
    <row r="1016" spans="10:10" x14ac:dyDescent="0.3">
      <c r="J1016" s="172"/>
    </row>
    <row r="1017" spans="10:10" x14ac:dyDescent="0.3">
      <c r="J1017" s="172"/>
    </row>
    <row r="1018" spans="10:10" x14ac:dyDescent="0.3">
      <c r="J1018" s="172"/>
    </row>
    <row r="1019" spans="10:10" x14ac:dyDescent="0.3">
      <c r="J1019" s="172"/>
    </row>
    <row r="1020" spans="10:10" x14ac:dyDescent="0.3">
      <c r="J1020" s="172"/>
    </row>
    <row r="1021" spans="10:10" x14ac:dyDescent="0.3">
      <c r="J1021" s="172"/>
    </row>
    <row r="1022" spans="10:10" x14ac:dyDescent="0.3">
      <c r="J1022" s="172"/>
    </row>
    <row r="1023" spans="10:10" x14ac:dyDescent="0.3">
      <c r="J1023" s="172"/>
    </row>
    <row r="1024" spans="10:10" x14ac:dyDescent="0.3">
      <c r="J1024" s="172"/>
    </row>
    <row r="1025" spans="10:10" x14ac:dyDescent="0.3">
      <c r="J1025" s="172"/>
    </row>
    <row r="1026" spans="10:10" x14ac:dyDescent="0.3">
      <c r="J1026" s="172"/>
    </row>
    <row r="1027" spans="10:10" x14ac:dyDescent="0.3">
      <c r="J1027" s="172"/>
    </row>
    <row r="1028" spans="10:10" x14ac:dyDescent="0.3">
      <c r="J1028" s="172"/>
    </row>
    <row r="1029" spans="10:10" x14ac:dyDescent="0.3">
      <c r="J1029" s="172"/>
    </row>
    <row r="1030" spans="10:10" x14ac:dyDescent="0.3">
      <c r="J1030" s="172"/>
    </row>
    <row r="1031" spans="10:10" x14ac:dyDescent="0.3">
      <c r="J1031" s="172"/>
    </row>
    <row r="1032" spans="10:10" x14ac:dyDescent="0.3">
      <c r="J1032" s="172"/>
    </row>
    <row r="1033" spans="10:10" x14ac:dyDescent="0.3">
      <c r="J1033" s="172"/>
    </row>
    <row r="1034" spans="10:10" x14ac:dyDescent="0.3">
      <c r="J1034" s="172"/>
    </row>
    <row r="1035" spans="10:10" x14ac:dyDescent="0.3">
      <c r="J1035" s="172"/>
    </row>
    <row r="1036" spans="10:10" x14ac:dyDescent="0.3">
      <c r="J1036" s="172"/>
    </row>
    <row r="1037" spans="10:10" x14ac:dyDescent="0.3">
      <c r="J1037" s="17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9F42E-1BBD-4829-9456-900E777BBA09}">
  <sheetPr>
    <tabColor theme="1" tint="0.499984740745262"/>
  </sheetPr>
  <dimension ref="A1:AM1027"/>
  <sheetViews>
    <sheetView topLeftCell="B1" zoomScale="70" zoomScaleNormal="70" workbookViewId="0">
      <selection activeCell="U46" sqref="U46"/>
    </sheetView>
  </sheetViews>
  <sheetFormatPr defaultRowHeight="14.4" x14ac:dyDescent="0.3"/>
  <cols>
    <col min="1" max="1" width="4.33203125" style="16" customWidth="1"/>
    <col min="2" max="4" width="15.6640625" customWidth="1"/>
    <col min="5" max="5" width="20.109375" customWidth="1"/>
    <col min="6" max="6" width="19.5546875" customWidth="1"/>
    <col min="7" max="7" width="24.33203125" customWidth="1"/>
    <col min="9" max="18" width="2.6640625" customWidth="1"/>
    <col min="19" max="19" width="12.6640625" bestFit="1" customWidth="1"/>
    <col min="20" max="20" width="12.5546875" customWidth="1"/>
    <col min="21" max="27" width="12.6640625" bestFit="1" customWidth="1"/>
    <col min="28" max="28" width="13.109375" customWidth="1"/>
    <col min="29" max="29" width="12.6640625" customWidth="1"/>
    <col min="30" max="34" width="12.6640625" bestFit="1" customWidth="1"/>
  </cols>
  <sheetData>
    <row r="1" spans="2:39" s="166" customFormat="1" ht="5.0999999999999996" customHeight="1" x14ac:dyDescent="0.3"/>
    <row r="2" spans="2:39" s="166" customFormat="1" x14ac:dyDescent="0.3">
      <c r="B2" s="167" t="s">
        <v>1313</v>
      </c>
      <c r="G2" s="167" t="str">
        <f>'Final demand(3)'!H2</f>
        <v>CVF_central</v>
      </c>
      <c r="H2" s="166">
        <f>'Final demand(3)'!H3</f>
        <v>3</v>
      </c>
    </row>
    <row r="3" spans="2:39" s="166" customFormat="1" x14ac:dyDescent="0.3">
      <c r="B3" s="168" t="s">
        <v>1223</v>
      </c>
    </row>
    <row r="4" spans="2:39" s="170" customFormat="1" ht="5.0999999999999996" customHeight="1" thickBot="1" x14ac:dyDescent="0.35">
      <c r="B4" s="169"/>
    </row>
    <row r="5" spans="2:39" s="166" customFormat="1" x14ac:dyDescent="0.3">
      <c r="B5" s="171" t="s">
        <v>1224</v>
      </c>
      <c r="C5" s="171" t="s">
        <v>1225</v>
      </c>
      <c r="D5" s="171" t="s">
        <v>1314</v>
      </c>
      <c r="E5" s="171" t="s">
        <v>1315</v>
      </c>
      <c r="F5" s="171" t="s">
        <v>1230</v>
      </c>
      <c r="G5" s="171" t="s">
        <v>1231</v>
      </c>
    </row>
    <row r="6" spans="2:39" x14ac:dyDescent="0.3">
      <c r="F6" s="205"/>
      <c r="G6" s="37">
        <f>1/3</f>
        <v>0.33333333333333331</v>
      </c>
      <c r="H6" t="s">
        <v>1316</v>
      </c>
    </row>
    <row r="7" spans="2:39" x14ac:dyDescent="0.3">
      <c r="F7" s="205"/>
    </row>
    <row r="8" spans="2:39" x14ac:dyDescent="0.3">
      <c r="B8" t="s">
        <v>579</v>
      </c>
      <c r="C8" t="str">
        <f>_xlfn.IFNA(INDEX('[2]Country list'!$A$2:$A$166,MATCH(B8,'[2]Country list'!$B$2:$B$166,0)),"")</f>
        <v>DEU</v>
      </c>
      <c r="E8" s="4" t="s">
        <v>1238</v>
      </c>
      <c r="F8" t="s">
        <v>1317</v>
      </c>
      <c r="G8" t="s">
        <v>1318</v>
      </c>
    </row>
    <row r="9" spans="2:39" x14ac:dyDescent="0.3">
      <c r="E9" s="4"/>
    </row>
    <row r="10" spans="2:39" x14ac:dyDescent="0.3">
      <c r="E10" s="4"/>
    </row>
    <row r="11" spans="2:39" x14ac:dyDescent="0.3">
      <c r="E11" s="4"/>
    </row>
    <row r="12" spans="2:39" x14ac:dyDescent="0.3">
      <c r="E12" s="4"/>
      <c r="G12" t="s">
        <v>1319</v>
      </c>
    </row>
    <row r="13" spans="2:39" x14ac:dyDescent="0.3">
      <c r="C13" s="174" t="s">
        <v>1246</v>
      </c>
      <c r="D13" s="174"/>
      <c r="E13" s="206" t="s">
        <v>1320</v>
      </c>
      <c r="G13" s="205" t="s">
        <v>1321</v>
      </c>
    </row>
    <row r="14" spans="2:39" s="176" customFormat="1" ht="15" thickBot="1" x14ac:dyDescent="0.35">
      <c r="B14" s="175" t="s">
        <v>1250</v>
      </c>
      <c r="F14" s="207"/>
    </row>
    <row r="15" spans="2:39" s="166" customFormat="1" x14ac:dyDescent="0.3">
      <c r="B15" s="171" t="s">
        <v>1224</v>
      </c>
      <c r="C15" s="171" t="s">
        <v>1225</v>
      </c>
      <c r="D15" s="171" t="s">
        <v>1314</v>
      </c>
      <c r="E15" s="171" t="s">
        <v>1315</v>
      </c>
      <c r="F15" s="171" t="s">
        <v>1230</v>
      </c>
      <c r="G15" s="171" t="s">
        <v>1231</v>
      </c>
      <c r="H15" s="166">
        <v>2019</v>
      </c>
      <c r="I15" s="166">
        <v>2020</v>
      </c>
      <c r="J15" s="166">
        <v>2021</v>
      </c>
      <c r="K15" s="166">
        <v>2022</v>
      </c>
      <c r="L15" s="166">
        <v>2023</v>
      </c>
      <c r="M15" s="166">
        <v>2024</v>
      </c>
      <c r="N15" s="166">
        <v>2025</v>
      </c>
      <c r="O15" s="166">
        <v>2026</v>
      </c>
      <c r="P15" s="166">
        <v>2027</v>
      </c>
      <c r="Q15" s="166">
        <v>2028</v>
      </c>
      <c r="R15" s="166">
        <v>2029</v>
      </c>
      <c r="S15" s="166">
        <v>2030</v>
      </c>
      <c r="T15" s="166">
        <v>2031</v>
      </c>
      <c r="U15" s="166">
        <v>2032</v>
      </c>
      <c r="V15" s="166">
        <v>2033</v>
      </c>
      <c r="W15" s="166">
        <v>2034</v>
      </c>
      <c r="X15" s="166">
        <v>2035</v>
      </c>
      <c r="Y15" s="166">
        <v>2036</v>
      </c>
      <c r="Z15" s="166">
        <v>2037</v>
      </c>
      <c r="AA15" s="166">
        <v>2038</v>
      </c>
      <c r="AB15" s="166">
        <v>2039</v>
      </c>
      <c r="AC15" s="166">
        <v>2040</v>
      </c>
      <c r="AD15" s="166">
        <v>2041</v>
      </c>
      <c r="AE15" s="166">
        <v>2042</v>
      </c>
      <c r="AF15" s="166">
        <v>2043</v>
      </c>
      <c r="AG15" s="166">
        <v>2044</v>
      </c>
      <c r="AH15" s="166">
        <v>2045</v>
      </c>
      <c r="AI15" s="166">
        <v>2046</v>
      </c>
      <c r="AJ15" s="166">
        <v>2047</v>
      </c>
      <c r="AK15" s="166">
        <v>2048</v>
      </c>
      <c r="AL15" s="166">
        <v>2049</v>
      </c>
      <c r="AM15" s="166">
        <v>2050</v>
      </c>
    </row>
    <row r="16" spans="2:39" x14ac:dyDescent="0.3">
      <c r="C16" s="161" t="s">
        <v>1058</v>
      </c>
      <c r="E16" t="s">
        <v>1232</v>
      </c>
      <c r="F16" t="s">
        <v>1240</v>
      </c>
      <c r="G16" s="266">
        <f>SUM(T16:AH16)/1000000</f>
        <v>11.046509262801486</v>
      </c>
      <c r="H16" s="208"/>
      <c r="I16" s="208"/>
      <c r="J16" s="208"/>
      <c r="K16" s="208"/>
      <c r="L16" s="208"/>
      <c r="M16" s="208"/>
      <c r="N16" s="208"/>
      <c r="O16" s="208"/>
      <c r="P16" s="208"/>
      <c r="Q16" s="208"/>
      <c r="R16" s="208"/>
      <c r="T16" s="208">
        <f>VLOOKUP($C16,'MSET pivots'!$B$4:$H$14,$H$2,FALSE)*1000000*$G$6*'MSET pivots'!E$65</f>
        <v>368222.49865373148</v>
      </c>
      <c r="U16" s="208">
        <f>VLOOKUP($C16,'MSET pivots'!$B$4:$H$14,$H$2,FALSE)*1000000*$G$6*'MSET pivots'!F$65</f>
        <v>420824.13468226022</v>
      </c>
      <c r="V16" s="208">
        <f>VLOOKUP($C16,'MSET pivots'!$B$4:$H$14,$H$2,FALSE)*1000000*$G$6*'MSET pivots'!G$65</f>
        <v>473425.77071078896</v>
      </c>
      <c r="W16" s="208">
        <f>VLOOKUP($C16,'MSET pivots'!$B$4:$H$14,$H$2,FALSE)*1000000*$G$6*'MSET pivots'!H$65</f>
        <v>526027.4067393177</v>
      </c>
      <c r="X16" s="208">
        <f>VLOOKUP($C16,'MSET pivots'!$B$4:$H$14,$H$2,FALSE)*1000000*$G$6*'MSET pivots'!I$65</f>
        <v>578629.04276784637</v>
      </c>
      <c r="Y16" s="208">
        <f>VLOOKUP($C16,'MSET pivots'!$B$4:$H$14,$H$2,FALSE)*1000000*$G$6*'MSET pivots'!J$65</f>
        <v>631230.67879637505</v>
      </c>
      <c r="Z16" s="208">
        <f>VLOOKUP($C16,'MSET pivots'!$B$4:$H$14,$H$2,FALSE)*1000000*$G$6*'MSET pivots'!K$65</f>
        <v>683832.31482490385</v>
      </c>
      <c r="AA16" s="208">
        <f>VLOOKUP($C16,'MSET pivots'!$B$4:$H$14,$H$2,FALSE)*1000000*$G$6*'MSET pivots'!L$65</f>
        <v>736433.95085343253</v>
      </c>
      <c r="AB16" s="208">
        <f>VLOOKUP($C16,'MSET pivots'!$B$4:$H$14,$H$2,FALSE)*1000000*$G$6*'MSET pivots'!M$65</f>
        <v>789035.58688196109</v>
      </c>
      <c r="AC16" s="208">
        <f>VLOOKUP($C16,'MSET pivots'!$B$4:$H$14,$H$2,FALSE)*1000000*$G$6*'MSET pivots'!N$65</f>
        <v>841637.22291048977</v>
      </c>
      <c r="AD16" s="208">
        <f>VLOOKUP($C16,'MSET pivots'!$B$4:$H$14,$H$2,FALSE)*1000000*$G$6*'MSET pivots'!O$65</f>
        <v>894238.85893901845</v>
      </c>
      <c r="AE16" s="208">
        <f>VLOOKUP($C16,'MSET pivots'!$B$4:$H$14,$H$2,FALSE)*1000000*$G$6*'MSET pivots'!P$65</f>
        <v>946840.49496754701</v>
      </c>
      <c r="AF16" s="208">
        <f>VLOOKUP($C16,'MSET pivots'!$B$4:$H$14,$H$2,FALSE)*1000000*$G$6*'MSET pivots'!Q$65</f>
        <v>999442.13099607569</v>
      </c>
      <c r="AG16" s="208">
        <f>VLOOKUP($C16,'MSET pivots'!$B$4:$H$14,$H$2,FALSE)*1000000*$G$6*'MSET pivots'!R$65</f>
        <v>1052043.7670246044</v>
      </c>
      <c r="AH16" s="208">
        <f>VLOOKUP($C16,'MSET pivots'!$B$4:$H$14,$H$2,FALSE)*1000000*$G$6*'MSET pivots'!S$65</f>
        <v>1104645.4030531335</v>
      </c>
    </row>
    <row r="17" spans="3:34" x14ac:dyDescent="0.3">
      <c r="C17" t="s">
        <v>1048</v>
      </c>
      <c r="E17" t="s">
        <v>1232</v>
      </c>
      <c r="F17" t="s">
        <v>1240</v>
      </c>
      <c r="G17" s="266">
        <f t="shared" ref="G17:G19" si="0">SUM(T17:AH17)/1000000</f>
        <v>11.495605858689188</v>
      </c>
      <c r="H17" s="208"/>
      <c r="I17" s="208"/>
      <c r="J17" s="208"/>
      <c r="K17" s="208"/>
      <c r="L17" s="208"/>
      <c r="M17" s="208"/>
      <c r="N17" s="208"/>
      <c r="O17" s="208"/>
      <c r="P17" s="208"/>
      <c r="Q17" s="208"/>
      <c r="R17" s="208"/>
      <c r="S17" s="208"/>
      <c r="T17" s="208">
        <f>VLOOKUP($C17,'MSET pivots'!$B$4:$H$14,$H$2,FALSE)*1000000*$G$6*'MSET pivots'!E$65</f>
        <v>383192.60973049683</v>
      </c>
      <c r="U17" s="208">
        <f>VLOOKUP($C17,'MSET pivots'!$B$4:$H$14,$H$2,FALSE)*1000000*$G$6*'MSET pivots'!F$65</f>
        <v>437932.76889937051</v>
      </c>
      <c r="V17" s="208">
        <f>VLOOKUP($C17,'MSET pivots'!$B$4:$H$14,$H$2,FALSE)*1000000*$G$6*'MSET pivots'!G$65</f>
        <v>492672.92806824419</v>
      </c>
      <c r="W17" s="208">
        <f>VLOOKUP($C17,'MSET pivots'!$B$4:$H$14,$H$2,FALSE)*1000000*$G$6*'MSET pivots'!H$65</f>
        <v>547413.08723711793</v>
      </c>
      <c r="X17" s="208">
        <f>VLOOKUP($C17,'MSET pivots'!$B$4:$H$14,$H$2,FALSE)*1000000*$G$6*'MSET pivots'!I$65</f>
        <v>602153.24640599161</v>
      </c>
      <c r="Y17" s="208">
        <f>VLOOKUP($C17,'MSET pivots'!$B$4:$H$14,$H$2,FALSE)*1000000*$G$6*'MSET pivots'!J$65</f>
        <v>656893.40557486529</v>
      </c>
      <c r="Z17" s="208">
        <f>VLOOKUP($C17,'MSET pivots'!$B$4:$H$14,$H$2,FALSE)*1000000*$G$6*'MSET pivots'!K$65</f>
        <v>711633.56474373909</v>
      </c>
      <c r="AA17" s="208">
        <f>VLOOKUP($C17,'MSET pivots'!$B$4:$H$14,$H$2,FALSE)*1000000*$G$6*'MSET pivots'!L$65</f>
        <v>766373.72391261265</v>
      </c>
      <c r="AB17" s="208">
        <f>VLOOKUP($C17,'MSET pivots'!$B$4:$H$14,$H$2,FALSE)*1000000*$G$6*'MSET pivots'!M$65</f>
        <v>821113.88308148633</v>
      </c>
      <c r="AC17" s="208">
        <f>VLOOKUP($C17,'MSET pivots'!$B$4:$H$14,$H$2,FALSE)*1000000*$G$6*'MSET pivots'!N$65</f>
        <v>875854.0422503599</v>
      </c>
      <c r="AD17" s="208">
        <f>VLOOKUP($C17,'MSET pivots'!$B$4:$H$14,$H$2,FALSE)*1000000*$G$6*'MSET pivots'!O$65</f>
        <v>930594.20141923358</v>
      </c>
      <c r="AE17" s="208">
        <f>VLOOKUP($C17,'MSET pivots'!$B$4:$H$14,$H$2,FALSE)*1000000*$G$6*'MSET pivots'!P$65</f>
        <v>985334.36058810714</v>
      </c>
      <c r="AF17" s="208">
        <f>VLOOKUP($C17,'MSET pivots'!$B$4:$H$14,$H$2,FALSE)*1000000*$G$6*'MSET pivots'!Q$65</f>
        <v>1040074.5197569808</v>
      </c>
      <c r="AG17" s="208">
        <f>VLOOKUP($C17,'MSET pivots'!$B$4:$H$14,$H$2,FALSE)*1000000*$G$6*'MSET pivots'!R$65</f>
        <v>1094814.6789258544</v>
      </c>
      <c r="AH17" s="208">
        <f>VLOOKUP($C17,'MSET pivots'!$B$4:$H$14,$H$2,FALSE)*1000000*$G$6*'MSET pivots'!S$65</f>
        <v>1149554.8380947285</v>
      </c>
    </row>
    <row r="18" spans="3:34" x14ac:dyDescent="0.3">
      <c r="C18" s="161" t="s">
        <v>1052</v>
      </c>
      <c r="E18" t="s">
        <v>1232</v>
      </c>
      <c r="F18" t="s">
        <v>1240</v>
      </c>
      <c r="G18" s="266">
        <f t="shared" si="0"/>
        <v>8.5250447453876568</v>
      </c>
      <c r="H18" s="208"/>
      <c r="I18" s="208"/>
      <c r="J18" s="208"/>
      <c r="K18" s="208"/>
      <c r="L18" s="208"/>
      <c r="M18" s="208"/>
      <c r="N18" s="208"/>
      <c r="O18" s="208"/>
      <c r="P18" s="208"/>
      <c r="Q18" s="208"/>
      <c r="R18" s="208"/>
      <c r="S18" s="208"/>
      <c r="T18" s="208">
        <f>VLOOKUP($C18,'MSET pivots'!$B$4:$H$14,$H$2,FALSE)*1000000*$G$6*'MSET pivots'!E$65</f>
        <v>284172.42068064882</v>
      </c>
      <c r="U18" s="208">
        <f>VLOOKUP($C18,'MSET pivots'!$B$4:$H$14,$H$2,FALSE)*1000000*$G$6*'MSET pivots'!F$65</f>
        <v>324767.2629204386</v>
      </c>
      <c r="V18" s="208">
        <f>VLOOKUP($C18,'MSET pivots'!$B$4:$H$14,$H$2,FALSE)*1000000*$G$6*'MSET pivots'!G$65</f>
        <v>365362.10516022838</v>
      </c>
      <c r="W18" s="208">
        <f>VLOOKUP($C18,'MSET pivots'!$B$4:$H$14,$H$2,FALSE)*1000000*$G$6*'MSET pivots'!H$65</f>
        <v>405956.94740001817</v>
      </c>
      <c r="X18" s="208">
        <f>VLOOKUP($C18,'MSET pivots'!$B$4:$H$14,$H$2,FALSE)*1000000*$G$6*'MSET pivots'!I$65</f>
        <v>446551.78963980795</v>
      </c>
      <c r="Y18" s="208">
        <f>VLOOKUP($C18,'MSET pivots'!$B$4:$H$14,$H$2,FALSE)*1000000*$G$6*'MSET pivots'!J$65</f>
        <v>487146.63187959773</v>
      </c>
      <c r="Z18" s="208">
        <f>VLOOKUP($C18,'MSET pivots'!$B$4:$H$14,$H$2,FALSE)*1000000*$G$6*'MSET pivots'!K$65</f>
        <v>527741.47411938757</v>
      </c>
      <c r="AA18" s="208">
        <f>VLOOKUP($C18,'MSET pivots'!$B$4:$H$14,$H$2,FALSE)*1000000*$G$6*'MSET pivots'!L$65</f>
        <v>568336.31635917723</v>
      </c>
      <c r="AB18" s="208">
        <f>VLOOKUP($C18,'MSET pivots'!$B$4:$H$14,$H$2,FALSE)*1000000*$G$6*'MSET pivots'!M$65</f>
        <v>608931.15859896701</v>
      </c>
      <c r="AC18" s="208">
        <f>VLOOKUP($C18,'MSET pivots'!$B$4:$H$14,$H$2,FALSE)*1000000*$G$6*'MSET pivots'!N$65</f>
        <v>649526.00083875668</v>
      </c>
      <c r="AD18" s="208">
        <f>VLOOKUP($C18,'MSET pivots'!$B$4:$H$14,$H$2,FALSE)*1000000*$G$6*'MSET pivots'!O$65</f>
        <v>690120.84307854646</v>
      </c>
      <c r="AE18" s="208">
        <f>VLOOKUP($C18,'MSET pivots'!$B$4:$H$14,$H$2,FALSE)*1000000*$G$6*'MSET pivots'!P$65</f>
        <v>730715.68531833612</v>
      </c>
      <c r="AF18" s="208">
        <f>VLOOKUP($C18,'MSET pivots'!$B$4:$H$14,$H$2,FALSE)*1000000*$G$6*'MSET pivots'!Q$65</f>
        <v>771310.5275581259</v>
      </c>
      <c r="AG18" s="208">
        <f>VLOOKUP($C18,'MSET pivots'!$B$4:$H$14,$H$2,FALSE)*1000000*$G$6*'MSET pivots'!R$65</f>
        <v>811905.36979791557</v>
      </c>
      <c r="AH18" s="208">
        <f>VLOOKUP($C18,'MSET pivots'!$B$4:$H$14,$H$2,FALSE)*1000000*$G$6*'MSET pivots'!S$65</f>
        <v>852500.2120377057</v>
      </c>
    </row>
    <row r="19" spans="3:34" x14ac:dyDescent="0.3">
      <c r="C19" t="s">
        <v>1021</v>
      </c>
      <c r="E19" t="s">
        <v>1232</v>
      </c>
      <c r="F19" t="s">
        <v>1240</v>
      </c>
      <c r="G19" s="266">
        <f t="shared" si="0"/>
        <v>10.630843653672349</v>
      </c>
      <c r="H19" s="208"/>
      <c r="I19" s="208"/>
      <c r="J19" s="208"/>
      <c r="K19" s="208"/>
      <c r="L19" s="208"/>
      <c r="M19" s="208"/>
      <c r="N19" s="208"/>
      <c r="O19" s="208"/>
      <c r="P19" s="208"/>
      <c r="Q19" s="208"/>
      <c r="R19" s="208"/>
      <c r="S19" s="208">
        <f>'Preliminary results'!$C$31*1000000*G6</f>
        <v>902060.73048874759</v>
      </c>
      <c r="T19" s="208">
        <f>VLOOKUP($C19,'MSET pivots'!$B$4:$H$14,$H$2,FALSE)*1000000*$G$6*'MSET pivots'!E$65</f>
        <v>354366.77051766153</v>
      </c>
      <c r="U19" s="208">
        <f>VLOOKUP($C19,'MSET pivots'!$B$4:$H$14,$H$2,FALSE)*1000000*$G$6*'MSET pivots'!F$65</f>
        <v>404989.07619297039</v>
      </c>
      <c r="V19" s="208">
        <f>VLOOKUP($C19,'MSET pivots'!$B$4:$H$14,$H$2,FALSE)*1000000*$G$6*'MSET pivots'!G$65</f>
        <v>455611.38186827919</v>
      </c>
      <c r="W19" s="208">
        <f>VLOOKUP($C19,'MSET pivots'!$B$4:$H$14,$H$2,FALSE)*1000000*$G$6*'MSET pivots'!H$65</f>
        <v>506233.68754358805</v>
      </c>
      <c r="X19" s="208">
        <f>VLOOKUP($C19,'MSET pivots'!$B$4:$H$14,$H$2,FALSE)*1000000*$G$6*'MSET pivots'!I$65</f>
        <v>556855.99321889691</v>
      </c>
      <c r="Y19" s="208">
        <f>VLOOKUP($C19,'MSET pivots'!$B$4:$H$14,$H$2,FALSE)*1000000*$G$6*'MSET pivots'!J$65</f>
        <v>607478.29889420571</v>
      </c>
      <c r="Z19" s="208">
        <f>VLOOKUP($C19,'MSET pivots'!$B$4:$H$14,$H$2,FALSE)*1000000*$G$6*'MSET pivots'!K$65</f>
        <v>658100.60456951451</v>
      </c>
      <c r="AA19" s="208">
        <f>VLOOKUP($C19,'MSET pivots'!$B$4:$H$14,$H$2,FALSE)*1000000*$G$6*'MSET pivots'!L$65</f>
        <v>708722.91024482332</v>
      </c>
      <c r="AB19" s="208">
        <f>VLOOKUP($C19,'MSET pivots'!$B$4:$H$14,$H$2,FALSE)*1000000*$G$6*'MSET pivots'!M$65</f>
        <v>759345.21592013212</v>
      </c>
      <c r="AC19" s="208">
        <f>VLOOKUP($C19,'MSET pivots'!$B$4:$H$14,$H$2,FALSE)*1000000*$G$6*'MSET pivots'!N$65</f>
        <v>809967.5215954408</v>
      </c>
      <c r="AD19" s="208">
        <f>VLOOKUP($C19,'MSET pivots'!$B$4:$H$14,$H$2,FALSE)*1000000*$G$6*'MSET pivots'!O$65</f>
        <v>860589.82727074961</v>
      </c>
      <c r="AE19" s="208">
        <f>VLOOKUP($C19,'MSET pivots'!$B$4:$H$14,$H$2,FALSE)*1000000*$G$6*'MSET pivots'!P$65</f>
        <v>911212.13294605841</v>
      </c>
      <c r="AF19" s="208">
        <f>VLOOKUP($C19,'MSET pivots'!$B$4:$H$14,$H$2,FALSE)*1000000*$G$6*'MSET pivots'!Q$65</f>
        <v>961834.43862136721</v>
      </c>
      <c r="AG19" s="208">
        <f>VLOOKUP($C19,'MSET pivots'!$B$4:$H$14,$H$2,FALSE)*1000000*$G$6*'MSET pivots'!R$65</f>
        <v>1012456.7442966759</v>
      </c>
      <c r="AH19" s="208">
        <f>VLOOKUP($C19,'MSET pivots'!$B$4:$H$14,$H$2,FALSE)*1000000*$G$6*'MSET pivots'!S$65</f>
        <v>1063079.0499719852</v>
      </c>
    </row>
    <row r="20" spans="3:34" x14ac:dyDescent="0.3">
      <c r="F20" s="205"/>
      <c r="H20" s="208"/>
      <c r="I20" s="208"/>
      <c r="J20" s="208"/>
      <c r="K20" s="208"/>
      <c r="L20" s="208"/>
      <c r="M20" s="208"/>
      <c r="N20" s="208"/>
      <c r="O20" s="208"/>
      <c r="P20" s="208"/>
      <c r="Q20" s="208"/>
      <c r="R20" s="208"/>
      <c r="S20" s="208"/>
      <c r="T20" s="208"/>
      <c r="U20" s="208"/>
      <c r="V20" s="208"/>
      <c r="W20" s="208"/>
      <c r="X20" s="208"/>
      <c r="Y20" s="208"/>
      <c r="Z20" s="208"/>
      <c r="AA20" s="208"/>
      <c r="AB20" s="208"/>
      <c r="AC20" s="208"/>
    </row>
    <row r="21" spans="3:34" x14ac:dyDescent="0.3">
      <c r="F21" s="205"/>
      <c r="H21" s="208"/>
      <c r="I21" s="208"/>
      <c r="J21" s="208"/>
      <c r="K21" s="208"/>
      <c r="L21" s="208"/>
      <c r="M21" s="208"/>
      <c r="N21" s="208"/>
      <c r="O21" s="208"/>
      <c r="P21" s="208"/>
      <c r="Q21" s="208"/>
      <c r="R21" s="208"/>
      <c r="S21" s="208"/>
      <c r="T21" s="208"/>
      <c r="U21" s="208"/>
      <c r="V21" s="208"/>
      <c r="W21" s="208"/>
      <c r="X21" s="208"/>
      <c r="Y21" s="208"/>
      <c r="Z21" s="208"/>
      <c r="AA21" s="208"/>
      <c r="AB21" s="208"/>
      <c r="AC21" s="208"/>
    </row>
    <row r="22" spans="3:34" x14ac:dyDescent="0.3">
      <c r="F22" s="205"/>
      <c r="H22" s="208"/>
      <c r="I22" s="208"/>
      <c r="J22" s="208"/>
      <c r="K22" s="208"/>
      <c r="L22" s="208"/>
      <c r="M22" s="208"/>
      <c r="N22" s="208"/>
      <c r="O22" s="208"/>
      <c r="P22" s="208"/>
      <c r="Q22" s="208"/>
      <c r="R22" s="208"/>
      <c r="S22" s="208"/>
      <c r="T22" s="208"/>
      <c r="U22" s="208"/>
      <c r="V22" s="208"/>
      <c r="W22" s="208"/>
      <c r="X22" s="208"/>
      <c r="Y22" s="208"/>
      <c r="Z22" s="208"/>
      <c r="AA22" s="208"/>
      <c r="AB22" s="208"/>
      <c r="AC22" s="208"/>
    </row>
    <row r="23" spans="3:34" x14ac:dyDescent="0.3">
      <c r="F23" s="205"/>
      <c r="G23" s="182"/>
      <c r="H23" s="208"/>
      <c r="I23" s="208"/>
      <c r="J23" s="208"/>
      <c r="K23" s="208"/>
      <c r="L23" s="208"/>
      <c r="M23" s="208"/>
      <c r="N23" s="208"/>
      <c r="O23" s="208"/>
      <c r="P23" s="208"/>
      <c r="Q23" s="208"/>
      <c r="R23" s="208"/>
      <c r="S23" s="208"/>
      <c r="T23" s="208"/>
      <c r="U23" s="208"/>
      <c r="V23" s="208"/>
      <c r="W23" s="208"/>
      <c r="X23" s="208"/>
      <c r="Y23" s="208"/>
      <c r="Z23" s="208"/>
      <c r="AA23" s="208"/>
      <c r="AB23" s="208"/>
      <c r="AC23" s="208"/>
    </row>
    <row r="24" spans="3:34" x14ac:dyDescent="0.3">
      <c r="F24" s="205"/>
      <c r="H24" s="208"/>
      <c r="I24" s="208"/>
      <c r="J24" s="208"/>
      <c r="K24" s="208"/>
      <c r="L24" s="208"/>
      <c r="M24" s="208"/>
      <c r="N24" s="208"/>
      <c r="O24" s="208"/>
      <c r="P24" s="208"/>
      <c r="Q24" s="208"/>
      <c r="R24" s="208"/>
      <c r="S24" s="208"/>
      <c r="T24" s="208"/>
      <c r="U24" s="208"/>
      <c r="V24" s="208"/>
      <c r="W24" s="208"/>
      <c r="X24" s="208"/>
      <c r="Y24" s="208"/>
      <c r="Z24" s="208"/>
      <c r="AA24" s="208"/>
      <c r="AB24" s="208"/>
      <c r="AC24" s="208"/>
    </row>
    <row r="25" spans="3:34" x14ac:dyDescent="0.3">
      <c r="F25" s="205"/>
      <c r="H25" s="208"/>
      <c r="I25" s="208"/>
      <c r="J25" s="208"/>
      <c r="K25" s="208"/>
      <c r="L25" s="208"/>
      <c r="M25" s="208"/>
      <c r="N25" s="208"/>
      <c r="O25" s="208"/>
      <c r="P25" s="208"/>
      <c r="Q25" s="208"/>
      <c r="R25" s="208"/>
      <c r="S25" s="208"/>
      <c r="T25" s="208"/>
      <c r="U25" s="208"/>
      <c r="V25" s="208"/>
      <c r="W25" s="208"/>
      <c r="X25" s="208"/>
      <c r="Y25" s="208"/>
      <c r="Z25" s="208"/>
      <c r="AA25" s="208"/>
      <c r="AB25" s="208"/>
      <c r="AC25" s="208"/>
    </row>
    <row r="26" spans="3:34" x14ac:dyDescent="0.3">
      <c r="F26" s="205"/>
      <c r="H26" s="208"/>
      <c r="I26" s="208"/>
      <c r="J26" s="208"/>
      <c r="K26" s="208"/>
      <c r="L26" s="208"/>
      <c r="M26" s="208"/>
      <c r="N26" s="208"/>
      <c r="O26" s="208"/>
      <c r="P26" s="208"/>
      <c r="Q26" s="208"/>
      <c r="R26" s="208"/>
      <c r="S26" s="208"/>
      <c r="T26" s="208"/>
      <c r="U26" s="208"/>
      <c r="V26" s="208"/>
      <c r="W26" s="208"/>
      <c r="X26" s="208"/>
      <c r="Y26" s="208"/>
      <c r="Z26" s="208"/>
      <c r="AA26" s="208"/>
      <c r="AB26" s="208"/>
      <c r="AC26" s="208"/>
    </row>
    <row r="27" spans="3:34" x14ac:dyDescent="0.3">
      <c r="F27" s="205"/>
      <c r="H27" s="208"/>
      <c r="I27" s="208"/>
      <c r="J27" s="208"/>
      <c r="K27" s="208"/>
      <c r="L27" s="208"/>
      <c r="M27" s="208"/>
      <c r="N27" s="208"/>
      <c r="O27" s="208"/>
      <c r="P27" s="208"/>
      <c r="Q27" s="208"/>
      <c r="R27" s="208"/>
      <c r="S27" s="208"/>
      <c r="T27" s="208"/>
      <c r="U27" s="208"/>
      <c r="V27" s="208"/>
      <c r="W27" s="208"/>
      <c r="X27" s="208"/>
      <c r="Y27" s="208"/>
      <c r="Z27" s="208"/>
      <c r="AA27" s="208"/>
      <c r="AB27" s="208"/>
      <c r="AC27" s="208"/>
    </row>
    <row r="28" spans="3:34" x14ac:dyDescent="0.3">
      <c r="F28" s="205"/>
      <c r="H28" s="208"/>
      <c r="I28" s="208"/>
      <c r="J28" s="208"/>
      <c r="K28" s="208"/>
      <c r="L28" s="208"/>
      <c r="M28" s="208"/>
      <c r="N28" s="208"/>
      <c r="O28" s="208"/>
      <c r="P28" s="208"/>
      <c r="Q28" s="208"/>
      <c r="R28" s="208"/>
      <c r="S28" s="208"/>
      <c r="T28" s="208"/>
      <c r="U28" s="208"/>
      <c r="V28" s="208"/>
      <c r="W28" s="208"/>
      <c r="X28" s="208"/>
      <c r="Y28" s="208"/>
      <c r="Z28" s="208"/>
      <c r="AA28" s="208"/>
      <c r="AB28" s="208"/>
      <c r="AC28" s="208"/>
    </row>
    <row r="29" spans="3:34" x14ac:dyDescent="0.3">
      <c r="F29" s="205"/>
      <c r="H29" s="209"/>
      <c r="I29" s="209"/>
      <c r="J29" s="209"/>
      <c r="K29" s="209"/>
      <c r="L29" s="209"/>
      <c r="M29" s="209"/>
      <c r="N29" s="209"/>
      <c r="O29" s="209"/>
      <c r="P29" s="209"/>
      <c r="Q29" s="209"/>
      <c r="R29" s="209"/>
      <c r="S29" s="209"/>
      <c r="T29" s="209"/>
      <c r="U29" s="209"/>
      <c r="V29" s="209"/>
      <c r="W29" s="209"/>
      <c r="X29" s="209"/>
      <c r="Y29" s="209"/>
      <c r="Z29" s="209"/>
      <c r="AA29" s="209"/>
      <c r="AB29" s="209"/>
      <c r="AC29" s="209"/>
    </row>
    <row r="30" spans="3:34" x14ac:dyDescent="0.3">
      <c r="F30" s="205"/>
    </row>
    <row r="31" spans="3:34" x14ac:dyDescent="0.3">
      <c r="F31" s="205"/>
    </row>
    <row r="32" spans="3:34" x14ac:dyDescent="0.3">
      <c r="F32" s="205"/>
    </row>
    <row r="33" spans="6:6" x14ac:dyDescent="0.3">
      <c r="F33" s="205"/>
    </row>
    <row r="34" spans="6:6" x14ac:dyDescent="0.3">
      <c r="F34" s="205"/>
    </row>
    <row r="35" spans="6:6" x14ac:dyDescent="0.3">
      <c r="F35" s="205"/>
    </row>
    <row r="36" spans="6:6" x14ac:dyDescent="0.3">
      <c r="F36" s="205"/>
    </row>
    <row r="37" spans="6:6" x14ac:dyDescent="0.3">
      <c r="F37" s="205"/>
    </row>
    <row r="38" spans="6:6" x14ac:dyDescent="0.3">
      <c r="F38" s="205"/>
    </row>
    <row r="39" spans="6:6" x14ac:dyDescent="0.3">
      <c r="F39" s="205"/>
    </row>
    <row r="40" spans="6:6" x14ac:dyDescent="0.3">
      <c r="F40" s="205"/>
    </row>
    <row r="41" spans="6:6" x14ac:dyDescent="0.3">
      <c r="F41" s="205"/>
    </row>
    <row r="42" spans="6:6" x14ac:dyDescent="0.3">
      <c r="F42" s="205"/>
    </row>
    <row r="43" spans="6:6" x14ac:dyDescent="0.3">
      <c r="F43" s="205"/>
    </row>
    <row r="44" spans="6:6" x14ac:dyDescent="0.3">
      <c r="F44" s="205"/>
    </row>
    <row r="45" spans="6:6" x14ac:dyDescent="0.3">
      <c r="F45" s="205"/>
    </row>
    <row r="46" spans="6:6" x14ac:dyDescent="0.3">
      <c r="F46" s="205"/>
    </row>
    <row r="47" spans="6:6" x14ac:dyDescent="0.3">
      <c r="F47" s="205"/>
    </row>
    <row r="48" spans="6:6" x14ac:dyDescent="0.3">
      <c r="F48" s="205"/>
    </row>
    <row r="49" spans="6:6" x14ac:dyDescent="0.3">
      <c r="F49" s="205"/>
    </row>
    <row r="50" spans="6:6" x14ac:dyDescent="0.3">
      <c r="F50" s="205"/>
    </row>
    <row r="51" spans="6:6" x14ac:dyDescent="0.3">
      <c r="F51" s="205"/>
    </row>
    <row r="52" spans="6:6" x14ac:dyDescent="0.3">
      <c r="F52" s="205"/>
    </row>
    <row r="53" spans="6:6" x14ac:dyDescent="0.3">
      <c r="F53" s="205"/>
    </row>
    <row r="54" spans="6:6" x14ac:dyDescent="0.3">
      <c r="F54" s="205"/>
    </row>
    <row r="55" spans="6:6" x14ac:dyDescent="0.3">
      <c r="F55" s="205"/>
    </row>
    <row r="56" spans="6:6" x14ac:dyDescent="0.3">
      <c r="F56" s="205"/>
    </row>
    <row r="57" spans="6:6" x14ac:dyDescent="0.3">
      <c r="F57" s="205"/>
    </row>
    <row r="58" spans="6:6" x14ac:dyDescent="0.3">
      <c r="F58" s="205"/>
    </row>
    <row r="59" spans="6:6" x14ac:dyDescent="0.3">
      <c r="F59" s="205"/>
    </row>
    <row r="60" spans="6:6" x14ac:dyDescent="0.3">
      <c r="F60" s="205"/>
    </row>
    <row r="61" spans="6:6" x14ac:dyDescent="0.3">
      <c r="F61" s="205"/>
    </row>
    <row r="62" spans="6:6" x14ac:dyDescent="0.3">
      <c r="F62" s="205"/>
    </row>
    <row r="63" spans="6:6" x14ac:dyDescent="0.3">
      <c r="F63" s="205"/>
    </row>
    <row r="64" spans="6:6" x14ac:dyDescent="0.3">
      <c r="F64" s="205"/>
    </row>
    <row r="65" spans="6:6" x14ac:dyDescent="0.3">
      <c r="F65" s="205"/>
    </row>
    <row r="66" spans="6:6" x14ac:dyDescent="0.3">
      <c r="F66" s="205"/>
    </row>
    <row r="67" spans="6:6" x14ac:dyDescent="0.3">
      <c r="F67" s="205"/>
    </row>
    <row r="68" spans="6:6" x14ac:dyDescent="0.3">
      <c r="F68" s="205"/>
    </row>
    <row r="69" spans="6:6" x14ac:dyDescent="0.3">
      <c r="F69" s="205"/>
    </row>
    <row r="70" spans="6:6" x14ac:dyDescent="0.3">
      <c r="F70" s="205"/>
    </row>
    <row r="71" spans="6:6" x14ac:dyDescent="0.3">
      <c r="F71" s="205"/>
    </row>
    <row r="72" spans="6:6" x14ac:dyDescent="0.3">
      <c r="F72" s="205"/>
    </row>
    <row r="73" spans="6:6" x14ac:dyDescent="0.3">
      <c r="F73" s="205"/>
    </row>
    <row r="74" spans="6:6" x14ac:dyDescent="0.3">
      <c r="F74" s="205"/>
    </row>
    <row r="75" spans="6:6" x14ac:dyDescent="0.3">
      <c r="F75" s="205"/>
    </row>
    <row r="76" spans="6:6" x14ac:dyDescent="0.3">
      <c r="F76" s="205"/>
    </row>
    <row r="77" spans="6:6" x14ac:dyDescent="0.3">
      <c r="F77" s="205"/>
    </row>
    <row r="78" spans="6:6" x14ac:dyDescent="0.3">
      <c r="F78" s="205"/>
    </row>
    <row r="79" spans="6:6" x14ac:dyDescent="0.3">
      <c r="F79" s="205"/>
    </row>
    <row r="80" spans="6:6" x14ac:dyDescent="0.3">
      <c r="F80" s="205"/>
    </row>
    <row r="81" spans="6:6" x14ac:dyDescent="0.3">
      <c r="F81" s="205"/>
    </row>
    <row r="82" spans="6:6" x14ac:dyDescent="0.3">
      <c r="F82" s="205"/>
    </row>
    <row r="83" spans="6:6" x14ac:dyDescent="0.3">
      <c r="F83" s="205"/>
    </row>
    <row r="84" spans="6:6" x14ac:dyDescent="0.3">
      <c r="F84" s="205"/>
    </row>
    <row r="85" spans="6:6" x14ac:dyDescent="0.3">
      <c r="F85" s="205"/>
    </row>
    <row r="86" spans="6:6" x14ac:dyDescent="0.3">
      <c r="F86" s="205"/>
    </row>
    <row r="87" spans="6:6" x14ac:dyDescent="0.3">
      <c r="F87" s="205"/>
    </row>
    <row r="88" spans="6:6" x14ac:dyDescent="0.3">
      <c r="F88" s="205"/>
    </row>
    <row r="89" spans="6:6" x14ac:dyDescent="0.3">
      <c r="F89" s="205"/>
    </row>
    <row r="90" spans="6:6" x14ac:dyDescent="0.3">
      <c r="F90" s="205"/>
    </row>
    <row r="91" spans="6:6" x14ac:dyDescent="0.3">
      <c r="F91" s="205"/>
    </row>
    <row r="92" spans="6:6" x14ac:dyDescent="0.3">
      <c r="F92" s="205"/>
    </row>
    <row r="93" spans="6:6" x14ac:dyDescent="0.3">
      <c r="F93" s="205"/>
    </row>
    <row r="94" spans="6:6" x14ac:dyDescent="0.3">
      <c r="F94" s="205"/>
    </row>
    <row r="95" spans="6:6" x14ac:dyDescent="0.3">
      <c r="F95" s="205"/>
    </row>
    <row r="96" spans="6:6" x14ac:dyDescent="0.3">
      <c r="F96" s="205"/>
    </row>
    <row r="97" spans="6:6" x14ac:dyDescent="0.3">
      <c r="F97" s="205"/>
    </row>
    <row r="98" spans="6:6" x14ac:dyDescent="0.3">
      <c r="F98" s="205"/>
    </row>
    <row r="99" spans="6:6" x14ac:dyDescent="0.3">
      <c r="F99" s="205"/>
    </row>
    <row r="100" spans="6:6" x14ac:dyDescent="0.3">
      <c r="F100" s="205"/>
    </row>
    <row r="101" spans="6:6" x14ac:dyDescent="0.3">
      <c r="F101" s="205"/>
    </row>
    <row r="102" spans="6:6" x14ac:dyDescent="0.3">
      <c r="F102" s="205"/>
    </row>
    <row r="103" spans="6:6" x14ac:dyDescent="0.3">
      <c r="F103" s="205"/>
    </row>
    <row r="104" spans="6:6" x14ac:dyDescent="0.3">
      <c r="F104" s="205"/>
    </row>
    <row r="105" spans="6:6" x14ac:dyDescent="0.3">
      <c r="F105" s="205"/>
    </row>
    <row r="106" spans="6:6" x14ac:dyDescent="0.3">
      <c r="F106" s="205"/>
    </row>
    <row r="107" spans="6:6" x14ac:dyDescent="0.3">
      <c r="F107" s="205"/>
    </row>
    <row r="108" spans="6:6" x14ac:dyDescent="0.3">
      <c r="F108" s="205"/>
    </row>
    <row r="109" spans="6:6" x14ac:dyDescent="0.3">
      <c r="F109" s="205"/>
    </row>
    <row r="110" spans="6:6" x14ac:dyDescent="0.3">
      <c r="F110" s="205"/>
    </row>
    <row r="111" spans="6:6" x14ac:dyDescent="0.3">
      <c r="F111" s="205"/>
    </row>
    <row r="112" spans="6:6" x14ac:dyDescent="0.3">
      <c r="F112" s="205"/>
    </row>
    <row r="113" spans="6:6" x14ac:dyDescent="0.3">
      <c r="F113" s="205"/>
    </row>
    <row r="114" spans="6:6" x14ac:dyDescent="0.3">
      <c r="F114" s="205"/>
    </row>
    <row r="115" spans="6:6" x14ac:dyDescent="0.3">
      <c r="F115" s="205"/>
    </row>
    <row r="116" spans="6:6" x14ac:dyDescent="0.3">
      <c r="F116" s="205"/>
    </row>
    <row r="117" spans="6:6" x14ac:dyDescent="0.3">
      <c r="F117" s="205"/>
    </row>
    <row r="118" spans="6:6" x14ac:dyDescent="0.3">
      <c r="F118" s="205"/>
    </row>
    <row r="119" spans="6:6" x14ac:dyDescent="0.3">
      <c r="F119" s="205"/>
    </row>
    <row r="120" spans="6:6" x14ac:dyDescent="0.3">
      <c r="F120" s="205"/>
    </row>
    <row r="121" spans="6:6" x14ac:dyDescent="0.3">
      <c r="F121" s="205"/>
    </row>
    <row r="122" spans="6:6" x14ac:dyDescent="0.3">
      <c r="F122" s="205"/>
    </row>
    <row r="123" spans="6:6" x14ac:dyDescent="0.3">
      <c r="F123" s="205"/>
    </row>
    <row r="124" spans="6:6" x14ac:dyDescent="0.3">
      <c r="F124" s="205"/>
    </row>
    <row r="125" spans="6:6" x14ac:dyDescent="0.3">
      <c r="F125" s="205"/>
    </row>
    <row r="126" spans="6:6" x14ac:dyDescent="0.3">
      <c r="F126" s="205"/>
    </row>
    <row r="127" spans="6:6" x14ac:dyDescent="0.3">
      <c r="F127" s="205"/>
    </row>
    <row r="128" spans="6:6" x14ac:dyDescent="0.3">
      <c r="F128" s="205"/>
    </row>
    <row r="129" spans="6:6" x14ac:dyDescent="0.3">
      <c r="F129" s="205"/>
    </row>
    <row r="130" spans="6:6" x14ac:dyDescent="0.3">
      <c r="F130" s="205"/>
    </row>
    <row r="131" spans="6:6" x14ac:dyDescent="0.3">
      <c r="F131" s="205"/>
    </row>
    <row r="132" spans="6:6" x14ac:dyDescent="0.3">
      <c r="F132" s="205"/>
    </row>
    <row r="133" spans="6:6" x14ac:dyDescent="0.3">
      <c r="F133" s="205"/>
    </row>
    <row r="134" spans="6:6" x14ac:dyDescent="0.3">
      <c r="F134" s="205"/>
    </row>
    <row r="135" spans="6:6" x14ac:dyDescent="0.3">
      <c r="F135" s="205"/>
    </row>
    <row r="136" spans="6:6" x14ac:dyDescent="0.3">
      <c r="F136" s="205"/>
    </row>
    <row r="137" spans="6:6" x14ac:dyDescent="0.3">
      <c r="F137" s="205"/>
    </row>
    <row r="138" spans="6:6" x14ac:dyDescent="0.3">
      <c r="F138" s="205"/>
    </row>
    <row r="139" spans="6:6" x14ac:dyDescent="0.3">
      <c r="F139" s="205"/>
    </row>
    <row r="140" spans="6:6" x14ac:dyDescent="0.3">
      <c r="F140" s="205"/>
    </row>
    <row r="141" spans="6:6" x14ac:dyDescent="0.3">
      <c r="F141" s="205"/>
    </row>
    <row r="142" spans="6:6" x14ac:dyDescent="0.3">
      <c r="F142" s="205"/>
    </row>
    <row r="143" spans="6:6" x14ac:dyDescent="0.3">
      <c r="F143" s="205"/>
    </row>
    <row r="144" spans="6:6" x14ac:dyDescent="0.3">
      <c r="F144" s="205"/>
    </row>
    <row r="145" spans="6:6" x14ac:dyDescent="0.3">
      <c r="F145" s="205"/>
    </row>
    <row r="146" spans="6:6" x14ac:dyDescent="0.3">
      <c r="F146" s="205"/>
    </row>
    <row r="147" spans="6:6" x14ac:dyDescent="0.3">
      <c r="F147" s="205"/>
    </row>
    <row r="148" spans="6:6" x14ac:dyDescent="0.3">
      <c r="F148" s="205"/>
    </row>
    <row r="149" spans="6:6" x14ac:dyDescent="0.3">
      <c r="F149" s="205"/>
    </row>
    <row r="150" spans="6:6" x14ac:dyDescent="0.3">
      <c r="F150" s="205"/>
    </row>
    <row r="151" spans="6:6" x14ac:dyDescent="0.3">
      <c r="F151" s="205"/>
    </row>
    <row r="152" spans="6:6" x14ac:dyDescent="0.3">
      <c r="F152" s="205"/>
    </row>
    <row r="153" spans="6:6" x14ac:dyDescent="0.3">
      <c r="F153" s="205"/>
    </row>
    <row r="154" spans="6:6" x14ac:dyDescent="0.3">
      <c r="F154" s="205"/>
    </row>
    <row r="155" spans="6:6" x14ac:dyDescent="0.3">
      <c r="F155" s="205"/>
    </row>
    <row r="156" spans="6:6" x14ac:dyDescent="0.3">
      <c r="F156" s="205"/>
    </row>
    <row r="157" spans="6:6" x14ac:dyDescent="0.3">
      <c r="F157" s="205"/>
    </row>
    <row r="158" spans="6:6" x14ac:dyDescent="0.3">
      <c r="F158" s="205"/>
    </row>
    <row r="159" spans="6:6" x14ac:dyDescent="0.3">
      <c r="F159" s="205"/>
    </row>
    <row r="160" spans="6:6" x14ac:dyDescent="0.3">
      <c r="F160" s="205"/>
    </row>
    <row r="161" spans="6:6" x14ac:dyDescent="0.3">
      <c r="F161" s="205"/>
    </row>
    <row r="162" spans="6:6" x14ac:dyDescent="0.3">
      <c r="F162" s="205"/>
    </row>
    <row r="163" spans="6:6" x14ac:dyDescent="0.3">
      <c r="F163" s="205"/>
    </row>
    <row r="164" spans="6:6" x14ac:dyDescent="0.3">
      <c r="F164" s="205"/>
    </row>
    <row r="165" spans="6:6" x14ac:dyDescent="0.3">
      <c r="F165" s="205"/>
    </row>
    <row r="166" spans="6:6" x14ac:dyDescent="0.3">
      <c r="F166" s="205"/>
    </row>
    <row r="167" spans="6:6" x14ac:dyDescent="0.3">
      <c r="F167" s="205"/>
    </row>
    <row r="168" spans="6:6" x14ac:dyDescent="0.3">
      <c r="F168" s="205"/>
    </row>
    <row r="169" spans="6:6" x14ac:dyDescent="0.3">
      <c r="F169" s="205"/>
    </row>
    <row r="170" spans="6:6" x14ac:dyDescent="0.3">
      <c r="F170" s="205"/>
    </row>
    <row r="171" spans="6:6" x14ac:dyDescent="0.3">
      <c r="F171" s="205"/>
    </row>
    <row r="172" spans="6:6" x14ac:dyDescent="0.3">
      <c r="F172" s="205"/>
    </row>
    <row r="173" spans="6:6" x14ac:dyDescent="0.3">
      <c r="F173" s="205"/>
    </row>
    <row r="174" spans="6:6" x14ac:dyDescent="0.3">
      <c r="F174" s="205"/>
    </row>
    <row r="175" spans="6:6" x14ac:dyDescent="0.3">
      <c r="F175" s="205"/>
    </row>
    <row r="176" spans="6:6" x14ac:dyDescent="0.3">
      <c r="F176" s="205"/>
    </row>
    <row r="177" spans="6:6" x14ac:dyDescent="0.3">
      <c r="F177" s="205"/>
    </row>
    <row r="178" spans="6:6" x14ac:dyDescent="0.3">
      <c r="F178" s="205"/>
    </row>
    <row r="179" spans="6:6" x14ac:dyDescent="0.3">
      <c r="F179" s="205"/>
    </row>
    <row r="180" spans="6:6" x14ac:dyDescent="0.3">
      <c r="F180" s="205"/>
    </row>
    <row r="181" spans="6:6" x14ac:dyDescent="0.3">
      <c r="F181" s="205"/>
    </row>
    <row r="182" spans="6:6" x14ac:dyDescent="0.3">
      <c r="F182" s="205"/>
    </row>
    <row r="183" spans="6:6" x14ac:dyDescent="0.3">
      <c r="F183" s="205"/>
    </row>
    <row r="184" spans="6:6" x14ac:dyDescent="0.3">
      <c r="F184" s="205"/>
    </row>
    <row r="185" spans="6:6" x14ac:dyDescent="0.3">
      <c r="F185" s="205"/>
    </row>
    <row r="186" spans="6:6" x14ac:dyDescent="0.3">
      <c r="F186" s="205"/>
    </row>
    <row r="187" spans="6:6" x14ac:dyDescent="0.3">
      <c r="F187" s="205"/>
    </row>
    <row r="188" spans="6:6" x14ac:dyDescent="0.3">
      <c r="F188" s="205"/>
    </row>
    <row r="189" spans="6:6" x14ac:dyDescent="0.3">
      <c r="F189" s="205"/>
    </row>
    <row r="190" spans="6:6" x14ac:dyDescent="0.3">
      <c r="F190" s="205"/>
    </row>
    <row r="191" spans="6:6" x14ac:dyDescent="0.3">
      <c r="F191" s="205"/>
    </row>
    <row r="192" spans="6:6" x14ac:dyDescent="0.3">
      <c r="F192" s="205"/>
    </row>
    <row r="193" spans="6:6" x14ac:dyDescent="0.3">
      <c r="F193" s="205"/>
    </row>
    <row r="194" spans="6:6" x14ac:dyDescent="0.3">
      <c r="F194" s="205"/>
    </row>
    <row r="195" spans="6:6" x14ac:dyDescent="0.3">
      <c r="F195" s="205"/>
    </row>
    <row r="196" spans="6:6" x14ac:dyDescent="0.3">
      <c r="F196" s="205"/>
    </row>
    <row r="197" spans="6:6" x14ac:dyDescent="0.3">
      <c r="F197" s="205"/>
    </row>
    <row r="198" spans="6:6" x14ac:dyDescent="0.3">
      <c r="F198" s="205"/>
    </row>
    <row r="199" spans="6:6" x14ac:dyDescent="0.3">
      <c r="F199" s="205"/>
    </row>
    <row r="200" spans="6:6" x14ac:dyDescent="0.3">
      <c r="F200" s="205"/>
    </row>
    <row r="201" spans="6:6" x14ac:dyDescent="0.3">
      <c r="F201" s="205"/>
    </row>
    <row r="202" spans="6:6" x14ac:dyDescent="0.3">
      <c r="F202" s="205"/>
    </row>
    <row r="203" spans="6:6" x14ac:dyDescent="0.3">
      <c r="F203" s="205"/>
    </row>
    <row r="204" spans="6:6" x14ac:dyDescent="0.3">
      <c r="F204" s="205"/>
    </row>
    <row r="205" spans="6:6" x14ac:dyDescent="0.3">
      <c r="F205" s="205"/>
    </row>
    <row r="206" spans="6:6" x14ac:dyDescent="0.3">
      <c r="F206" s="205"/>
    </row>
    <row r="207" spans="6:6" x14ac:dyDescent="0.3">
      <c r="F207" s="205"/>
    </row>
    <row r="208" spans="6:6" x14ac:dyDescent="0.3">
      <c r="F208" s="205"/>
    </row>
    <row r="209" spans="6:6" x14ac:dyDescent="0.3">
      <c r="F209" s="205"/>
    </row>
    <row r="210" spans="6:6" x14ac:dyDescent="0.3">
      <c r="F210" s="205"/>
    </row>
    <row r="211" spans="6:6" x14ac:dyDescent="0.3">
      <c r="F211" s="205"/>
    </row>
    <row r="212" spans="6:6" x14ac:dyDescent="0.3">
      <c r="F212" s="205"/>
    </row>
    <row r="213" spans="6:6" x14ac:dyDescent="0.3">
      <c r="F213" s="205"/>
    </row>
    <row r="214" spans="6:6" x14ac:dyDescent="0.3">
      <c r="F214" s="205"/>
    </row>
    <row r="215" spans="6:6" x14ac:dyDescent="0.3">
      <c r="F215" s="205"/>
    </row>
    <row r="216" spans="6:6" x14ac:dyDescent="0.3">
      <c r="F216" s="205"/>
    </row>
    <row r="217" spans="6:6" x14ac:dyDescent="0.3">
      <c r="F217" s="205"/>
    </row>
    <row r="218" spans="6:6" x14ac:dyDescent="0.3">
      <c r="F218" s="205"/>
    </row>
    <row r="219" spans="6:6" x14ac:dyDescent="0.3">
      <c r="F219" s="205"/>
    </row>
    <row r="220" spans="6:6" x14ac:dyDescent="0.3">
      <c r="F220" s="205"/>
    </row>
    <row r="221" spans="6:6" x14ac:dyDescent="0.3">
      <c r="F221" s="205"/>
    </row>
    <row r="222" spans="6:6" x14ac:dyDescent="0.3">
      <c r="F222" s="205"/>
    </row>
    <row r="223" spans="6:6" x14ac:dyDescent="0.3">
      <c r="F223" s="205"/>
    </row>
    <row r="224" spans="6:6" x14ac:dyDescent="0.3">
      <c r="F224" s="205"/>
    </row>
    <row r="225" spans="6:6" x14ac:dyDescent="0.3">
      <c r="F225" s="205"/>
    </row>
    <row r="226" spans="6:6" x14ac:dyDescent="0.3">
      <c r="F226" s="205"/>
    </row>
    <row r="227" spans="6:6" x14ac:dyDescent="0.3">
      <c r="F227" s="205"/>
    </row>
    <row r="228" spans="6:6" x14ac:dyDescent="0.3">
      <c r="F228" s="205"/>
    </row>
    <row r="229" spans="6:6" x14ac:dyDescent="0.3">
      <c r="F229" s="205"/>
    </row>
    <row r="230" spans="6:6" x14ac:dyDescent="0.3">
      <c r="F230" s="205"/>
    </row>
    <row r="231" spans="6:6" x14ac:dyDescent="0.3">
      <c r="F231" s="205"/>
    </row>
    <row r="232" spans="6:6" x14ac:dyDescent="0.3">
      <c r="F232" s="205"/>
    </row>
    <row r="233" spans="6:6" x14ac:dyDescent="0.3">
      <c r="F233" s="205"/>
    </row>
    <row r="234" spans="6:6" x14ac:dyDescent="0.3">
      <c r="F234" s="205"/>
    </row>
    <row r="235" spans="6:6" x14ac:dyDescent="0.3">
      <c r="F235" s="205"/>
    </row>
    <row r="236" spans="6:6" x14ac:dyDescent="0.3">
      <c r="F236" s="205"/>
    </row>
    <row r="237" spans="6:6" x14ac:dyDescent="0.3">
      <c r="F237" s="205"/>
    </row>
    <row r="238" spans="6:6" x14ac:dyDescent="0.3">
      <c r="F238" s="205"/>
    </row>
    <row r="239" spans="6:6" x14ac:dyDescent="0.3">
      <c r="F239" s="205"/>
    </row>
    <row r="240" spans="6:6" x14ac:dyDescent="0.3">
      <c r="F240" s="205"/>
    </row>
    <row r="241" spans="6:6" x14ac:dyDescent="0.3">
      <c r="F241" s="205"/>
    </row>
    <row r="242" spans="6:6" x14ac:dyDescent="0.3">
      <c r="F242" s="205"/>
    </row>
    <row r="243" spans="6:6" x14ac:dyDescent="0.3">
      <c r="F243" s="205"/>
    </row>
    <row r="244" spans="6:6" x14ac:dyDescent="0.3">
      <c r="F244" s="205"/>
    </row>
    <row r="245" spans="6:6" x14ac:dyDescent="0.3">
      <c r="F245" s="205"/>
    </row>
    <row r="246" spans="6:6" x14ac:dyDescent="0.3">
      <c r="F246" s="205"/>
    </row>
    <row r="247" spans="6:6" x14ac:dyDescent="0.3">
      <c r="F247" s="205"/>
    </row>
    <row r="248" spans="6:6" x14ac:dyDescent="0.3">
      <c r="F248" s="205"/>
    </row>
    <row r="249" spans="6:6" x14ac:dyDescent="0.3">
      <c r="F249" s="205"/>
    </row>
    <row r="250" spans="6:6" x14ac:dyDescent="0.3">
      <c r="F250" s="205"/>
    </row>
    <row r="251" spans="6:6" x14ac:dyDescent="0.3">
      <c r="F251" s="205"/>
    </row>
    <row r="252" spans="6:6" x14ac:dyDescent="0.3">
      <c r="F252" s="205"/>
    </row>
    <row r="253" spans="6:6" x14ac:dyDescent="0.3">
      <c r="F253" s="205"/>
    </row>
    <row r="254" spans="6:6" x14ac:dyDescent="0.3">
      <c r="F254" s="205"/>
    </row>
    <row r="255" spans="6:6" x14ac:dyDescent="0.3">
      <c r="F255" s="205"/>
    </row>
    <row r="256" spans="6:6" x14ac:dyDescent="0.3">
      <c r="F256" s="205"/>
    </row>
    <row r="257" spans="6:6" x14ac:dyDescent="0.3">
      <c r="F257" s="205"/>
    </row>
    <row r="258" spans="6:6" x14ac:dyDescent="0.3">
      <c r="F258" s="205"/>
    </row>
    <row r="259" spans="6:6" x14ac:dyDescent="0.3">
      <c r="F259" s="205"/>
    </row>
    <row r="260" spans="6:6" x14ac:dyDescent="0.3">
      <c r="F260" s="205"/>
    </row>
    <row r="261" spans="6:6" x14ac:dyDescent="0.3">
      <c r="F261" s="205"/>
    </row>
    <row r="262" spans="6:6" x14ac:dyDescent="0.3">
      <c r="F262" s="205"/>
    </row>
    <row r="263" spans="6:6" x14ac:dyDescent="0.3">
      <c r="F263" s="205"/>
    </row>
    <row r="264" spans="6:6" x14ac:dyDescent="0.3">
      <c r="F264" s="205"/>
    </row>
    <row r="265" spans="6:6" x14ac:dyDescent="0.3">
      <c r="F265" s="205"/>
    </row>
    <row r="266" spans="6:6" x14ac:dyDescent="0.3">
      <c r="F266" s="205"/>
    </row>
    <row r="267" spans="6:6" x14ac:dyDescent="0.3">
      <c r="F267" s="205"/>
    </row>
    <row r="268" spans="6:6" x14ac:dyDescent="0.3">
      <c r="F268" s="205"/>
    </row>
    <row r="269" spans="6:6" x14ac:dyDescent="0.3">
      <c r="F269" s="205"/>
    </row>
    <row r="270" spans="6:6" x14ac:dyDescent="0.3">
      <c r="F270" s="205"/>
    </row>
    <row r="271" spans="6:6" x14ac:dyDescent="0.3">
      <c r="F271" s="205"/>
    </row>
    <row r="272" spans="6:6" x14ac:dyDescent="0.3">
      <c r="F272" s="205"/>
    </row>
    <row r="273" spans="6:6" x14ac:dyDescent="0.3">
      <c r="F273" s="205"/>
    </row>
    <row r="274" spans="6:6" x14ac:dyDescent="0.3">
      <c r="F274" s="205"/>
    </row>
    <row r="275" spans="6:6" x14ac:dyDescent="0.3">
      <c r="F275" s="205"/>
    </row>
    <row r="276" spans="6:6" x14ac:dyDescent="0.3">
      <c r="F276" s="205"/>
    </row>
    <row r="277" spans="6:6" x14ac:dyDescent="0.3">
      <c r="F277" s="205"/>
    </row>
    <row r="278" spans="6:6" x14ac:dyDescent="0.3">
      <c r="F278" s="205"/>
    </row>
    <row r="279" spans="6:6" x14ac:dyDescent="0.3">
      <c r="F279" s="205"/>
    </row>
    <row r="280" spans="6:6" x14ac:dyDescent="0.3">
      <c r="F280" s="205"/>
    </row>
    <row r="281" spans="6:6" x14ac:dyDescent="0.3">
      <c r="F281" s="205"/>
    </row>
    <row r="282" spans="6:6" x14ac:dyDescent="0.3">
      <c r="F282" s="205"/>
    </row>
    <row r="283" spans="6:6" x14ac:dyDescent="0.3">
      <c r="F283" s="205"/>
    </row>
    <row r="284" spans="6:6" x14ac:dyDescent="0.3">
      <c r="F284" s="205"/>
    </row>
    <row r="285" spans="6:6" x14ac:dyDescent="0.3">
      <c r="F285" s="205"/>
    </row>
    <row r="286" spans="6:6" x14ac:dyDescent="0.3">
      <c r="F286" s="205"/>
    </row>
    <row r="287" spans="6:6" x14ac:dyDescent="0.3">
      <c r="F287" s="205"/>
    </row>
    <row r="288" spans="6:6" x14ac:dyDescent="0.3">
      <c r="F288" s="205"/>
    </row>
    <row r="289" spans="6:6" x14ac:dyDescent="0.3">
      <c r="F289" s="205"/>
    </row>
    <row r="290" spans="6:6" x14ac:dyDescent="0.3">
      <c r="F290" s="205"/>
    </row>
    <row r="291" spans="6:6" x14ac:dyDescent="0.3">
      <c r="F291" s="205"/>
    </row>
    <row r="292" spans="6:6" x14ac:dyDescent="0.3">
      <c r="F292" s="205"/>
    </row>
    <row r="293" spans="6:6" x14ac:dyDescent="0.3">
      <c r="F293" s="205"/>
    </row>
    <row r="294" spans="6:6" x14ac:dyDescent="0.3">
      <c r="F294" s="205"/>
    </row>
    <row r="295" spans="6:6" x14ac:dyDescent="0.3">
      <c r="F295" s="205"/>
    </row>
    <row r="296" spans="6:6" x14ac:dyDescent="0.3">
      <c r="F296" s="205"/>
    </row>
    <row r="297" spans="6:6" x14ac:dyDescent="0.3">
      <c r="F297" s="205"/>
    </row>
    <row r="298" spans="6:6" x14ac:dyDescent="0.3">
      <c r="F298" s="205"/>
    </row>
    <row r="299" spans="6:6" x14ac:dyDescent="0.3">
      <c r="F299" s="205"/>
    </row>
    <row r="300" spans="6:6" x14ac:dyDescent="0.3">
      <c r="F300" s="205"/>
    </row>
    <row r="301" spans="6:6" x14ac:dyDescent="0.3">
      <c r="F301" s="205"/>
    </row>
    <row r="302" spans="6:6" x14ac:dyDescent="0.3">
      <c r="F302" s="205"/>
    </row>
    <row r="303" spans="6:6" x14ac:dyDescent="0.3">
      <c r="F303" s="205"/>
    </row>
    <row r="304" spans="6:6" x14ac:dyDescent="0.3">
      <c r="F304" s="205"/>
    </row>
    <row r="305" spans="6:6" x14ac:dyDescent="0.3">
      <c r="F305" s="205"/>
    </row>
    <row r="306" spans="6:6" x14ac:dyDescent="0.3">
      <c r="F306" s="205"/>
    </row>
    <row r="307" spans="6:6" x14ac:dyDescent="0.3">
      <c r="F307" s="205"/>
    </row>
    <row r="308" spans="6:6" x14ac:dyDescent="0.3">
      <c r="F308" s="205"/>
    </row>
    <row r="309" spans="6:6" x14ac:dyDescent="0.3">
      <c r="F309" s="205"/>
    </row>
    <row r="310" spans="6:6" x14ac:dyDescent="0.3">
      <c r="F310" s="205"/>
    </row>
    <row r="311" spans="6:6" x14ac:dyDescent="0.3">
      <c r="F311" s="205"/>
    </row>
    <row r="312" spans="6:6" x14ac:dyDescent="0.3">
      <c r="F312" s="205"/>
    </row>
    <row r="313" spans="6:6" x14ac:dyDescent="0.3">
      <c r="F313" s="205"/>
    </row>
    <row r="314" spans="6:6" x14ac:dyDescent="0.3">
      <c r="F314" s="205"/>
    </row>
    <row r="315" spans="6:6" x14ac:dyDescent="0.3">
      <c r="F315" s="205"/>
    </row>
    <row r="316" spans="6:6" x14ac:dyDescent="0.3">
      <c r="F316" s="205"/>
    </row>
    <row r="317" spans="6:6" x14ac:dyDescent="0.3">
      <c r="F317" s="205"/>
    </row>
    <row r="318" spans="6:6" x14ac:dyDescent="0.3">
      <c r="F318" s="205"/>
    </row>
    <row r="319" spans="6:6" x14ac:dyDescent="0.3">
      <c r="F319" s="205"/>
    </row>
    <row r="320" spans="6:6" x14ac:dyDescent="0.3">
      <c r="F320" s="205"/>
    </row>
    <row r="321" spans="6:6" x14ac:dyDescent="0.3">
      <c r="F321" s="205"/>
    </row>
    <row r="322" spans="6:6" x14ac:dyDescent="0.3">
      <c r="F322" s="205"/>
    </row>
    <row r="323" spans="6:6" x14ac:dyDescent="0.3">
      <c r="F323" s="205"/>
    </row>
    <row r="324" spans="6:6" x14ac:dyDescent="0.3">
      <c r="F324" s="205"/>
    </row>
    <row r="325" spans="6:6" x14ac:dyDescent="0.3">
      <c r="F325" s="205"/>
    </row>
    <row r="326" spans="6:6" x14ac:dyDescent="0.3">
      <c r="F326" s="205"/>
    </row>
    <row r="327" spans="6:6" x14ac:dyDescent="0.3">
      <c r="F327" s="205"/>
    </row>
    <row r="328" spans="6:6" x14ac:dyDescent="0.3">
      <c r="F328" s="205"/>
    </row>
    <row r="329" spans="6:6" x14ac:dyDescent="0.3">
      <c r="F329" s="205"/>
    </row>
    <row r="330" spans="6:6" x14ac:dyDescent="0.3">
      <c r="F330" s="205"/>
    </row>
    <row r="331" spans="6:6" x14ac:dyDescent="0.3">
      <c r="F331" s="205"/>
    </row>
    <row r="332" spans="6:6" x14ac:dyDescent="0.3">
      <c r="F332" s="205"/>
    </row>
    <row r="333" spans="6:6" x14ac:dyDescent="0.3">
      <c r="F333" s="205"/>
    </row>
    <row r="334" spans="6:6" x14ac:dyDescent="0.3">
      <c r="F334" s="205"/>
    </row>
    <row r="335" spans="6:6" x14ac:dyDescent="0.3">
      <c r="F335" s="205"/>
    </row>
    <row r="336" spans="6:6" x14ac:dyDescent="0.3">
      <c r="F336" s="205"/>
    </row>
    <row r="337" spans="6:6" x14ac:dyDescent="0.3">
      <c r="F337" s="205"/>
    </row>
    <row r="338" spans="6:6" x14ac:dyDescent="0.3">
      <c r="F338" s="205"/>
    </row>
    <row r="339" spans="6:6" x14ac:dyDescent="0.3">
      <c r="F339" s="205"/>
    </row>
    <row r="340" spans="6:6" x14ac:dyDescent="0.3">
      <c r="F340" s="205"/>
    </row>
    <row r="341" spans="6:6" x14ac:dyDescent="0.3">
      <c r="F341" s="205"/>
    </row>
    <row r="342" spans="6:6" x14ac:dyDescent="0.3">
      <c r="F342" s="205"/>
    </row>
    <row r="343" spans="6:6" x14ac:dyDescent="0.3">
      <c r="F343" s="205"/>
    </row>
    <row r="344" spans="6:6" x14ac:dyDescent="0.3">
      <c r="F344" s="205"/>
    </row>
    <row r="345" spans="6:6" x14ac:dyDescent="0.3">
      <c r="F345" s="205"/>
    </row>
    <row r="346" spans="6:6" x14ac:dyDescent="0.3">
      <c r="F346" s="205"/>
    </row>
    <row r="347" spans="6:6" x14ac:dyDescent="0.3">
      <c r="F347" s="205"/>
    </row>
    <row r="348" spans="6:6" x14ac:dyDescent="0.3">
      <c r="F348" s="205"/>
    </row>
    <row r="349" spans="6:6" x14ac:dyDescent="0.3">
      <c r="F349" s="205"/>
    </row>
    <row r="350" spans="6:6" x14ac:dyDescent="0.3">
      <c r="F350" s="205"/>
    </row>
    <row r="351" spans="6:6" x14ac:dyDescent="0.3">
      <c r="F351" s="205"/>
    </row>
    <row r="352" spans="6:6" x14ac:dyDescent="0.3">
      <c r="F352" s="205"/>
    </row>
    <row r="353" spans="6:6" x14ac:dyDescent="0.3">
      <c r="F353" s="205"/>
    </row>
    <row r="354" spans="6:6" x14ac:dyDescent="0.3">
      <c r="F354" s="205"/>
    </row>
    <row r="355" spans="6:6" x14ac:dyDescent="0.3">
      <c r="F355" s="205"/>
    </row>
    <row r="356" spans="6:6" x14ac:dyDescent="0.3">
      <c r="F356" s="205"/>
    </row>
    <row r="357" spans="6:6" x14ac:dyDescent="0.3">
      <c r="F357" s="205"/>
    </row>
    <row r="358" spans="6:6" x14ac:dyDescent="0.3">
      <c r="F358" s="205"/>
    </row>
    <row r="359" spans="6:6" x14ac:dyDescent="0.3">
      <c r="F359" s="205"/>
    </row>
    <row r="360" spans="6:6" x14ac:dyDescent="0.3">
      <c r="F360" s="205"/>
    </row>
    <row r="361" spans="6:6" x14ac:dyDescent="0.3">
      <c r="F361" s="205"/>
    </row>
    <row r="362" spans="6:6" x14ac:dyDescent="0.3">
      <c r="F362" s="205"/>
    </row>
    <row r="363" spans="6:6" x14ac:dyDescent="0.3">
      <c r="F363" s="205"/>
    </row>
    <row r="364" spans="6:6" x14ac:dyDescent="0.3">
      <c r="F364" s="205"/>
    </row>
    <row r="365" spans="6:6" x14ac:dyDescent="0.3">
      <c r="F365" s="205"/>
    </row>
    <row r="366" spans="6:6" x14ac:dyDescent="0.3">
      <c r="F366" s="205"/>
    </row>
    <row r="367" spans="6:6" x14ac:dyDescent="0.3">
      <c r="F367" s="205"/>
    </row>
    <row r="368" spans="6:6" x14ac:dyDescent="0.3">
      <c r="F368" s="205"/>
    </row>
    <row r="369" spans="6:6" x14ac:dyDescent="0.3">
      <c r="F369" s="205"/>
    </row>
    <row r="370" spans="6:6" x14ac:dyDescent="0.3">
      <c r="F370" s="205"/>
    </row>
    <row r="371" spans="6:6" x14ac:dyDescent="0.3">
      <c r="F371" s="205"/>
    </row>
    <row r="372" spans="6:6" x14ac:dyDescent="0.3">
      <c r="F372" s="205"/>
    </row>
    <row r="373" spans="6:6" x14ac:dyDescent="0.3">
      <c r="F373" s="205"/>
    </row>
    <row r="374" spans="6:6" x14ac:dyDescent="0.3">
      <c r="F374" s="205"/>
    </row>
    <row r="375" spans="6:6" x14ac:dyDescent="0.3">
      <c r="F375" s="205"/>
    </row>
    <row r="376" spans="6:6" x14ac:dyDescent="0.3">
      <c r="F376" s="205"/>
    </row>
    <row r="377" spans="6:6" x14ac:dyDescent="0.3">
      <c r="F377" s="205"/>
    </row>
    <row r="378" spans="6:6" x14ac:dyDescent="0.3">
      <c r="F378" s="205"/>
    </row>
    <row r="379" spans="6:6" x14ac:dyDescent="0.3">
      <c r="F379" s="205"/>
    </row>
    <row r="380" spans="6:6" x14ac:dyDescent="0.3">
      <c r="F380" s="205"/>
    </row>
    <row r="381" spans="6:6" x14ac:dyDescent="0.3">
      <c r="F381" s="205"/>
    </row>
    <row r="382" spans="6:6" x14ac:dyDescent="0.3">
      <c r="F382" s="205"/>
    </row>
    <row r="383" spans="6:6" x14ac:dyDescent="0.3">
      <c r="F383" s="205"/>
    </row>
    <row r="384" spans="6:6" x14ac:dyDescent="0.3">
      <c r="F384" s="205"/>
    </row>
    <row r="385" spans="6:6" x14ac:dyDescent="0.3">
      <c r="F385" s="205"/>
    </row>
    <row r="386" spans="6:6" x14ac:dyDescent="0.3">
      <c r="F386" s="205"/>
    </row>
    <row r="387" spans="6:6" x14ac:dyDescent="0.3">
      <c r="F387" s="205"/>
    </row>
    <row r="388" spans="6:6" x14ac:dyDescent="0.3">
      <c r="F388" s="205"/>
    </row>
    <row r="389" spans="6:6" x14ac:dyDescent="0.3">
      <c r="F389" s="205"/>
    </row>
    <row r="390" spans="6:6" x14ac:dyDescent="0.3">
      <c r="F390" s="205"/>
    </row>
    <row r="391" spans="6:6" x14ac:dyDescent="0.3">
      <c r="F391" s="205"/>
    </row>
    <row r="392" spans="6:6" x14ac:dyDescent="0.3">
      <c r="F392" s="205"/>
    </row>
    <row r="393" spans="6:6" x14ac:dyDescent="0.3">
      <c r="F393" s="205"/>
    </row>
    <row r="394" spans="6:6" x14ac:dyDescent="0.3">
      <c r="F394" s="205"/>
    </row>
    <row r="395" spans="6:6" x14ac:dyDescent="0.3">
      <c r="F395" s="205"/>
    </row>
    <row r="396" spans="6:6" x14ac:dyDescent="0.3">
      <c r="F396" s="205"/>
    </row>
    <row r="397" spans="6:6" x14ac:dyDescent="0.3">
      <c r="F397" s="205"/>
    </row>
    <row r="398" spans="6:6" x14ac:dyDescent="0.3">
      <c r="F398" s="205"/>
    </row>
    <row r="399" spans="6:6" x14ac:dyDescent="0.3">
      <c r="F399" s="205"/>
    </row>
    <row r="400" spans="6:6" x14ac:dyDescent="0.3">
      <c r="F400" s="205"/>
    </row>
    <row r="401" spans="6:6" x14ac:dyDescent="0.3">
      <c r="F401" s="205"/>
    </row>
    <row r="402" spans="6:6" x14ac:dyDescent="0.3">
      <c r="F402" s="205"/>
    </row>
    <row r="403" spans="6:6" x14ac:dyDescent="0.3">
      <c r="F403" s="205"/>
    </row>
    <row r="404" spans="6:6" x14ac:dyDescent="0.3">
      <c r="F404" s="205"/>
    </row>
    <row r="405" spans="6:6" x14ac:dyDescent="0.3">
      <c r="F405" s="205"/>
    </row>
    <row r="406" spans="6:6" x14ac:dyDescent="0.3">
      <c r="F406" s="205"/>
    </row>
    <row r="407" spans="6:6" x14ac:dyDescent="0.3">
      <c r="F407" s="205"/>
    </row>
    <row r="408" spans="6:6" x14ac:dyDescent="0.3">
      <c r="F408" s="205"/>
    </row>
    <row r="409" spans="6:6" x14ac:dyDescent="0.3">
      <c r="F409" s="205"/>
    </row>
    <row r="410" spans="6:6" x14ac:dyDescent="0.3">
      <c r="F410" s="205"/>
    </row>
    <row r="411" spans="6:6" x14ac:dyDescent="0.3">
      <c r="F411" s="205"/>
    </row>
    <row r="412" spans="6:6" x14ac:dyDescent="0.3">
      <c r="F412" s="205"/>
    </row>
    <row r="413" spans="6:6" x14ac:dyDescent="0.3">
      <c r="F413" s="205"/>
    </row>
    <row r="414" spans="6:6" x14ac:dyDescent="0.3">
      <c r="F414" s="205"/>
    </row>
    <row r="415" spans="6:6" x14ac:dyDescent="0.3">
      <c r="F415" s="205"/>
    </row>
    <row r="416" spans="6:6" x14ac:dyDescent="0.3">
      <c r="F416" s="205"/>
    </row>
    <row r="417" spans="6:6" x14ac:dyDescent="0.3">
      <c r="F417" s="205"/>
    </row>
    <row r="418" spans="6:6" x14ac:dyDescent="0.3">
      <c r="F418" s="205"/>
    </row>
    <row r="419" spans="6:6" x14ac:dyDescent="0.3">
      <c r="F419" s="205"/>
    </row>
    <row r="420" spans="6:6" x14ac:dyDescent="0.3">
      <c r="F420" s="205"/>
    </row>
    <row r="421" spans="6:6" x14ac:dyDescent="0.3">
      <c r="F421" s="205"/>
    </row>
    <row r="422" spans="6:6" x14ac:dyDescent="0.3">
      <c r="F422" s="205"/>
    </row>
    <row r="423" spans="6:6" x14ac:dyDescent="0.3">
      <c r="F423" s="205"/>
    </row>
    <row r="424" spans="6:6" x14ac:dyDescent="0.3">
      <c r="F424" s="205"/>
    </row>
    <row r="425" spans="6:6" x14ac:dyDescent="0.3">
      <c r="F425" s="205"/>
    </row>
    <row r="426" spans="6:6" x14ac:dyDescent="0.3">
      <c r="F426" s="205"/>
    </row>
    <row r="427" spans="6:6" x14ac:dyDescent="0.3">
      <c r="F427" s="205"/>
    </row>
    <row r="428" spans="6:6" x14ac:dyDescent="0.3">
      <c r="F428" s="205"/>
    </row>
    <row r="429" spans="6:6" x14ac:dyDescent="0.3">
      <c r="F429" s="205"/>
    </row>
    <row r="430" spans="6:6" x14ac:dyDescent="0.3">
      <c r="F430" s="205"/>
    </row>
    <row r="431" spans="6:6" x14ac:dyDescent="0.3">
      <c r="F431" s="205"/>
    </row>
    <row r="432" spans="6:6" x14ac:dyDescent="0.3">
      <c r="F432" s="205"/>
    </row>
    <row r="433" spans="6:6" x14ac:dyDescent="0.3">
      <c r="F433" s="205"/>
    </row>
    <row r="434" spans="6:6" x14ac:dyDescent="0.3">
      <c r="F434" s="205"/>
    </row>
    <row r="435" spans="6:6" x14ac:dyDescent="0.3">
      <c r="F435" s="205"/>
    </row>
    <row r="436" spans="6:6" x14ac:dyDescent="0.3">
      <c r="F436" s="205"/>
    </row>
    <row r="437" spans="6:6" x14ac:dyDescent="0.3">
      <c r="F437" s="205"/>
    </row>
    <row r="438" spans="6:6" x14ac:dyDescent="0.3">
      <c r="F438" s="205"/>
    </row>
    <row r="439" spans="6:6" x14ac:dyDescent="0.3">
      <c r="F439" s="205"/>
    </row>
    <row r="440" spans="6:6" x14ac:dyDescent="0.3">
      <c r="F440" s="205"/>
    </row>
    <row r="441" spans="6:6" x14ac:dyDescent="0.3">
      <c r="F441" s="205"/>
    </row>
    <row r="442" spans="6:6" x14ac:dyDescent="0.3">
      <c r="F442" s="205"/>
    </row>
    <row r="443" spans="6:6" x14ac:dyDescent="0.3">
      <c r="F443" s="205"/>
    </row>
    <row r="444" spans="6:6" x14ac:dyDescent="0.3">
      <c r="F444" s="205"/>
    </row>
    <row r="445" spans="6:6" x14ac:dyDescent="0.3">
      <c r="F445" s="205"/>
    </row>
    <row r="446" spans="6:6" x14ac:dyDescent="0.3">
      <c r="F446" s="205"/>
    </row>
    <row r="447" spans="6:6" x14ac:dyDescent="0.3">
      <c r="F447" s="205"/>
    </row>
    <row r="448" spans="6:6" x14ac:dyDescent="0.3">
      <c r="F448" s="205"/>
    </row>
    <row r="449" spans="6:6" x14ac:dyDescent="0.3">
      <c r="F449" s="205"/>
    </row>
    <row r="450" spans="6:6" x14ac:dyDescent="0.3">
      <c r="F450" s="205"/>
    </row>
    <row r="451" spans="6:6" x14ac:dyDescent="0.3">
      <c r="F451" s="205"/>
    </row>
    <row r="452" spans="6:6" x14ac:dyDescent="0.3">
      <c r="F452" s="205"/>
    </row>
    <row r="453" spans="6:6" x14ac:dyDescent="0.3">
      <c r="F453" s="205"/>
    </row>
    <row r="454" spans="6:6" x14ac:dyDescent="0.3">
      <c r="F454" s="205"/>
    </row>
    <row r="455" spans="6:6" x14ac:dyDescent="0.3">
      <c r="F455" s="205"/>
    </row>
    <row r="456" spans="6:6" x14ac:dyDescent="0.3">
      <c r="F456" s="205"/>
    </row>
    <row r="457" spans="6:6" x14ac:dyDescent="0.3">
      <c r="F457" s="205"/>
    </row>
    <row r="458" spans="6:6" x14ac:dyDescent="0.3">
      <c r="F458" s="205"/>
    </row>
    <row r="459" spans="6:6" x14ac:dyDescent="0.3">
      <c r="F459" s="205"/>
    </row>
    <row r="460" spans="6:6" x14ac:dyDescent="0.3">
      <c r="F460" s="205"/>
    </row>
    <row r="461" spans="6:6" x14ac:dyDescent="0.3">
      <c r="F461" s="205"/>
    </row>
    <row r="462" spans="6:6" x14ac:dyDescent="0.3">
      <c r="F462" s="205"/>
    </row>
    <row r="463" spans="6:6" x14ac:dyDescent="0.3">
      <c r="F463" s="205"/>
    </row>
    <row r="464" spans="6:6" x14ac:dyDescent="0.3">
      <c r="F464" s="205"/>
    </row>
    <row r="465" spans="6:6" x14ac:dyDescent="0.3">
      <c r="F465" s="205"/>
    </row>
    <row r="466" spans="6:6" x14ac:dyDescent="0.3">
      <c r="F466" s="205"/>
    </row>
    <row r="467" spans="6:6" x14ac:dyDescent="0.3">
      <c r="F467" s="205"/>
    </row>
    <row r="468" spans="6:6" x14ac:dyDescent="0.3">
      <c r="F468" s="205"/>
    </row>
    <row r="469" spans="6:6" x14ac:dyDescent="0.3">
      <c r="F469" s="205"/>
    </row>
    <row r="470" spans="6:6" x14ac:dyDescent="0.3">
      <c r="F470" s="205"/>
    </row>
    <row r="471" spans="6:6" x14ac:dyDescent="0.3">
      <c r="F471" s="205"/>
    </row>
    <row r="472" spans="6:6" x14ac:dyDescent="0.3">
      <c r="F472" s="205"/>
    </row>
    <row r="473" spans="6:6" x14ac:dyDescent="0.3">
      <c r="F473" s="205"/>
    </row>
    <row r="474" spans="6:6" x14ac:dyDescent="0.3">
      <c r="F474" s="205"/>
    </row>
    <row r="475" spans="6:6" x14ac:dyDescent="0.3">
      <c r="F475" s="205"/>
    </row>
    <row r="476" spans="6:6" x14ac:dyDescent="0.3">
      <c r="F476" s="205"/>
    </row>
    <row r="477" spans="6:6" x14ac:dyDescent="0.3">
      <c r="F477" s="205"/>
    </row>
    <row r="478" spans="6:6" x14ac:dyDescent="0.3">
      <c r="F478" s="205"/>
    </row>
    <row r="479" spans="6:6" x14ac:dyDescent="0.3">
      <c r="F479" s="205"/>
    </row>
    <row r="480" spans="6:6" x14ac:dyDescent="0.3">
      <c r="F480" s="205"/>
    </row>
    <row r="481" spans="6:6" x14ac:dyDescent="0.3">
      <c r="F481" s="205"/>
    </row>
    <row r="482" spans="6:6" x14ac:dyDescent="0.3">
      <c r="F482" s="205"/>
    </row>
    <row r="483" spans="6:6" x14ac:dyDescent="0.3">
      <c r="F483" s="205"/>
    </row>
    <row r="484" spans="6:6" x14ac:dyDescent="0.3">
      <c r="F484" s="205"/>
    </row>
    <row r="485" spans="6:6" x14ac:dyDescent="0.3">
      <c r="F485" s="205"/>
    </row>
    <row r="486" spans="6:6" x14ac:dyDescent="0.3">
      <c r="F486" s="205"/>
    </row>
    <row r="487" spans="6:6" x14ac:dyDescent="0.3">
      <c r="F487" s="205"/>
    </row>
    <row r="488" spans="6:6" x14ac:dyDescent="0.3">
      <c r="F488" s="205"/>
    </row>
    <row r="489" spans="6:6" x14ac:dyDescent="0.3">
      <c r="F489" s="205"/>
    </row>
    <row r="490" spans="6:6" x14ac:dyDescent="0.3">
      <c r="F490" s="205"/>
    </row>
    <row r="491" spans="6:6" x14ac:dyDescent="0.3">
      <c r="F491" s="205"/>
    </row>
    <row r="492" spans="6:6" x14ac:dyDescent="0.3">
      <c r="F492" s="205"/>
    </row>
    <row r="493" spans="6:6" x14ac:dyDescent="0.3">
      <c r="F493" s="205"/>
    </row>
    <row r="494" spans="6:6" x14ac:dyDescent="0.3">
      <c r="F494" s="205"/>
    </row>
    <row r="495" spans="6:6" x14ac:dyDescent="0.3">
      <c r="F495" s="205"/>
    </row>
    <row r="496" spans="6:6" x14ac:dyDescent="0.3">
      <c r="F496" s="205"/>
    </row>
    <row r="497" spans="6:6" x14ac:dyDescent="0.3">
      <c r="F497" s="205"/>
    </row>
    <row r="498" spans="6:6" x14ac:dyDescent="0.3">
      <c r="F498" s="205"/>
    </row>
    <row r="499" spans="6:6" x14ac:dyDescent="0.3">
      <c r="F499" s="205"/>
    </row>
    <row r="500" spans="6:6" x14ac:dyDescent="0.3">
      <c r="F500" s="205"/>
    </row>
    <row r="501" spans="6:6" x14ac:dyDescent="0.3">
      <c r="F501" s="205"/>
    </row>
    <row r="502" spans="6:6" x14ac:dyDescent="0.3">
      <c r="F502" s="205"/>
    </row>
    <row r="503" spans="6:6" x14ac:dyDescent="0.3">
      <c r="F503" s="205"/>
    </row>
    <row r="504" spans="6:6" x14ac:dyDescent="0.3">
      <c r="F504" s="205"/>
    </row>
    <row r="505" spans="6:6" x14ac:dyDescent="0.3">
      <c r="F505" s="205"/>
    </row>
    <row r="506" spans="6:6" x14ac:dyDescent="0.3">
      <c r="F506" s="205"/>
    </row>
    <row r="507" spans="6:6" x14ac:dyDescent="0.3">
      <c r="F507" s="205"/>
    </row>
    <row r="508" spans="6:6" x14ac:dyDescent="0.3">
      <c r="F508" s="205"/>
    </row>
    <row r="509" spans="6:6" x14ac:dyDescent="0.3">
      <c r="F509" s="205"/>
    </row>
    <row r="510" spans="6:6" x14ac:dyDescent="0.3">
      <c r="F510" s="205"/>
    </row>
    <row r="511" spans="6:6" x14ac:dyDescent="0.3">
      <c r="F511" s="205"/>
    </row>
    <row r="512" spans="6:6" x14ac:dyDescent="0.3">
      <c r="F512" s="205"/>
    </row>
    <row r="513" spans="6:6" x14ac:dyDescent="0.3">
      <c r="F513" s="205"/>
    </row>
    <row r="514" spans="6:6" x14ac:dyDescent="0.3">
      <c r="F514" s="205"/>
    </row>
    <row r="515" spans="6:6" x14ac:dyDescent="0.3">
      <c r="F515" s="205"/>
    </row>
    <row r="516" spans="6:6" x14ac:dyDescent="0.3">
      <c r="F516" s="205"/>
    </row>
    <row r="517" spans="6:6" x14ac:dyDescent="0.3">
      <c r="F517" s="205"/>
    </row>
    <row r="518" spans="6:6" x14ac:dyDescent="0.3">
      <c r="F518" s="205"/>
    </row>
    <row r="519" spans="6:6" x14ac:dyDescent="0.3">
      <c r="F519" s="205"/>
    </row>
    <row r="520" spans="6:6" x14ac:dyDescent="0.3">
      <c r="F520" s="205"/>
    </row>
    <row r="521" spans="6:6" x14ac:dyDescent="0.3">
      <c r="F521" s="205"/>
    </row>
    <row r="522" spans="6:6" x14ac:dyDescent="0.3">
      <c r="F522" s="205"/>
    </row>
    <row r="523" spans="6:6" x14ac:dyDescent="0.3">
      <c r="F523" s="205"/>
    </row>
    <row r="524" spans="6:6" x14ac:dyDescent="0.3">
      <c r="F524" s="205"/>
    </row>
    <row r="525" spans="6:6" x14ac:dyDescent="0.3">
      <c r="F525" s="205"/>
    </row>
    <row r="526" spans="6:6" x14ac:dyDescent="0.3">
      <c r="F526" s="205"/>
    </row>
    <row r="527" spans="6:6" x14ac:dyDescent="0.3">
      <c r="F527" s="205"/>
    </row>
    <row r="528" spans="6:6" x14ac:dyDescent="0.3">
      <c r="F528" s="205"/>
    </row>
    <row r="529" spans="6:6" x14ac:dyDescent="0.3">
      <c r="F529" s="205"/>
    </row>
    <row r="530" spans="6:6" x14ac:dyDescent="0.3">
      <c r="F530" s="205"/>
    </row>
    <row r="531" spans="6:6" x14ac:dyDescent="0.3">
      <c r="F531" s="205"/>
    </row>
    <row r="532" spans="6:6" x14ac:dyDescent="0.3">
      <c r="F532" s="205"/>
    </row>
    <row r="533" spans="6:6" x14ac:dyDescent="0.3">
      <c r="F533" s="205"/>
    </row>
    <row r="534" spans="6:6" x14ac:dyDescent="0.3">
      <c r="F534" s="205"/>
    </row>
    <row r="535" spans="6:6" x14ac:dyDescent="0.3">
      <c r="F535" s="205"/>
    </row>
    <row r="536" spans="6:6" x14ac:dyDescent="0.3">
      <c r="F536" s="205"/>
    </row>
    <row r="537" spans="6:6" x14ac:dyDescent="0.3">
      <c r="F537" s="205"/>
    </row>
    <row r="538" spans="6:6" x14ac:dyDescent="0.3">
      <c r="F538" s="205"/>
    </row>
    <row r="539" spans="6:6" x14ac:dyDescent="0.3">
      <c r="F539" s="205"/>
    </row>
    <row r="540" spans="6:6" x14ac:dyDescent="0.3">
      <c r="F540" s="205"/>
    </row>
    <row r="541" spans="6:6" x14ac:dyDescent="0.3">
      <c r="F541" s="205"/>
    </row>
    <row r="542" spans="6:6" x14ac:dyDescent="0.3">
      <c r="F542" s="205"/>
    </row>
    <row r="543" spans="6:6" x14ac:dyDescent="0.3">
      <c r="F543" s="205"/>
    </row>
    <row r="544" spans="6:6" x14ac:dyDescent="0.3">
      <c r="F544" s="205"/>
    </row>
    <row r="545" spans="6:6" x14ac:dyDescent="0.3">
      <c r="F545" s="205"/>
    </row>
    <row r="546" spans="6:6" x14ac:dyDescent="0.3">
      <c r="F546" s="205"/>
    </row>
    <row r="547" spans="6:6" x14ac:dyDescent="0.3">
      <c r="F547" s="205"/>
    </row>
    <row r="548" spans="6:6" x14ac:dyDescent="0.3">
      <c r="F548" s="205"/>
    </row>
    <row r="549" spans="6:6" x14ac:dyDescent="0.3">
      <c r="F549" s="205"/>
    </row>
    <row r="550" spans="6:6" x14ac:dyDescent="0.3">
      <c r="F550" s="205"/>
    </row>
    <row r="551" spans="6:6" x14ac:dyDescent="0.3">
      <c r="F551" s="205"/>
    </row>
    <row r="552" spans="6:6" x14ac:dyDescent="0.3">
      <c r="F552" s="205"/>
    </row>
    <row r="553" spans="6:6" x14ac:dyDescent="0.3">
      <c r="F553" s="205"/>
    </row>
    <row r="554" spans="6:6" x14ac:dyDescent="0.3">
      <c r="F554" s="205"/>
    </row>
    <row r="555" spans="6:6" x14ac:dyDescent="0.3">
      <c r="F555" s="205"/>
    </row>
    <row r="556" spans="6:6" x14ac:dyDescent="0.3">
      <c r="F556" s="205"/>
    </row>
    <row r="557" spans="6:6" x14ac:dyDescent="0.3">
      <c r="F557" s="205"/>
    </row>
    <row r="558" spans="6:6" x14ac:dyDescent="0.3">
      <c r="F558" s="205"/>
    </row>
    <row r="559" spans="6:6" x14ac:dyDescent="0.3">
      <c r="F559" s="205"/>
    </row>
    <row r="560" spans="6:6" x14ac:dyDescent="0.3">
      <c r="F560" s="205"/>
    </row>
    <row r="561" spans="6:6" x14ac:dyDescent="0.3">
      <c r="F561" s="205"/>
    </row>
    <row r="562" spans="6:6" x14ac:dyDescent="0.3">
      <c r="F562" s="205"/>
    </row>
    <row r="563" spans="6:6" x14ac:dyDescent="0.3">
      <c r="F563" s="205"/>
    </row>
    <row r="564" spans="6:6" x14ac:dyDescent="0.3">
      <c r="F564" s="205"/>
    </row>
    <row r="565" spans="6:6" x14ac:dyDescent="0.3">
      <c r="F565" s="205"/>
    </row>
    <row r="566" spans="6:6" x14ac:dyDescent="0.3">
      <c r="F566" s="205"/>
    </row>
    <row r="567" spans="6:6" x14ac:dyDescent="0.3">
      <c r="F567" s="205"/>
    </row>
    <row r="568" spans="6:6" x14ac:dyDescent="0.3">
      <c r="F568" s="205"/>
    </row>
    <row r="569" spans="6:6" x14ac:dyDescent="0.3">
      <c r="F569" s="205"/>
    </row>
    <row r="570" spans="6:6" x14ac:dyDescent="0.3">
      <c r="F570" s="205"/>
    </row>
    <row r="571" spans="6:6" x14ac:dyDescent="0.3">
      <c r="F571" s="205"/>
    </row>
    <row r="572" spans="6:6" x14ac:dyDescent="0.3">
      <c r="F572" s="205"/>
    </row>
    <row r="573" spans="6:6" x14ac:dyDescent="0.3">
      <c r="F573" s="205"/>
    </row>
    <row r="574" spans="6:6" x14ac:dyDescent="0.3">
      <c r="F574" s="205"/>
    </row>
    <row r="575" spans="6:6" x14ac:dyDescent="0.3">
      <c r="F575" s="205"/>
    </row>
    <row r="576" spans="6:6" x14ac:dyDescent="0.3">
      <c r="F576" s="205"/>
    </row>
    <row r="577" spans="6:6" x14ac:dyDescent="0.3">
      <c r="F577" s="205"/>
    </row>
    <row r="578" spans="6:6" x14ac:dyDescent="0.3">
      <c r="F578" s="205"/>
    </row>
    <row r="579" spans="6:6" x14ac:dyDescent="0.3">
      <c r="F579" s="205"/>
    </row>
    <row r="580" spans="6:6" x14ac:dyDescent="0.3">
      <c r="F580" s="205"/>
    </row>
    <row r="581" spans="6:6" x14ac:dyDescent="0.3">
      <c r="F581" s="205"/>
    </row>
    <row r="582" spans="6:6" x14ac:dyDescent="0.3">
      <c r="F582" s="205"/>
    </row>
    <row r="583" spans="6:6" x14ac:dyDescent="0.3">
      <c r="F583" s="205"/>
    </row>
    <row r="584" spans="6:6" x14ac:dyDescent="0.3">
      <c r="F584" s="205"/>
    </row>
    <row r="585" spans="6:6" x14ac:dyDescent="0.3">
      <c r="F585" s="205"/>
    </row>
    <row r="586" spans="6:6" x14ac:dyDescent="0.3">
      <c r="F586" s="205"/>
    </row>
    <row r="587" spans="6:6" x14ac:dyDescent="0.3">
      <c r="F587" s="205"/>
    </row>
    <row r="588" spans="6:6" x14ac:dyDescent="0.3">
      <c r="F588" s="205"/>
    </row>
    <row r="589" spans="6:6" x14ac:dyDescent="0.3">
      <c r="F589" s="205"/>
    </row>
    <row r="590" spans="6:6" x14ac:dyDescent="0.3">
      <c r="F590" s="205"/>
    </row>
    <row r="591" spans="6:6" x14ac:dyDescent="0.3">
      <c r="F591" s="205"/>
    </row>
    <row r="592" spans="6:6" x14ac:dyDescent="0.3">
      <c r="F592" s="205"/>
    </row>
    <row r="593" spans="6:6" x14ac:dyDescent="0.3">
      <c r="F593" s="205"/>
    </row>
    <row r="594" spans="6:6" x14ac:dyDescent="0.3">
      <c r="F594" s="205"/>
    </row>
    <row r="595" spans="6:6" x14ac:dyDescent="0.3">
      <c r="F595" s="205"/>
    </row>
    <row r="596" spans="6:6" x14ac:dyDescent="0.3">
      <c r="F596" s="205"/>
    </row>
    <row r="597" spans="6:6" x14ac:dyDescent="0.3">
      <c r="F597" s="205"/>
    </row>
    <row r="598" spans="6:6" x14ac:dyDescent="0.3">
      <c r="F598" s="205"/>
    </row>
    <row r="599" spans="6:6" x14ac:dyDescent="0.3">
      <c r="F599" s="205"/>
    </row>
    <row r="600" spans="6:6" x14ac:dyDescent="0.3">
      <c r="F600" s="205"/>
    </row>
    <row r="601" spans="6:6" x14ac:dyDescent="0.3">
      <c r="F601" s="205"/>
    </row>
    <row r="602" spans="6:6" x14ac:dyDescent="0.3">
      <c r="F602" s="205"/>
    </row>
    <row r="603" spans="6:6" x14ac:dyDescent="0.3">
      <c r="F603" s="205"/>
    </row>
    <row r="604" spans="6:6" x14ac:dyDescent="0.3">
      <c r="F604" s="205"/>
    </row>
    <row r="605" spans="6:6" x14ac:dyDescent="0.3">
      <c r="F605" s="205"/>
    </row>
    <row r="606" spans="6:6" x14ac:dyDescent="0.3">
      <c r="F606" s="205"/>
    </row>
    <row r="607" spans="6:6" x14ac:dyDescent="0.3">
      <c r="F607" s="205"/>
    </row>
    <row r="608" spans="6:6" x14ac:dyDescent="0.3">
      <c r="F608" s="205"/>
    </row>
    <row r="609" spans="6:6" x14ac:dyDescent="0.3">
      <c r="F609" s="205"/>
    </row>
    <row r="610" spans="6:6" x14ac:dyDescent="0.3">
      <c r="F610" s="205"/>
    </row>
    <row r="611" spans="6:6" x14ac:dyDescent="0.3">
      <c r="F611" s="205"/>
    </row>
    <row r="612" spans="6:6" x14ac:dyDescent="0.3">
      <c r="F612" s="205"/>
    </row>
    <row r="613" spans="6:6" x14ac:dyDescent="0.3">
      <c r="F613" s="205"/>
    </row>
    <row r="614" spans="6:6" x14ac:dyDescent="0.3">
      <c r="F614" s="205"/>
    </row>
    <row r="615" spans="6:6" x14ac:dyDescent="0.3">
      <c r="F615" s="205"/>
    </row>
    <row r="616" spans="6:6" x14ac:dyDescent="0.3">
      <c r="F616" s="205"/>
    </row>
    <row r="617" spans="6:6" x14ac:dyDescent="0.3">
      <c r="F617" s="205"/>
    </row>
    <row r="618" spans="6:6" x14ac:dyDescent="0.3">
      <c r="F618" s="205"/>
    </row>
    <row r="619" spans="6:6" x14ac:dyDescent="0.3">
      <c r="F619" s="205"/>
    </row>
    <row r="620" spans="6:6" x14ac:dyDescent="0.3">
      <c r="F620" s="205"/>
    </row>
    <row r="621" spans="6:6" x14ac:dyDescent="0.3">
      <c r="F621" s="205"/>
    </row>
    <row r="622" spans="6:6" x14ac:dyDescent="0.3">
      <c r="F622" s="205"/>
    </row>
    <row r="623" spans="6:6" x14ac:dyDescent="0.3">
      <c r="F623" s="205"/>
    </row>
    <row r="624" spans="6:6" x14ac:dyDescent="0.3">
      <c r="F624" s="205"/>
    </row>
    <row r="625" spans="6:6" x14ac:dyDescent="0.3">
      <c r="F625" s="205"/>
    </row>
    <row r="626" spans="6:6" x14ac:dyDescent="0.3">
      <c r="F626" s="205"/>
    </row>
    <row r="627" spans="6:6" x14ac:dyDescent="0.3">
      <c r="F627" s="205"/>
    </row>
    <row r="628" spans="6:6" x14ac:dyDescent="0.3">
      <c r="F628" s="205"/>
    </row>
    <row r="629" spans="6:6" x14ac:dyDescent="0.3">
      <c r="F629" s="205"/>
    </row>
    <row r="630" spans="6:6" x14ac:dyDescent="0.3">
      <c r="F630" s="205"/>
    </row>
    <row r="631" spans="6:6" x14ac:dyDescent="0.3">
      <c r="F631" s="205"/>
    </row>
    <row r="632" spans="6:6" x14ac:dyDescent="0.3">
      <c r="F632" s="205"/>
    </row>
    <row r="633" spans="6:6" x14ac:dyDescent="0.3">
      <c r="F633" s="205"/>
    </row>
    <row r="634" spans="6:6" x14ac:dyDescent="0.3">
      <c r="F634" s="205"/>
    </row>
    <row r="635" spans="6:6" x14ac:dyDescent="0.3">
      <c r="F635" s="205"/>
    </row>
    <row r="636" spans="6:6" x14ac:dyDescent="0.3">
      <c r="F636" s="205"/>
    </row>
    <row r="637" spans="6:6" x14ac:dyDescent="0.3">
      <c r="F637" s="205"/>
    </row>
    <row r="638" spans="6:6" x14ac:dyDescent="0.3">
      <c r="F638" s="205"/>
    </row>
    <row r="639" spans="6:6" x14ac:dyDescent="0.3">
      <c r="F639" s="205"/>
    </row>
    <row r="640" spans="6:6" x14ac:dyDescent="0.3">
      <c r="F640" s="205"/>
    </row>
    <row r="641" spans="6:6" x14ac:dyDescent="0.3">
      <c r="F641" s="205"/>
    </row>
    <row r="642" spans="6:6" x14ac:dyDescent="0.3">
      <c r="F642" s="205"/>
    </row>
    <row r="643" spans="6:6" x14ac:dyDescent="0.3">
      <c r="F643" s="205"/>
    </row>
    <row r="644" spans="6:6" x14ac:dyDescent="0.3">
      <c r="F644" s="205"/>
    </row>
    <row r="645" spans="6:6" x14ac:dyDescent="0.3">
      <c r="F645" s="205"/>
    </row>
    <row r="646" spans="6:6" x14ac:dyDescent="0.3">
      <c r="F646" s="205"/>
    </row>
    <row r="647" spans="6:6" x14ac:dyDescent="0.3">
      <c r="F647" s="205"/>
    </row>
    <row r="648" spans="6:6" x14ac:dyDescent="0.3">
      <c r="F648" s="205"/>
    </row>
    <row r="649" spans="6:6" x14ac:dyDescent="0.3">
      <c r="F649" s="205"/>
    </row>
    <row r="650" spans="6:6" x14ac:dyDescent="0.3">
      <c r="F650" s="205"/>
    </row>
    <row r="651" spans="6:6" x14ac:dyDescent="0.3">
      <c r="F651" s="205"/>
    </row>
    <row r="652" spans="6:6" x14ac:dyDescent="0.3">
      <c r="F652" s="205"/>
    </row>
    <row r="653" spans="6:6" x14ac:dyDescent="0.3">
      <c r="F653" s="205"/>
    </row>
    <row r="654" spans="6:6" x14ac:dyDescent="0.3">
      <c r="F654" s="205"/>
    </row>
    <row r="655" spans="6:6" x14ac:dyDescent="0.3">
      <c r="F655" s="205"/>
    </row>
    <row r="656" spans="6:6" x14ac:dyDescent="0.3">
      <c r="F656" s="205"/>
    </row>
    <row r="657" spans="6:6" x14ac:dyDescent="0.3">
      <c r="F657" s="205"/>
    </row>
    <row r="658" spans="6:6" x14ac:dyDescent="0.3">
      <c r="F658" s="205"/>
    </row>
    <row r="659" spans="6:6" x14ac:dyDescent="0.3">
      <c r="F659" s="205"/>
    </row>
    <row r="660" spans="6:6" x14ac:dyDescent="0.3">
      <c r="F660" s="205"/>
    </row>
    <row r="661" spans="6:6" x14ac:dyDescent="0.3">
      <c r="F661" s="205"/>
    </row>
    <row r="662" spans="6:6" x14ac:dyDescent="0.3">
      <c r="F662" s="205"/>
    </row>
    <row r="663" spans="6:6" x14ac:dyDescent="0.3">
      <c r="F663" s="205"/>
    </row>
    <row r="664" spans="6:6" x14ac:dyDescent="0.3">
      <c r="F664" s="205"/>
    </row>
    <row r="665" spans="6:6" x14ac:dyDescent="0.3">
      <c r="F665" s="205"/>
    </row>
    <row r="666" spans="6:6" x14ac:dyDescent="0.3">
      <c r="F666" s="205"/>
    </row>
    <row r="667" spans="6:6" x14ac:dyDescent="0.3">
      <c r="F667" s="205"/>
    </row>
    <row r="668" spans="6:6" x14ac:dyDescent="0.3">
      <c r="F668" s="205"/>
    </row>
    <row r="669" spans="6:6" x14ac:dyDescent="0.3">
      <c r="F669" s="205"/>
    </row>
    <row r="670" spans="6:6" x14ac:dyDescent="0.3">
      <c r="F670" s="205"/>
    </row>
    <row r="671" spans="6:6" x14ac:dyDescent="0.3">
      <c r="F671" s="205"/>
    </row>
    <row r="672" spans="6:6" x14ac:dyDescent="0.3">
      <c r="F672" s="205"/>
    </row>
    <row r="673" spans="6:6" x14ac:dyDescent="0.3">
      <c r="F673" s="205"/>
    </row>
    <row r="674" spans="6:6" x14ac:dyDescent="0.3">
      <c r="F674" s="205"/>
    </row>
    <row r="675" spans="6:6" x14ac:dyDescent="0.3">
      <c r="F675" s="205"/>
    </row>
    <row r="676" spans="6:6" x14ac:dyDescent="0.3">
      <c r="F676" s="205"/>
    </row>
    <row r="677" spans="6:6" x14ac:dyDescent="0.3">
      <c r="F677" s="205"/>
    </row>
    <row r="678" spans="6:6" x14ac:dyDescent="0.3">
      <c r="F678" s="205"/>
    </row>
    <row r="679" spans="6:6" x14ac:dyDescent="0.3">
      <c r="F679" s="205"/>
    </row>
    <row r="680" spans="6:6" x14ac:dyDescent="0.3">
      <c r="F680" s="205"/>
    </row>
    <row r="681" spans="6:6" x14ac:dyDescent="0.3">
      <c r="F681" s="205"/>
    </row>
    <row r="682" spans="6:6" x14ac:dyDescent="0.3">
      <c r="F682" s="205"/>
    </row>
    <row r="683" spans="6:6" x14ac:dyDescent="0.3">
      <c r="F683" s="205"/>
    </row>
    <row r="684" spans="6:6" x14ac:dyDescent="0.3">
      <c r="F684" s="205"/>
    </row>
    <row r="685" spans="6:6" x14ac:dyDescent="0.3">
      <c r="F685" s="205"/>
    </row>
    <row r="686" spans="6:6" x14ac:dyDescent="0.3">
      <c r="F686" s="205"/>
    </row>
    <row r="687" spans="6:6" x14ac:dyDescent="0.3">
      <c r="F687" s="205"/>
    </row>
    <row r="688" spans="6:6" x14ac:dyDescent="0.3">
      <c r="F688" s="205"/>
    </row>
    <row r="689" spans="6:6" x14ac:dyDescent="0.3">
      <c r="F689" s="205"/>
    </row>
    <row r="690" spans="6:6" x14ac:dyDescent="0.3">
      <c r="F690" s="205"/>
    </row>
    <row r="691" spans="6:6" x14ac:dyDescent="0.3">
      <c r="F691" s="205"/>
    </row>
    <row r="692" spans="6:6" x14ac:dyDescent="0.3">
      <c r="F692" s="205"/>
    </row>
    <row r="693" spans="6:6" x14ac:dyDescent="0.3">
      <c r="F693" s="205"/>
    </row>
    <row r="694" spans="6:6" x14ac:dyDescent="0.3">
      <c r="F694" s="205"/>
    </row>
    <row r="695" spans="6:6" x14ac:dyDescent="0.3">
      <c r="F695" s="205"/>
    </row>
    <row r="696" spans="6:6" x14ac:dyDescent="0.3">
      <c r="F696" s="205"/>
    </row>
    <row r="697" spans="6:6" x14ac:dyDescent="0.3">
      <c r="F697" s="205"/>
    </row>
    <row r="698" spans="6:6" x14ac:dyDescent="0.3">
      <c r="F698" s="205"/>
    </row>
    <row r="699" spans="6:6" x14ac:dyDescent="0.3">
      <c r="F699" s="205"/>
    </row>
    <row r="700" spans="6:6" x14ac:dyDescent="0.3">
      <c r="F700" s="205"/>
    </row>
    <row r="701" spans="6:6" x14ac:dyDescent="0.3">
      <c r="F701" s="205"/>
    </row>
    <row r="702" spans="6:6" x14ac:dyDescent="0.3">
      <c r="F702" s="205"/>
    </row>
    <row r="703" spans="6:6" x14ac:dyDescent="0.3">
      <c r="F703" s="205"/>
    </row>
    <row r="704" spans="6:6" x14ac:dyDescent="0.3">
      <c r="F704" s="205"/>
    </row>
    <row r="705" spans="6:6" x14ac:dyDescent="0.3">
      <c r="F705" s="205"/>
    </row>
    <row r="706" spans="6:6" x14ac:dyDescent="0.3">
      <c r="F706" s="205"/>
    </row>
    <row r="707" spans="6:6" x14ac:dyDescent="0.3">
      <c r="F707" s="205"/>
    </row>
    <row r="708" spans="6:6" x14ac:dyDescent="0.3">
      <c r="F708" s="205"/>
    </row>
    <row r="709" spans="6:6" x14ac:dyDescent="0.3">
      <c r="F709" s="205"/>
    </row>
    <row r="710" spans="6:6" x14ac:dyDescent="0.3">
      <c r="F710" s="205"/>
    </row>
    <row r="711" spans="6:6" x14ac:dyDescent="0.3">
      <c r="F711" s="205"/>
    </row>
    <row r="712" spans="6:6" x14ac:dyDescent="0.3">
      <c r="F712" s="205"/>
    </row>
    <row r="713" spans="6:6" x14ac:dyDescent="0.3">
      <c r="F713" s="205"/>
    </row>
    <row r="714" spans="6:6" x14ac:dyDescent="0.3">
      <c r="F714" s="205"/>
    </row>
    <row r="715" spans="6:6" x14ac:dyDescent="0.3">
      <c r="F715" s="205"/>
    </row>
    <row r="716" spans="6:6" x14ac:dyDescent="0.3">
      <c r="F716" s="205"/>
    </row>
    <row r="717" spans="6:6" x14ac:dyDescent="0.3">
      <c r="F717" s="205"/>
    </row>
    <row r="718" spans="6:6" x14ac:dyDescent="0.3">
      <c r="F718" s="205"/>
    </row>
    <row r="719" spans="6:6" x14ac:dyDescent="0.3">
      <c r="F719" s="205"/>
    </row>
    <row r="720" spans="6:6" x14ac:dyDescent="0.3">
      <c r="F720" s="205"/>
    </row>
    <row r="721" spans="6:6" x14ac:dyDescent="0.3">
      <c r="F721" s="205"/>
    </row>
    <row r="722" spans="6:6" x14ac:dyDescent="0.3">
      <c r="F722" s="205"/>
    </row>
    <row r="723" spans="6:6" x14ac:dyDescent="0.3">
      <c r="F723" s="205"/>
    </row>
    <row r="724" spans="6:6" x14ac:dyDescent="0.3">
      <c r="F724" s="205"/>
    </row>
    <row r="725" spans="6:6" x14ac:dyDescent="0.3">
      <c r="F725" s="205"/>
    </row>
    <row r="726" spans="6:6" x14ac:dyDescent="0.3">
      <c r="F726" s="205"/>
    </row>
    <row r="727" spans="6:6" x14ac:dyDescent="0.3">
      <c r="F727" s="205"/>
    </row>
    <row r="728" spans="6:6" x14ac:dyDescent="0.3">
      <c r="F728" s="205"/>
    </row>
    <row r="729" spans="6:6" x14ac:dyDescent="0.3">
      <c r="F729" s="205"/>
    </row>
    <row r="730" spans="6:6" x14ac:dyDescent="0.3">
      <c r="F730" s="205"/>
    </row>
    <row r="731" spans="6:6" x14ac:dyDescent="0.3">
      <c r="F731" s="205"/>
    </row>
    <row r="732" spans="6:6" x14ac:dyDescent="0.3">
      <c r="F732" s="205"/>
    </row>
    <row r="733" spans="6:6" x14ac:dyDescent="0.3">
      <c r="F733" s="205"/>
    </row>
    <row r="734" spans="6:6" x14ac:dyDescent="0.3">
      <c r="F734" s="205"/>
    </row>
    <row r="735" spans="6:6" x14ac:dyDescent="0.3">
      <c r="F735" s="205"/>
    </row>
    <row r="736" spans="6:6" x14ac:dyDescent="0.3">
      <c r="F736" s="205"/>
    </row>
    <row r="737" spans="6:6" x14ac:dyDescent="0.3">
      <c r="F737" s="205"/>
    </row>
    <row r="738" spans="6:6" x14ac:dyDescent="0.3">
      <c r="F738" s="205"/>
    </row>
    <row r="739" spans="6:6" x14ac:dyDescent="0.3">
      <c r="F739" s="205"/>
    </row>
    <row r="740" spans="6:6" x14ac:dyDescent="0.3">
      <c r="F740" s="205"/>
    </row>
    <row r="741" spans="6:6" x14ac:dyDescent="0.3">
      <c r="F741" s="205"/>
    </row>
    <row r="742" spans="6:6" x14ac:dyDescent="0.3">
      <c r="F742" s="205"/>
    </row>
    <row r="743" spans="6:6" x14ac:dyDescent="0.3">
      <c r="F743" s="205"/>
    </row>
    <row r="744" spans="6:6" x14ac:dyDescent="0.3">
      <c r="F744" s="205"/>
    </row>
    <row r="745" spans="6:6" x14ac:dyDescent="0.3">
      <c r="F745" s="205"/>
    </row>
    <row r="746" spans="6:6" x14ac:dyDescent="0.3">
      <c r="F746" s="205"/>
    </row>
    <row r="747" spans="6:6" x14ac:dyDescent="0.3">
      <c r="F747" s="205"/>
    </row>
    <row r="748" spans="6:6" x14ac:dyDescent="0.3">
      <c r="F748" s="205"/>
    </row>
    <row r="749" spans="6:6" x14ac:dyDescent="0.3">
      <c r="F749" s="205"/>
    </row>
    <row r="750" spans="6:6" x14ac:dyDescent="0.3">
      <c r="F750" s="205"/>
    </row>
    <row r="751" spans="6:6" x14ac:dyDescent="0.3">
      <c r="F751" s="205"/>
    </row>
    <row r="752" spans="6:6" x14ac:dyDescent="0.3">
      <c r="F752" s="205"/>
    </row>
    <row r="753" spans="6:6" x14ac:dyDescent="0.3">
      <c r="F753" s="205"/>
    </row>
    <row r="754" spans="6:6" x14ac:dyDescent="0.3">
      <c r="F754" s="205"/>
    </row>
    <row r="755" spans="6:6" x14ac:dyDescent="0.3">
      <c r="F755" s="205"/>
    </row>
    <row r="756" spans="6:6" x14ac:dyDescent="0.3">
      <c r="F756" s="205"/>
    </row>
    <row r="757" spans="6:6" x14ac:dyDescent="0.3">
      <c r="F757" s="205"/>
    </row>
    <row r="758" spans="6:6" x14ac:dyDescent="0.3">
      <c r="F758" s="205"/>
    </row>
    <row r="759" spans="6:6" x14ac:dyDescent="0.3">
      <c r="F759" s="205"/>
    </row>
    <row r="760" spans="6:6" x14ac:dyDescent="0.3">
      <c r="F760" s="205"/>
    </row>
    <row r="761" spans="6:6" x14ac:dyDescent="0.3">
      <c r="F761" s="205"/>
    </row>
    <row r="762" spans="6:6" x14ac:dyDescent="0.3">
      <c r="F762" s="205"/>
    </row>
    <row r="763" spans="6:6" x14ac:dyDescent="0.3">
      <c r="F763" s="205"/>
    </row>
    <row r="764" spans="6:6" x14ac:dyDescent="0.3">
      <c r="F764" s="205"/>
    </row>
    <row r="765" spans="6:6" x14ac:dyDescent="0.3">
      <c r="F765" s="205"/>
    </row>
    <row r="766" spans="6:6" x14ac:dyDescent="0.3">
      <c r="F766" s="205"/>
    </row>
    <row r="767" spans="6:6" x14ac:dyDescent="0.3">
      <c r="F767" s="205"/>
    </row>
    <row r="768" spans="6:6" x14ac:dyDescent="0.3">
      <c r="F768" s="205"/>
    </row>
    <row r="769" spans="6:6" x14ac:dyDescent="0.3">
      <c r="F769" s="205"/>
    </row>
    <row r="770" spans="6:6" x14ac:dyDescent="0.3">
      <c r="F770" s="205"/>
    </row>
    <row r="771" spans="6:6" x14ac:dyDescent="0.3">
      <c r="F771" s="205"/>
    </row>
    <row r="772" spans="6:6" x14ac:dyDescent="0.3">
      <c r="F772" s="205"/>
    </row>
    <row r="773" spans="6:6" x14ac:dyDescent="0.3">
      <c r="F773" s="205"/>
    </row>
    <row r="774" spans="6:6" x14ac:dyDescent="0.3">
      <c r="F774" s="205"/>
    </row>
    <row r="775" spans="6:6" x14ac:dyDescent="0.3">
      <c r="F775" s="205"/>
    </row>
    <row r="776" spans="6:6" x14ac:dyDescent="0.3">
      <c r="F776" s="205"/>
    </row>
    <row r="777" spans="6:6" x14ac:dyDescent="0.3">
      <c r="F777" s="205"/>
    </row>
    <row r="778" spans="6:6" x14ac:dyDescent="0.3">
      <c r="F778" s="205"/>
    </row>
    <row r="779" spans="6:6" x14ac:dyDescent="0.3">
      <c r="F779" s="205"/>
    </row>
    <row r="780" spans="6:6" x14ac:dyDescent="0.3">
      <c r="F780" s="205"/>
    </row>
    <row r="781" spans="6:6" x14ac:dyDescent="0.3">
      <c r="F781" s="205"/>
    </row>
    <row r="782" spans="6:6" x14ac:dyDescent="0.3">
      <c r="F782" s="205"/>
    </row>
    <row r="783" spans="6:6" x14ac:dyDescent="0.3">
      <c r="F783" s="205"/>
    </row>
    <row r="784" spans="6:6" x14ac:dyDescent="0.3">
      <c r="F784" s="205"/>
    </row>
    <row r="785" spans="6:6" x14ac:dyDescent="0.3">
      <c r="F785" s="205"/>
    </row>
    <row r="786" spans="6:6" x14ac:dyDescent="0.3">
      <c r="F786" s="205"/>
    </row>
    <row r="787" spans="6:6" x14ac:dyDescent="0.3">
      <c r="F787" s="205"/>
    </row>
    <row r="788" spans="6:6" x14ac:dyDescent="0.3">
      <c r="F788" s="205"/>
    </row>
    <row r="789" spans="6:6" x14ac:dyDescent="0.3">
      <c r="F789" s="205"/>
    </row>
    <row r="790" spans="6:6" x14ac:dyDescent="0.3">
      <c r="F790" s="205"/>
    </row>
    <row r="791" spans="6:6" x14ac:dyDescent="0.3">
      <c r="F791" s="205"/>
    </row>
    <row r="792" spans="6:6" x14ac:dyDescent="0.3">
      <c r="F792" s="205"/>
    </row>
    <row r="793" spans="6:6" x14ac:dyDescent="0.3">
      <c r="F793" s="205"/>
    </row>
    <row r="794" spans="6:6" x14ac:dyDescent="0.3">
      <c r="F794" s="205"/>
    </row>
    <row r="795" spans="6:6" x14ac:dyDescent="0.3">
      <c r="F795" s="205"/>
    </row>
    <row r="796" spans="6:6" x14ac:dyDescent="0.3">
      <c r="F796" s="205"/>
    </row>
    <row r="797" spans="6:6" x14ac:dyDescent="0.3">
      <c r="F797" s="205"/>
    </row>
    <row r="798" spans="6:6" x14ac:dyDescent="0.3">
      <c r="F798" s="205"/>
    </row>
    <row r="799" spans="6:6" x14ac:dyDescent="0.3">
      <c r="F799" s="205"/>
    </row>
    <row r="800" spans="6:6" x14ac:dyDescent="0.3">
      <c r="F800" s="205"/>
    </row>
    <row r="801" spans="6:6" x14ac:dyDescent="0.3">
      <c r="F801" s="205"/>
    </row>
    <row r="802" spans="6:6" x14ac:dyDescent="0.3">
      <c r="F802" s="205"/>
    </row>
    <row r="803" spans="6:6" x14ac:dyDescent="0.3">
      <c r="F803" s="205"/>
    </row>
    <row r="804" spans="6:6" x14ac:dyDescent="0.3">
      <c r="F804" s="205"/>
    </row>
    <row r="805" spans="6:6" x14ac:dyDescent="0.3">
      <c r="F805" s="205"/>
    </row>
    <row r="806" spans="6:6" x14ac:dyDescent="0.3">
      <c r="F806" s="205"/>
    </row>
    <row r="807" spans="6:6" x14ac:dyDescent="0.3">
      <c r="F807" s="205"/>
    </row>
    <row r="808" spans="6:6" x14ac:dyDescent="0.3">
      <c r="F808" s="205"/>
    </row>
    <row r="809" spans="6:6" x14ac:dyDescent="0.3">
      <c r="F809" s="205"/>
    </row>
    <row r="810" spans="6:6" x14ac:dyDescent="0.3">
      <c r="F810" s="205"/>
    </row>
    <row r="811" spans="6:6" x14ac:dyDescent="0.3">
      <c r="F811" s="205"/>
    </row>
    <row r="812" spans="6:6" x14ac:dyDescent="0.3">
      <c r="F812" s="205"/>
    </row>
    <row r="813" spans="6:6" x14ac:dyDescent="0.3">
      <c r="F813" s="205"/>
    </row>
    <row r="814" spans="6:6" x14ac:dyDescent="0.3">
      <c r="F814" s="205"/>
    </row>
    <row r="815" spans="6:6" x14ac:dyDescent="0.3">
      <c r="F815" s="205"/>
    </row>
    <row r="816" spans="6:6" x14ac:dyDescent="0.3">
      <c r="F816" s="205"/>
    </row>
    <row r="817" spans="6:6" x14ac:dyDescent="0.3">
      <c r="F817" s="205"/>
    </row>
    <row r="818" spans="6:6" x14ac:dyDescent="0.3">
      <c r="F818" s="205"/>
    </row>
    <row r="819" spans="6:6" x14ac:dyDescent="0.3">
      <c r="F819" s="205"/>
    </row>
    <row r="820" spans="6:6" x14ac:dyDescent="0.3">
      <c r="F820" s="205"/>
    </row>
    <row r="821" spans="6:6" x14ac:dyDescent="0.3">
      <c r="F821" s="205"/>
    </row>
    <row r="822" spans="6:6" x14ac:dyDescent="0.3">
      <c r="F822" s="205"/>
    </row>
    <row r="823" spans="6:6" x14ac:dyDescent="0.3">
      <c r="F823" s="205"/>
    </row>
    <row r="824" spans="6:6" x14ac:dyDescent="0.3">
      <c r="F824" s="205"/>
    </row>
    <row r="825" spans="6:6" x14ac:dyDescent="0.3">
      <c r="F825" s="205"/>
    </row>
    <row r="826" spans="6:6" x14ac:dyDescent="0.3">
      <c r="F826" s="205"/>
    </row>
    <row r="827" spans="6:6" x14ac:dyDescent="0.3">
      <c r="F827" s="205"/>
    </row>
    <row r="828" spans="6:6" x14ac:dyDescent="0.3">
      <c r="F828" s="205"/>
    </row>
    <row r="829" spans="6:6" x14ac:dyDescent="0.3">
      <c r="F829" s="205"/>
    </row>
    <row r="830" spans="6:6" x14ac:dyDescent="0.3">
      <c r="F830" s="205"/>
    </row>
    <row r="831" spans="6:6" x14ac:dyDescent="0.3">
      <c r="F831" s="205"/>
    </row>
    <row r="832" spans="6:6" x14ac:dyDescent="0.3">
      <c r="F832" s="205"/>
    </row>
    <row r="833" spans="6:6" x14ac:dyDescent="0.3">
      <c r="F833" s="205"/>
    </row>
    <row r="834" spans="6:6" x14ac:dyDescent="0.3">
      <c r="F834" s="205"/>
    </row>
    <row r="835" spans="6:6" x14ac:dyDescent="0.3">
      <c r="F835" s="205"/>
    </row>
    <row r="836" spans="6:6" x14ac:dyDescent="0.3">
      <c r="F836" s="205"/>
    </row>
    <row r="837" spans="6:6" x14ac:dyDescent="0.3">
      <c r="F837" s="205"/>
    </row>
    <row r="838" spans="6:6" x14ac:dyDescent="0.3">
      <c r="F838" s="205"/>
    </row>
    <row r="839" spans="6:6" x14ac:dyDescent="0.3">
      <c r="F839" s="205"/>
    </row>
    <row r="840" spans="6:6" x14ac:dyDescent="0.3">
      <c r="F840" s="205"/>
    </row>
    <row r="841" spans="6:6" x14ac:dyDescent="0.3">
      <c r="F841" s="205"/>
    </row>
    <row r="842" spans="6:6" x14ac:dyDescent="0.3">
      <c r="F842" s="205"/>
    </row>
    <row r="843" spans="6:6" x14ac:dyDescent="0.3">
      <c r="F843" s="205"/>
    </row>
    <row r="844" spans="6:6" x14ac:dyDescent="0.3">
      <c r="F844" s="205"/>
    </row>
    <row r="845" spans="6:6" x14ac:dyDescent="0.3">
      <c r="F845" s="205"/>
    </row>
    <row r="846" spans="6:6" x14ac:dyDescent="0.3">
      <c r="F846" s="205"/>
    </row>
    <row r="847" spans="6:6" x14ac:dyDescent="0.3">
      <c r="F847" s="205"/>
    </row>
    <row r="848" spans="6:6" x14ac:dyDescent="0.3">
      <c r="F848" s="205"/>
    </row>
    <row r="849" spans="6:6" x14ac:dyDescent="0.3">
      <c r="F849" s="205"/>
    </row>
    <row r="850" spans="6:6" x14ac:dyDescent="0.3">
      <c r="F850" s="205"/>
    </row>
    <row r="851" spans="6:6" x14ac:dyDescent="0.3">
      <c r="F851" s="205"/>
    </row>
    <row r="852" spans="6:6" x14ac:dyDescent="0.3">
      <c r="F852" s="205"/>
    </row>
    <row r="853" spans="6:6" x14ac:dyDescent="0.3">
      <c r="F853" s="205"/>
    </row>
    <row r="854" spans="6:6" x14ac:dyDescent="0.3">
      <c r="F854" s="205"/>
    </row>
    <row r="855" spans="6:6" x14ac:dyDescent="0.3">
      <c r="F855" s="205"/>
    </row>
    <row r="856" spans="6:6" x14ac:dyDescent="0.3">
      <c r="F856" s="205"/>
    </row>
    <row r="857" spans="6:6" x14ac:dyDescent="0.3">
      <c r="F857" s="205"/>
    </row>
    <row r="858" spans="6:6" x14ac:dyDescent="0.3">
      <c r="F858" s="205"/>
    </row>
    <row r="859" spans="6:6" x14ac:dyDescent="0.3">
      <c r="F859" s="205"/>
    </row>
    <row r="860" spans="6:6" x14ac:dyDescent="0.3">
      <c r="F860" s="205"/>
    </row>
    <row r="861" spans="6:6" x14ac:dyDescent="0.3">
      <c r="F861" s="205"/>
    </row>
    <row r="862" spans="6:6" x14ac:dyDescent="0.3">
      <c r="F862" s="205"/>
    </row>
    <row r="863" spans="6:6" x14ac:dyDescent="0.3">
      <c r="F863" s="205"/>
    </row>
    <row r="864" spans="6:6" x14ac:dyDescent="0.3">
      <c r="F864" s="205"/>
    </row>
    <row r="865" spans="6:6" x14ac:dyDescent="0.3">
      <c r="F865" s="205"/>
    </row>
    <row r="866" spans="6:6" x14ac:dyDescent="0.3">
      <c r="F866" s="205"/>
    </row>
    <row r="867" spans="6:6" x14ac:dyDescent="0.3">
      <c r="F867" s="205"/>
    </row>
    <row r="868" spans="6:6" x14ac:dyDescent="0.3">
      <c r="F868" s="205"/>
    </row>
    <row r="869" spans="6:6" x14ac:dyDescent="0.3">
      <c r="F869" s="205"/>
    </row>
    <row r="870" spans="6:6" x14ac:dyDescent="0.3">
      <c r="F870" s="205"/>
    </row>
    <row r="871" spans="6:6" x14ac:dyDescent="0.3">
      <c r="F871" s="205"/>
    </row>
    <row r="872" spans="6:6" x14ac:dyDescent="0.3">
      <c r="F872" s="205"/>
    </row>
    <row r="873" spans="6:6" x14ac:dyDescent="0.3">
      <c r="F873" s="205"/>
    </row>
    <row r="874" spans="6:6" x14ac:dyDescent="0.3">
      <c r="F874" s="205"/>
    </row>
    <row r="875" spans="6:6" x14ac:dyDescent="0.3">
      <c r="F875" s="205"/>
    </row>
    <row r="876" spans="6:6" x14ac:dyDescent="0.3">
      <c r="F876" s="205"/>
    </row>
    <row r="877" spans="6:6" x14ac:dyDescent="0.3">
      <c r="F877" s="205"/>
    </row>
    <row r="878" spans="6:6" x14ac:dyDescent="0.3">
      <c r="F878" s="205"/>
    </row>
    <row r="879" spans="6:6" x14ac:dyDescent="0.3">
      <c r="F879" s="205"/>
    </row>
    <row r="880" spans="6:6" x14ac:dyDescent="0.3">
      <c r="F880" s="205"/>
    </row>
    <row r="881" spans="6:6" x14ac:dyDescent="0.3">
      <c r="F881" s="205"/>
    </row>
    <row r="882" spans="6:6" x14ac:dyDescent="0.3">
      <c r="F882" s="205"/>
    </row>
    <row r="883" spans="6:6" x14ac:dyDescent="0.3">
      <c r="F883" s="205"/>
    </row>
    <row r="884" spans="6:6" x14ac:dyDescent="0.3">
      <c r="F884" s="205"/>
    </row>
    <row r="885" spans="6:6" x14ac:dyDescent="0.3">
      <c r="F885" s="205"/>
    </row>
    <row r="886" spans="6:6" x14ac:dyDescent="0.3">
      <c r="F886" s="205"/>
    </row>
    <row r="887" spans="6:6" x14ac:dyDescent="0.3">
      <c r="F887" s="205"/>
    </row>
    <row r="888" spans="6:6" x14ac:dyDescent="0.3">
      <c r="F888" s="205"/>
    </row>
    <row r="889" spans="6:6" x14ac:dyDescent="0.3">
      <c r="F889" s="205"/>
    </row>
    <row r="890" spans="6:6" x14ac:dyDescent="0.3">
      <c r="F890" s="205"/>
    </row>
    <row r="891" spans="6:6" x14ac:dyDescent="0.3">
      <c r="F891" s="205"/>
    </row>
    <row r="892" spans="6:6" x14ac:dyDescent="0.3">
      <c r="F892" s="205"/>
    </row>
    <row r="893" spans="6:6" x14ac:dyDescent="0.3">
      <c r="F893" s="205"/>
    </row>
    <row r="894" spans="6:6" x14ac:dyDescent="0.3">
      <c r="F894" s="205"/>
    </row>
    <row r="895" spans="6:6" x14ac:dyDescent="0.3">
      <c r="F895" s="205"/>
    </row>
    <row r="896" spans="6:6" x14ac:dyDescent="0.3">
      <c r="F896" s="205"/>
    </row>
    <row r="897" spans="6:6" x14ac:dyDescent="0.3">
      <c r="F897" s="205"/>
    </row>
    <row r="898" spans="6:6" x14ac:dyDescent="0.3">
      <c r="F898" s="205"/>
    </row>
    <row r="899" spans="6:6" x14ac:dyDescent="0.3">
      <c r="F899" s="205"/>
    </row>
    <row r="900" spans="6:6" x14ac:dyDescent="0.3">
      <c r="F900" s="205"/>
    </row>
    <row r="901" spans="6:6" x14ac:dyDescent="0.3">
      <c r="F901" s="205"/>
    </row>
    <row r="902" spans="6:6" x14ac:dyDescent="0.3">
      <c r="F902" s="205"/>
    </row>
    <row r="903" spans="6:6" x14ac:dyDescent="0.3">
      <c r="F903" s="205"/>
    </row>
    <row r="904" spans="6:6" x14ac:dyDescent="0.3">
      <c r="F904" s="205"/>
    </row>
    <row r="905" spans="6:6" x14ac:dyDescent="0.3">
      <c r="F905" s="205"/>
    </row>
    <row r="906" spans="6:6" x14ac:dyDescent="0.3">
      <c r="F906" s="205"/>
    </row>
    <row r="907" spans="6:6" x14ac:dyDescent="0.3">
      <c r="F907" s="205"/>
    </row>
    <row r="908" spans="6:6" x14ac:dyDescent="0.3">
      <c r="F908" s="205"/>
    </row>
    <row r="909" spans="6:6" x14ac:dyDescent="0.3">
      <c r="F909" s="205"/>
    </row>
    <row r="910" spans="6:6" x14ac:dyDescent="0.3">
      <c r="F910" s="205"/>
    </row>
    <row r="911" spans="6:6" x14ac:dyDescent="0.3">
      <c r="F911" s="205"/>
    </row>
    <row r="912" spans="6:6" x14ac:dyDescent="0.3">
      <c r="F912" s="205"/>
    </row>
    <row r="913" spans="6:6" x14ac:dyDescent="0.3">
      <c r="F913" s="205"/>
    </row>
    <row r="914" spans="6:6" x14ac:dyDescent="0.3">
      <c r="F914" s="205"/>
    </row>
    <row r="915" spans="6:6" x14ac:dyDescent="0.3">
      <c r="F915" s="205"/>
    </row>
    <row r="916" spans="6:6" x14ac:dyDescent="0.3">
      <c r="F916" s="205"/>
    </row>
    <row r="917" spans="6:6" x14ac:dyDescent="0.3">
      <c r="F917" s="205"/>
    </row>
    <row r="918" spans="6:6" x14ac:dyDescent="0.3">
      <c r="F918" s="205"/>
    </row>
    <row r="919" spans="6:6" x14ac:dyDescent="0.3">
      <c r="F919" s="205"/>
    </row>
    <row r="920" spans="6:6" x14ac:dyDescent="0.3">
      <c r="F920" s="205"/>
    </row>
    <row r="921" spans="6:6" x14ac:dyDescent="0.3">
      <c r="F921" s="205"/>
    </row>
    <row r="922" spans="6:6" x14ac:dyDescent="0.3">
      <c r="F922" s="205"/>
    </row>
    <row r="923" spans="6:6" x14ac:dyDescent="0.3">
      <c r="F923" s="205"/>
    </row>
    <row r="924" spans="6:6" x14ac:dyDescent="0.3">
      <c r="F924" s="205"/>
    </row>
    <row r="925" spans="6:6" x14ac:dyDescent="0.3">
      <c r="F925" s="205"/>
    </row>
    <row r="926" spans="6:6" x14ac:dyDescent="0.3">
      <c r="F926" s="205"/>
    </row>
    <row r="927" spans="6:6" x14ac:dyDescent="0.3">
      <c r="F927" s="205"/>
    </row>
    <row r="928" spans="6:6" x14ac:dyDescent="0.3">
      <c r="F928" s="205"/>
    </row>
    <row r="929" spans="6:6" x14ac:dyDescent="0.3">
      <c r="F929" s="205"/>
    </row>
    <row r="930" spans="6:6" x14ac:dyDescent="0.3">
      <c r="F930" s="205"/>
    </row>
    <row r="931" spans="6:6" x14ac:dyDescent="0.3">
      <c r="F931" s="205"/>
    </row>
    <row r="932" spans="6:6" x14ac:dyDescent="0.3">
      <c r="F932" s="205"/>
    </row>
    <row r="933" spans="6:6" x14ac:dyDescent="0.3">
      <c r="F933" s="205"/>
    </row>
    <row r="934" spans="6:6" x14ac:dyDescent="0.3">
      <c r="F934" s="205"/>
    </row>
    <row r="935" spans="6:6" x14ac:dyDescent="0.3">
      <c r="F935" s="205"/>
    </row>
    <row r="936" spans="6:6" x14ac:dyDescent="0.3">
      <c r="F936" s="205"/>
    </row>
    <row r="937" spans="6:6" x14ac:dyDescent="0.3">
      <c r="F937" s="205"/>
    </row>
    <row r="938" spans="6:6" x14ac:dyDescent="0.3">
      <c r="F938" s="205"/>
    </row>
    <row r="939" spans="6:6" x14ac:dyDescent="0.3">
      <c r="F939" s="205"/>
    </row>
    <row r="940" spans="6:6" x14ac:dyDescent="0.3">
      <c r="F940" s="205"/>
    </row>
    <row r="941" spans="6:6" x14ac:dyDescent="0.3">
      <c r="F941" s="205"/>
    </row>
    <row r="942" spans="6:6" x14ac:dyDescent="0.3">
      <c r="F942" s="205"/>
    </row>
    <row r="943" spans="6:6" x14ac:dyDescent="0.3">
      <c r="F943" s="205"/>
    </row>
    <row r="944" spans="6:6" x14ac:dyDescent="0.3">
      <c r="F944" s="205"/>
    </row>
    <row r="945" spans="6:6" x14ac:dyDescent="0.3">
      <c r="F945" s="205"/>
    </row>
    <row r="946" spans="6:6" x14ac:dyDescent="0.3">
      <c r="F946" s="205"/>
    </row>
    <row r="947" spans="6:6" x14ac:dyDescent="0.3">
      <c r="F947" s="205"/>
    </row>
    <row r="948" spans="6:6" x14ac:dyDescent="0.3">
      <c r="F948" s="205"/>
    </row>
    <row r="949" spans="6:6" x14ac:dyDescent="0.3">
      <c r="F949" s="205"/>
    </row>
    <row r="950" spans="6:6" x14ac:dyDescent="0.3">
      <c r="F950" s="205"/>
    </row>
    <row r="951" spans="6:6" x14ac:dyDescent="0.3">
      <c r="F951" s="205"/>
    </row>
    <row r="952" spans="6:6" x14ac:dyDescent="0.3">
      <c r="F952" s="205"/>
    </row>
    <row r="953" spans="6:6" x14ac:dyDescent="0.3">
      <c r="F953" s="205"/>
    </row>
    <row r="954" spans="6:6" x14ac:dyDescent="0.3">
      <c r="F954" s="205"/>
    </row>
    <row r="955" spans="6:6" x14ac:dyDescent="0.3">
      <c r="F955" s="205"/>
    </row>
    <row r="956" spans="6:6" x14ac:dyDescent="0.3">
      <c r="F956" s="205"/>
    </row>
    <row r="957" spans="6:6" x14ac:dyDescent="0.3">
      <c r="F957" s="205"/>
    </row>
    <row r="958" spans="6:6" x14ac:dyDescent="0.3">
      <c r="F958" s="205"/>
    </row>
    <row r="959" spans="6:6" x14ac:dyDescent="0.3">
      <c r="F959" s="205"/>
    </row>
    <row r="960" spans="6:6" x14ac:dyDescent="0.3">
      <c r="F960" s="205"/>
    </row>
    <row r="961" spans="6:6" x14ac:dyDescent="0.3">
      <c r="F961" s="205"/>
    </row>
    <row r="962" spans="6:6" x14ac:dyDescent="0.3">
      <c r="F962" s="205"/>
    </row>
    <row r="963" spans="6:6" x14ac:dyDescent="0.3">
      <c r="F963" s="205"/>
    </row>
    <row r="964" spans="6:6" x14ac:dyDescent="0.3">
      <c r="F964" s="205"/>
    </row>
    <row r="965" spans="6:6" x14ac:dyDescent="0.3">
      <c r="F965" s="205"/>
    </row>
    <row r="966" spans="6:6" x14ac:dyDescent="0.3">
      <c r="F966" s="205"/>
    </row>
    <row r="967" spans="6:6" x14ac:dyDescent="0.3">
      <c r="F967" s="205"/>
    </row>
    <row r="968" spans="6:6" x14ac:dyDescent="0.3">
      <c r="F968" s="205"/>
    </row>
    <row r="969" spans="6:6" x14ac:dyDescent="0.3">
      <c r="F969" s="205"/>
    </row>
    <row r="970" spans="6:6" x14ac:dyDescent="0.3">
      <c r="F970" s="205"/>
    </row>
    <row r="971" spans="6:6" x14ac:dyDescent="0.3">
      <c r="F971" s="205"/>
    </row>
    <row r="972" spans="6:6" x14ac:dyDescent="0.3">
      <c r="F972" s="205"/>
    </row>
    <row r="973" spans="6:6" x14ac:dyDescent="0.3">
      <c r="F973" s="205"/>
    </row>
    <row r="974" spans="6:6" x14ac:dyDescent="0.3">
      <c r="F974" s="205"/>
    </row>
    <row r="975" spans="6:6" x14ac:dyDescent="0.3">
      <c r="F975" s="205"/>
    </row>
    <row r="976" spans="6:6" x14ac:dyDescent="0.3">
      <c r="F976" s="205"/>
    </row>
    <row r="977" spans="6:6" x14ac:dyDescent="0.3">
      <c r="F977" s="205"/>
    </row>
    <row r="978" spans="6:6" x14ac:dyDescent="0.3">
      <c r="F978" s="205"/>
    </row>
    <row r="979" spans="6:6" x14ac:dyDescent="0.3">
      <c r="F979" s="205"/>
    </row>
    <row r="980" spans="6:6" x14ac:dyDescent="0.3">
      <c r="F980" s="205"/>
    </row>
    <row r="981" spans="6:6" x14ac:dyDescent="0.3">
      <c r="F981" s="205"/>
    </row>
    <row r="982" spans="6:6" x14ac:dyDescent="0.3">
      <c r="F982" s="205"/>
    </row>
    <row r="983" spans="6:6" x14ac:dyDescent="0.3">
      <c r="F983" s="205"/>
    </row>
    <row r="984" spans="6:6" x14ac:dyDescent="0.3">
      <c r="F984" s="205"/>
    </row>
    <row r="985" spans="6:6" x14ac:dyDescent="0.3">
      <c r="F985" s="205"/>
    </row>
    <row r="986" spans="6:6" x14ac:dyDescent="0.3">
      <c r="F986" s="205"/>
    </row>
    <row r="987" spans="6:6" x14ac:dyDescent="0.3">
      <c r="F987" s="205"/>
    </row>
    <row r="988" spans="6:6" x14ac:dyDescent="0.3">
      <c r="F988" s="205"/>
    </row>
    <row r="989" spans="6:6" x14ac:dyDescent="0.3">
      <c r="F989" s="205"/>
    </row>
    <row r="990" spans="6:6" x14ac:dyDescent="0.3">
      <c r="F990" s="205"/>
    </row>
    <row r="991" spans="6:6" x14ac:dyDescent="0.3">
      <c r="F991" s="205"/>
    </row>
    <row r="992" spans="6:6" x14ac:dyDescent="0.3">
      <c r="F992" s="205"/>
    </row>
    <row r="993" spans="6:6" x14ac:dyDescent="0.3">
      <c r="F993" s="205"/>
    </row>
    <row r="994" spans="6:6" x14ac:dyDescent="0.3">
      <c r="F994" s="205"/>
    </row>
    <row r="995" spans="6:6" x14ac:dyDescent="0.3">
      <c r="F995" s="205"/>
    </row>
    <row r="996" spans="6:6" x14ac:dyDescent="0.3">
      <c r="F996" s="205"/>
    </row>
    <row r="997" spans="6:6" x14ac:dyDescent="0.3">
      <c r="F997" s="205"/>
    </row>
    <row r="998" spans="6:6" x14ac:dyDescent="0.3">
      <c r="F998" s="205"/>
    </row>
    <row r="999" spans="6:6" x14ac:dyDescent="0.3">
      <c r="F999" s="205"/>
    </row>
    <row r="1000" spans="6:6" x14ac:dyDescent="0.3">
      <c r="F1000" s="205"/>
    </row>
    <row r="1001" spans="6:6" x14ac:dyDescent="0.3">
      <c r="F1001" s="205"/>
    </row>
    <row r="1002" spans="6:6" x14ac:dyDescent="0.3">
      <c r="F1002" s="205"/>
    </row>
    <row r="1003" spans="6:6" x14ac:dyDescent="0.3">
      <c r="F1003" s="205"/>
    </row>
    <row r="1004" spans="6:6" x14ac:dyDescent="0.3">
      <c r="F1004" s="205"/>
    </row>
    <row r="1005" spans="6:6" x14ac:dyDescent="0.3">
      <c r="F1005" s="205"/>
    </row>
    <row r="1006" spans="6:6" x14ac:dyDescent="0.3">
      <c r="F1006" s="205"/>
    </row>
    <row r="1007" spans="6:6" x14ac:dyDescent="0.3">
      <c r="F1007" s="205"/>
    </row>
    <row r="1008" spans="6:6" x14ac:dyDescent="0.3">
      <c r="F1008" s="205"/>
    </row>
    <row r="1009" spans="6:6" x14ac:dyDescent="0.3">
      <c r="F1009" s="205"/>
    </row>
    <row r="1010" spans="6:6" x14ac:dyDescent="0.3">
      <c r="F1010" s="205"/>
    </row>
    <row r="1011" spans="6:6" x14ac:dyDescent="0.3">
      <c r="F1011" s="205"/>
    </row>
    <row r="1012" spans="6:6" x14ac:dyDescent="0.3">
      <c r="F1012" s="205"/>
    </row>
    <row r="1013" spans="6:6" x14ac:dyDescent="0.3">
      <c r="F1013" s="205"/>
    </row>
    <row r="1014" spans="6:6" x14ac:dyDescent="0.3">
      <c r="F1014" s="205"/>
    </row>
    <row r="1015" spans="6:6" x14ac:dyDescent="0.3">
      <c r="F1015" s="205"/>
    </row>
    <row r="1016" spans="6:6" x14ac:dyDescent="0.3">
      <c r="F1016" s="205"/>
    </row>
    <row r="1017" spans="6:6" x14ac:dyDescent="0.3">
      <c r="F1017" s="205"/>
    </row>
    <row r="1018" spans="6:6" x14ac:dyDescent="0.3">
      <c r="F1018" s="205"/>
    </row>
    <row r="1019" spans="6:6" x14ac:dyDescent="0.3">
      <c r="F1019" s="205"/>
    </row>
    <row r="1020" spans="6:6" x14ac:dyDescent="0.3">
      <c r="F1020" s="205"/>
    </row>
    <row r="1021" spans="6:6" x14ac:dyDescent="0.3">
      <c r="F1021" s="205"/>
    </row>
    <row r="1022" spans="6:6" x14ac:dyDescent="0.3">
      <c r="F1022" s="205"/>
    </row>
    <row r="1023" spans="6:6" x14ac:dyDescent="0.3">
      <c r="F1023" s="205"/>
    </row>
    <row r="1024" spans="6:6" x14ac:dyDescent="0.3">
      <c r="F1024" s="205"/>
    </row>
    <row r="1025" spans="6:6" x14ac:dyDescent="0.3">
      <c r="F1025" s="205"/>
    </row>
    <row r="1026" spans="6:6" x14ac:dyDescent="0.3">
      <c r="F1026" s="205"/>
    </row>
    <row r="1027" spans="6:6" x14ac:dyDescent="0.3">
      <c r="F1027" s="20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4D9-4ED1-4AF3-820A-75DC0AF28495}">
  <sheetPr>
    <tabColor theme="1" tint="0.499984740745262"/>
  </sheetPr>
  <dimension ref="A1:AQ1037"/>
  <sheetViews>
    <sheetView zoomScale="85" zoomScaleNormal="85" workbookViewId="0">
      <pane xSplit="3" ySplit="15" topLeftCell="D16" activePane="bottomRight" state="frozen"/>
      <selection activeCell="U46" sqref="U46"/>
      <selection pane="topRight" activeCell="U46" sqref="U46"/>
      <selection pane="bottomLeft" activeCell="U46" sqref="U46"/>
      <selection pane="bottomRight" activeCell="E37" sqref="E37"/>
    </sheetView>
  </sheetViews>
  <sheetFormatPr defaultRowHeight="14.4" outlineLevelCol="1" x14ac:dyDescent="0.3"/>
  <cols>
    <col min="1" max="1" width="4.33203125" style="16" customWidth="1"/>
    <col min="2" max="7" width="15.6640625" customWidth="1"/>
    <col min="8" max="8" width="27.88671875" customWidth="1"/>
    <col min="9" max="9" width="15.6640625" customWidth="1"/>
    <col min="10" max="10" width="19.5546875" customWidth="1"/>
    <col min="11" max="11" width="19.109375" customWidth="1"/>
    <col min="12" max="12" width="20.6640625" hidden="1" customWidth="1" outlineLevel="1"/>
    <col min="13" max="22" width="7.33203125" hidden="1" customWidth="1" outlineLevel="1"/>
    <col min="23" max="23" width="18" bestFit="1" customWidth="1" collapsed="1"/>
    <col min="24" max="24" width="20.5546875" bestFit="1" customWidth="1"/>
    <col min="25" max="25" width="18.6640625" customWidth="1"/>
    <col min="26" max="38" width="18.6640625" bestFit="1" customWidth="1"/>
  </cols>
  <sheetData>
    <row r="1" spans="2:43" s="166" customFormat="1" ht="5.0999999999999996" customHeight="1" x14ac:dyDescent="0.3"/>
    <row r="2" spans="2:43" s="166" customFormat="1" x14ac:dyDescent="0.3">
      <c r="B2" s="167" t="s">
        <v>1222</v>
      </c>
      <c r="H2" s="270" t="s">
        <v>1352</v>
      </c>
      <c r="I2" s="201">
        <f>1/3</f>
        <v>0.33333333333333331</v>
      </c>
      <c r="J2" s="166" t="s">
        <v>1302</v>
      </c>
    </row>
    <row r="3" spans="2:43" s="166" customFormat="1" x14ac:dyDescent="0.3">
      <c r="B3" s="168" t="s">
        <v>1223</v>
      </c>
      <c r="H3" s="271">
        <v>4</v>
      </c>
      <c r="I3" s="201">
        <f>1/3</f>
        <v>0.33333333333333331</v>
      </c>
      <c r="J3" s="166" t="s">
        <v>1303</v>
      </c>
    </row>
    <row r="4" spans="2:43" s="170" customFormat="1" ht="5.0999999999999996" customHeight="1" thickBot="1" x14ac:dyDescent="0.35">
      <c r="B4" s="169"/>
    </row>
    <row r="5" spans="2:43" s="166" customFormat="1" ht="14.4" customHeight="1" x14ac:dyDescent="0.3">
      <c r="B5" s="171" t="s">
        <v>1224</v>
      </c>
      <c r="C5" s="171" t="s">
        <v>1225</v>
      </c>
      <c r="D5" s="171"/>
      <c r="E5" s="171"/>
      <c r="F5" s="171" t="s">
        <v>1226</v>
      </c>
      <c r="G5" s="171" t="s">
        <v>1227</v>
      </c>
      <c r="H5" s="171" t="s">
        <v>1228</v>
      </c>
      <c r="I5" s="171" t="s">
        <v>1229</v>
      </c>
      <c r="J5" s="171" t="s">
        <v>1230</v>
      </c>
      <c r="K5" s="171" t="s">
        <v>1231</v>
      </c>
    </row>
    <row r="6" spans="2:43" x14ac:dyDescent="0.3">
      <c r="B6" t="s">
        <v>590</v>
      </c>
      <c r="C6" t="str">
        <f>_xlfn.IFNA(INDEX('[1]Country list'!$A$2:$A$166,MATCH(B6,'[1]Country list'!$B$2:$B$166,0)),"")</f>
        <v>ITA</v>
      </c>
      <c r="F6" t="s">
        <v>1232</v>
      </c>
      <c r="G6" t="str">
        <f>_xlfn.IFNA(INDEX('[1]Sector list'!$A$2:$A$122,MATCH(F6,'[1]Sector list'!$B$2:$B$122,0)),"")</f>
        <v>ALL</v>
      </c>
      <c r="H6" t="s">
        <v>1233</v>
      </c>
      <c r="I6" t="str">
        <f>_xlfn.IFNA(INDEX('[1]FD list'!$A$2:$A$122,MATCH(H6,'[1]FD list'!$B$2:$B$122,0)),"")</f>
        <v>FD_1</v>
      </c>
      <c r="J6" s="172" t="s">
        <v>1234</v>
      </c>
      <c r="K6" t="s">
        <v>1235</v>
      </c>
    </row>
    <row r="7" spans="2:43" x14ac:dyDescent="0.3">
      <c r="C7" t="s">
        <v>589</v>
      </c>
      <c r="F7" t="s">
        <v>1236</v>
      </c>
      <c r="G7">
        <f>_xlfn.IFNA(INDEX('[1]Sector list'!$A$2:$A$122,MATCH(F7,'[1]Sector list'!$B$2:$B$122,0)),"")</f>
        <v>43</v>
      </c>
      <c r="H7" t="s">
        <v>1232</v>
      </c>
      <c r="I7" t="str">
        <f>_xlfn.IFNA(INDEX('[1]FD list'!$A$2:$A$122,MATCH(H7,'[1]FD list'!$B$2:$B$122,0)),"")</f>
        <v>ALL</v>
      </c>
      <c r="J7" s="172" t="s">
        <v>1234</v>
      </c>
      <c r="K7" t="s">
        <v>1237</v>
      </c>
    </row>
    <row r="8" spans="2:43" x14ac:dyDescent="0.3">
      <c r="B8" t="s">
        <v>579</v>
      </c>
      <c r="C8" t="str">
        <f>_xlfn.IFNA(INDEX('[1]Country list'!$A$2:$A$166,MATCH(B8,'[1]Country list'!$B$2:$B$166,0)),"")</f>
        <v>DEU</v>
      </c>
      <c r="G8" s="173" t="s">
        <v>1238</v>
      </c>
      <c r="I8" t="s">
        <v>1239</v>
      </c>
      <c r="J8" t="s">
        <v>1240</v>
      </c>
      <c r="K8" t="s">
        <v>1241</v>
      </c>
    </row>
    <row r="9" spans="2:43" x14ac:dyDescent="0.3">
      <c r="B9" t="s">
        <v>866</v>
      </c>
      <c r="C9" t="str">
        <f>_xlfn.IFNA(INDEX('[1]Country list'!$A$2:$A$166,MATCH(B9,'[1]Country list'!$B$2:$B$166,0)),"")</f>
        <v>MWI</v>
      </c>
      <c r="F9" t="s">
        <v>1242</v>
      </c>
      <c r="G9">
        <f>_xlfn.IFNA(INDEX('[1]Sector list'!$A$2:$A$122,MATCH(F9,'[1]Sector list'!$B$2:$B$122,0)),"")</f>
        <v>98</v>
      </c>
      <c r="H9" t="s">
        <v>1243</v>
      </c>
      <c r="I9" t="str">
        <f>_xlfn.IFNA(INDEX('[1]FD list'!$A$2:$A$122,MATCH(H9,'[1]FD list'!$B$2:$B$122,0)),"")</f>
        <v>FD_4</v>
      </c>
      <c r="J9" s="172" t="s">
        <v>1234</v>
      </c>
      <c r="K9" t="s">
        <v>1244</v>
      </c>
    </row>
    <row r="10" spans="2:43" x14ac:dyDescent="0.3">
      <c r="J10" s="172"/>
    </row>
    <row r="11" spans="2:43" x14ac:dyDescent="0.3">
      <c r="J11" s="172"/>
    </row>
    <row r="12" spans="2:43" x14ac:dyDescent="0.3">
      <c r="J12" s="172"/>
    </row>
    <row r="13" spans="2:43" ht="14.4" customHeight="1" x14ac:dyDescent="0.3">
      <c r="C13" s="174" t="s">
        <v>1245</v>
      </c>
      <c r="E13" s="174" t="s">
        <v>1246</v>
      </c>
      <c r="G13" s="174" t="s">
        <v>1247</v>
      </c>
      <c r="I13" s="174" t="s">
        <v>1248</v>
      </c>
      <c r="J13" s="172" t="s">
        <v>1249</v>
      </c>
    </row>
    <row r="14" spans="2:43" s="176" customFormat="1" ht="14.4" customHeight="1" thickBot="1" x14ac:dyDescent="0.35">
      <c r="B14" s="175" t="s">
        <v>1250</v>
      </c>
      <c r="J14" s="177"/>
    </row>
    <row r="15" spans="2:43" s="166" customFormat="1" ht="14.4" customHeight="1" x14ac:dyDescent="0.3">
      <c r="B15" s="171" t="s">
        <v>1251</v>
      </c>
      <c r="C15" s="171" t="s">
        <v>1252</v>
      </c>
      <c r="D15" s="171" t="s">
        <v>1253</v>
      </c>
      <c r="E15" s="171" t="s">
        <v>1254</v>
      </c>
      <c r="F15" s="171" t="s">
        <v>1226</v>
      </c>
      <c r="G15" s="171" t="s">
        <v>1227</v>
      </c>
      <c r="H15" s="171" t="s">
        <v>1228</v>
      </c>
      <c r="I15" s="171" t="s">
        <v>1229</v>
      </c>
      <c r="J15" s="171" t="s">
        <v>1230</v>
      </c>
      <c r="K15" s="171" t="s">
        <v>1231</v>
      </c>
      <c r="L15" s="166">
        <v>2019</v>
      </c>
      <c r="M15" s="166">
        <v>2020</v>
      </c>
      <c r="N15" s="166">
        <v>2021</v>
      </c>
      <c r="O15" s="166">
        <v>2022</v>
      </c>
      <c r="P15" s="166">
        <v>2023</v>
      </c>
      <c r="Q15" s="166">
        <v>2024</v>
      </c>
      <c r="R15" s="166">
        <v>2025</v>
      </c>
      <c r="S15" s="166">
        <v>2026</v>
      </c>
      <c r="T15" s="166">
        <v>2027</v>
      </c>
      <c r="U15" s="166">
        <v>2028</v>
      </c>
      <c r="V15" s="166">
        <v>2029</v>
      </c>
      <c r="W15" s="166">
        <v>2030</v>
      </c>
      <c r="X15" s="166">
        <v>2031</v>
      </c>
      <c r="Y15" s="166">
        <v>2032</v>
      </c>
      <c r="Z15" s="166">
        <v>2033</v>
      </c>
      <c r="AA15" s="166">
        <v>2034</v>
      </c>
      <c r="AB15" s="166">
        <v>2035</v>
      </c>
      <c r="AC15" s="166">
        <v>2036</v>
      </c>
      <c r="AD15" s="166">
        <v>2037</v>
      </c>
      <c r="AE15" s="166">
        <v>2038</v>
      </c>
      <c r="AF15" s="166">
        <v>2039</v>
      </c>
      <c r="AG15" s="166">
        <v>2040</v>
      </c>
      <c r="AH15" s="166">
        <v>2041</v>
      </c>
      <c r="AI15" s="166">
        <v>2042</v>
      </c>
      <c r="AJ15" s="166">
        <v>2043</v>
      </c>
      <c r="AK15" s="166">
        <v>2044</v>
      </c>
      <c r="AL15" s="166">
        <v>2045</v>
      </c>
      <c r="AM15" s="166">
        <v>2046</v>
      </c>
      <c r="AN15" s="166">
        <v>2047</v>
      </c>
      <c r="AO15" s="166">
        <v>2048</v>
      </c>
      <c r="AP15" s="166">
        <v>2049</v>
      </c>
      <c r="AQ15" s="166">
        <v>2050</v>
      </c>
    </row>
    <row r="16" spans="2:43" x14ac:dyDescent="0.3">
      <c r="C16" s="161" t="s">
        <v>1058</v>
      </c>
      <c r="E16" s="161" t="s">
        <v>1058</v>
      </c>
      <c r="F16" t="s">
        <v>1232</v>
      </c>
      <c r="G16" t="s">
        <v>1232</v>
      </c>
      <c r="H16" t="s">
        <v>1233</v>
      </c>
      <c r="I16" t="s">
        <v>1239</v>
      </c>
      <c r="J16" t="s">
        <v>1240</v>
      </c>
      <c r="K16" s="266">
        <f>SUM(X16:AL16)/1000000</f>
        <v>46.609067997358721</v>
      </c>
      <c r="X16" s="202">
        <f>VLOOKUP($C16,'MSET pivots'!$B$4:$H$14,$H$3,FALSE)*1000000*$I$2*'MSET pivots'!E$65</f>
        <v>1553658.9043294343</v>
      </c>
      <c r="Y16" s="202">
        <f>VLOOKUP($C16,'MSET pivots'!$B$4:$H$14,$H$3,FALSE)*1000000*$I2*'MSET pivots'!F$65</f>
        <v>1775603.5179715031</v>
      </c>
      <c r="Z16" s="202">
        <f>VLOOKUP($C16,'MSET pivots'!$B$4:$H$14,$H$3,FALSE)*1000000*$I2*'MSET pivots'!G$65</f>
        <v>1997548.1316135719</v>
      </c>
      <c r="AA16" s="202">
        <f>VLOOKUP($C16,'MSET pivots'!$B$4:$H$14,$H$3,FALSE)*1000000*$I2*'MSET pivots'!H$65</f>
        <v>2219492.7452556407</v>
      </c>
      <c r="AB16" s="202">
        <f>VLOOKUP($C16,'MSET pivots'!$B$4:$H$14,$H$3,FALSE)*1000000*$I2*'MSET pivots'!I$65</f>
        <v>2441437.3588977093</v>
      </c>
      <c r="AC16" s="202">
        <f>VLOOKUP($C16,'MSET pivots'!$B$4:$H$14,$H$3,FALSE)*1000000*$I2*'MSET pivots'!J$65</f>
        <v>2663381.9725397783</v>
      </c>
      <c r="AD16" s="202">
        <f>VLOOKUP($C16,'MSET pivots'!$B$4:$H$14,$H$3,FALSE)*1000000*$I2*'MSET pivots'!K$65</f>
        <v>2885326.5861818469</v>
      </c>
      <c r="AE16" s="202">
        <f>VLOOKUP($C16,'MSET pivots'!$B$4:$H$14,$H$3,FALSE)*1000000*$I2*'MSET pivots'!L$65</f>
        <v>3107271.1998239155</v>
      </c>
      <c r="AF16" s="202">
        <f>VLOOKUP($C16,'MSET pivots'!$B$4:$H$14,$H$3,FALSE)*1000000*$I2*'MSET pivots'!M$65</f>
        <v>3329215.8134659841</v>
      </c>
      <c r="AG16" s="202">
        <f>VLOOKUP($C16,'MSET pivots'!$B$4:$H$14,$H$3,FALSE)*1000000*$I2*'MSET pivots'!N$65</f>
        <v>3551160.4271080527</v>
      </c>
      <c r="AH16" s="202">
        <f>VLOOKUP($C16,'MSET pivots'!$B$4:$H$14,$H$3,FALSE)*1000000*$I2*'MSET pivots'!O$65</f>
        <v>3773105.0407501208</v>
      </c>
      <c r="AI16" s="202">
        <f>VLOOKUP($C16,'MSET pivots'!$B$4:$H$14,$H$3,FALSE)*1000000*$I2*'MSET pivots'!P$65</f>
        <v>3995049.6543921893</v>
      </c>
      <c r="AJ16" s="202">
        <f>VLOOKUP($C16,'MSET pivots'!$B$4:$H$14,$H$3,FALSE)*1000000*$I2*'MSET pivots'!Q$65</f>
        <v>4216994.2680342579</v>
      </c>
      <c r="AK16" s="202">
        <f>VLOOKUP($C16,'MSET pivots'!$B$4:$H$14,$H$3,FALSE)*1000000*$I2*'MSET pivots'!R$65</f>
        <v>4438938.8816763265</v>
      </c>
      <c r="AL16" s="202">
        <f>VLOOKUP($C16,'MSET pivots'!$B$4:$H$14,$H$3,FALSE)*1000000*$I2*'MSET pivots'!S$65</f>
        <v>4660883.4953183969</v>
      </c>
    </row>
    <row r="17" spans="1:38" x14ac:dyDescent="0.3">
      <c r="C17" s="161" t="s">
        <v>1058</v>
      </c>
      <c r="E17" s="161" t="s">
        <v>1058</v>
      </c>
      <c r="F17" t="s">
        <v>1232</v>
      </c>
      <c r="G17" t="s">
        <v>1232</v>
      </c>
      <c r="H17" t="s">
        <v>1255</v>
      </c>
      <c r="I17" t="s">
        <v>1256</v>
      </c>
      <c r="J17" t="s">
        <v>1240</v>
      </c>
      <c r="K17" s="266">
        <f t="shared" ref="K17:K23" si="0">SUM(X17:AL17)/1000000</f>
        <v>46.609067997358721</v>
      </c>
      <c r="X17" s="202">
        <f>VLOOKUP($C17,'MSET pivots'!$B$4:$H$14,$H$3,FALSE)*1000000*$I$3*'MSET pivots'!E$65</f>
        <v>1553658.9043294343</v>
      </c>
      <c r="Y17" s="202">
        <f>VLOOKUP($C17,'MSET pivots'!$B$4:$H$14,$H$3,FALSE)*1000000*$I3*'MSET pivots'!F$65</f>
        <v>1775603.5179715031</v>
      </c>
      <c r="Z17" s="202">
        <f>VLOOKUP($C17,'MSET pivots'!$B$4:$H$14,$H$3,FALSE)*1000000*$I3*'MSET pivots'!G$65</f>
        <v>1997548.1316135719</v>
      </c>
      <c r="AA17" s="202">
        <f>VLOOKUP($C17,'MSET pivots'!$B$4:$H$14,$H$3,FALSE)*1000000*$I3*'MSET pivots'!H$65</f>
        <v>2219492.7452556407</v>
      </c>
      <c r="AB17" s="202">
        <f>VLOOKUP($C17,'MSET pivots'!$B$4:$H$14,$H$3,FALSE)*1000000*$I3*'MSET pivots'!I$65</f>
        <v>2441437.3588977093</v>
      </c>
      <c r="AC17" s="202">
        <f>VLOOKUP($C17,'MSET pivots'!$B$4:$H$14,$H$3,FALSE)*1000000*$I3*'MSET pivots'!J$65</f>
        <v>2663381.9725397783</v>
      </c>
      <c r="AD17" s="202">
        <f>VLOOKUP($C17,'MSET pivots'!$B$4:$H$14,$H$3,FALSE)*1000000*$I3*'MSET pivots'!K$65</f>
        <v>2885326.5861818469</v>
      </c>
      <c r="AE17" s="202">
        <f>VLOOKUP($C17,'MSET pivots'!$B$4:$H$14,$H$3,FALSE)*1000000*$I3*'MSET pivots'!L$65</f>
        <v>3107271.1998239155</v>
      </c>
      <c r="AF17" s="202">
        <f>VLOOKUP($C17,'MSET pivots'!$B$4:$H$14,$H$3,FALSE)*1000000*$I3*'MSET pivots'!M$65</f>
        <v>3329215.8134659841</v>
      </c>
      <c r="AG17" s="202">
        <f>VLOOKUP($C17,'MSET pivots'!$B$4:$H$14,$H$3,FALSE)*1000000*$I3*'MSET pivots'!N$65</f>
        <v>3551160.4271080527</v>
      </c>
      <c r="AH17" s="202">
        <f>VLOOKUP($C17,'MSET pivots'!$B$4:$H$14,$H$3,FALSE)*1000000*$I3*'MSET pivots'!O$65</f>
        <v>3773105.0407501208</v>
      </c>
      <c r="AI17" s="202">
        <f>VLOOKUP($C17,'MSET pivots'!$B$4:$H$14,$H$3,FALSE)*1000000*$I3*'MSET pivots'!P$65</f>
        <v>3995049.6543921893</v>
      </c>
      <c r="AJ17" s="202">
        <f>VLOOKUP($C17,'MSET pivots'!$B$4:$H$14,$H$3,FALSE)*1000000*$I3*'MSET pivots'!Q$65</f>
        <v>4216994.2680342579</v>
      </c>
      <c r="AK17" s="202">
        <f>VLOOKUP($C17,'MSET pivots'!$B$4:$H$14,$H$3,FALSE)*1000000*$I3*'MSET pivots'!R$65</f>
        <v>4438938.8816763265</v>
      </c>
      <c r="AL17" s="202">
        <f>VLOOKUP($C17,'MSET pivots'!$B$4:$H$14,$H$3,FALSE)*1000000*$I3*'MSET pivots'!S$65</f>
        <v>4660883.4953183969</v>
      </c>
    </row>
    <row r="18" spans="1:38" x14ac:dyDescent="0.3">
      <c r="C18" t="s">
        <v>1048</v>
      </c>
      <c r="E18" t="s">
        <v>1048</v>
      </c>
      <c r="F18" t="s">
        <v>1232</v>
      </c>
      <c r="G18" t="s">
        <v>1232</v>
      </c>
      <c r="H18" t="s">
        <v>1233</v>
      </c>
      <c r="I18" t="s">
        <v>1239</v>
      </c>
      <c r="J18" t="s">
        <v>1240</v>
      </c>
      <c r="K18" s="266">
        <f t="shared" si="0"/>
        <v>48.50396287112661</v>
      </c>
      <c r="X18" s="202">
        <f>VLOOKUP($C18,'MSET pivots'!$B$4:$H$14,$H$3,FALSE)*1000000*$I$2*'MSET pivots'!E$65</f>
        <v>1616823.0142310637</v>
      </c>
      <c r="Y18" s="202">
        <f>VLOOKUP($C18,'MSET pivots'!$B$4:$H$14,$H$3,FALSE)*1000000*$I$2*'MSET pivots'!F$65</f>
        <v>1847790.8014468795</v>
      </c>
      <c r="Z18" s="202">
        <f>VLOOKUP($C18,'MSET pivots'!$B$4:$H$14,$H$3,FALSE)*1000000*$I$2*'MSET pivots'!G$65</f>
        <v>2078758.5886626954</v>
      </c>
      <c r="AA18" s="202">
        <f>VLOOKUP($C18,'MSET pivots'!$B$4:$H$14,$H$3,FALSE)*1000000*$I$2*'MSET pivots'!H$65</f>
        <v>2309726.3758785115</v>
      </c>
      <c r="AB18" s="202">
        <f>VLOOKUP($C18,'MSET pivots'!$B$4:$H$14,$H$3,FALSE)*1000000*$I$2*'MSET pivots'!I$65</f>
        <v>2540694.1630943273</v>
      </c>
      <c r="AC18" s="202">
        <f>VLOOKUP($C18,'MSET pivots'!$B$4:$H$14,$H$3,FALSE)*1000000*$I$2*'MSET pivots'!J$65</f>
        <v>2771661.9503101432</v>
      </c>
      <c r="AD18" s="202">
        <f>VLOOKUP($C18,'MSET pivots'!$B$4:$H$14,$H$3,FALSE)*1000000*$I$2*'MSET pivots'!K$65</f>
        <v>3002629.737525959</v>
      </c>
      <c r="AE18" s="202">
        <f>VLOOKUP($C18,'MSET pivots'!$B$4:$H$14,$H$3,FALSE)*1000000*$I$2*'MSET pivots'!L$65</f>
        <v>3233597.5247417744</v>
      </c>
      <c r="AF18" s="202">
        <f>VLOOKUP($C18,'MSET pivots'!$B$4:$H$14,$H$3,FALSE)*1000000*$I$2*'MSET pivots'!M$65</f>
        <v>3464565.3119575903</v>
      </c>
      <c r="AG18" s="202">
        <f>VLOOKUP($C18,'MSET pivots'!$B$4:$H$14,$H$3,FALSE)*1000000*$I$2*'MSET pivots'!N$65</f>
        <v>3695533.0991734057</v>
      </c>
      <c r="AH18" s="202">
        <f>VLOOKUP($C18,'MSET pivots'!$B$4:$H$14,$H$3,FALSE)*1000000*$I$2*'MSET pivots'!O$65</f>
        <v>3926500.8863892215</v>
      </c>
      <c r="AI18" s="202">
        <f>VLOOKUP($C18,'MSET pivots'!$B$4:$H$14,$H$3,FALSE)*1000000*$I$2*'MSET pivots'!P$65</f>
        <v>4157468.6736050369</v>
      </c>
      <c r="AJ18" s="202">
        <f>VLOOKUP($C18,'MSET pivots'!$B$4:$H$14,$H$3,FALSE)*1000000*$I$2*'MSET pivots'!Q$65</f>
        <v>4388436.4608208528</v>
      </c>
      <c r="AK18" s="202">
        <f>VLOOKUP($C18,'MSET pivots'!$B$4:$H$14,$H$3,FALSE)*1000000*$I$2*'MSET pivots'!R$65</f>
        <v>4619404.2480366677</v>
      </c>
      <c r="AL18" s="202">
        <f>VLOOKUP($C18,'MSET pivots'!$B$4:$H$14,$H$3,FALSE)*1000000*$I$2*'MSET pivots'!S$65</f>
        <v>4850372.0352524854</v>
      </c>
    </row>
    <row r="19" spans="1:38" x14ac:dyDescent="0.3">
      <c r="C19" t="s">
        <v>1048</v>
      </c>
      <c r="E19" t="s">
        <v>1048</v>
      </c>
      <c r="F19" t="s">
        <v>1232</v>
      </c>
      <c r="G19" t="s">
        <v>1232</v>
      </c>
      <c r="H19" t="s">
        <v>1255</v>
      </c>
      <c r="I19" t="s">
        <v>1256</v>
      </c>
      <c r="J19" t="s">
        <v>1240</v>
      </c>
      <c r="K19" s="266">
        <f t="shared" si="0"/>
        <v>48.50396287112661</v>
      </c>
      <c r="X19" s="202">
        <f>VLOOKUP($C19,'MSET pivots'!$B$4:$H$14,$H$3,FALSE)*1000000*$I$3*'MSET pivots'!E$65</f>
        <v>1616823.0142310637</v>
      </c>
      <c r="Y19" s="202">
        <f>VLOOKUP($C19,'MSET pivots'!$B$4:$H$14,$H$3,FALSE)*1000000*$I$3*'MSET pivots'!F$65</f>
        <v>1847790.8014468795</v>
      </c>
      <c r="Z19" s="202">
        <f>VLOOKUP($C19,'MSET pivots'!$B$4:$H$14,$H$3,FALSE)*1000000*$I$3*'MSET pivots'!G$65</f>
        <v>2078758.5886626954</v>
      </c>
      <c r="AA19" s="202">
        <f>VLOOKUP($C19,'MSET pivots'!$B$4:$H$14,$H$3,FALSE)*1000000*$I$3*'MSET pivots'!H$65</f>
        <v>2309726.3758785115</v>
      </c>
      <c r="AB19" s="202">
        <f>VLOOKUP($C19,'MSET pivots'!$B$4:$H$14,$H$3,FALSE)*1000000*$I$3*'MSET pivots'!I$65</f>
        <v>2540694.1630943273</v>
      </c>
      <c r="AC19" s="202">
        <f>VLOOKUP($C19,'MSET pivots'!$B$4:$H$14,$H$3,FALSE)*1000000*$I$3*'MSET pivots'!J$65</f>
        <v>2771661.9503101432</v>
      </c>
      <c r="AD19" s="202">
        <f>VLOOKUP($C19,'MSET pivots'!$B$4:$H$14,$H$3,FALSE)*1000000*$I$3*'MSET pivots'!K$65</f>
        <v>3002629.737525959</v>
      </c>
      <c r="AE19" s="202">
        <f>VLOOKUP($C19,'MSET pivots'!$B$4:$H$14,$H$3,FALSE)*1000000*$I$3*'MSET pivots'!L$65</f>
        <v>3233597.5247417744</v>
      </c>
      <c r="AF19" s="202">
        <f>VLOOKUP($C19,'MSET pivots'!$B$4:$H$14,$H$3,FALSE)*1000000*$I$3*'MSET pivots'!M$65</f>
        <v>3464565.3119575903</v>
      </c>
      <c r="AG19" s="202">
        <f>VLOOKUP($C19,'MSET pivots'!$B$4:$H$14,$H$3,FALSE)*1000000*$I$3*'MSET pivots'!N$65</f>
        <v>3695533.0991734057</v>
      </c>
      <c r="AH19" s="202">
        <f>VLOOKUP($C19,'MSET pivots'!$B$4:$H$14,$H$3,FALSE)*1000000*$I$3*'MSET pivots'!O$65</f>
        <v>3926500.8863892215</v>
      </c>
      <c r="AI19" s="202">
        <f>VLOOKUP($C19,'MSET pivots'!$B$4:$H$14,$H$3,FALSE)*1000000*$I$3*'MSET pivots'!P$65</f>
        <v>4157468.6736050369</v>
      </c>
      <c r="AJ19" s="202">
        <f>VLOOKUP($C19,'MSET pivots'!$B$4:$H$14,$H$3,FALSE)*1000000*$I$3*'MSET pivots'!Q$65</f>
        <v>4388436.4608208528</v>
      </c>
      <c r="AK19" s="202">
        <f>VLOOKUP($C19,'MSET pivots'!$B$4:$H$14,$H$3,FALSE)*1000000*$I$3*'MSET pivots'!R$65</f>
        <v>4619404.2480366677</v>
      </c>
      <c r="AL19" s="202">
        <f>VLOOKUP($C19,'MSET pivots'!$B$4:$H$14,$H$3,FALSE)*1000000*$I$3*'MSET pivots'!S$65</f>
        <v>4850372.0352524854</v>
      </c>
    </row>
    <row r="20" spans="1:38" x14ac:dyDescent="0.3">
      <c r="C20" s="161" t="s">
        <v>1052</v>
      </c>
      <c r="E20" s="161" t="s">
        <v>1052</v>
      </c>
      <c r="F20" t="s">
        <v>1232</v>
      </c>
      <c r="G20" t="s">
        <v>1232</v>
      </c>
      <c r="H20" t="s">
        <v>1233</v>
      </c>
      <c r="I20" t="s">
        <v>1239</v>
      </c>
      <c r="J20" t="s">
        <v>1240</v>
      </c>
      <c r="K20" s="266">
        <f t="shared" si="0"/>
        <v>35.970131447436941</v>
      </c>
      <c r="W20" s="178"/>
      <c r="X20" s="202">
        <f>VLOOKUP($C20,'MSET pivots'!$B$4:$H$14,$H$3,FALSE)*1000000*$I$2*'MSET pivots'!E$65</f>
        <v>1199022.3665570305</v>
      </c>
      <c r="Y20" s="202">
        <f>VLOOKUP($C20,'MSET pivots'!$B$4:$H$14,$H$3,FALSE)*1000000*$I$2*'MSET pivots'!F$65</f>
        <v>1370306.1375006638</v>
      </c>
      <c r="Z20" s="202">
        <f>VLOOKUP($C20,'MSET pivots'!$B$4:$H$14,$H$3,FALSE)*1000000*$I$2*'MSET pivots'!G$65</f>
        <v>1541589.908444297</v>
      </c>
      <c r="AA20" s="202">
        <f>VLOOKUP($C20,'MSET pivots'!$B$4:$H$14,$H$3,FALSE)*1000000*$I$2*'MSET pivots'!H$65</f>
        <v>1712873.6793879303</v>
      </c>
      <c r="AB20" s="202">
        <f>VLOOKUP($C20,'MSET pivots'!$B$4:$H$14,$H$3,FALSE)*1000000*$I$2*'MSET pivots'!I$65</f>
        <v>1884157.4503315636</v>
      </c>
      <c r="AC20" s="202">
        <f>VLOOKUP($C20,'MSET pivots'!$B$4:$H$14,$H$3,FALSE)*1000000*$I$2*'MSET pivots'!J$65</f>
        <v>2055441.2212751969</v>
      </c>
      <c r="AD20" s="202">
        <f>VLOOKUP($C20,'MSET pivots'!$B$4:$H$14,$H$3,FALSE)*1000000*$I$2*'MSET pivots'!K$65</f>
        <v>2226724.9922188302</v>
      </c>
      <c r="AE20" s="202">
        <f>VLOOKUP($C20,'MSET pivots'!$B$4:$H$14,$H$3,FALSE)*1000000*$I$2*'MSET pivots'!L$65</f>
        <v>2398008.7631624634</v>
      </c>
      <c r="AF20" s="202">
        <f>VLOOKUP($C20,'MSET pivots'!$B$4:$H$14,$H$3,FALSE)*1000000*$I$2*'MSET pivots'!M$65</f>
        <v>2569292.5341060963</v>
      </c>
      <c r="AG20" s="202">
        <f>VLOOKUP($C20,'MSET pivots'!$B$4:$H$14,$H$3,FALSE)*1000000*$I$2*'MSET pivots'!N$65</f>
        <v>2740576.3050497295</v>
      </c>
      <c r="AH20" s="202">
        <f>VLOOKUP($C20,'MSET pivots'!$B$4:$H$14,$H$3,FALSE)*1000000*$I$2*'MSET pivots'!O$65</f>
        <v>2911860.0759933623</v>
      </c>
      <c r="AI20" s="202">
        <f>VLOOKUP($C20,'MSET pivots'!$B$4:$H$14,$H$3,FALSE)*1000000*$I$2*'MSET pivots'!P$65</f>
        <v>3083143.8469369956</v>
      </c>
      <c r="AJ20" s="202">
        <f>VLOOKUP($C20,'MSET pivots'!$B$4:$H$14,$H$3,FALSE)*1000000*$I$2*'MSET pivots'!Q$65</f>
        <v>3254427.6178806284</v>
      </c>
      <c r="AK20" s="202">
        <f>VLOOKUP($C20,'MSET pivots'!$B$4:$H$14,$H$3,FALSE)*1000000*$I$2*'MSET pivots'!R$65</f>
        <v>3425711.3888242617</v>
      </c>
      <c r="AL20" s="202">
        <f>VLOOKUP($C20,'MSET pivots'!$B$4:$H$14,$H$3,FALSE)*1000000*$I$2*'MSET pivots'!S$65</f>
        <v>3596995.1597678959</v>
      </c>
    </row>
    <row r="21" spans="1:38" x14ac:dyDescent="0.3">
      <c r="C21" s="161" t="s">
        <v>1052</v>
      </c>
      <c r="E21" s="161" t="s">
        <v>1052</v>
      </c>
      <c r="F21" t="s">
        <v>1232</v>
      </c>
      <c r="G21" t="s">
        <v>1232</v>
      </c>
      <c r="H21" t="s">
        <v>1255</v>
      </c>
      <c r="I21" t="s">
        <v>1256</v>
      </c>
      <c r="J21" t="s">
        <v>1240</v>
      </c>
      <c r="K21" s="266">
        <f t="shared" si="0"/>
        <v>35.970131447436941</v>
      </c>
      <c r="W21" s="178"/>
      <c r="X21" s="202">
        <f>VLOOKUP($C21,'MSET pivots'!$B$4:$H$14,$H$3,FALSE)*1000000*$I$3*'MSET pivots'!E$65</f>
        <v>1199022.3665570305</v>
      </c>
      <c r="Y21" s="202">
        <f>VLOOKUP($C21,'MSET pivots'!$B$4:$H$14,$H$3,FALSE)*1000000*$I$3*'MSET pivots'!F$65</f>
        <v>1370306.1375006638</v>
      </c>
      <c r="Z21" s="202">
        <f>VLOOKUP($C21,'MSET pivots'!$B$4:$H$14,$H$3,FALSE)*1000000*$I$3*'MSET pivots'!G$65</f>
        <v>1541589.908444297</v>
      </c>
      <c r="AA21" s="202">
        <f>VLOOKUP($C21,'MSET pivots'!$B$4:$H$14,$H$3,FALSE)*1000000*$I$3*'MSET pivots'!H$65</f>
        <v>1712873.6793879303</v>
      </c>
      <c r="AB21" s="202">
        <f>VLOOKUP($C21,'MSET pivots'!$B$4:$H$14,$H$3,FALSE)*1000000*$I$3*'MSET pivots'!I$65</f>
        <v>1884157.4503315636</v>
      </c>
      <c r="AC21" s="202">
        <f>VLOOKUP($C21,'MSET pivots'!$B$4:$H$14,$H$3,FALSE)*1000000*$I$3*'MSET pivots'!J$65</f>
        <v>2055441.2212751969</v>
      </c>
      <c r="AD21" s="202">
        <f>VLOOKUP($C21,'MSET pivots'!$B$4:$H$14,$H$3,FALSE)*1000000*$I$3*'MSET pivots'!K$65</f>
        <v>2226724.9922188302</v>
      </c>
      <c r="AE21" s="202">
        <f>VLOOKUP($C21,'MSET pivots'!$B$4:$H$14,$H$3,FALSE)*1000000*$I$3*'MSET pivots'!L$65</f>
        <v>2398008.7631624634</v>
      </c>
      <c r="AF21" s="202">
        <f>VLOOKUP($C21,'MSET pivots'!$B$4:$H$14,$H$3,FALSE)*1000000*$I$3*'MSET pivots'!M$65</f>
        <v>2569292.5341060963</v>
      </c>
      <c r="AG21" s="202">
        <f>VLOOKUP($C21,'MSET pivots'!$B$4:$H$14,$H$3,FALSE)*1000000*$I$3*'MSET pivots'!N$65</f>
        <v>2740576.3050497295</v>
      </c>
      <c r="AH21" s="202">
        <f>VLOOKUP($C21,'MSET pivots'!$B$4:$H$14,$H$3,FALSE)*1000000*$I$3*'MSET pivots'!O$65</f>
        <v>2911860.0759933623</v>
      </c>
      <c r="AI21" s="202">
        <f>VLOOKUP($C21,'MSET pivots'!$B$4:$H$14,$H$3,FALSE)*1000000*$I$3*'MSET pivots'!P$65</f>
        <v>3083143.8469369956</v>
      </c>
      <c r="AJ21" s="202">
        <f>VLOOKUP($C21,'MSET pivots'!$B$4:$H$14,$H$3,FALSE)*1000000*$I$3*'MSET pivots'!Q$65</f>
        <v>3254427.6178806284</v>
      </c>
      <c r="AK21" s="202">
        <f>VLOOKUP($C21,'MSET pivots'!$B$4:$H$14,$H$3,FALSE)*1000000*$I$3*'MSET pivots'!R$65</f>
        <v>3425711.3888242617</v>
      </c>
      <c r="AL21" s="202">
        <f>VLOOKUP($C21,'MSET pivots'!$B$4:$H$14,$H$3,FALSE)*1000000*$I$3*'MSET pivots'!S$65</f>
        <v>3596995.1597678959</v>
      </c>
    </row>
    <row r="22" spans="1:38" x14ac:dyDescent="0.3">
      <c r="B22" t="s">
        <v>653</v>
      </c>
      <c r="C22" t="s">
        <v>1021</v>
      </c>
      <c r="E22" t="s">
        <v>1021</v>
      </c>
      <c r="F22" t="s">
        <v>1232</v>
      </c>
      <c r="G22" t="s">
        <v>1232</v>
      </c>
      <c r="H22" t="s">
        <v>1233</v>
      </c>
      <c r="I22" t="s">
        <v>1239</v>
      </c>
      <c r="J22" t="s">
        <v>1240</v>
      </c>
      <c r="K22" s="266">
        <f t="shared" si="0"/>
        <v>44.855230094438269</v>
      </c>
      <c r="W22" s="261">
        <f>'Preliminary results'!$C$31*1000000*I2</f>
        <v>902060.73048874759</v>
      </c>
      <c r="X22" s="202">
        <f>VLOOKUP($C22,'MSET pivots'!$B$4:$H$14,$H$3,FALSE)*1000000*$I$2*'MSET pivots'!E$65</f>
        <v>1495196.7639841852</v>
      </c>
      <c r="Y22" s="202">
        <f>VLOOKUP($C22,'MSET pivots'!$B$4:$H$14,$H$3,FALSE)*1000000*$I$2*'MSET pivots'!F$65</f>
        <v>1708789.8938382375</v>
      </c>
      <c r="Z22" s="202">
        <f>VLOOKUP($C22,'MSET pivots'!$B$4:$H$14,$H$3,FALSE)*1000000*$I$2*'MSET pivots'!G$65</f>
        <v>1922383.0236922896</v>
      </c>
      <c r="AA22" s="202">
        <f>VLOOKUP($C22,'MSET pivots'!$B$4:$H$14,$H$3,FALSE)*1000000*$I$2*'MSET pivots'!H$65</f>
        <v>2135976.1535463422</v>
      </c>
      <c r="AB22" s="202">
        <f>VLOOKUP($C22,'MSET pivots'!$B$4:$H$14,$H$3,FALSE)*1000000*$I$2*'MSET pivots'!I$65</f>
        <v>2349569.283400394</v>
      </c>
      <c r="AC22" s="202">
        <f>VLOOKUP($C22,'MSET pivots'!$B$4:$H$14,$H$3,FALSE)*1000000*$I$2*'MSET pivots'!J$65</f>
        <v>2563162.4132544464</v>
      </c>
      <c r="AD22" s="202">
        <f>VLOOKUP($C22,'MSET pivots'!$B$4:$H$14,$H$3,FALSE)*1000000*$I$2*'MSET pivots'!K$65</f>
        <v>2776755.5431084987</v>
      </c>
      <c r="AE22" s="202">
        <f>VLOOKUP($C22,'MSET pivots'!$B$4:$H$14,$H$3,FALSE)*1000000*$I$2*'MSET pivots'!L$65</f>
        <v>2990348.6729625505</v>
      </c>
      <c r="AF22" s="202">
        <f>VLOOKUP($C22,'MSET pivots'!$B$4:$H$14,$H$3,FALSE)*1000000*$I$2*'MSET pivots'!M$65</f>
        <v>3203941.8028166029</v>
      </c>
      <c r="AG22" s="202">
        <f>VLOOKUP($C22,'MSET pivots'!$B$4:$H$14,$H$3,FALSE)*1000000*$I$2*'MSET pivots'!N$65</f>
        <v>3417534.9326706547</v>
      </c>
      <c r="AH22" s="202">
        <f>VLOOKUP($C22,'MSET pivots'!$B$4:$H$14,$H$3,FALSE)*1000000*$I$2*'MSET pivots'!O$65</f>
        <v>3631128.0625247066</v>
      </c>
      <c r="AI22" s="202">
        <f>VLOOKUP($C22,'MSET pivots'!$B$4:$H$14,$H$3,FALSE)*1000000*$I$2*'MSET pivots'!P$65</f>
        <v>3844721.1923787585</v>
      </c>
      <c r="AJ22" s="202">
        <f>VLOOKUP($C22,'MSET pivots'!$B$4:$H$14,$H$3,FALSE)*1000000*$I$2*'MSET pivots'!Q$65</f>
        <v>4058314.3222328108</v>
      </c>
      <c r="AK22" s="202">
        <f>VLOOKUP($C22,'MSET pivots'!$B$4:$H$14,$H$3,FALSE)*1000000*$I$2*'MSET pivots'!R$65</f>
        <v>4271907.4520868622</v>
      </c>
      <c r="AL22" s="202">
        <f>VLOOKUP($C22,'MSET pivots'!$B$4:$H$14,$H$3,FALSE)*1000000*$I$2*'MSET pivots'!S$65</f>
        <v>4485500.5819409164</v>
      </c>
    </row>
    <row r="23" spans="1:38" x14ac:dyDescent="0.3">
      <c r="B23" t="s">
        <v>653</v>
      </c>
      <c r="C23" t="s">
        <v>1021</v>
      </c>
      <c r="E23" t="s">
        <v>1021</v>
      </c>
      <c r="F23" t="s">
        <v>1232</v>
      </c>
      <c r="G23" t="s">
        <v>1232</v>
      </c>
      <c r="H23" t="s">
        <v>1255</v>
      </c>
      <c r="I23" t="s">
        <v>1256</v>
      </c>
      <c r="J23" t="s">
        <v>1240</v>
      </c>
      <c r="K23" s="266">
        <f t="shared" si="0"/>
        <v>44.855230094438269</v>
      </c>
      <c r="W23" s="261">
        <f>'Preliminary results'!$C$31*1000000*I3</f>
        <v>902060.73048874759</v>
      </c>
      <c r="X23" s="202">
        <f>VLOOKUP($C23,'MSET pivots'!$B$4:$H$14,$H$3,FALSE)*1000000*$I$3*'MSET pivots'!E$65</f>
        <v>1495196.7639841852</v>
      </c>
      <c r="Y23" s="202">
        <f>VLOOKUP($C23,'MSET pivots'!$B$4:$H$14,$H$3,FALSE)*1000000*$I$3*'MSET pivots'!F$65</f>
        <v>1708789.8938382375</v>
      </c>
      <c r="Z23" s="202">
        <f>VLOOKUP($C23,'MSET pivots'!$B$4:$H$14,$H$3,FALSE)*1000000*$I$3*'MSET pivots'!G$65</f>
        <v>1922383.0236922896</v>
      </c>
      <c r="AA23" s="202">
        <f>VLOOKUP($C23,'MSET pivots'!$B$4:$H$14,$H$3,FALSE)*1000000*$I$3*'MSET pivots'!H$65</f>
        <v>2135976.1535463422</v>
      </c>
      <c r="AB23" s="202">
        <f>VLOOKUP($C23,'MSET pivots'!$B$4:$H$14,$H$3,FALSE)*1000000*$I$3*'MSET pivots'!I$65</f>
        <v>2349569.283400394</v>
      </c>
      <c r="AC23" s="202">
        <f>VLOOKUP($C23,'MSET pivots'!$B$4:$H$14,$H$3,FALSE)*1000000*$I$3*'MSET pivots'!J$65</f>
        <v>2563162.4132544464</v>
      </c>
      <c r="AD23" s="202">
        <f>VLOOKUP($C23,'MSET pivots'!$B$4:$H$14,$H$3,FALSE)*1000000*$I$3*'MSET pivots'!K$65</f>
        <v>2776755.5431084987</v>
      </c>
      <c r="AE23" s="202">
        <f>VLOOKUP($C23,'MSET pivots'!$B$4:$H$14,$H$3,FALSE)*1000000*$I$3*'MSET pivots'!L$65</f>
        <v>2990348.6729625505</v>
      </c>
      <c r="AF23" s="202">
        <f>VLOOKUP($C23,'MSET pivots'!$B$4:$H$14,$H$3,FALSE)*1000000*$I$3*'MSET pivots'!M$65</f>
        <v>3203941.8028166029</v>
      </c>
      <c r="AG23" s="202">
        <f>VLOOKUP($C23,'MSET pivots'!$B$4:$H$14,$H$3,FALSE)*1000000*$I$3*'MSET pivots'!N$65</f>
        <v>3417534.9326706547</v>
      </c>
      <c r="AH23" s="202">
        <f>VLOOKUP($C23,'MSET pivots'!$B$4:$H$14,$H$3,FALSE)*1000000*$I$3*'MSET pivots'!O$65</f>
        <v>3631128.0625247066</v>
      </c>
      <c r="AI23" s="202">
        <f>VLOOKUP($C23,'MSET pivots'!$B$4:$H$14,$H$3,FALSE)*1000000*$I$3*'MSET pivots'!P$65</f>
        <v>3844721.1923787585</v>
      </c>
      <c r="AJ23" s="202">
        <f>VLOOKUP($C23,'MSET pivots'!$B$4:$H$14,$H$3,FALSE)*1000000*$I$3*'MSET pivots'!Q$65</f>
        <v>4058314.3222328108</v>
      </c>
      <c r="AK23" s="202">
        <f>VLOOKUP($C23,'MSET pivots'!$B$4:$H$14,$H$3,FALSE)*1000000*$I$3*'MSET pivots'!R$65</f>
        <v>4271907.4520868622</v>
      </c>
      <c r="AL23" s="202">
        <f>VLOOKUP($C23,'MSET pivots'!$B$4:$H$14,$H$3,FALSE)*1000000*$I$3*'MSET pivots'!S$65</f>
        <v>4485500.5819409164</v>
      </c>
    </row>
    <row r="24" spans="1:38" x14ac:dyDescent="0.3">
      <c r="A24" s="180"/>
      <c r="B24" s="180"/>
      <c r="C24" s="179" t="s">
        <v>1054</v>
      </c>
      <c r="D24" s="180"/>
      <c r="E24" s="179" t="s">
        <v>1054</v>
      </c>
      <c r="F24" s="180" t="s">
        <v>1232</v>
      </c>
      <c r="G24" s="180" t="s">
        <v>1232</v>
      </c>
      <c r="H24" s="180" t="s">
        <v>1255</v>
      </c>
      <c r="I24" s="180" t="s">
        <v>1256</v>
      </c>
      <c r="J24" s="181" t="s">
        <v>1234</v>
      </c>
      <c r="K24" s="231">
        <f t="shared" ref="K24:K29" si="1">SUM(X24:AL24)</f>
        <v>-3.7241154513313279E-2</v>
      </c>
      <c r="L24" s="180"/>
      <c r="M24" s="180"/>
      <c r="N24" s="180"/>
      <c r="O24" s="180"/>
      <c r="P24" s="180"/>
      <c r="Q24" s="180"/>
      <c r="R24" s="180"/>
      <c r="S24" s="180"/>
      <c r="T24" s="180"/>
      <c r="U24" s="180"/>
      <c r="V24" s="180"/>
      <c r="W24" s="180"/>
      <c r="X24" s="203">
        <f>VLOOKUP($C24,'MSET pivots'!$J$4:$P$14,'Final demand(4)'!$H$3,FALSE)*'MSET pivots'!E$65</f>
        <v>-1.241390437594597E-3</v>
      </c>
      <c r="Y24" s="203">
        <f>VLOOKUP($C24,'MSET pivots'!$J$4:$P$14,'Final demand(4)'!$H$3,FALSE)*'MSET pivots'!F$65</f>
        <v>-1.4187266085412098E-3</v>
      </c>
      <c r="Z24" s="203">
        <f>VLOOKUP($C24,'MSET pivots'!$J$4:$P$14,'Final demand(4)'!$H$3,FALSE)*'MSET pivots'!G$65</f>
        <v>-1.5960627794878225E-3</v>
      </c>
      <c r="AA24" s="203">
        <f>VLOOKUP($C24,'MSET pivots'!$J$4:$P$14,'Final demand(4)'!$H$3,FALSE)*'MSET pivots'!H$65</f>
        <v>-1.7733989504344352E-3</v>
      </c>
      <c r="AB24" s="203">
        <f>VLOOKUP($C24,'MSET pivots'!$J$4:$P$14,'Final demand(4)'!$H$3,FALSE)*'MSET pivots'!I$65</f>
        <v>-1.9507351213810479E-3</v>
      </c>
      <c r="AC24" s="203">
        <f>VLOOKUP($C24,'MSET pivots'!$J$4:$P$14,'Final demand(4)'!$H$3,FALSE)*'MSET pivots'!J$65</f>
        <v>-2.1280712923276604E-3</v>
      </c>
      <c r="AD24" s="203">
        <f>VLOOKUP($C24,'MSET pivots'!$J$4:$P$14,'Final demand(4)'!$H$3,FALSE)*'MSET pivots'!K$65</f>
        <v>-2.3054074632742733E-3</v>
      </c>
      <c r="AE24" s="203">
        <f>VLOOKUP($C24,'MSET pivots'!$J$4:$P$14,'Final demand(4)'!$H$3,FALSE)*'MSET pivots'!L$65</f>
        <v>-2.4827436342208858E-3</v>
      </c>
      <c r="AF24" s="203">
        <f>VLOOKUP($C24,'MSET pivots'!$J$4:$P$14,'Final demand(4)'!$H$3,FALSE)*'MSET pivots'!M$65</f>
        <v>-2.6600798051674983E-3</v>
      </c>
      <c r="AG24" s="203">
        <f>VLOOKUP($C24,'MSET pivots'!$J$4:$P$14,'Final demand(4)'!$H$3,FALSE)*'MSET pivots'!N$65</f>
        <v>-2.8374159761141104E-3</v>
      </c>
      <c r="AH24" s="203">
        <f>VLOOKUP($C24,'MSET pivots'!$J$4:$P$14,'Final demand(4)'!$H$3,FALSE)*'MSET pivots'!O$65</f>
        <v>-3.0147521470607229E-3</v>
      </c>
      <c r="AI24" s="203">
        <f>VLOOKUP($C24,'MSET pivots'!$J$4:$P$14,'Final demand(4)'!$H$3,FALSE)*'MSET pivots'!P$65</f>
        <v>-3.1920883180073354E-3</v>
      </c>
      <c r="AJ24" s="203">
        <f>VLOOKUP($C24,'MSET pivots'!$J$4:$P$14,'Final demand(4)'!$H$3,FALSE)*'MSET pivots'!Q$65</f>
        <v>-3.3694244889539478E-3</v>
      </c>
      <c r="AK24" s="203">
        <f>VLOOKUP($C24,'MSET pivots'!$J$4:$P$14,'Final demand(4)'!$H$3,FALSE)*'MSET pivots'!R$65</f>
        <v>-3.5467606599005603E-3</v>
      </c>
      <c r="AL24" s="203">
        <f>VLOOKUP($C24,'MSET pivots'!$J$4:$P$14,'Final demand(4)'!$H$3,FALSE)*'MSET pivots'!S$65</f>
        <v>-3.7240968308471741E-3</v>
      </c>
    </row>
    <row r="25" spans="1:38" x14ac:dyDescent="0.3">
      <c r="A25" s="180"/>
      <c r="B25" s="180"/>
      <c r="C25" s="179" t="s">
        <v>1011</v>
      </c>
      <c r="D25" s="180"/>
      <c r="E25" s="179" t="s">
        <v>1011</v>
      </c>
      <c r="F25" s="180" t="s">
        <v>1232</v>
      </c>
      <c r="G25" s="180" t="s">
        <v>1232</v>
      </c>
      <c r="H25" s="180" t="s">
        <v>1255</v>
      </c>
      <c r="I25" s="180" t="s">
        <v>1256</v>
      </c>
      <c r="J25" s="181" t="s">
        <v>1234</v>
      </c>
      <c r="K25" s="231">
        <f t="shared" si="1"/>
        <v>-1.9179201284946865E-2</v>
      </c>
      <c r="L25" s="180"/>
      <c r="M25" s="180"/>
      <c r="N25" s="180"/>
      <c r="O25" s="180"/>
      <c r="P25" s="180"/>
      <c r="Q25" s="180"/>
      <c r="R25" s="180"/>
      <c r="S25" s="180"/>
      <c r="T25" s="180"/>
      <c r="U25" s="180"/>
      <c r="V25" s="180"/>
      <c r="W25" s="180"/>
      <c r="X25" s="203">
        <f>VLOOKUP($C25,'MSET pivots'!$J$4:$P$14,'Final demand(4)'!$H$3,FALSE)*'MSET pivots'!E$65</f>
        <v>-6.3931629905092358E-4</v>
      </c>
      <c r="Y25" s="203">
        <f>VLOOKUP($C25,'MSET pivots'!$J$4:$P$14,'Final demand(4)'!$H$3,FALSE)*'MSET pivots'!F$65</f>
        <v>-7.3064445904314282E-4</v>
      </c>
      <c r="Z25" s="203">
        <f>VLOOKUP($C25,'MSET pivots'!$J$4:$P$14,'Final demand(4)'!$H$3,FALSE)*'MSET pivots'!G$65</f>
        <v>-8.2197261903536195E-4</v>
      </c>
      <c r="AA25" s="203">
        <f>VLOOKUP($C25,'MSET pivots'!$J$4:$P$14,'Final demand(4)'!$H$3,FALSE)*'MSET pivots'!H$65</f>
        <v>-9.1330077902758119E-4</v>
      </c>
      <c r="AB25" s="203">
        <f>VLOOKUP($C25,'MSET pivots'!$J$4:$P$14,'Final demand(4)'!$H$3,FALSE)*'MSET pivots'!I$65</f>
        <v>-1.0046289390198003E-3</v>
      </c>
      <c r="AC25" s="203">
        <f>VLOOKUP($C25,'MSET pivots'!$J$4:$P$14,'Final demand(4)'!$H$3,FALSE)*'MSET pivots'!J$65</f>
        <v>-1.0959570990120196E-3</v>
      </c>
      <c r="AD25" s="203">
        <f>VLOOKUP($C25,'MSET pivots'!$J$4:$P$14,'Final demand(4)'!$H$3,FALSE)*'MSET pivots'!K$65</f>
        <v>-1.1872852590042388E-3</v>
      </c>
      <c r="AE25" s="203">
        <f>VLOOKUP($C25,'MSET pivots'!$J$4:$P$14,'Final demand(4)'!$H$3,FALSE)*'MSET pivots'!L$65</f>
        <v>-1.2786134189964578E-3</v>
      </c>
      <c r="AF25" s="203">
        <f>VLOOKUP($C25,'MSET pivots'!$J$4:$P$14,'Final demand(4)'!$H$3,FALSE)*'MSET pivots'!M$65</f>
        <v>-1.3699415789886768E-3</v>
      </c>
      <c r="AG25" s="203">
        <f>VLOOKUP($C25,'MSET pivots'!$J$4:$P$14,'Final demand(4)'!$H$3,FALSE)*'MSET pivots'!N$65</f>
        <v>-1.4612697389808959E-3</v>
      </c>
      <c r="AH25" s="203">
        <f>VLOOKUP($C25,'MSET pivots'!$J$4:$P$14,'Final demand(4)'!$H$3,FALSE)*'MSET pivots'!O$65</f>
        <v>-1.5525978989731149E-3</v>
      </c>
      <c r="AI25" s="203">
        <f>VLOOKUP($C25,'MSET pivots'!$J$4:$P$14,'Final demand(4)'!$H$3,FALSE)*'MSET pivots'!P$65</f>
        <v>-1.6439260589653339E-3</v>
      </c>
      <c r="AJ25" s="203">
        <f>VLOOKUP($C25,'MSET pivots'!$J$4:$P$14,'Final demand(4)'!$H$3,FALSE)*'MSET pivots'!Q$65</f>
        <v>-1.7352542189575531E-3</v>
      </c>
      <c r="AK25" s="203">
        <f>VLOOKUP($C25,'MSET pivots'!$J$4:$P$14,'Final demand(4)'!$H$3,FALSE)*'MSET pivots'!R$65</f>
        <v>-1.8265823789497722E-3</v>
      </c>
      <c r="AL25" s="203">
        <f>VLOOKUP($C25,'MSET pivots'!$J$4:$P$14,'Final demand(4)'!$H$3,FALSE)*'MSET pivots'!S$65</f>
        <v>-1.9179105389419918E-3</v>
      </c>
    </row>
    <row r="26" spans="1:38" x14ac:dyDescent="0.3">
      <c r="A26" s="180"/>
      <c r="B26" s="180"/>
      <c r="C26" s="179" t="s">
        <v>1053</v>
      </c>
      <c r="D26" s="180"/>
      <c r="E26" s="179" t="s">
        <v>1053</v>
      </c>
      <c r="F26" s="180" t="s">
        <v>1232</v>
      </c>
      <c r="G26" s="180" t="s">
        <v>1232</v>
      </c>
      <c r="H26" s="180" t="s">
        <v>1255</v>
      </c>
      <c r="I26" s="180" t="s">
        <v>1256</v>
      </c>
      <c r="J26" s="181" t="s">
        <v>1234</v>
      </c>
      <c r="K26" s="231">
        <f t="shared" si="1"/>
        <v>-3.9847266599439247E-2</v>
      </c>
      <c r="L26" s="180"/>
      <c r="M26" s="180"/>
      <c r="N26" s="180"/>
      <c r="O26" s="180"/>
      <c r="P26" s="180"/>
      <c r="Q26" s="180"/>
      <c r="R26" s="180"/>
      <c r="S26" s="180"/>
      <c r="T26" s="180"/>
      <c r="U26" s="180"/>
      <c r="V26" s="180"/>
      <c r="W26" s="180"/>
      <c r="X26" s="203">
        <f>VLOOKUP($C26,'MSET pivots'!$J$4:$P$14,'Final demand(4)'!$H$3,FALSE)*'MSET pivots'!E$65</f>
        <v>-1.3282621435149904E-3</v>
      </c>
      <c r="Y26" s="203">
        <f>VLOOKUP($C26,'MSET pivots'!$J$4:$P$14,'Final demand(4)'!$H$3,FALSE)*'MSET pivots'!F$65</f>
        <v>-1.5180081858646513E-3</v>
      </c>
      <c r="Z26" s="203">
        <f>VLOOKUP($C26,'MSET pivots'!$J$4:$P$14,'Final demand(4)'!$H$3,FALSE)*'MSET pivots'!G$65</f>
        <v>-1.7077542282143124E-3</v>
      </c>
      <c r="AA26" s="203">
        <f>VLOOKUP($C26,'MSET pivots'!$J$4:$P$14,'Final demand(4)'!$H$3,FALSE)*'MSET pivots'!H$65</f>
        <v>-1.8975002705639732E-3</v>
      </c>
      <c r="AB26" s="203">
        <f>VLOOKUP($C26,'MSET pivots'!$J$4:$P$14,'Final demand(4)'!$H$3,FALSE)*'MSET pivots'!I$65</f>
        <v>-2.0872463129136343E-3</v>
      </c>
      <c r="AC26" s="203">
        <f>VLOOKUP($C26,'MSET pivots'!$J$4:$P$14,'Final demand(4)'!$H$3,FALSE)*'MSET pivots'!J$65</f>
        <v>-2.2769923552632952E-3</v>
      </c>
      <c r="AD26" s="203">
        <f>VLOOKUP($C26,'MSET pivots'!$J$4:$P$14,'Final demand(4)'!$H$3,FALSE)*'MSET pivots'!K$65</f>
        <v>-2.466738397612956E-3</v>
      </c>
      <c r="AE26" s="203">
        <f>VLOOKUP($C26,'MSET pivots'!$J$4:$P$14,'Final demand(4)'!$H$3,FALSE)*'MSET pivots'!L$65</f>
        <v>-2.6564844399626169E-3</v>
      </c>
      <c r="AF26" s="203">
        <f>VLOOKUP($C26,'MSET pivots'!$J$4:$P$14,'Final demand(4)'!$H$3,FALSE)*'MSET pivots'!M$65</f>
        <v>-2.8462304823122773E-3</v>
      </c>
      <c r="AG26" s="203">
        <f>VLOOKUP($C26,'MSET pivots'!$J$4:$P$14,'Final demand(4)'!$H$3,FALSE)*'MSET pivots'!N$65</f>
        <v>-3.0359765246619382E-3</v>
      </c>
      <c r="AH26" s="203">
        <f>VLOOKUP($C26,'MSET pivots'!$J$4:$P$14,'Final demand(4)'!$H$3,FALSE)*'MSET pivots'!O$65</f>
        <v>-3.2257225670115986E-3</v>
      </c>
      <c r="AI26" s="203">
        <f>VLOOKUP($C26,'MSET pivots'!$J$4:$P$14,'Final demand(4)'!$H$3,FALSE)*'MSET pivots'!P$65</f>
        <v>-3.4154686093612594E-3</v>
      </c>
      <c r="AJ26" s="203">
        <f>VLOOKUP($C26,'MSET pivots'!$J$4:$P$14,'Final demand(4)'!$H$3,FALSE)*'MSET pivots'!Q$65</f>
        <v>-3.6052146517109203E-3</v>
      </c>
      <c r="AK26" s="203">
        <f>VLOOKUP($C26,'MSET pivots'!$J$4:$P$14,'Final demand(4)'!$H$3,FALSE)*'MSET pivots'!R$65</f>
        <v>-3.7949606940605807E-3</v>
      </c>
      <c r="AL26" s="203">
        <f>VLOOKUP($C26,'MSET pivots'!$J$4:$P$14,'Final demand(4)'!$H$3,FALSE)*'MSET pivots'!S$65</f>
        <v>-3.9847067364102429E-3</v>
      </c>
    </row>
    <row r="27" spans="1:38" x14ac:dyDescent="0.3">
      <c r="A27" s="180"/>
      <c r="B27" s="180" t="s">
        <v>317</v>
      </c>
      <c r="C27" s="180" t="s">
        <v>1046</v>
      </c>
      <c r="D27" s="180"/>
      <c r="E27" s="180" t="s">
        <v>1046</v>
      </c>
      <c r="F27" s="180" t="s">
        <v>1232</v>
      </c>
      <c r="G27" s="180" t="s">
        <v>1232</v>
      </c>
      <c r="H27" s="180" t="s">
        <v>1255</v>
      </c>
      <c r="I27" s="180" t="s">
        <v>1256</v>
      </c>
      <c r="J27" s="181" t="s">
        <v>1234</v>
      </c>
      <c r="K27" s="231">
        <f t="shared" si="1"/>
        <v>-2.9015000271246049E-2</v>
      </c>
      <c r="L27" s="180"/>
      <c r="M27" s="180"/>
      <c r="N27" s="180"/>
      <c r="O27" s="180"/>
      <c r="P27" s="180"/>
      <c r="Q27" s="180"/>
      <c r="R27" s="180"/>
      <c r="S27" s="180"/>
      <c r="T27" s="180"/>
      <c r="U27" s="180"/>
      <c r="V27" s="180"/>
      <c r="W27" s="204">
        <f>('Preliminary results'!$C$31)/'Baseline govt spend'!$E$51</f>
        <v>6.6729533221219594E-4</v>
      </c>
      <c r="X27" s="203">
        <f>VLOOKUP($C27,'MSET pivots'!$J$4:$P$14,'Final demand(4)'!$H$3,FALSE)*'MSET pivots'!E$65</f>
        <v>-9.6718118313580015E-4</v>
      </c>
      <c r="Y27" s="203">
        <f>VLOOKUP($C27,'MSET pivots'!$J$4:$P$14,'Final demand(4)'!$H$3,FALSE)*'MSET pivots'!F$65</f>
        <v>-1.1053457786044578E-3</v>
      </c>
      <c r="Z27" s="203">
        <f>VLOOKUP($C27,'MSET pivots'!$J$4:$P$14,'Final demand(4)'!$H$3,FALSE)*'MSET pivots'!G$65</f>
        <v>-1.2435103740731156E-3</v>
      </c>
      <c r="AA27" s="203">
        <f>VLOOKUP($C27,'MSET pivots'!$J$4:$P$14,'Final demand(4)'!$H$3,FALSE)*'MSET pivots'!H$65</f>
        <v>-1.3816749695417731E-3</v>
      </c>
      <c r="AB27" s="203">
        <f>VLOOKUP($C27,'MSET pivots'!$J$4:$P$14,'Final demand(4)'!$H$3,FALSE)*'MSET pivots'!I$65</f>
        <v>-1.5198395650104306E-3</v>
      </c>
      <c r="AC27" s="203">
        <f>VLOOKUP($C27,'MSET pivots'!$J$4:$P$14,'Final demand(4)'!$H$3,FALSE)*'MSET pivots'!J$65</f>
        <v>-1.6580041604790884E-3</v>
      </c>
      <c r="AD27" s="203">
        <f>VLOOKUP($C27,'MSET pivots'!$J$4:$P$14,'Final demand(4)'!$H$3,FALSE)*'MSET pivots'!K$65</f>
        <v>-1.7961687559477459E-3</v>
      </c>
      <c r="AE27" s="203">
        <f>VLOOKUP($C27,'MSET pivots'!$J$4:$P$14,'Final demand(4)'!$H$3,FALSE)*'MSET pivots'!L$65</f>
        <v>-1.9343333514164035E-3</v>
      </c>
      <c r="AF27" s="203">
        <f>VLOOKUP($C27,'MSET pivots'!$J$4:$P$14,'Final demand(4)'!$H$3,FALSE)*'MSET pivots'!M$65</f>
        <v>-2.0724979468850608E-3</v>
      </c>
      <c r="AG27" s="203">
        <f>VLOOKUP($C27,'MSET pivots'!$J$4:$P$14,'Final demand(4)'!$H$3,FALSE)*'MSET pivots'!N$65</f>
        <v>-2.2106625423537183E-3</v>
      </c>
      <c r="AH27" s="203">
        <f>VLOOKUP($C27,'MSET pivots'!$J$4:$P$14,'Final demand(4)'!$H$3,FALSE)*'MSET pivots'!O$65</f>
        <v>-2.3488271378223759E-3</v>
      </c>
      <c r="AI27" s="203">
        <f>VLOOKUP($C27,'MSET pivots'!$J$4:$P$14,'Final demand(4)'!$H$3,FALSE)*'MSET pivots'!P$65</f>
        <v>-2.486991733291033E-3</v>
      </c>
      <c r="AJ27" s="203">
        <f>VLOOKUP($C27,'MSET pivots'!$J$4:$P$14,'Final demand(4)'!$H$3,FALSE)*'MSET pivots'!Q$65</f>
        <v>-2.6251563287596905E-3</v>
      </c>
      <c r="AK27" s="203">
        <f>VLOOKUP($C27,'MSET pivots'!$J$4:$P$14,'Final demand(4)'!$H$3,FALSE)*'MSET pivots'!R$65</f>
        <v>-2.763320924228348E-3</v>
      </c>
      <c r="AL27" s="203">
        <f>VLOOKUP($C27,'MSET pivots'!$J$4:$P$14,'Final demand(4)'!$H$3,FALSE)*'MSET pivots'!S$65</f>
        <v>-2.9014855196970064E-3</v>
      </c>
    </row>
    <row r="28" spans="1:38" x14ac:dyDescent="0.3">
      <c r="A28" s="180"/>
      <c r="B28" s="180"/>
      <c r="C28" s="179" t="s">
        <v>1056</v>
      </c>
      <c r="D28" s="180"/>
      <c r="E28" s="179" t="s">
        <v>1056</v>
      </c>
      <c r="F28" s="180" t="s">
        <v>1232</v>
      </c>
      <c r="G28" s="180" t="s">
        <v>1232</v>
      </c>
      <c r="H28" s="180" t="s">
        <v>1255</v>
      </c>
      <c r="I28" s="180" t="s">
        <v>1256</v>
      </c>
      <c r="J28" s="181" t="s">
        <v>1234</v>
      </c>
      <c r="K28" s="231">
        <f t="shared" si="1"/>
        <v>-1.0108116092877784E-2</v>
      </c>
      <c r="L28" s="180"/>
      <c r="M28" s="180"/>
      <c r="N28" s="180"/>
      <c r="O28" s="180"/>
      <c r="P28" s="180"/>
      <c r="Q28" s="180"/>
      <c r="R28" s="180"/>
      <c r="S28" s="180"/>
      <c r="T28" s="180"/>
      <c r="U28" s="180"/>
      <c r="V28" s="180"/>
      <c r="W28" s="180"/>
      <c r="X28" s="203">
        <f>VLOOKUP($C28,'MSET pivots'!$J$4:$P$14,'Final demand(4)'!$H$3,FALSE)*'MSET pivots'!E$65</f>
        <v>-3.3694225712870246E-4</v>
      </c>
      <c r="Y28" s="203">
        <f>VLOOKUP($C28,'MSET pivots'!$J$4:$P$14,'Final demand(4)'!$H$3,FALSE)*'MSET pivots'!F$65</f>
        <v>-3.8507542128058103E-4</v>
      </c>
      <c r="Z28" s="203">
        <f>VLOOKUP($C28,'MSET pivots'!$J$4:$P$14,'Final demand(4)'!$H$3,FALSE)*'MSET pivots'!G$65</f>
        <v>-4.3320858543245959E-4</v>
      </c>
      <c r="AA28" s="203">
        <f>VLOOKUP($C28,'MSET pivots'!$J$4:$P$14,'Final demand(4)'!$H$3,FALSE)*'MSET pivots'!H$65</f>
        <v>-4.8134174958433816E-4</v>
      </c>
      <c r="AB28" s="203">
        <f>VLOOKUP($C28,'MSET pivots'!$J$4:$P$14,'Final demand(4)'!$H$3,FALSE)*'MSET pivots'!I$65</f>
        <v>-5.2947491373621673E-4</v>
      </c>
      <c r="AC28" s="203">
        <f>VLOOKUP($C28,'MSET pivots'!$J$4:$P$14,'Final demand(4)'!$H$3,FALSE)*'MSET pivots'!J$65</f>
        <v>-5.7760807788809535E-4</v>
      </c>
      <c r="AD28" s="203">
        <f>VLOOKUP($C28,'MSET pivots'!$J$4:$P$14,'Final demand(4)'!$H$3,FALSE)*'MSET pivots'!K$65</f>
        <v>-6.2574124203997386E-4</v>
      </c>
      <c r="AE28" s="203">
        <f>VLOOKUP($C28,'MSET pivots'!$J$4:$P$14,'Final demand(4)'!$H$3,FALSE)*'MSET pivots'!L$65</f>
        <v>-6.7387440619185238E-4</v>
      </c>
      <c r="AF28" s="203">
        <f>VLOOKUP($C28,'MSET pivots'!$J$4:$P$14,'Final demand(4)'!$H$3,FALSE)*'MSET pivots'!M$65</f>
        <v>-7.2200757034373089E-4</v>
      </c>
      <c r="AG28" s="203">
        <f>VLOOKUP($C28,'MSET pivots'!$J$4:$P$14,'Final demand(4)'!$H$3,FALSE)*'MSET pivots'!N$65</f>
        <v>-7.701407344956094E-4</v>
      </c>
      <c r="AH28" s="203">
        <f>VLOOKUP($C28,'MSET pivots'!$J$4:$P$14,'Final demand(4)'!$H$3,FALSE)*'MSET pivots'!O$65</f>
        <v>-8.1827389864748792E-4</v>
      </c>
      <c r="AI28" s="203">
        <f>VLOOKUP($C28,'MSET pivots'!$J$4:$P$14,'Final demand(4)'!$H$3,FALSE)*'MSET pivots'!P$65</f>
        <v>-8.6640706279936643E-4</v>
      </c>
      <c r="AJ28" s="203">
        <f>VLOOKUP($C28,'MSET pivots'!$J$4:$P$14,'Final demand(4)'!$H$3,FALSE)*'MSET pivots'!Q$65</f>
        <v>-9.1454022695124483E-4</v>
      </c>
      <c r="AK28" s="203">
        <f>VLOOKUP($C28,'MSET pivots'!$J$4:$P$14,'Final demand(4)'!$H$3,FALSE)*'MSET pivots'!R$65</f>
        <v>-9.6267339110312335E-4</v>
      </c>
      <c r="AL28" s="203">
        <f>VLOOKUP($C28,'MSET pivots'!$J$4:$P$14,'Final demand(4)'!$H$3,FALSE)*'MSET pivots'!S$65</f>
        <v>-1.0108065552550023E-3</v>
      </c>
    </row>
    <row r="29" spans="1:38" x14ac:dyDescent="0.3">
      <c r="A29" s="180"/>
      <c r="B29" s="180"/>
      <c r="C29" s="179" t="s">
        <v>861</v>
      </c>
      <c r="D29" s="180"/>
      <c r="E29" s="179" t="s">
        <v>861</v>
      </c>
      <c r="F29" s="180" t="s">
        <v>1232</v>
      </c>
      <c r="G29" s="180" t="s">
        <v>1232</v>
      </c>
      <c r="H29" s="180" t="s">
        <v>1255</v>
      </c>
      <c r="I29" s="180" t="s">
        <v>1256</v>
      </c>
      <c r="J29" s="181" t="s">
        <v>1234</v>
      </c>
      <c r="K29" s="231">
        <f t="shared" si="1"/>
        <v>-8.0540344616687742E-2</v>
      </c>
      <c r="L29" s="180"/>
      <c r="M29" s="180"/>
      <c r="N29" s="180"/>
      <c r="O29" s="180"/>
      <c r="P29" s="180"/>
      <c r="Q29" s="180"/>
      <c r="R29" s="180"/>
      <c r="S29" s="180"/>
      <c r="T29" s="180"/>
      <c r="U29" s="180"/>
      <c r="V29" s="180"/>
      <c r="W29" s="180"/>
      <c r="X29" s="203">
        <f>VLOOKUP($C29,'MSET pivots'!$J$4:$P$14,'Final demand(4)'!$H$3,FALSE)*'MSET pivots'!E$65</f>
        <v>-2.6847184238605504E-3</v>
      </c>
      <c r="Y29" s="203">
        <f>VLOOKUP($C29,'MSET pivots'!$J$4:$P$14,'Final demand(4)'!$H$3,FALSE)*'MSET pivots'!F$65</f>
        <v>-3.0682381215632122E-3</v>
      </c>
      <c r="Z29" s="203">
        <f>VLOOKUP($C29,'MSET pivots'!$J$4:$P$14,'Final demand(4)'!$H$3,FALSE)*'MSET pivots'!G$65</f>
        <v>-3.4517578192658741E-3</v>
      </c>
      <c r="AA29" s="203">
        <f>VLOOKUP($C29,'MSET pivots'!$J$4:$P$14,'Final demand(4)'!$H$3,FALSE)*'MSET pivots'!H$65</f>
        <v>-3.8352775169685363E-3</v>
      </c>
      <c r="AB29" s="203">
        <f>VLOOKUP($C29,'MSET pivots'!$J$4:$P$14,'Final demand(4)'!$H$3,FALSE)*'MSET pivots'!I$65</f>
        <v>-4.2187972146711982E-3</v>
      </c>
      <c r="AC29" s="203">
        <f>VLOOKUP($C29,'MSET pivots'!$J$4:$P$14,'Final demand(4)'!$H$3,FALSE)*'MSET pivots'!J$65</f>
        <v>-4.60231691237386E-3</v>
      </c>
      <c r="AD29" s="203">
        <f>VLOOKUP($C29,'MSET pivots'!$J$4:$P$14,'Final demand(4)'!$H$3,FALSE)*'MSET pivots'!K$65</f>
        <v>-4.9858366100765219E-3</v>
      </c>
      <c r="AE29" s="203">
        <f>VLOOKUP($C29,'MSET pivots'!$J$4:$P$14,'Final demand(4)'!$H$3,FALSE)*'MSET pivots'!L$65</f>
        <v>-5.3693563077791837E-3</v>
      </c>
      <c r="AF29" s="203">
        <f>VLOOKUP($C29,'MSET pivots'!$J$4:$P$14,'Final demand(4)'!$H$3,FALSE)*'MSET pivots'!M$65</f>
        <v>-5.7528760054818447E-3</v>
      </c>
      <c r="AG29" s="203">
        <f>VLOOKUP($C29,'MSET pivots'!$J$4:$P$14,'Final demand(4)'!$H$3,FALSE)*'MSET pivots'!N$65</f>
        <v>-6.1363957031845065E-3</v>
      </c>
      <c r="AH29" s="203">
        <f>VLOOKUP($C29,'MSET pivots'!$J$4:$P$14,'Final demand(4)'!$H$3,FALSE)*'MSET pivots'!O$65</f>
        <v>-6.5199154008871675E-3</v>
      </c>
      <c r="AI29" s="203">
        <f>VLOOKUP($C29,'MSET pivots'!$J$4:$P$14,'Final demand(4)'!$H$3,FALSE)*'MSET pivots'!P$65</f>
        <v>-6.9034350985898293E-3</v>
      </c>
      <c r="AJ29" s="203">
        <f>VLOOKUP($C29,'MSET pivots'!$J$4:$P$14,'Final demand(4)'!$H$3,FALSE)*'MSET pivots'!Q$65</f>
        <v>-7.2869547962924903E-3</v>
      </c>
      <c r="AK29" s="203">
        <f>VLOOKUP($C29,'MSET pivots'!$J$4:$P$14,'Final demand(4)'!$H$3,FALSE)*'MSET pivots'!R$65</f>
        <v>-7.6704744939951521E-3</v>
      </c>
      <c r="AL29" s="203">
        <f>VLOOKUP($C29,'MSET pivots'!$J$4:$P$14,'Final demand(4)'!$H$3,FALSE)*'MSET pivots'!S$65</f>
        <v>-8.0539941916978174E-3</v>
      </c>
    </row>
    <row r="30" spans="1:38" x14ac:dyDescent="0.3">
      <c r="J30" s="172"/>
    </row>
    <row r="31" spans="1:38" x14ac:dyDescent="0.3">
      <c r="J31" s="172"/>
    </row>
    <row r="32" spans="1:38" x14ac:dyDescent="0.3">
      <c r="J32" s="172"/>
    </row>
    <row r="33" spans="7:10" x14ac:dyDescent="0.3">
      <c r="J33" s="172"/>
    </row>
    <row r="34" spans="7:10" x14ac:dyDescent="0.3">
      <c r="J34" s="172"/>
    </row>
    <row r="35" spans="7:10" x14ac:dyDescent="0.3">
      <c r="G35" s="94"/>
      <c r="J35" s="172"/>
    </row>
    <row r="36" spans="7:10" x14ac:dyDescent="0.3">
      <c r="G36" s="94"/>
      <c r="J36" s="172"/>
    </row>
    <row r="37" spans="7:10" x14ac:dyDescent="0.3">
      <c r="G37" s="94"/>
      <c r="J37" s="172"/>
    </row>
    <row r="38" spans="7:10" x14ac:dyDescent="0.3">
      <c r="G38" s="94"/>
      <c r="J38" s="172"/>
    </row>
    <row r="39" spans="7:10" x14ac:dyDescent="0.3">
      <c r="G39" s="94"/>
      <c r="J39" s="172"/>
    </row>
    <row r="40" spans="7:10" x14ac:dyDescent="0.3">
      <c r="G40" s="94"/>
      <c r="J40" s="172"/>
    </row>
    <row r="41" spans="7:10" x14ac:dyDescent="0.3">
      <c r="G41" s="94"/>
      <c r="J41" s="172"/>
    </row>
    <row r="42" spans="7:10" x14ac:dyDescent="0.3">
      <c r="G42" t="str">
        <f>_xlfn.IFNA(INDEX('[1]Sector list'!$A$2:$A$122,MATCH(F42,'[1]Sector list'!$B$2:$B$122,0)),"")</f>
        <v/>
      </c>
      <c r="I42" t="str">
        <f>_xlfn.IFNA(INDEX('[1]FD list'!$A$2:$A$122,MATCH(H42,'[1]FD list'!$B$2:$B$122,0)),"")</f>
        <v/>
      </c>
      <c r="J42" s="172"/>
    </row>
    <row r="43" spans="7:10" x14ac:dyDescent="0.3">
      <c r="G43" t="str">
        <f>_xlfn.IFNA(INDEX('[1]Sector list'!$A$2:$A$122,MATCH(F43,'[1]Sector list'!$B$2:$B$122,0)),"")</f>
        <v/>
      </c>
      <c r="I43" t="str">
        <f>_xlfn.IFNA(INDEX('[1]FD list'!$A$2:$A$122,MATCH(H43,'[1]FD list'!$B$2:$B$122,0)),"")</f>
        <v/>
      </c>
      <c r="J43" s="172"/>
    </row>
    <row r="44" spans="7:10" x14ac:dyDescent="0.3">
      <c r="G44" t="str">
        <f>_xlfn.IFNA(INDEX('[1]Sector list'!$A$2:$A$122,MATCH(F44,'[1]Sector list'!$B$2:$B$122,0)),"")</f>
        <v/>
      </c>
      <c r="I44" t="str">
        <f>_xlfn.IFNA(INDEX('[1]FD list'!$A$2:$A$122,MATCH(H44,'[1]FD list'!$B$2:$B$122,0)),"")</f>
        <v/>
      </c>
      <c r="J44" s="172"/>
    </row>
    <row r="45" spans="7:10" x14ac:dyDescent="0.3">
      <c r="G45" t="str">
        <f>_xlfn.IFNA(INDEX('[1]Sector list'!$A$2:$A$122,MATCH(F45,'[1]Sector list'!$B$2:$B$122,0)),"")</f>
        <v/>
      </c>
      <c r="I45" t="str">
        <f>_xlfn.IFNA(INDEX('[1]FD list'!$A$2:$A$122,MATCH(H45,'[1]FD list'!$B$2:$B$122,0)),"")</f>
        <v/>
      </c>
      <c r="J45" s="172"/>
    </row>
    <row r="46" spans="7:10" x14ac:dyDescent="0.3">
      <c r="G46" t="str">
        <f>_xlfn.IFNA(INDEX('[1]Sector list'!$A$2:$A$122,MATCH(F46,'[1]Sector list'!$B$2:$B$122,0)),"")</f>
        <v/>
      </c>
      <c r="I46" t="str">
        <f>_xlfn.IFNA(INDEX('[1]FD list'!$A$2:$A$122,MATCH(H46,'[1]FD list'!$B$2:$B$122,0)),"")</f>
        <v/>
      </c>
      <c r="J46" s="172"/>
    </row>
    <row r="47" spans="7:10" x14ac:dyDescent="0.3">
      <c r="G47" t="str">
        <f>_xlfn.IFNA(INDEX('[1]Sector list'!$A$2:$A$122,MATCH(F47,'[1]Sector list'!$B$2:$B$122,0)),"")</f>
        <v/>
      </c>
      <c r="I47" t="str">
        <f>_xlfn.IFNA(INDEX('[1]FD list'!$A$2:$A$122,MATCH(H47,'[1]FD list'!$B$2:$B$122,0)),"")</f>
        <v/>
      </c>
      <c r="J47" s="172"/>
    </row>
    <row r="48" spans="7:10" x14ac:dyDescent="0.3">
      <c r="G48" t="str">
        <f>_xlfn.IFNA(INDEX('[1]Sector list'!$A$2:$A$122,MATCH(F48,'[1]Sector list'!$B$2:$B$122,0)),"")</f>
        <v/>
      </c>
      <c r="I48" t="str">
        <f>_xlfn.IFNA(INDEX('[1]FD list'!$A$2:$A$122,MATCH(H48,'[1]FD list'!$B$2:$B$122,0)),"")</f>
        <v/>
      </c>
      <c r="J48" s="172"/>
    </row>
    <row r="49" spans="7:10" x14ac:dyDescent="0.3">
      <c r="G49" t="str">
        <f>_xlfn.IFNA(INDEX('[1]Sector list'!$A$2:$A$122,MATCH(F49,'[1]Sector list'!$B$2:$B$122,0)),"")</f>
        <v/>
      </c>
      <c r="I49" t="str">
        <f>_xlfn.IFNA(INDEX('[1]FD list'!$A$2:$A$122,MATCH(H49,'[1]FD list'!$B$2:$B$122,0)),"")</f>
        <v/>
      </c>
      <c r="J49" s="172"/>
    </row>
    <row r="50" spans="7:10" x14ac:dyDescent="0.3">
      <c r="G50" t="str">
        <f>_xlfn.IFNA(INDEX('[1]Sector list'!$A$2:$A$122,MATCH(F50,'[1]Sector list'!$B$2:$B$122,0)),"")</f>
        <v/>
      </c>
      <c r="I50" t="str">
        <f>_xlfn.IFNA(INDEX('[1]FD list'!$A$2:$A$122,MATCH(H50,'[1]FD list'!$B$2:$B$122,0)),"")</f>
        <v/>
      </c>
      <c r="J50" s="172"/>
    </row>
    <row r="51" spans="7:10" x14ac:dyDescent="0.3">
      <c r="G51" t="str">
        <f>_xlfn.IFNA(INDEX('[1]Sector list'!$A$2:$A$122,MATCH(F51,'[1]Sector list'!$B$2:$B$122,0)),"")</f>
        <v/>
      </c>
      <c r="I51" t="str">
        <f>_xlfn.IFNA(INDEX('[1]FD list'!$A$2:$A$122,MATCH(H51,'[1]FD list'!$B$2:$B$122,0)),"")</f>
        <v/>
      </c>
      <c r="J51" s="172"/>
    </row>
    <row r="52" spans="7:10" x14ac:dyDescent="0.3">
      <c r="G52" t="str">
        <f>_xlfn.IFNA(INDEX('[1]Sector list'!$A$2:$A$122,MATCH(F52,'[1]Sector list'!$B$2:$B$122,0)),"")</f>
        <v/>
      </c>
      <c r="I52" t="str">
        <f>_xlfn.IFNA(INDEX('[1]FD list'!$A$2:$A$122,MATCH(H52,'[1]FD list'!$B$2:$B$122,0)),"")</f>
        <v/>
      </c>
      <c r="J52" s="172"/>
    </row>
    <row r="53" spans="7:10" x14ac:dyDescent="0.3">
      <c r="G53" t="str">
        <f>_xlfn.IFNA(INDEX('[1]Sector list'!$A$2:$A$122,MATCH(F53,'[1]Sector list'!$B$2:$B$122,0)),"")</f>
        <v/>
      </c>
      <c r="I53" t="str">
        <f>_xlfn.IFNA(INDEX('[1]FD list'!$A$2:$A$122,MATCH(H53,'[1]FD list'!$B$2:$B$122,0)),"")</f>
        <v/>
      </c>
      <c r="J53" s="172"/>
    </row>
    <row r="54" spans="7:10" x14ac:dyDescent="0.3">
      <c r="G54" t="str">
        <f>_xlfn.IFNA(INDEX('[1]Sector list'!$A$2:$A$122,MATCH(F54,'[1]Sector list'!$B$2:$B$122,0)),"")</f>
        <v/>
      </c>
      <c r="I54" t="str">
        <f>_xlfn.IFNA(INDEX('[1]FD list'!$A$2:$A$122,MATCH(H54,'[1]FD list'!$B$2:$B$122,0)),"")</f>
        <v/>
      </c>
      <c r="J54" s="172"/>
    </row>
    <row r="55" spans="7:10" x14ac:dyDescent="0.3">
      <c r="G55" t="str">
        <f>_xlfn.IFNA(INDEX('[1]Sector list'!$A$2:$A$122,MATCH(F55,'[1]Sector list'!$B$2:$B$122,0)),"")</f>
        <v/>
      </c>
      <c r="I55" t="str">
        <f>_xlfn.IFNA(INDEX('[1]FD list'!$A$2:$A$122,MATCH(H55,'[1]FD list'!$B$2:$B$122,0)),"")</f>
        <v/>
      </c>
      <c r="J55" s="172"/>
    </row>
    <row r="56" spans="7:10" x14ac:dyDescent="0.3">
      <c r="G56" t="str">
        <f>_xlfn.IFNA(INDEX('[1]Sector list'!$A$2:$A$122,MATCH(F56,'[1]Sector list'!$B$2:$B$122,0)),"")</f>
        <v/>
      </c>
      <c r="I56" t="str">
        <f>_xlfn.IFNA(INDEX('[1]FD list'!$A$2:$A$122,MATCH(H56,'[1]FD list'!$B$2:$B$122,0)),"")</f>
        <v/>
      </c>
      <c r="J56" s="172"/>
    </row>
    <row r="57" spans="7:10" x14ac:dyDescent="0.3">
      <c r="G57" t="str">
        <f>_xlfn.IFNA(INDEX('[1]Sector list'!$A$2:$A$122,MATCH(F57,'[1]Sector list'!$B$2:$B$122,0)),"")</f>
        <v/>
      </c>
      <c r="I57" t="str">
        <f>_xlfn.IFNA(INDEX('[1]FD list'!$A$2:$A$122,MATCH(H57,'[1]FD list'!$B$2:$B$122,0)),"")</f>
        <v/>
      </c>
      <c r="J57" s="172"/>
    </row>
    <row r="58" spans="7:10" x14ac:dyDescent="0.3">
      <c r="G58" t="str">
        <f>_xlfn.IFNA(INDEX('[1]Sector list'!$A$2:$A$122,MATCH(F58,'[1]Sector list'!$B$2:$B$122,0)),"")</f>
        <v/>
      </c>
      <c r="I58" t="str">
        <f>_xlfn.IFNA(INDEX('[1]FD list'!$A$2:$A$122,MATCH(H58,'[1]FD list'!$B$2:$B$122,0)),"")</f>
        <v/>
      </c>
      <c r="J58" s="172"/>
    </row>
    <row r="59" spans="7:10" x14ac:dyDescent="0.3">
      <c r="G59" t="str">
        <f>_xlfn.IFNA(INDEX('[1]Sector list'!$A$2:$A$122,MATCH(F59,'[1]Sector list'!$B$2:$B$122,0)),"")</f>
        <v/>
      </c>
      <c r="I59" t="str">
        <f>_xlfn.IFNA(INDEX('[1]FD list'!$A$2:$A$122,MATCH(H59,'[1]FD list'!$B$2:$B$122,0)),"")</f>
        <v/>
      </c>
      <c r="J59" s="172"/>
    </row>
    <row r="60" spans="7:10" x14ac:dyDescent="0.3">
      <c r="G60" t="str">
        <f>_xlfn.IFNA(INDEX('[1]Sector list'!$A$2:$A$122,MATCH(F60,'[1]Sector list'!$B$2:$B$122,0)),"")</f>
        <v/>
      </c>
      <c r="I60" t="str">
        <f>_xlfn.IFNA(INDEX('[1]FD list'!$A$2:$A$122,MATCH(H60,'[1]FD list'!$B$2:$B$122,0)),"")</f>
        <v/>
      </c>
      <c r="J60" s="172"/>
    </row>
    <row r="61" spans="7:10" x14ac:dyDescent="0.3">
      <c r="G61" t="str">
        <f>_xlfn.IFNA(INDEX('[1]Sector list'!$A$2:$A$122,MATCH(F61,'[1]Sector list'!$B$2:$B$122,0)),"")</f>
        <v/>
      </c>
      <c r="I61" t="str">
        <f>_xlfn.IFNA(INDEX('[1]FD list'!$A$2:$A$122,MATCH(H61,'[1]FD list'!$B$2:$B$122,0)),"")</f>
        <v/>
      </c>
      <c r="J61" s="172"/>
    </row>
    <row r="62" spans="7:10" x14ac:dyDescent="0.3">
      <c r="G62" t="str">
        <f>_xlfn.IFNA(INDEX('[1]Sector list'!$A$2:$A$122,MATCH(F62,'[1]Sector list'!$B$2:$B$122,0)),"")</f>
        <v/>
      </c>
      <c r="I62" t="str">
        <f>_xlfn.IFNA(INDEX('[1]FD list'!$A$2:$A$122,MATCH(H62,'[1]FD list'!$B$2:$B$122,0)),"")</f>
        <v/>
      </c>
      <c r="J62" s="172"/>
    </row>
    <row r="63" spans="7:10" x14ac:dyDescent="0.3">
      <c r="G63" t="str">
        <f>_xlfn.IFNA(INDEX('[1]Sector list'!$A$2:$A$122,MATCH(F63,'[1]Sector list'!$B$2:$B$122,0)),"")</f>
        <v/>
      </c>
      <c r="I63" t="str">
        <f>_xlfn.IFNA(INDEX('[1]FD list'!$A$2:$A$122,MATCH(H63,'[1]FD list'!$B$2:$B$122,0)),"")</f>
        <v/>
      </c>
      <c r="J63" s="172"/>
    </row>
    <row r="64" spans="7:10" x14ac:dyDescent="0.3">
      <c r="G64" t="str">
        <f>_xlfn.IFNA(INDEX('[1]Sector list'!$A$2:$A$122,MATCH(F64,'[1]Sector list'!$B$2:$B$122,0)),"")</f>
        <v/>
      </c>
      <c r="I64" t="str">
        <f>_xlfn.IFNA(INDEX('[1]FD list'!$A$2:$A$122,MATCH(H64,'[1]FD list'!$B$2:$B$122,0)),"")</f>
        <v/>
      </c>
      <c r="J64" s="172"/>
    </row>
    <row r="65" spans="7:10" x14ac:dyDescent="0.3">
      <c r="G65" t="str">
        <f>_xlfn.IFNA(INDEX('[1]Sector list'!$A$2:$A$122,MATCH(F65,'[1]Sector list'!$B$2:$B$122,0)),"")</f>
        <v/>
      </c>
      <c r="I65" t="str">
        <f>_xlfn.IFNA(INDEX('[1]FD list'!$A$2:$A$122,MATCH(H65,'[1]FD list'!$B$2:$B$122,0)),"")</f>
        <v/>
      </c>
      <c r="J65" s="172"/>
    </row>
    <row r="66" spans="7:10" x14ac:dyDescent="0.3">
      <c r="G66" t="str">
        <f>_xlfn.IFNA(INDEX('[1]Sector list'!$A$2:$A$122,MATCH(F66,'[1]Sector list'!$B$2:$B$122,0)),"")</f>
        <v/>
      </c>
      <c r="I66" t="str">
        <f>_xlfn.IFNA(INDEX('[1]FD list'!$A$2:$A$122,MATCH(H66,'[1]FD list'!$B$2:$B$122,0)),"")</f>
        <v/>
      </c>
      <c r="J66" s="172"/>
    </row>
    <row r="67" spans="7:10" x14ac:dyDescent="0.3">
      <c r="G67" t="str">
        <f>_xlfn.IFNA(INDEX('[1]Sector list'!$A$2:$A$122,MATCH(F67,'[1]Sector list'!$B$2:$B$122,0)),"")</f>
        <v/>
      </c>
      <c r="I67" t="str">
        <f>_xlfn.IFNA(INDEX('[1]FD list'!$A$2:$A$122,MATCH(H67,'[1]FD list'!$B$2:$B$122,0)),"")</f>
        <v/>
      </c>
      <c r="J67" s="172"/>
    </row>
    <row r="68" spans="7:10" x14ac:dyDescent="0.3">
      <c r="I68" t="str">
        <f>_xlfn.IFNA(INDEX('[1]FD list'!$A$2:$A$122,MATCH(H68,'[1]FD list'!$B$2:$B$122,0)),"")</f>
        <v/>
      </c>
      <c r="J68" s="172"/>
    </row>
    <row r="69" spans="7:10" x14ac:dyDescent="0.3">
      <c r="I69" t="str">
        <f>_xlfn.IFNA(INDEX('[1]FD list'!$A$2:$A$122,MATCH(H69,'[1]FD list'!$B$2:$B$122,0)),"")</f>
        <v/>
      </c>
      <c r="J69" s="172"/>
    </row>
    <row r="70" spans="7:10" x14ac:dyDescent="0.3">
      <c r="I70" t="str">
        <f>_xlfn.IFNA(INDEX('[1]FD list'!$A$2:$A$122,MATCH(H70,'[1]FD list'!$B$2:$B$122,0)),"")</f>
        <v/>
      </c>
      <c r="J70" s="172"/>
    </row>
    <row r="71" spans="7:10" x14ac:dyDescent="0.3">
      <c r="I71" t="str">
        <f>_xlfn.IFNA(INDEX('[1]FD list'!$A$2:$A$122,MATCH(H71,'[1]FD list'!$B$2:$B$122,0)),"")</f>
        <v/>
      </c>
      <c r="J71" s="172"/>
    </row>
    <row r="72" spans="7:10" x14ac:dyDescent="0.3">
      <c r="I72" t="str">
        <f>_xlfn.IFNA(INDEX('[1]FD list'!$A$2:$A$122,MATCH(H72,'[1]FD list'!$B$2:$B$122,0)),"")</f>
        <v/>
      </c>
      <c r="J72" s="172"/>
    </row>
    <row r="73" spans="7:10" x14ac:dyDescent="0.3">
      <c r="I73" t="str">
        <f>_xlfn.IFNA(INDEX('[1]FD list'!$A$2:$A$122,MATCH(H73,'[1]FD list'!$B$2:$B$122,0)),"")</f>
        <v/>
      </c>
      <c r="J73" s="172"/>
    </row>
    <row r="74" spans="7:10" x14ac:dyDescent="0.3">
      <c r="I74" t="str">
        <f>_xlfn.IFNA(INDEX('[1]FD list'!$A$2:$A$122,MATCH(H74,'[1]FD list'!$B$2:$B$122,0)),"")</f>
        <v/>
      </c>
      <c r="J74" s="172"/>
    </row>
    <row r="75" spans="7:10" x14ac:dyDescent="0.3">
      <c r="I75" t="str">
        <f>_xlfn.IFNA(INDEX('[1]FD list'!$A$2:$A$122,MATCH(H75,'[1]FD list'!$B$2:$B$122,0)),"")</f>
        <v/>
      </c>
      <c r="J75" s="172"/>
    </row>
    <row r="76" spans="7:10" x14ac:dyDescent="0.3">
      <c r="I76" t="str">
        <f>_xlfn.IFNA(INDEX('[1]FD list'!$A$2:$A$122,MATCH(H76,'[1]FD list'!$B$2:$B$122,0)),"")</f>
        <v/>
      </c>
      <c r="J76" s="172"/>
    </row>
    <row r="77" spans="7:10" x14ac:dyDescent="0.3">
      <c r="I77" t="str">
        <f>_xlfn.IFNA(INDEX('[1]FD list'!$A$2:$A$122,MATCH(H77,'[1]FD list'!$B$2:$B$122,0)),"")</f>
        <v/>
      </c>
      <c r="J77" s="172"/>
    </row>
    <row r="78" spans="7:10" x14ac:dyDescent="0.3">
      <c r="I78" t="str">
        <f>_xlfn.IFNA(INDEX('[1]FD list'!$A$2:$A$122,MATCH(H78,'[1]FD list'!$B$2:$B$122,0)),"")</f>
        <v/>
      </c>
      <c r="J78" s="172"/>
    </row>
    <row r="79" spans="7:10" x14ac:dyDescent="0.3">
      <c r="I79" t="str">
        <f>_xlfn.IFNA(INDEX('[1]FD list'!$A$2:$A$122,MATCH(H79,'[1]FD list'!$B$2:$B$122,0)),"")</f>
        <v/>
      </c>
      <c r="J79" s="172"/>
    </row>
    <row r="80" spans="7:10" x14ac:dyDescent="0.3">
      <c r="I80" t="str">
        <f>_xlfn.IFNA(INDEX('[1]FD list'!$A$2:$A$122,MATCH(H80,'[1]FD list'!$B$2:$B$122,0)),"")</f>
        <v/>
      </c>
      <c r="J80" s="172"/>
    </row>
    <row r="81" spans="9:10" x14ac:dyDescent="0.3">
      <c r="I81" t="str">
        <f>_xlfn.IFNA(INDEX('[1]FD list'!$A$2:$A$122,MATCH(H81,'[1]FD list'!$B$2:$B$122,0)),"")</f>
        <v/>
      </c>
      <c r="J81" s="172"/>
    </row>
    <row r="82" spans="9:10" x14ac:dyDescent="0.3">
      <c r="I82" t="str">
        <f>_xlfn.IFNA(INDEX('[1]FD list'!$A$2:$A$122,MATCH(H82,'[1]FD list'!$B$2:$B$122,0)),"")</f>
        <v/>
      </c>
      <c r="J82" s="172"/>
    </row>
    <row r="83" spans="9:10" x14ac:dyDescent="0.3">
      <c r="I83" t="str">
        <f>_xlfn.IFNA(INDEX('[1]FD list'!$A$2:$A$122,MATCH(H83,'[1]FD list'!$B$2:$B$122,0)),"")</f>
        <v/>
      </c>
      <c r="J83" s="172"/>
    </row>
    <row r="84" spans="9:10" x14ac:dyDescent="0.3">
      <c r="I84" t="str">
        <f>_xlfn.IFNA(INDEX('[1]FD list'!$A$2:$A$122,MATCH(H84,'[1]FD list'!$B$2:$B$122,0)),"")</f>
        <v/>
      </c>
      <c r="J84" s="172"/>
    </row>
    <row r="85" spans="9:10" x14ac:dyDescent="0.3">
      <c r="I85" t="str">
        <f>_xlfn.IFNA(INDEX('[1]FD list'!$A$2:$A$122,MATCH(H85,'[1]FD list'!$B$2:$B$122,0)),"")</f>
        <v/>
      </c>
      <c r="J85" s="172"/>
    </row>
    <row r="86" spans="9:10" x14ac:dyDescent="0.3">
      <c r="I86" t="str">
        <f>_xlfn.IFNA(INDEX('[1]FD list'!$A$2:$A$122,MATCH(H86,'[1]FD list'!$B$2:$B$122,0)),"")</f>
        <v/>
      </c>
      <c r="J86" s="172"/>
    </row>
    <row r="87" spans="9:10" x14ac:dyDescent="0.3">
      <c r="I87" t="str">
        <f>_xlfn.IFNA(INDEX('[1]FD list'!$A$2:$A$122,MATCH(H87,'[1]FD list'!$B$2:$B$122,0)),"")</f>
        <v/>
      </c>
      <c r="J87" s="172"/>
    </row>
    <row r="88" spans="9:10" x14ac:dyDescent="0.3">
      <c r="I88" t="str">
        <f>_xlfn.IFNA(INDEX('[1]FD list'!$A$2:$A$122,MATCH(H88,'[1]FD list'!$B$2:$B$122,0)),"")</f>
        <v/>
      </c>
      <c r="J88" s="172"/>
    </row>
    <row r="89" spans="9:10" x14ac:dyDescent="0.3">
      <c r="I89" t="str">
        <f>_xlfn.IFNA(INDEX('[1]FD list'!$A$2:$A$122,MATCH(H89,'[1]FD list'!$B$2:$B$122,0)),"")</f>
        <v/>
      </c>
      <c r="J89" s="172"/>
    </row>
    <row r="90" spans="9:10" x14ac:dyDescent="0.3">
      <c r="I90" t="str">
        <f>_xlfn.IFNA(INDEX('[1]FD list'!$A$2:$A$122,MATCH(H90,'[1]FD list'!$B$2:$B$122,0)),"")</f>
        <v/>
      </c>
      <c r="J90" s="172"/>
    </row>
    <row r="91" spans="9:10" x14ac:dyDescent="0.3">
      <c r="I91" t="str">
        <f>_xlfn.IFNA(INDEX('[1]FD list'!$A$2:$A$122,MATCH(H91,'[1]FD list'!$B$2:$B$122,0)),"")</f>
        <v/>
      </c>
      <c r="J91" s="172"/>
    </row>
    <row r="92" spans="9:10" x14ac:dyDescent="0.3">
      <c r="I92" t="str">
        <f>_xlfn.IFNA(INDEX('[1]FD list'!$A$2:$A$122,MATCH(H92,'[1]FD list'!$B$2:$B$122,0)),"")</f>
        <v/>
      </c>
      <c r="J92" s="172"/>
    </row>
    <row r="93" spans="9:10" x14ac:dyDescent="0.3">
      <c r="I93" t="str">
        <f>_xlfn.IFNA(INDEX('[1]FD list'!$A$2:$A$122,MATCH(H93,'[1]FD list'!$B$2:$B$122,0)),"")</f>
        <v/>
      </c>
      <c r="J93" s="172"/>
    </row>
    <row r="94" spans="9:10" x14ac:dyDescent="0.3">
      <c r="I94" t="str">
        <f>_xlfn.IFNA(INDEX('[1]FD list'!$A$2:$A$122,MATCH(H94,'[1]FD list'!$B$2:$B$122,0)),"")</f>
        <v/>
      </c>
      <c r="J94" s="172"/>
    </row>
    <row r="95" spans="9:10" x14ac:dyDescent="0.3">
      <c r="I95" t="str">
        <f>_xlfn.IFNA(INDEX('[1]FD list'!$A$2:$A$122,MATCH(H95,'[1]FD list'!$B$2:$B$122,0)),"")</f>
        <v/>
      </c>
      <c r="J95" s="172"/>
    </row>
    <row r="96" spans="9:10" x14ac:dyDescent="0.3">
      <c r="I96" t="str">
        <f>_xlfn.IFNA(INDEX('[1]Sector list'!$A$2:$A$122,MATCH(H96,'[1]Sector list'!$B$2:$B$122,0)),"")</f>
        <v/>
      </c>
      <c r="J96" s="172"/>
    </row>
    <row r="97" spans="9:10" x14ac:dyDescent="0.3">
      <c r="I97" t="str">
        <f>_xlfn.IFNA(INDEX('[1]Sector list'!$A$2:$A$122,MATCH(H97,'[1]Sector list'!$B$2:$B$122,0)),"")</f>
        <v/>
      </c>
      <c r="J97" s="172"/>
    </row>
    <row r="98" spans="9:10" x14ac:dyDescent="0.3">
      <c r="I98" t="str">
        <f>_xlfn.IFNA(INDEX('[1]Sector list'!$A$2:$A$122,MATCH(H98,'[1]Sector list'!$B$2:$B$122,0)),"")</f>
        <v/>
      </c>
      <c r="J98" s="172"/>
    </row>
    <row r="99" spans="9:10" x14ac:dyDescent="0.3">
      <c r="I99" t="str">
        <f>_xlfn.IFNA(INDEX('[1]Sector list'!$A$2:$A$122,MATCH(H99,'[1]Sector list'!$B$2:$B$122,0)),"")</f>
        <v/>
      </c>
      <c r="J99" s="172"/>
    </row>
    <row r="100" spans="9:10" x14ac:dyDescent="0.3">
      <c r="I100" t="str">
        <f>_xlfn.IFNA(INDEX('[1]Sector list'!$A$2:$A$122,MATCH(H100,'[1]Sector list'!$B$2:$B$122,0)),"")</f>
        <v/>
      </c>
      <c r="J100" s="172"/>
    </row>
    <row r="101" spans="9:10" x14ac:dyDescent="0.3">
      <c r="I101" t="str">
        <f>_xlfn.IFNA(INDEX('[1]Sector list'!$A$2:$A$122,MATCH(H101,'[1]Sector list'!$B$2:$B$122,0)),"")</f>
        <v/>
      </c>
      <c r="J101" s="172"/>
    </row>
    <row r="102" spans="9:10" x14ac:dyDescent="0.3">
      <c r="I102" t="str">
        <f>_xlfn.IFNA(INDEX('[1]Sector list'!$A$2:$A$122,MATCH(H102,'[1]Sector list'!$B$2:$B$122,0)),"")</f>
        <v/>
      </c>
      <c r="J102" s="172"/>
    </row>
    <row r="103" spans="9:10" x14ac:dyDescent="0.3">
      <c r="I103" t="str">
        <f>_xlfn.IFNA(INDEX('[1]Sector list'!$A$2:$A$122,MATCH(H103,'[1]Sector list'!$B$2:$B$122,0)),"")</f>
        <v/>
      </c>
      <c r="J103" s="172"/>
    </row>
    <row r="104" spans="9:10" x14ac:dyDescent="0.3">
      <c r="I104" t="str">
        <f>_xlfn.IFNA(INDEX('[1]Sector list'!$A$2:$A$122,MATCH(H104,'[1]Sector list'!$B$2:$B$122,0)),"")</f>
        <v/>
      </c>
      <c r="J104" s="172"/>
    </row>
    <row r="105" spans="9:10" x14ac:dyDescent="0.3">
      <c r="I105" t="str">
        <f>_xlfn.IFNA(INDEX('[1]Sector list'!$A$2:$A$122,MATCH(H105,'[1]Sector list'!$B$2:$B$122,0)),"")</f>
        <v/>
      </c>
      <c r="J105" s="172"/>
    </row>
    <row r="106" spans="9:10" x14ac:dyDescent="0.3">
      <c r="I106" t="str">
        <f>_xlfn.IFNA(INDEX('[1]Sector list'!$A$2:$A$122,MATCH(H106,'[1]Sector list'!$B$2:$B$122,0)),"")</f>
        <v/>
      </c>
      <c r="J106" s="172"/>
    </row>
    <row r="107" spans="9:10" x14ac:dyDescent="0.3">
      <c r="I107" t="str">
        <f>_xlfn.IFNA(INDEX('[1]Sector list'!$A$2:$A$122,MATCH(H107,'[1]Sector list'!$B$2:$B$122,0)),"")</f>
        <v/>
      </c>
      <c r="J107" s="172"/>
    </row>
    <row r="108" spans="9:10" x14ac:dyDescent="0.3">
      <c r="I108" t="str">
        <f>_xlfn.IFNA(INDEX('[1]Sector list'!$A$2:$A$122,MATCH(H108,'[1]Sector list'!$B$2:$B$122,0)),"")</f>
        <v/>
      </c>
      <c r="J108" s="172"/>
    </row>
    <row r="109" spans="9:10" x14ac:dyDescent="0.3">
      <c r="I109" t="str">
        <f>_xlfn.IFNA(INDEX('[1]Sector list'!$A$2:$A$122,MATCH(H109,'[1]Sector list'!$B$2:$B$122,0)),"")</f>
        <v/>
      </c>
      <c r="J109" s="172"/>
    </row>
    <row r="110" spans="9:10" x14ac:dyDescent="0.3">
      <c r="I110" t="str">
        <f>_xlfn.IFNA(INDEX('[1]Sector list'!$A$2:$A$122,MATCH(H110,'[1]Sector list'!$B$2:$B$122,0)),"")</f>
        <v/>
      </c>
      <c r="J110" s="172"/>
    </row>
    <row r="111" spans="9:10" x14ac:dyDescent="0.3">
      <c r="I111" t="str">
        <f>_xlfn.IFNA(INDEX('[1]Sector list'!$A$2:$A$122,MATCH(H111,'[1]Sector list'!$B$2:$B$122,0)),"")</f>
        <v/>
      </c>
      <c r="J111" s="172"/>
    </row>
    <row r="112" spans="9:10" x14ac:dyDescent="0.3">
      <c r="I112" t="str">
        <f>_xlfn.IFNA(INDEX('[1]Sector list'!$A$2:$A$122,MATCH(H112,'[1]Sector list'!$B$2:$B$122,0)),"")</f>
        <v/>
      </c>
      <c r="J112" s="172"/>
    </row>
    <row r="113" spans="9:10" x14ac:dyDescent="0.3">
      <c r="I113" t="str">
        <f>_xlfn.IFNA(INDEX('[1]Sector list'!$A$2:$A$122,MATCH(H113,'[1]Sector list'!$B$2:$B$122,0)),"")</f>
        <v/>
      </c>
      <c r="J113" s="172"/>
    </row>
    <row r="114" spans="9:10" x14ac:dyDescent="0.3">
      <c r="I114" t="str">
        <f>_xlfn.IFNA(INDEX('[1]Sector list'!$A$2:$A$122,MATCH(H114,'[1]Sector list'!$B$2:$B$122,0)),"")</f>
        <v/>
      </c>
      <c r="J114" s="172"/>
    </row>
    <row r="115" spans="9:10" x14ac:dyDescent="0.3">
      <c r="I115" t="str">
        <f>_xlfn.IFNA(INDEX('[1]Sector list'!$A$2:$A$122,MATCH(H115,'[1]Sector list'!$B$2:$B$122,0)),"")</f>
        <v/>
      </c>
      <c r="J115" s="172"/>
    </row>
    <row r="116" spans="9:10" x14ac:dyDescent="0.3">
      <c r="I116" t="str">
        <f>_xlfn.IFNA(INDEX('[1]Sector list'!$A$2:$A$122,MATCH(H116,'[1]Sector list'!$B$2:$B$122,0)),"")</f>
        <v/>
      </c>
      <c r="J116" s="172"/>
    </row>
    <row r="117" spans="9:10" x14ac:dyDescent="0.3">
      <c r="I117" t="str">
        <f>_xlfn.IFNA(INDEX('[1]Sector list'!$A$2:$A$122,MATCH(H117,'[1]Sector list'!$B$2:$B$122,0)),"")</f>
        <v/>
      </c>
      <c r="J117" s="172"/>
    </row>
    <row r="118" spans="9:10" x14ac:dyDescent="0.3">
      <c r="I118" t="str">
        <f>_xlfn.IFNA(INDEX('[1]Sector list'!$A$2:$A$122,MATCH(H118,'[1]Sector list'!$B$2:$B$122,0)),"")</f>
        <v/>
      </c>
      <c r="J118" s="172"/>
    </row>
    <row r="119" spans="9:10" x14ac:dyDescent="0.3">
      <c r="I119" t="str">
        <f>_xlfn.IFNA(INDEX('[1]Sector list'!$A$2:$A$122,MATCH(H119,'[1]Sector list'!$B$2:$B$122,0)),"")</f>
        <v/>
      </c>
      <c r="J119" s="172"/>
    </row>
    <row r="120" spans="9:10" x14ac:dyDescent="0.3">
      <c r="I120" t="str">
        <f>_xlfn.IFNA(INDEX('[1]Sector list'!$A$2:$A$122,MATCH(H120,'[1]Sector list'!$B$2:$B$122,0)),"")</f>
        <v/>
      </c>
      <c r="J120" s="172"/>
    </row>
    <row r="121" spans="9:10" x14ac:dyDescent="0.3">
      <c r="I121" t="str">
        <f>_xlfn.IFNA(INDEX('[1]Sector list'!$A$2:$A$122,MATCH(H121,'[1]Sector list'!$B$2:$B$122,0)),"")</f>
        <v/>
      </c>
      <c r="J121" s="172"/>
    </row>
    <row r="122" spans="9:10" x14ac:dyDescent="0.3">
      <c r="I122" t="str">
        <f>_xlfn.IFNA(INDEX('[1]Sector list'!$A$2:$A$122,MATCH(H122,'[1]Sector list'!$B$2:$B$122,0)),"")</f>
        <v/>
      </c>
      <c r="J122" s="172"/>
    </row>
    <row r="123" spans="9:10" x14ac:dyDescent="0.3">
      <c r="I123" t="str">
        <f>_xlfn.IFNA(INDEX('[1]Sector list'!$A$2:$A$122,MATCH(H123,'[1]Sector list'!$B$2:$B$122,0)),"")</f>
        <v/>
      </c>
      <c r="J123" s="172"/>
    </row>
    <row r="124" spans="9:10" x14ac:dyDescent="0.3">
      <c r="I124" t="str">
        <f>_xlfn.IFNA(INDEX('[1]Sector list'!$A$2:$A$122,MATCH(H124,'[1]Sector list'!$B$2:$B$122,0)),"")</f>
        <v/>
      </c>
      <c r="J124" s="172"/>
    </row>
    <row r="125" spans="9:10" x14ac:dyDescent="0.3">
      <c r="I125" t="str">
        <f>_xlfn.IFNA(INDEX('[1]Sector list'!$A$2:$A$122,MATCH(H125,'[1]Sector list'!$B$2:$B$122,0)),"")</f>
        <v/>
      </c>
      <c r="J125" s="172"/>
    </row>
    <row r="126" spans="9:10" x14ac:dyDescent="0.3">
      <c r="I126" t="str">
        <f>_xlfn.IFNA(INDEX('[1]Sector list'!$A$2:$A$122,MATCH(H126,'[1]Sector list'!$B$2:$B$122,0)),"")</f>
        <v/>
      </c>
      <c r="J126" s="172"/>
    </row>
    <row r="127" spans="9:10" x14ac:dyDescent="0.3">
      <c r="I127" t="str">
        <f>_xlfn.IFNA(INDEX('[1]Sector list'!$A$2:$A$122,MATCH(H127,'[1]Sector list'!$B$2:$B$122,0)),"")</f>
        <v/>
      </c>
      <c r="J127" s="172"/>
    </row>
    <row r="128" spans="9:10" x14ac:dyDescent="0.3">
      <c r="I128" t="str">
        <f>_xlfn.IFNA(INDEX('[1]Sector list'!$A$2:$A$122,MATCH(H128,'[1]Sector list'!$B$2:$B$122,0)),"")</f>
        <v/>
      </c>
      <c r="J128" s="172"/>
    </row>
    <row r="129" spans="9:10" x14ac:dyDescent="0.3">
      <c r="I129" t="str">
        <f>_xlfn.IFNA(INDEX('[1]Sector list'!$A$2:$A$122,MATCH(H129,'[1]Sector list'!$B$2:$B$122,0)),"")</f>
        <v/>
      </c>
      <c r="J129" s="172"/>
    </row>
    <row r="130" spans="9:10" x14ac:dyDescent="0.3">
      <c r="I130" t="str">
        <f>_xlfn.IFNA(INDEX('[1]Sector list'!$A$2:$A$122,MATCH(H130,'[1]Sector list'!$B$2:$B$122,0)),"")</f>
        <v/>
      </c>
      <c r="J130" s="172"/>
    </row>
    <row r="131" spans="9:10" x14ac:dyDescent="0.3">
      <c r="I131" t="str">
        <f>_xlfn.IFNA(INDEX('[1]Sector list'!$A$2:$A$122,MATCH(H131,'[1]Sector list'!$B$2:$B$122,0)),"")</f>
        <v/>
      </c>
      <c r="J131" s="172"/>
    </row>
    <row r="132" spans="9:10" x14ac:dyDescent="0.3">
      <c r="I132" t="str">
        <f>_xlfn.IFNA(INDEX('[1]Sector list'!$A$2:$A$122,MATCH(H132,'[1]Sector list'!$B$2:$B$122,0)),"")</f>
        <v/>
      </c>
      <c r="J132" s="172"/>
    </row>
    <row r="133" spans="9:10" x14ac:dyDescent="0.3">
      <c r="I133" t="str">
        <f>_xlfn.IFNA(INDEX('[1]Sector list'!$A$2:$A$122,MATCH(H133,'[1]Sector list'!$B$2:$B$122,0)),"")</f>
        <v/>
      </c>
      <c r="J133" s="172"/>
    </row>
    <row r="134" spans="9:10" x14ac:dyDescent="0.3">
      <c r="I134" t="str">
        <f>_xlfn.IFNA(INDEX('[1]Sector list'!$A$2:$A$122,MATCH(H134,'[1]Sector list'!$B$2:$B$122,0)),"")</f>
        <v/>
      </c>
      <c r="J134" s="172"/>
    </row>
    <row r="135" spans="9:10" x14ac:dyDescent="0.3">
      <c r="I135" t="str">
        <f>_xlfn.IFNA(INDEX('[1]Sector list'!$A$2:$A$122,MATCH(H135,'[1]Sector list'!$B$2:$B$122,0)),"")</f>
        <v/>
      </c>
      <c r="J135" s="172"/>
    </row>
    <row r="136" spans="9:10" x14ac:dyDescent="0.3">
      <c r="I136" t="str">
        <f>_xlfn.IFNA(INDEX('[1]Sector list'!$A$2:$A$122,MATCH(H136,'[1]Sector list'!$B$2:$B$122,0)),"")</f>
        <v/>
      </c>
      <c r="J136" s="172"/>
    </row>
    <row r="137" spans="9:10" x14ac:dyDescent="0.3">
      <c r="I137" t="str">
        <f>_xlfn.IFNA(INDEX('[1]Sector list'!$A$2:$A$122,MATCH(H137,'[1]Sector list'!$B$2:$B$122,0)),"")</f>
        <v/>
      </c>
      <c r="J137" s="172"/>
    </row>
    <row r="138" spans="9:10" x14ac:dyDescent="0.3">
      <c r="I138" t="str">
        <f>_xlfn.IFNA(INDEX('[1]Sector list'!$A$2:$A$122,MATCH(H138,'[1]Sector list'!$B$2:$B$122,0)),"")</f>
        <v/>
      </c>
      <c r="J138" s="172"/>
    </row>
    <row r="139" spans="9:10" x14ac:dyDescent="0.3">
      <c r="I139" t="str">
        <f>_xlfn.IFNA(INDEX('[1]Sector list'!$A$2:$A$122,MATCH(H139,'[1]Sector list'!$B$2:$B$122,0)),"")</f>
        <v/>
      </c>
      <c r="J139" s="172"/>
    </row>
    <row r="140" spans="9:10" x14ac:dyDescent="0.3">
      <c r="I140" t="str">
        <f>_xlfn.IFNA(INDEX('[1]Sector list'!$A$2:$A$122,MATCH(H140,'[1]Sector list'!$B$2:$B$122,0)),"")</f>
        <v/>
      </c>
      <c r="J140" s="172"/>
    </row>
    <row r="141" spans="9:10" x14ac:dyDescent="0.3">
      <c r="I141" t="str">
        <f>_xlfn.IFNA(INDEX('[1]Sector list'!$A$2:$A$122,MATCH(H141,'[1]Sector list'!$B$2:$B$122,0)),"")</f>
        <v/>
      </c>
      <c r="J141" s="172"/>
    </row>
    <row r="142" spans="9:10" x14ac:dyDescent="0.3">
      <c r="I142" t="str">
        <f>_xlfn.IFNA(INDEX('[1]Sector list'!$A$2:$A$122,MATCH(H142,'[1]Sector list'!$B$2:$B$122,0)),"")</f>
        <v/>
      </c>
      <c r="J142" s="172"/>
    </row>
    <row r="143" spans="9:10" x14ac:dyDescent="0.3">
      <c r="I143" t="str">
        <f>_xlfn.IFNA(INDEX('[1]Sector list'!$A$2:$A$122,MATCH(H143,'[1]Sector list'!$B$2:$B$122,0)),"")</f>
        <v/>
      </c>
      <c r="J143" s="172"/>
    </row>
    <row r="144" spans="9:10" x14ac:dyDescent="0.3">
      <c r="I144" t="str">
        <f>_xlfn.IFNA(INDEX('[1]Sector list'!$A$2:$A$122,MATCH(H144,'[1]Sector list'!$B$2:$B$122,0)),"")</f>
        <v/>
      </c>
      <c r="J144" s="172"/>
    </row>
    <row r="145" spans="9:10" x14ac:dyDescent="0.3">
      <c r="I145" t="str">
        <f>_xlfn.IFNA(INDEX('[1]Sector list'!$A$2:$A$122,MATCH(H145,'[1]Sector list'!$B$2:$B$122,0)),"")</f>
        <v/>
      </c>
      <c r="J145" s="172"/>
    </row>
    <row r="146" spans="9:10" x14ac:dyDescent="0.3">
      <c r="I146" t="str">
        <f>_xlfn.IFNA(INDEX('[1]Sector list'!$A$2:$A$122,MATCH(H146,'[1]Sector list'!$B$2:$B$122,0)),"")</f>
        <v/>
      </c>
      <c r="J146" s="172"/>
    </row>
    <row r="147" spans="9:10" x14ac:dyDescent="0.3">
      <c r="I147" t="str">
        <f>_xlfn.IFNA(INDEX('[1]Sector list'!$A$2:$A$122,MATCH(H147,'[1]Sector list'!$B$2:$B$122,0)),"")</f>
        <v/>
      </c>
      <c r="J147" s="172"/>
    </row>
    <row r="148" spans="9:10" x14ac:dyDescent="0.3">
      <c r="I148" t="str">
        <f>_xlfn.IFNA(INDEX('[1]Sector list'!$A$2:$A$122,MATCH(H148,'[1]Sector list'!$B$2:$B$122,0)),"")</f>
        <v/>
      </c>
      <c r="J148" s="172"/>
    </row>
    <row r="149" spans="9:10" x14ac:dyDescent="0.3">
      <c r="I149" t="str">
        <f>_xlfn.IFNA(INDEX('[1]Sector list'!$A$2:$A$122,MATCH(H149,'[1]Sector list'!$B$2:$B$122,0)),"")</f>
        <v/>
      </c>
      <c r="J149" s="172"/>
    </row>
    <row r="150" spans="9:10" x14ac:dyDescent="0.3">
      <c r="I150" t="str">
        <f>_xlfn.IFNA(INDEX('[1]Sector list'!$A$2:$A$122,MATCH(H150,'[1]Sector list'!$B$2:$B$122,0)),"")</f>
        <v/>
      </c>
      <c r="J150" s="172"/>
    </row>
    <row r="151" spans="9:10" x14ac:dyDescent="0.3">
      <c r="I151" t="str">
        <f>_xlfn.IFNA(INDEX('[1]Sector list'!$A$2:$A$122,MATCH(H151,'[1]Sector list'!$B$2:$B$122,0)),"")</f>
        <v/>
      </c>
      <c r="J151" s="172"/>
    </row>
    <row r="152" spans="9:10" x14ac:dyDescent="0.3">
      <c r="I152" t="str">
        <f>_xlfn.IFNA(INDEX('[1]Sector list'!$A$2:$A$122,MATCH(H152,'[1]Sector list'!$B$2:$B$122,0)),"")</f>
        <v/>
      </c>
      <c r="J152" s="172"/>
    </row>
    <row r="153" spans="9:10" x14ac:dyDescent="0.3">
      <c r="I153" t="str">
        <f>_xlfn.IFNA(INDEX('[1]Sector list'!$A$2:$A$122,MATCH(H153,'[1]Sector list'!$B$2:$B$122,0)),"")</f>
        <v/>
      </c>
      <c r="J153" s="172"/>
    </row>
    <row r="154" spans="9:10" x14ac:dyDescent="0.3">
      <c r="I154" t="str">
        <f>_xlfn.IFNA(INDEX('[1]Sector list'!$A$2:$A$122,MATCH(H154,'[1]Sector list'!$B$2:$B$122,0)),"")</f>
        <v/>
      </c>
      <c r="J154" s="172"/>
    </row>
    <row r="155" spans="9:10" x14ac:dyDescent="0.3">
      <c r="I155" t="str">
        <f>_xlfn.IFNA(INDEX('[1]Sector list'!$A$2:$A$122,MATCH(H155,'[1]Sector list'!$B$2:$B$122,0)),"")</f>
        <v/>
      </c>
      <c r="J155" s="172"/>
    </row>
    <row r="156" spans="9:10" x14ac:dyDescent="0.3">
      <c r="I156" t="str">
        <f>_xlfn.IFNA(INDEX('[1]Sector list'!$A$2:$A$122,MATCH(H156,'[1]Sector list'!$B$2:$B$122,0)),"")</f>
        <v/>
      </c>
      <c r="J156" s="172"/>
    </row>
    <row r="157" spans="9:10" x14ac:dyDescent="0.3">
      <c r="I157" t="str">
        <f>_xlfn.IFNA(INDEX('[1]Sector list'!$A$2:$A$122,MATCH(H157,'[1]Sector list'!$B$2:$B$122,0)),"")</f>
        <v/>
      </c>
      <c r="J157" s="172"/>
    </row>
    <row r="158" spans="9:10" x14ac:dyDescent="0.3">
      <c r="I158" t="str">
        <f>_xlfn.IFNA(INDEX('[1]Sector list'!$A$2:$A$122,MATCH(H158,'[1]Sector list'!$B$2:$B$122,0)),"")</f>
        <v/>
      </c>
      <c r="J158" s="172"/>
    </row>
    <row r="159" spans="9:10" x14ac:dyDescent="0.3">
      <c r="I159" t="str">
        <f>_xlfn.IFNA(INDEX('[1]Sector list'!$A$2:$A$122,MATCH(H159,'[1]Sector list'!$B$2:$B$122,0)),"")</f>
        <v/>
      </c>
      <c r="J159" s="172"/>
    </row>
    <row r="160" spans="9:10" x14ac:dyDescent="0.3">
      <c r="I160" t="str">
        <f>_xlfn.IFNA(INDEX('[1]Sector list'!$A$2:$A$122,MATCH(H160,'[1]Sector list'!$B$2:$B$122,0)),"")</f>
        <v/>
      </c>
      <c r="J160" s="172"/>
    </row>
    <row r="161" spans="9:10" x14ac:dyDescent="0.3">
      <c r="I161" t="str">
        <f>_xlfn.IFNA(INDEX('[1]Sector list'!$A$2:$A$122,MATCH(H161,'[1]Sector list'!$B$2:$B$122,0)),"")</f>
        <v/>
      </c>
      <c r="J161" s="172"/>
    </row>
    <row r="162" spans="9:10" x14ac:dyDescent="0.3">
      <c r="I162" t="str">
        <f>_xlfn.IFNA(INDEX('[1]Sector list'!$A$2:$A$122,MATCH(H162,'[1]Sector list'!$B$2:$B$122,0)),"")</f>
        <v/>
      </c>
      <c r="J162" s="172"/>
    </row>
    <row r="163" spans="9:10" x14ac:dyDescent="0.3">
      <c r="I163" t="str">
        <f>_xlfn.IFNA(INDEX('[1]Sector list'!$A$2:$A$122,MATCH(H163,'[1]Sector list'!$B$2:$B$122,0)),"")</f>
        <v/>
      </c>
      <c r="J163" s="172"/>
    </row>
    <row r="164" spans="9:10" x14ac:dyDescent="0.3">
      <c r="I164" t="str">
        <f>_xlfn.IFNA(INDEX('[1]Sector list'!$A$2:$A$122,MATCH(H164,'[1]Sector list'!$B$2:$B$122,0)),"")</f>
        <v/>
      </c>
      <c r="J164" s="172"/>
    </row>
    <row r="165" spans="9:10" x14ac:dyDescent="0.3">
      <c r="I165" t="str">
        <f>_xlfn.IFNA(INDEX('[1]Sector list'!$A$2:$A$122,MATCH(H165,'[1]Sector list'!$B$2:$B$122,0)),"")</f>
        <v/>
      </c>
      <c r="J165" s="172"/>
    </row>
    <row r="166" spans="9:10" x14ac:dyDescent="0.3">
      <c r="I166" t="str">
        <f>_xlfn.IFNA(INDEX('[1]Sector list'!$A$2:$A$122,MATCH(H166,'[1]Sector list'!$B$2:$B$122,0)),"")</f>
        <v/>
      </c>
      <c r="J166" s="172"/>
    </row>
    <row r="167" spans="9:10" x14ac:dyDescent="0.3">
      <c r="I167" t="str">
        <f>_xlfn.IFNA(INDEX('[1]Sector list'!$A$2:$A$122,MATCH(H167,'[1]Sector list'!$B$2:$B$122,0)),"")</f>
        <v/>
      </c>
      <c r="J167" s="172"/>
    </row>
    <row r="168" spans="9:10" x14ac:dyDescent="0.3">
      <c r="I168" t="str">
        <f>_xlfn.IFNA(INDEX('[1]Sector list'!$A$2:$A$122,MATCH(H168,'[1]Sector list'!$B$2:$B$122,0)),"")</f>
        <v/>
      </c>
      <c r="J168" s="172"/>
    </row>
    <row r="169" spans="9:10" x14ac:dyDescent="0.3">
      <c r="I169" t="str">
        <f>_xlfn.IFNA(INDEX('[1]Sector list'!$A$2:$A$122,MATCH(H169,'[1]Sector list'!$B$2:$B$122,0)),"")</f>
        <v/>
      </c>
      <c r="J169" s="172"/>
    </row>
    <row r="170" spans="9:10" x14ac:dyDescent="0.3">
      <c r="I170" t="str">
        <f>_xlfn.IFNA(INDEX('[1]Sector list'!$A$2:$A$122,MATCH(H170,'[1]Sector list'!$B$2:$B$122,0)),"")</f>
        <v/>
      </c>
      <c r="J170" s="172"/>
    </row>
    <row r="171" spans="9:10" x14ac:dyDescent="0.3">
      <c r="I171" t="str">
        <f>_xlfn.IFNA(INDEX('[1]Sector list'!$A$2:$A$122,MATCH(H171,'[1]Sector list'!$B$2:$B$122,0)),"")</f>
        <v/>
      </c>
      <c r="J171" s="172"/>
    </row>
    <row r="172" spans="9:10" x14ac:dyDescent="0.3">
      <c r="I172" t="str">
        <f>_xlfn.IFNA(INDEX('[1]Sector list'!$A$2:$A$122,MATCH(H172,'[1]Sector list'!$B$2:$B$122,0)),"")</f>
        <v/>
      </c>
      <c r="J172" s="172"/>
    </row>
    <row r="173" spans="9:10" x14ac:dyDescent="0.3">
      <c r="I173" t="str">
        <f>_xlfn.IFNA(INDEX('[1]Sector list'!$A$2:$A$122,MATCH(H173,'[1]Sector list'!$B$2:$B$122,0)),"")</f>
        <v/>
      </c>
      <c r="J173" s="172"/>
    </row>
    <row r="174" spans="9:10" x14ac:dyDescent="0.3">
      <c r="I174" t="str">
        <f>_xlfn.IFNA(INDEX('[1]Sector list'!$A$2:$A$122,MATCH(H174,'[1]Sector list'!$B$2:$B$122,0)),"")</f>
        <v/>
      </c>
      <c r="J174" s="172"/>
    </row>
    <row r="175" spans="9:10" x14ac:dyDescent="0.3">
      <c r="I175" t="str">
        <f>_xlfn.IFNA(INDEX('[1]Sector list'!$A$2:$A$122,MATCH(H175,'[1]Sector list'!$B$2:$B$122,0)),"")</f>
        <v/>
      </c>
      <c r="J175" s="172"/>
    </row>
    <row r="176" spans="9:10" x14ac:dyDescent="0.3">
      <c r="I176" t="str">
        <f>_xlfn.IFNA(INDEX('[1]Sector list'!$A$2:$A$122,MATCH(H176,'[1]Sector list'!$B$2:$B$122,0)),"")</f>
        <v/>
      </c>
      <c r="J176" s="172"/>
    </row>
    <row r="177" spans="9:10" x14ac:dyDescent="0.3">
      <c r="I177" t="str">
        <f>_xlfn.IFNA(INDEX('[1]Sector list'!$A$2:$A$122,MATCH(H177,'[1]Sector list'!$B$2:$B$122,0)),"")</f>
        <v/>
      </c>
      <c r="J177" s="172"/>
    </row>
    <row r="178" spans="9:10" x14ac:dyDescent="0.3">
      <c r="I178" t="str">
        <f>_xlfn.IFNA(INDEX('[1]Sector list'!$A$2:$A$122,MATCH(H178,'[1]Sector list'!$B$2:$B$122,0)),"")</f>
        <v/>
      </c>
      <c r="J178" s="172"/>
    </row>
    <row r="179" spans="9:10" x14ac:dyDescent="0.3">
      <c r="I179" t="str">
        <f>_xlfn.IFNA(INDEX('[1]Sector list'!$A$2:$A$122,MATCH(H179,'[1]Sector list'!$B$2:$B$122,0)),"")</f>
        <v/>
      </c>
      <c r="J179" s="172"/>
    </row>
    <row r="180" spans="9:10" x14ac:dyDescent="0.3">
      <c r="I180" t="str">
        <f>_xlfn.IFNA(INDEX('[1]Sector list'!$A$2:$A$122,MATCH(H180,'[1]Sector list'!$B$2:$B$122,0)),"")</f>
        <v/>
      </c>
      <c r="J180" s="172"/>
    </row>
    <row r="181" spans="9:10" x14ac:dyDescent="0.3">
      <c r="I181" t="str">
        <f>_xlfn.IFNA(INDEX('[1]Sector list'!$A$2:$A$122,MATCH(H181,'[1]Sector list'!$B$2:$B$122,0)),"")</f>
        <v/>
      </c>
      <c r="J181" s="172"/>
    </row>
    <row r="182" spans="9:10" x14ac:dyDescent="0.3">
      <c r="I182" t="str">
        <f>_xlfn.IFNA(INDEX('[1]Sector list'!$A$2:$A$122,MATCH(H182,'[1]Sector list'!$B$2:$B$122,0)),"")</f>
        <v/>
      </c>
      <c r="J182" s="172"/>
    </row>
    <row r="183" spans="9:10" x14ac:dyDescent="0.3">
      <c r="I183" t="str">
        <f>_xlfn.IFNA(INDEX('[1]Sector list'!$A$2:$A$122,MATCH(H183,'[1]Sector list'!$B$2:$B$122,0)),"")</f>
        <v/>
      </c>
      <c r="J183" s="172"/>
    </row>
    <row r="184" spans="9:10" x14ac:dyDescent="0.3">
      <c r="I184" t="str">
        <f>_xlfn.IFNA(INDEX('[1]Sector list'!$A$2:$A$122,MATCH(H184,'[1]Sector list'!$B$2:$B$122,0)),"")</f>
        <v/>
      </c>
      <c r="J184" s="172"/>
    </row>
    <row r="185" spans="9:10" x14ac:dyDescent="0.3">
      <c r="I185" t="str">
        <f>_xlfn.IFNA(INDEX('[1]Sector list'!$A$2:$A$122,MATCH(H185,'[1]Sector list'!$B$2:$B$122,0)),"")</f>
        <v/>
      </c>
      <c r="J185" s="172"/>
    </row>
    <row r="186" spans="9:10" x14ac:dyDescent="0.3">
      <c r="I186" t="str">
        <f>_xlfn.IFNA(INDEX('[1]Sector list'!$A$2:$A$122,MATCH(H186,'[1]Sector list'!$B$2:$B$122,0)),"")</f>
        <v/>
      </c>
      <c r="J186" s="172"/>
    </row>
    <row r="187" spans="9:10" x14ac:dyDescent="0.3">
      <c r="I187" t="str">
        <f>_xlfn.IFNA(INDEX('[1]Sector list'!$A$2:$A$122,MATCH(H187,'[1]Sector list'!$B$2:$B$122,0)),"")</f>
        <v/>
      </c>
      <c r="J187" s="172"/>
    </row>
    <row r="188" spans="9:10" x14ac:dyDescent="0.3">
      <c r="I188" t="str">
        <f>_xlfn.IFNA(INDEX('[1]Sector list'!$A$2:$A$122,MATCH(H188,'[1]Sector list'!$B$2:$B$122,0)),"")</f>
        <v/>
      </c>
      <c r="J188" s="172"/>
    </row>
    <row r="189" spans="9:10" x14ac:dyDescent="0.3">
      <c r="I189" t="str">
        <f>_xlfn.IFNA(INDEX('[1]Sector list'!$A$2:$A$122,MATCH(H189,'[1]Sector list'!$B$2:$B$122,0)),"")</f>
        <v/>
      </c>
      <c r="J189" s="172"/>
    </row>
    <row r="190" spans="9:10" x14ac:dyDescent="0.3">
      <c r="I190" t="str">
        <f>_xlfn.IFNA(INDEX('[1]Sector list'!$A$2:$A$122,MATCH(H190,'[1]Sector list'!$B$2:$B$122,0)),"")</f>
        <v/>
      </c>
      <c r="J190" s="172"/>
    </row>
    <row r="191" spans="9:10" x14ac:dyDescent="0.3">
      <c r="I191" t="str">
        <f>_xlfn.IFNA(INDEX('[1]Sector list'!$A$2:$A$122,MATCH(H191,'[1]Sector list'!$B$2:$B$122,0)),"")</f>
        <v/>
      </c>
      <c r="J191" s="172"/>
    </row>
    <row r="192" spans="9:10" x14ac:dyDescent="0.3">
      <c r="I192" t="str">
        <f>_xlfn.IFNA(INDEX('[1]Sector list'!$A$2:$A$122,MATCH(H192,'[1]Sector list'!$B$2:$B$122,0)),"")</f>
        <v/>
      </c>
      <c r="J192" s="172"/>
    </row>
    <row r="193" spans="9:10" x14ac:dyDescent="0.3">
      <c r="I193" t="str">
        <f>_xlfn.IFNA(INDEX('[1]Sector list'!$A$2:$A$122,MATCH(H193,'[1]Sector list'!$B$2:$B$122,0)),"")</f>
        <v/>
      </c>
      <c r="J193" s="172"/>
    </row>
    <row r="194" spans="9:10" x14ac:dyDescent="0.3">
      <c r="I194" t="str">
        <f>_xlfn.IFNA(INDEX('[1]Sector list'!$A$2:$A$122,MATCH(H194,'[1]Sector list'!$B$2:$B$122,0)),"")</f>
        <v/>
      </c>
      <c r="J194" s="172"/>
    </row>
    <row r="195" spans="9:10" x14ac:dyDescent="0.3">
      <c r="I195" t="str">
        <f>_xlfn.IFNA(INDEX('[1]Sector list'!$A$2:$A$122,MATCH(H195,'[1]Sector list'!$B$2:$B$122,0)),"")</f>
        <v/>
      </c>
      <c r="J195" s="172"/>
    </row>
    <row r="196" spans="9:10" x14ac:dyDescent="0.3">
      <c r="I196" t="str">
        <f>_xlfn.IFNA(INDEX('[1]Sector list'!$A$2:$A$122,MATCH(H196,'[1]Sector list'!$B$2:$B$122,0)),"")</f>
        <v/>
      </c>
      <c r="J196" s="172"/>
    </row>
    <row r="197" spans="9:10" x14ac:dyDescent="0.3">
      <c r="I197" t="str">
        <f>_xlfn.IFNA(INDEX('[1]Sector list'!$A$2:$A$122,MATCH(H197,'[1]Sector list'!$B$2:$B$122,0)),"")</f>
        <v/>
      </c>
      <c r="J197" s="172"/>
    </row>
    <row r="198" spans="9:10" x14ac:dyDescent="0.3">
      <c r="I198" t="str">
        <f>_xlfn.IFNA(INDEX('[1]Sector list'!$A$2:$A$122,MATCH(H198,'[1]Sector list'!$B$2:$B$122,0)),"")</f>
        <v/>
      </c>
      <c r="J198" s="172"/>
    </row>
    <row r="199" spans="9:10" x14ac:dyDescent="0.3">
      <c r="I199" t="str">
        <f>_xlfn.IFNA(INDEX('[1]Sector list'!$A$2:$A$122,MATCH(H199,'[1]Sector list'!$B$2:$B$122,0)),"")</f>
        <v/>
      </c>
      <c r="J199" s="172"/>
    </row>
    <row r="200" spans="9:10" x14ac:dyDescent="0.3">
      <c r="I200" t="str">
        <f>_xlfn.IFNA(INDEX('[1]Sector list'!$A$2:$A$122,MATCH(H200,'[1]Sector list'!$B$2:$B$122,0)),"")</f>
        <v/>
      </c>
      <c r="J200" s="172"/>
    </row>
    <row r="201" spans="9:10" x14ac:dyDescent="0.3">
      <c r="I201" t="str">
        <f>_xlfn.IFNA(INDEX('[1]Sector list'!$A$2:$A$122,MATCH(H201,'[1]Sector list'!$B$2:$B$122,0)),"")</f>
        <v/>
      </c>
      <c r="J201" s="172"/>
    </row>
    <row r="202" spans="9:10" x14ac:dyDescent="0.3">
      <c r="I202" t="str">
        <f>_xlfn.IFNA(INDEX('[1]Sector list'!$A$2:$A$122,MATCH(H202,'[1]Sector list'!$B$2:$B$122,0)),"")</f>
        <v/>
      </c>
      <c r="J202" s="172"/>
    </row>
    <row r="203" spans="9:10" x14ac:dyDescent="0.3">
      <c r="I203" t="str">
        <f>_xlfn.IFNA(INDEX('[1]Sector list'!$A$2:$A$122,MATCH(H203,'[1]Sector list'!$B$2:$B$122,0)),"")</f>
        <v/>
      </c>
      <c r="J203" s="172"/>
    </row>
    <row r="204" spans="9:10" x14ac:dyDescent="0.3">
      <c r="I204" t="str">
        <f>_xlfn.IFNA(INDEX('[1]Sector list'!$A$2:$A$122,MATCH(H204,'[1]Sector list'!$B$2:$B$122,0)),"")</f>
        <v/>
      </c>
      <c r="J204" s="172"/>
    </row>
    <row r="205" spans="9:10" x14ac:dyDescent="0.3">
      <c r="I205" t="str">
        <f>_xlfn.IFNA(INDEX('[1]Sector list'!$A$2:$A$122,MATCH(H205,'[1]Sector list'!$B$2:$B$122,0)),"")</f>
        <v/>
      </c>
      <c r="J205" s="172"/>
    </row>
    <row r="206" spans="9:10" x14ac:dyDescent="0.3">
      <c r="I206" t="str">
        <f>_xlfn.IFNA(INDEX('[1]Sector list'!$A$2:$A$122,MATCH(H206,'[1]Sector list'!$B$2:$B$122,0)),"")</f>
        <v/>
      </c>
      <c r="J206" s="172"/>
    </row>
    <row r="207" spans="9:10" x14ac:dyDescent="0.3">
      <c r="I207" t="str">
        <f>_xlfn.IFNA(INDEX('[1]Sector list'!$A$2:$A$122,MATCH(H207,'[1]Sector list'!$B$2:$B$122,0)),"")</f>
        <v/>
      </c>
      <c r="J207" s="172"/>
    </row>
    <row r="208" spans="9:10" x14ac:dyDescent="0.3">
      <c r="I208" t="str">
        <f>_xlfn.IFNA(INDEX('[1]Sector list'!$A$2:$A$122,MATCH(H208,'[1]Sector list'!$B$2:$B$122,0)),"")</f>
        <v/>
      </c>
      <c r="J208" s="172"/>
    </row>
    <row r="209" spans="9:10" x14ac:dyDescent="0.3">
      <c r="I209" t="str">
        <f>_xlfn.IFNA(INDEX('[1]Sector list'!$A$2:$A$122,MATCH(H209,'[1]Sector list'!$B$2:$B$122,0)),"")</f>
        <v/>
      </c>
      <c r="J209" s="172"/>
    </row>
    <row r="210" spans="9:10" x14ac:dyDescent="0.3">
      <c r="I210" t="str">
        <f>_xlfn.IFNA(INDEX('[1]Sector list'!$A$2:$A$122,MATCH(H210,'[1]Sector list'!$B$2:$B$122,0)),"")</f>
        <v/>
      </c>
      <c r="J210" s="172"/>
    </row>
    <row r="211" spans="9:10" x14ac:dyDescent="0.3">
      <c r="I211" t="str">
        <f>_xlfn.IFNA(INDEX('[1]Sector list'!$A$2:$A$122,MATCH(H211,'[1]Sector list'!$B$2:$B$122,0)),"")</f>
        <v/>
      </c>
      <c r="J211" s="172"/>
    </row>
    <row r="212" spans="9:10" x14ac:dyDescent="0.3">
      <c r="I212" t="str">
        <f>_xlfn.IFNA(INDEX('[1]Sector list'!$A$2:$A$122,MATCH(H212,'[1]Sector list'!$B$2:$B$122,0)),"")</f>
        <v/>
      </c>
      <c r="J212" s="172"/>
    </row>
    <row r="213" spans="9:10" x14ac:dyDescent="0.3">
      <c r="I213" t="str">
        <f>_xlfn.IFNA(INDEX('[1]Sector list'!$A$2:$A$122,MATCH(H213,'[1]Sector list'!$B$2:$B$122,0)),"")</f>
        <v/>
      </c>
      <c r="J213" s="172"/>
    </row>
    <row r="214" spans="9:10" x14ac:dyDescent="0.3">
      <c r="I214" t="str">
        <f>_xlfn.IFNA(INDEX('[1]Sector list'!$A$2:$A$122,MATCH(H214,'[1]Sector list'!$B$2:$B$122,0)),"")</f>
        <v/>
      </c>
      <c r="J214" s="172"/>
    </row>
    <row r="215" spans="9:10" x14ac:dyDescent="0.3">
      <c r="I215" t="str">
        <f>_xlfn.IFNA(INDEX('[1]Sector list'!$A$2:$A$122,MATCH(H215,'[1]Sector list'!$B$2:$B$122,0)),"")</f>
        <v/>
      </c>
      <c r="J215" s="172"/>
    </row>
    <row r="216" spans="9:10" x14ac:dyDescent="0.3">
      <c r="I216" t="str">
        <f>_xlfn.IFNA(INDEX('[1]Sector list'!$A$2:$A$122,MATCH(H216,'[1]Sector list'!$B$2:$B$122,0)),"")</f>
        <v/>
      </c>
      <c r="J216" s="172"/>
    </row>
    <row r="217" spans="9:10" x14ac:dyDescent="0.3">
      <c r="I217" t="str">
        <f>_xlfn.IFNA(INDEX('[1]Sector list'!$A$2:$A$122,MATCH(H217,'[1]Sector list'!$B$2:$B$122,0)),"")</f>
        <v/>
      </c>
      <c r="J217" s="172"/>
    </row>
    <row r="218" spans="9:10" x14ac:dyDescent="0.3">
      <c r="I218" t="str">
        <f>_xlfn.IFNA(INDEX('[1]Sector list'!$A$2:$A$122,MATCH(H218,'[1]Sector list'!$B$2:$B$122,0)),"")</f>
        <v/>
      </c>
      <c r="J218" s="172"/>
    </row>
    <row r="219" spans="9:10" x14ac:dyDescent="0.3">
      <c r="I219" t="str">
        <f>_xlfn.IFNA(INDEX('[1]Sector list'!$A$2:$A$122,MATCH(H219,'[1]Sector list'!$B$2:$B$122,0)),"")</f>
        <v/>
      </c>
      <c r="J219" s="172"/>
    </row>
    <row r="220" spans="9:10" x14ac:dyDescent="0.3">
      <c r="I220" t="str">
        <f>_xlfn.IFNA(INDEX('[1]Sector list'!$A$2:$A$122,MATCH(H220,'[1]Sector list'!$B$2:$B$122,0)),"")</f>
        <v/>
      </c>
      <c r="J220" s="172"/>
    </row>
    <row r="221" spans="9:10" x14ac:dyDescent="0.3">
      <c r="I221" t="str">
        <f>_xlfn.IFNA(INDEX('[1]Sector list'!$A$2:$A$122,MATCH(H221,'[1]Sector list'!$B$2:$B$122,0)),"")</f>
        <v/>
      </c>
      <c r="J221" s="172"/>
    </row>
    <row r="222" spans="9:10" x14ac:dyDescent="0.3">
      <c r="I222" t="str">
        <f>_xlfn.IFNA(INDEX('[1]Sector list'!$A$2:$A$122,MATCH(H222,'[1]Sector list'!$B$2:$B$122,0)),"")</f>
        <v/>
      </c>
      <c r="J222" s="172"/>
    </row>
    <row r="223" spans="9:10" x14ac:dyDescent="0.3">
      <c r="I223" t="str">
        <f>_xlfn.IFNA(INDEX('[1]Sector list'!$A$2:$A$122,MATCH(H223,'[1]Sector list'!$B$2:$B$122,0)),"")</f>
        <v/>
      </c>
      <c r="J223" s="172"/>
    </row>
    <row r="224" spans="9:10" x14ac:dyDescent="0.3">
      <c r="I224" t="str">
        <f>_xlfn.IFNA(INDEX('[1]Sector list'!$A$2:$A$122,MATCH(H224,'[1]Sector list'!$B$2:$B$122,0)),"")</f>
        <v/>
      </c>
      <c r="J224" s="172"/>
    </row>
    <row r="225" spans="9:10" x14ac:dyDescent="0.3">
      <c r="I225" t="str">
        <f>_xlfn.IFNA(INDEX('[1]Sector list'!$A$2:$A$122,MATCH(H225,'[1]Sector list'!$B$2:$B$122,0)),"")</f>
        <v/>
      </c>
      <c r="J225" s="172"/>
    </row>
    <row r="226" spans="9:10" x14ac:dyDescent="0.3">
      <c r="I226" t="str">
        <f>_xlfn.IFNA(INDEX('[1]Sector list'!$A$2:$A$122,MATCH(H226,'[1]Sector list'!$B$2:$B$122,0)),"")</f>
        <v/>
      </c>
      <c r="J226" s="172"/>
    </row>
    <row r="227" spans="9:10" x14ac:dyDescent="0.3">
      <c r="I227" t="str">
        <f>_xlfn.IFNA(INDEX('[1]Sector list'!$A$2:$A$122,MATCH(H227,'[1]Sector list'!$B$2:$B$122,0)),"")</f>
        <v/>
      </c>
      <c r="J227" s="172"/>
    </row>
    <row r="228" spans="9:10" x14ac:dyDescent="0.3">
      <c r="I228" t="str">
        <f>_xlfn.IFNA(INDEX('[1]Sector list'!$A$2:$A$122,MATCH(H228,'[1]Sector list'!$B$2:$B$122,0)),"")</f>
        <v/>
      </c>
      <c r="J228" s="172"/>
    </row>
    <row r="229" spans="9:10" x14ac:dyDescent="0.3">
      <c r="I229" t="str">
        <f>_xlfn.IFNA(INDEX('[1]Sector list'!$A$2:$A$122,MATCH(H229,'[1]Sector list'!$B$2:$B$122,0)),"")</f>
        <v/>
      </c>
      <c r="J229" s="172"/>
    </row>
    <row r="230" spans="9:10" x14ac:dyDescent="0.3">
      <c r="I230" t="str">
        <f>_xlfn.IFNA(INDEX('[1]Sector list'!$A$2:$A$122,MATCH(H230,'[1]Sector list'!$B$2:$B$122,0)),"")</f>
        <v/>
      </c>
      <c r="J230" s="172"/>
    </row>
    <row r="231" spans="9:10" x14ac:dyDescent="0.3">
      <c r="I231" t="str">
        <f>_xlfn.IFNA(INDEX('[1]Sector list'!$A$2:$A$122,MATCH(H231,'[1]Sector list'!$B$2:$B$122,0)),"")</f>
        <v/>
      </c>
      <c r="J231" s="172"/>
    </row>
    <row r="232" spans="9:10" x14ac:dyDescent="0.3">
      <c r="I232" t="str">
        <f>_xlfn.IFNA(INDEX('[1]Sector list'!$A$2:$A$122,MATCH(H232,'[1]Sector list'!$B$2:$B$122,0)),"")</f>
        <v/>
      </c>
      <c r="J232" s="172"/>
    </row>
    <row r="233" spans="9:10" x14ac:dyDescent="0.3">
      <c r="I233" t="str">
        <f>_xlfn.IFNA(INDEX('[1]Sector list'!$A$2:$A$122,MATCH(H233,'[1]Sector list'!$B$2:$B$122,0)),"")</f>
        <v/>
      </c>
      <c r="J233" s="172"/>
    </row>
    <row r="234" spans="9:10" x14ac:dyDescent="0.3">
      <c r="I234" t="str">
        <f>_xlfn.IFNA(INDEX('[1]Sector list'!$A$2:$A$122,MATCH(H234,'[1]Sector list'!$B$2:$B$122,0)),"")</f>
        <v/>
      </c>
      <c r="J234" s="172"/>
    </row>
    <row r="235" spans="9:10" x14ac:dyDescent="0.3">
      <c r="I235" t="str">
        <f>_xlfn.IFNA(INDEX('[1]Sector list'!$A$2:$A$122,MATCH(H235,'[1]Sector list'!$B$2:$B$122,0)),"")</f>
        <v/>
      </c>
      <c r="J235" s="172"/>
    </row>
    <row r="236" spans="9:10" x14ac:dyDescent="0.3">
      <c r="I236" t="str">
        <f>_xlfn.IFNA(INDEX('[1]Sector list'!$A$2:$A$122,MATCH(H236,'[1]Sector list'!$B$2:$B$122,0)),"")</f>
        <v/>
      </c>
      <c r="J236" s="172"/>
    </row>
    <row r="237" spans="9:10" x14ac:dyDescent="0.3">
      <c r="I237" t="str">
        <f>_xlfn.IFNA(INDEX('[1]Sector list'!$A$2:$A$122,MATCH(H237,'[1]Sector list'!$B$2:$B$122,0)),"")</f>
        <v/>
      </c>
      <c r="J237" s="172"/>
    </row>
    <row r="238" spans="9:10" x14ac:dyDescent="0.3">
      <c r="I238" t="str">
        <f>_xlfn.IFNA(INDEX('[1]Sector list'!$A$2:$A$122,MATCH(H238,'[1]Sector list'!$B$2:$B$122,0)),"")</f>
        <v/>
      </c>
      <c r="J238" s="172"/>
    </row>
    <row r="239" spans="9:10" x14ac:dyDescent="0.3">
      <c r="I239" t="str">
        <f>_xlfn.IFNA(INDEX('[1]Sector list'!$A$2:$A$122,MATCH(H239,'[1]Sector list'!$B$2:$B$122,0)),"")</f>
        <v/>
      </c>
      <c r="J239" s="172"/>
    </row>
    <row r="240" spans="9:10" x14ac:dyDescent="0.3">
      <c r="I240" t="str">
        <f>_xlfn.IFNA(INDEX('[1]Sector list'!$A$2:$A$122,MATCH(H240,'[1]Sector list'!$B$2:$B$122,0)),"")</f>
        <v/>
      </c>
      <c r="J240" s="172"/>
    </row>
    <row r="241" spans="9:10" x14ac:dyDescent="0.3">
      <c r="I241" t="str">
        <f>_xlfn.IFNA(INDEX('[1]Sector list'!$A$2:$A$122,MATCH(H241,'[1]Sector list'!$B$2:$B$122,0)),"")</f>
        <v/>
      </c>
      <c r="J241" s="172"/>
    </row>
    <row r="242" spans="9:10" x14ac:dyDescent="0.3">
      <c r="I242" t="str">
        <f>_xlfn.IFNA(INDEX('[1]Sector list'!$A$2:$A$122,MATCH(H242,'[1]Sector list'!$B$2:$B$122,0)),"")</f>
        <v/>
      </c>
      <c r="J242" s="172"/>
    </row>
    <row r="243" spans="9:10" x14ac:dyDescent="0.3">
      <c r="I243" t="str">
        <f>_xlfn.IFNA(INDEX('[1]Sector list'!$A$2:$A$122,MATCH(H243,'[1]Sector list'!$B$2:$B$122,0)),"")</f>
        <v/>
      </c>
      <c r="J243" s="172"/>
    </row>
    <row r="244" spans="9:10" x14ac:dyDescent="0.3">
      <c r="I244" t="str">
        <f>_xlfn.IFNA(INDEX('[1]Sector list'!$A$2:$A$122,MATCH(H244,'[1]Sector list'!$B$2:$B$122,0)),"")</f>
        <v/>
      </c>
      <c r="J244" s="172"/>
    </row>
    <row r="245" spans="9:10" x14ac:dyDescent="0.3">
      <c r="I245" t="str">
        <f>_xlfn.IFNA(INDEX('[1]Sector list'!$A$2:$A$122,MATCH(H245,'[1]Sector list'!$B$2:$B$122,0)),"")</f>
        <v/>
      </c>
      <c r="J245" s="172"/>
    </row>
    <row r="246" spans="9:10" x14ac:dyDescent="0.3">
      <c r="I246" t="str">
        <f>_xlfn.IFNA(INDEX('[1]Sector list'!$A$2:$A$122,MATCH(H246,'[1]Sector list'!$B$2:$B$122,0)),"")</f>
        <v/>
      </c>
      <c r="J246" s="172"/>
    </row>
    <row r="247" spans="9:10" x14ac:dyDescent="0.3">
      <c r="I247" t="str">
        <f>_xlfn.IFNA(INDEX('[1]Sector list'!$A$2:$A$122,MATCH(H247,'[1]Sector list'!$B$2:$B$122,0)),"")</f>
        <v/>
      </c>
      <c r="J247" s="172"/>
    </row>
    <row r="248" spans="9:10" x14ac:dyDescent="0.3">
      <c r="I248" t="str">
        <f>_xlfn.IFNA(INDEX('[1]Sector list'!$A$2:$A$122,MATCH(H248,'[1]Sector list'!$B$2:$B$122,0)),"")</f>
        <v/>
      </c>
      <c r="J248" s="172"/>
    </row>
    <row r="249" spans="9:10" x14ac:dyDescent="0.3">
      <c r="I249" t="str">
        <f>_xlfn.IFNA(INDEX('[1]Sector list'!$A$2:$A$122,MATCH(H249,'[1]Sector list'!$B$2:$B$122,0)),"")</f>
        <v/>
      </c>
      <c r="J249" s="172"/>
    </row>
    <row r="250" spans="9:10" x14ac:dyDescent="0.3">
      <c r="I250" t="str">
        <f>_xlfn.IFNA(INDEX('[1]Sector list'!$A$2:$A$122,MATCH(H250,'[1]Sector list'!$B$2:$B$122,0)),"")</f>
        <v/>
      </c>
      <c r="J250" s="172"/>
    </row>
    <row r="251" spans="9:10" x14ac:dyDescent="0.3">
      <c r="I251" t="str">
        <f>_xlfn.IFNA(INDEX('[1]Sector list'!$A$2:$A$122,MATCH(H251,'[1]Sector list'!$B$2:$B$122,0)),"")</f>
        <v/>
      </c>
      <c r="J251" s="172"/>
    </row>
    <row r="252" spans="9:10" x14ac:dyDescent="0.3">
      <c r="I252" t="str">
        <f>_xlfn.IFNA(INDEX('[1]Sector list'!$A$2:$A$122,MATCH(H252,'[1]Sector list'!$B$2:$B$122,0)),"")</f>
        <v/>
      </c>
      <c r="J252" s="172"/>
    </row>
    <row r="253" spans="9:10" x14ac:dyDescent="0.3">
      <c r="I253" t="str">
        <f>_xlfn.IFNA(INDEX('[1]Sector list'!$A$2:$A$122,MATCH(H253,'[1]Sector list'!$B$2:$B$122,0)),"")</f>
        <v/>
      </c>
      <c r="J253" s="172"/>
    </row>
    <row r="254" spans="9:10" x14ac:dyDescent="0.3">
      <c r="I254" t="str">
        <f>_xlfn.IFNA(INDEX('[1]Sector list'!$A$2:$A$122,MATCH(H254,'[1]Sector list'!$B$2:$B$122,0)),"")</f>
        <v/>
      </c>
      <c r="J254" s="172"/>
    </row>
    <row r="255" spans="9:10" x14ac:dyDescent="0.3">
      <c r="I255" t="str">
        <f>_xlfn.IFNA(INDEX('[1]Sector list'!$A$2:$A$122,MATCH(H255,'[1]Sector list'!$B$2:$B$122,0)),"")</f>
        <v/>
      </c>
      <c r="J255" s="172"/>
    </row>
    <row r="256" spans="9:10" x14ac:dyDescent="0.3">
      <c r="I256" t="str">
        <f>_xlfn.IFNA(INDEX('[1]Sector list'!$A$2:$A$122,MATCH(H256,'[1]Sector list'!$B$2:$B$122,0)),"")</f>
        <v/>
      </c>
      <c r="J256" s="172"/>
    </row>
    <row r="257" spans="9:10" x14ac:dyDescent="0.3">
      <c r="I257" t="str">
        <f>_xlfn.IFNA(INDEX('[1]Sector list'!$A$2:$A$122,MATCH(H257,'[1]Sector list'!$B$2:$B$122,0)),"")</f>
        <v/>
      </c>
      <c r="J257" s="172"/>
    </row>
    <row r="258" spans="9:10" x14ac:dyDescent="0.3">
      <c r="I258" t="str">
        <f>_xlfn.IFNA(INDEX('[1]Sector list'!$A$2:$A$122,MATCH(H258,'[1]Sector list'!$B$2:$B$122,0)),"")</f>
        <v/>
      </c>
      <c r="J258" s="172"/>
    </row>
    <row r="259" spans="9:10" x14ac:dyDescent="0.3">
      <c r="I259" t="str">
        <f>_xlfn.IFNA(INDEX('[1]Sector list'!$A$2:$A$122,MATCH(H259,'[1]Sector list'!$B$2:$B$122,0)),"")</f>
        <v/>
      </c>
      <c r="J259" s="172"/>
    </row>
    <row r="260" spans="9:10" x14ac:dyDescent="0.3">
      <c r="I260" t="str">
        <f>_xlfn.IFNA(INDEX('[1]Sector list'!$A$2:$A$122,MATCH(H260,'[1]Sector list'!$B$2:$B$122,0)),"")</f>
        <v/>
      </c>
      <c r="J260" s="172"/>
    </row>
    <row r="261" spans="9:10" x14ac:dyDescent="0.3">
      <c r="I261" t="str">
        <f>_xlfn.IFNA(INDEX('[1]Sector list'!$A$2:$A$122,MATCH(H261,'[1]Sector list'!$B$2:$B$122,0)),"")</f>
        <v/>
      </c>
      <c r="J261" s="172"/>
    </row>
    <row r="262" spans="9:10" x14ac:dyDescent="0.3">
      <c r="I262" t="str">
        <f>_xlfn.IFNA(INDEX('[1]Sector list'!$A$2:$A$122,MATCH(H262,'[1]Sector list'!$B$2:$B$122,0)),"")</f>
        <v/>
      </c>
      <c r="J262" s="172"/>
    </row>
    <row r="263" spans="9:10" x14ac:dyDescent="0.3">
      <c r="I263" t="str">
        <f>_xlfn.IFNA(INDEX('[1]Sector list'!$A$2:$A$122,MATCH(H263,'[1]Sector list'!$B$2:$B$122,0)),"")</f>
        <v/>
      </c>
      <c r="J263" s="172"/>
    </row>
    <row r="264" spans="9:10" x14ac:dyDescent="0.3">
      <c r="I264" t="str">
        <f>_xlfn.IFNA(INDEX('[1]Sector list'!$A$2:$A$122,MATCH(H264,'[1]Sector list'!$B$2:$B$122,0)),"")</f>
        <v/>
      </c>
      <c r="J264" s="172"/>
    </row>
    <row r="265" spans="9:10" x14ac:dyDescent="0.3">
      <c r="I265" t="str">
        <f>_xlfn.IFNA(INDEX('[1]Sector list'!$A$2:$A$122,MATCH(H265,'[1]Sector list'!$B$2:$B$122,0)),"")</f>
        <v/>
      </c>
      <c r="J265" s="172"/>
    </row>
    <row r="266" spans="9:10" x14ac:dyDescent="0.3">
      <c r="I266" t="str">
        <f>_xlfn.IFNA(INDEX('[1]Sector list'!$A$2:$A$122,MATCH(H266,'[1]Sector list'!$B$2:$B$122,0)),"")</f>
        <v/>
      </c>
      <c r="J266" s="172"/>
    </row>
    <row r="267" spans="9:10" x14ac:dyDescent="0.3">
      <c r="I267" t="str">
        <f>_xlfn.IFNA(INDEX('[1]Sector list'!$A$2:$A$122,MATCH(H267,'[1]Sector list'!$B$2:$B$122,0)),"")</f>
        <v/>
      </c>
      <c r="J267" s="172"/>
    </row>
    <row r="268" spans="9:10" x14ac:dyDescent="0.3">
      <c r="I268" t="str">
        <f>_xlfn.IFNA(INDEX('[1]Sector list'!$A$2:$A$122,MATCH(H268,'[1]Sector list'!$B$2:$B$122,0)),"")</f>
        <v/>
      </c>
      <c r="J268" s="172"/>
    </row>
    <row r="269" spans="9:10" x14ac:dyDescent="0.3">
      <c r="I269" t="str">
        <f>_xlfn.IFNA(INDEX('[1]Sector list'!$A$2:$A$122,MATCH(H269,'[1]Sector list'!$B$2:$B$122,0)),"")</f>
        <v/>
      </c>
      <c r="J269" s="172"/>
    </row>
    <row r="270" spans="9:10" x14ac:dyDescent="0.3">
      <c r="I270" t="str">
        <f>_xlfn.IFNA(INDEX('[1]Sector list'!$A$2:$A$122,MATCH(H270,'[1]Sector list'!$B$2:$B$122,0)),"")</f>
        <v/>
      </c>
      <c r="J270" s="172"/>
    </row>
    <row r="271" spans="9:10" x14ac:dyDescent="0.3">
      <c r="I271" t="str">
        <f>_xlfn.IFNA(INDEX('[1]Sector list'!$A$2:$A$122,MATCH(H271,'[1]Sector list'!$B$2:$B$122,0)),"")</f>
        <v/>
      </c>
      <c r="J271" s="172"/>
    </row>
    <row r="272" spans="9:10" x14ac:dyDescent="0.3">
      <c r="I272" t="str">
        <f>_xlfn.IFNA(INDEX('[1]Sector list'!$A$2:$A$122,MATCH(H272,'[1]Sector list'!$B$2:$B$122,0)),"")</f>
        <v/>
      </c>
      <c r="J272" s="172"/>
    </row>
    <row r="273" spans="9:10" x14ac:dyDescent="0.3">
      <c r="I273" t="str">
        <f>_xlfn.IFNA(INDEX('[1]Sector list'!$A$2:$A$122,MATCH(H273,'[1]Sector list'!$B$2:$B$122,0)),"")</f>
        <v/>
      </c>
      <c r="J273" s="172"/>
    </row>
    <row r="274" spans="9:10" x14ac:dyDescent="0.3">
      <c r="I274" t="str">
        <f>_xlfn.IFNA(INDEX('[1]Sector list'!$A$2:$A$122,MATCH(H274,'[1]Sector list'!$B$2:$B$122,0)),"")</f>
        <v/>
      </c>
      <c r="J274" s="172"/>
    </row>
    <row r="275" spans="9:10" x14ac:dyDescent="0.3">
      <c r="I275" t="str">
        <f>_xlfn.IFNA(INDEX('[1]Sector list'!$A$2:$A$122,MATCH(H275,'[1]Sector list'!$B$2:$B$122,0)),"")</f>
        <v/>
      </c>
      <c r="J275" s="172"/>
    </row>
    <row r="276" spans="9:10" x14ac:dyDescent="0.3">
      <c r="I276" t="str">
        <f>_xlfn.IFNA(INDEX('[1]Sector list'!$A$2:$A$122,MATCH(H276,'[1]Sector list'!$B$2:$B$122,0)),"")</f>
        <v/>
      </c>
      <c r="J276" s="172"/>
    </row>
    <row r="277" spans="9:10" x14ac:dyDescent="0.3">
      <c r="I277" t="str">
        <f>_xlfn.IFNA(INDEX('[1]Sector list'!$A$2:$A$122,MATCH(H277,'[1]Sector list'!$B$2:$B$122,0)),"")</f>
        <v/>
      </c>
      <c r="J277" s="172"/>
    </row>
    <row r="278" spans="9:10" x14ac:dyDescent="0.3">
      <c r="I278" t="str">
        <f>_xlfn.IFNA(INDEX('[1]Sector list'!$A$2:$A$122,MATCH(H278,'[1]Sector list'!$B$2:$B$122,0)),"")</f>
        <v/>
      </c>
      <c r="J278" s="172"/>
    </row>
    <row r="279" spans="9:10" x14ac:dyDescent="0.3">
      <c r="I279" t="str">
        <f>_xlfn.IFNA(INDEX('[1]Sector list'!$A$2:$A$122,MATCH(H279,'[1]Sector list'!$B$2:$B$122,0)),"")</f>
        <v/>
      </c>
      <c r="J279" s="172"/>
    </row>
    <row r="280" spans="9:10" x14ac:dyDescent="0.3">
      <c r="I280" t="str">
        <f>_xlfn.IFNA(INDEX('[1]Sector list'!$A$2:$A$122,MATCH(H280,'[1]Sector list'!$B$2:$B$122,0)),"")</f>
        <v/>
      </c>
      <c r="J280" s="172"/>
    </row>
    <row r="281" spans="9:10" x14ac:dyDescent="0.3">
      <c r="I281" t="str">
        <f>_xlfn.IFNA(INDEX('[1]Sector list'!$A$2:$A$122,MATCH(H281,'[1]Sector list'!$B$2:$B$122,0)),"")</f>
        <v/>
      </c>
      <c r="J281" s="172"/>
    </row>
    <row r="282" spans="9:10" x14ac:dyDescent="0.3">
      <c r="I282" t="str">
        <f>_xlfn.IFNA(INDEX('[1]Sector list'!$A$2:$A$122,MATCH(H282,'[1]Sector list'!$B$2:$B$122,0)),"")</f>
        <v/>
      </c>
      <c r="J282" s="172"/>
    </row>
    <row r="283" spans="9:10" x14ac:dyDescent="0.3">
      <c r="I283" t="str">
        <f>_xlfn.IFNA(INDEX('[1]Sector list'!$A$2:$A$122,MATCH(H283,'[1]Sector list'!$B$2:$B$122,0)),"")</f>
        <v/>
      </c>
      <c r="J283" s="172"/>
    </row>
    <row r="284" spans="9:10" x14ac:dyDescent="0.3">
      <c r="I284" t="str">
        <f>_xlfn.IFNA(INDEX('[1]Sector list'!$A$2:$A$122,MATCH(H284,'[1]Sector list'!$B$2:$B$122,0)),"")</f>
        <v/>
      </c>
      <c r="J284" s="172"/>
    </row>
    <row r="285" spans="9:10" x14ac:dyDescent="0.3">
      <c r="I285" t="str">
        <f>_xlfn.IFNA(INDEX('[1]Sector list'!$A$2:$A$122,MATCH(H285,'[1]Sector list'!$B$2:$B$122,0)),"")</f>
        <v/>
      </c>
      <c r="J285" s="172"/>
    </row>
    <row r="286" spans="9:10" x14ac:dyDescent="0.3">
      <c r="I286" t="str">
        <f>_xlfn.IFNA(INDEX('[1]Sector list'!$A$2:$A$122,MATCH(H286,'[1]Sector list'!$B$2:$B$122,0)),"")</f>
        <v/>
      </c>
      <c r="J286" s="172"/>
    </row>
    <row r="287" spans="9:10" x14ac:dyDescent="0.3">
      <c r="I287" t="str">
        <f>_xlfn.IFNA(INDEX('[1]Sector list'!$A$2:$A$122,MATCH(H287,'[1]Sector list'!$B$2:$B$122,0)),"")</f>
        <v/>
      </c>
      <c r="J287" s="172"/>
    </row>
    <row r="288" spans="9:10" x14ac:dyDescent="0.3">
      <c r="I288" t="str">
        <f>_xlfn.IFNA(INDEX('[1]Sector list'!$A$2:$A$122,MATCH(H288,'[1]Sector list'!$B$2:$B$122,0)),"")</f>
        <v/>
      </c>
      <c r="J288" s="172"/>
    </row>
    <row r="289" spans="9:10" x14ac:dyDescent="0.3">
      <c r="I289" t="str">
        <f>_xlfn.IFNA(INDEX('[1]Sector list'!$A$2:$A$122,MATCH(H289,'[1]Sector list'!$B$2:$B$122,0)),"")</f>
        <v/>
      </c>
      <c r="J289" s="172"/>
    </row>
    <row r="290" spans="9:10" x14ac:dyDescent="0.3">
      <c r="I290" t="str">
        <f>_xlfn.IFNA(INDEX('[1]Sector list'!$A$2:$A$122,MATCH(H290,'[1]Sector list'!$B$2:$B$122,0)),"")</f>
        <v/>
      </c>
      <c r="J290" s="172"/>
    </row>
    <row r="291" spans="9:10" x14ac:dyDescent="0.3">
      <c r="I291" t="str">
        <f>_xlfn.IFNA(INDEX('[1]Sector list'!$A$2:$A$122,MATCH(H291,'[1]Sector list'!$B$2:$B$122,0)),"")</f>
        <v/>
      </c>
      <c r="J291" s="172"/>
    </row>
    <row r="292" spans="9:10" x14ac:dyDescent="0.3">
      <c r="I292" t="str">
        <f>_xlfn.IFNA(INDEX('[1]Sector list'!$A$2:$A$122,MATCH(H292,'[1]Sector list'!$B$2:$B$122,0)),"")</f>
        <v/>
      </c>
      <c r="J292" s="172"/>
    </row>
    <row r="293" spans="9:10" x14ac:dyDescent="0.3">
      <c r="I293" t="str">
        <f>_xlfn.IFNA(INDEX('[1]Sector list'!$A$2:$A$122,MATCH(H293,'[1]Sector list'!$B$2:$B$122,0)),"")</f>
        <v/>
      </c>
      <c r="J293" s="172"/>
    </row>
    <row r="294" spans="9:10" x14ac:dyDescent="0.3">
      <c r="I294" t="str">
        <f>_xlfn.IFNA(INDEX('[1]Sector list'!$A$2:$A$122,MATCH(H294,'[1]Sector list'!$B$2:$B$122,0)),"")</f>
        <v/>
      </c>
      <c r="J294" s="172"/>
    </row>
    <row r="295" spans="9:10" x14ac:dyDescent="0.3">
      <c r="I295" t="str">
        <f>_xlfn.IFNA(INDEX('[1]Sector list'!$A$2:$A$122,MATCH(H295,'[1]Sector list'!$B$2:$B$122,0)),"")</f>
        <v/>
      </c>
      <c r="J295" s="172"/>
    </row>
    <row r="296" spans="9:10" x14ac:dyDescent="0.3">
      <c r="I296" t="str">
        <f>_xlfn.IFNA(INDEX('[1]Sector list'!$A$2:$A$122,MATCH(H296,'[1]Sector list'!$B$2:$B$122,0)),"")</f>
        <v/>
      </c>
      <c r="J296" s="172"/>
    </row>
    <row r="297" spans="9:10" x14ac:dyDescent="0.3">
      <c r="I297" t="str">
        <f>_xlfn.IFNA(INDEX('[1]Sector list'!$A$2:$A$122,MATCH(H297,'[1]Sector list'!$B$2:$B$122,0)),"")</f>
        <v/>
      </c>
      <c r="J297" s="172"/>
    </row>
    <row r="298" spans="9:10" x14ac:dyDescent="0.3">
      <c r="I298" t="str">
        <f>_xlfn.IFNA(INDEX('[1]Sector list'!$A$2:$A$122,MATCH(H298,'[1]Sector list'!$B$2:$B$122,0)),"")</f>
        <v/>
      </c>
      <c r="J298" s="172"/>
    </row>
    <row r="299" spans="9:10" x14ac:dyDescent="0.3">
      <c r="I299" t="str">
        <f>_xlfn.IFNA(INDEX('[1]Sector list'!$A$2:$A$122,MATCH(H299,'[1]Sector list'!$B$2:$B$122,0)),"")</f>
        <v/>
      </c>
      <c r="J299" s="172"/>
    </row>
    <row r="300" spans="9:10" x14ac:dyDescent="0.3">
      <c r="I300" t="str">
        <f>_xlfn.IFNA(INDEX('[1]Sector list'!$A$2:$A$122,MATCH(H300,'[1]Sector list'!$B$2:$B$122,0)),"")</f>
        <v/>
      </c>
      <c r="J300" s="172"/>
    </row>
    <row r="301" spans="9:10" x14ac:dyDescent="0.3">
      <c r="I301" t="str">
        <f>_xlfn.IFNA(INDEX('[1]Sector list'!$A$2:$A$122,MATCH(H301,'[1]Sector list'!$B$2:$B$122,0)),"")</f>
        <v/>
      </c>
      <c r="J301" s="172"/>
    </row>
    <row r="302" spans="9:10" x14ac:dyDescent="0.3">
      <c r="I302" t="str">
        <f>_xlfn.IFNA(INDEX('[1]Sector list'!$A$2:$A$122,MATCH(H302,'[1]Sector list'!$B$2:$B$122,0)),"")</f>
        <v/>
      </c>
      <c r="J302" s="172"/>
    </row>
    <row r="303" spans="9:10" x14ac:dyDescent="0.3">
      <c r="I303" t="str">
        <f>_xlfn.IFNA(INDEX('[1]Sector list'!$A$2:$A$122,MATCH(H303,'[1]Sector list'!$B$2:$B$122,0)),"")</f>
        <v/>
      </c>
      <c r="J303" s="172"/>
    </row>
    <row r="304" spans="9:10" x14ac:dyDescent="0.3">
      <c r="I304" t="str">
        <f>_xlfn.IFNA(INDEX('[1]Sector list'!$A$2:$A$122,MATCH(H304,'[1]Sector list'!$B$2:$B$122,0)),"")</f>
        <v/>
      </c>
      <c r="J304" s="172"/>
    </row>
    <row r="305" spans="9:10" x14ac:dyDescent="0.3">
      <c r="I305" t="str">
        <f>_xlfn.IFNA(INDEX('[1]Sector list'!$A$2:$A$122,MATCH(H305,'[1]Sector list'!$B$2:$B$122,0)),"")</f>
        <v/>
      </c>
      <c r="J305" s="172"/>
    </row>
    <row r="306" spans="9:10" x14ac:dyDescent="0.3">
      <c r="I306" t="str">
        <f>_xlfn.IFNA(INDEX('[1]Sector list'!$A$2:$A$122,MATCH(H306,'[1]Sector list'!$B$2:$B$122,0)),"")</f>
        <v/>
      </c>
      <c r="J306" s="172"/>
    </row>
    <row r="307" spans="9:10" x14ac:dyDescent="0.3">
      <c r="I307" t="str">
        <f>_xlfn.IFNA(INDEX('[1]Sector list'!$A$2:$A$122,MATCH(H307,'[1]Sector list'!$B$2:$B$122,0)),"")</f>
        <v/>
      </c>
      <c r="J307" s="172"/>
    </row>
    <row r="308" spans="9:10" x14ac:dyDescent="0.3">
      <c r="I308" t="str">
        <f>_xlfn.IFNA(INDEX('[1]Sector list'!$A$2:$A$122,MATCH(H308,'[1]Sector list'!$B$2:$B$122,0)),"")</f>
        <v/>
      </c>
      <c r="J308" s="172"/>
    </row>
    <row r="309" spans="9:10" x14ac:dyDescent="0.3">
      <c r="I309" t="str">
        <f>_xlfn.IFNA(INDEX('[1]Sector list'!$A$2:$A$122,MATCH(H309,'[1]Sector list'!$B$2:$B$122,0)),"")</f>
        <v/>
      </c>
      <c r="J309" s="172"/>
    </row>
    <row r="310" spans="9:10" x14ac:dyDescent="0.3">
      <c r="I310" t="str">
        <f>_xlfn.IFNA(INDEX('[1]Sector list'!$A$2:$A$122,MATCH(H310,'[1]Sector list'!$B$2:$B$122,0)),"")</f>
        <v/>
      </c>
      <c r="J310" s="172"/>
    </row>
    <row r="311" spans="9:10" x14ac:dyDescent="0.3">
      <c r="I311" t="str">
        <f>_xlfn.IFNA(INDEX('[1]Sector list'!$A$2:$A$122,MATCH(H311,'[1]Sector list'!$B$2:$B$122,0)),"")</f>
        <v/>
      </c>
      <c r="J311" s="172"/>
    </row>
    <row r="312" spans="9:10" x14ac:dyDescent="0.3">
      <c r="I312" t="str">
        <f>_xlfn.IFNA(INDEX('[1]Sector list'!$A$2:$A$122,MATCH(H312,'[1]Sector list'!$B$2:$B$122,0)),"")</f>
        <v/>
      </c>
      <c r="J312" s="172"/>
    </row>
    <row r="313" spans="9:10" x14ac:dyDescent="0.3">
      <c r="I313" t="str">
        <f>_xlfn.IFNA(INDEX('[1]Sector list'!$A$2:$A$122,MATCH(H313,'[1]Sector list'!$B$2:$B$122,0)),"")</f>
        <v/>
      </c>
      <c r="J313" s="172"/>
    </row>
    <row r="314" spans="9:10" x14ac:dyDescent="0.3">
      <c r="I314" t="str">
        <f>_xlfn.IFNA(INDEX('[1]Sector list'!$A$2:$A$122,MATCH(H314,'[1]Sector list'!$B$2:$B$122,0)),"")</f>
        <v/>
      </c>
      <c r="J314" s="172"/>
    </row>
    <row r="315" spans="9:10" x14ac:dyDescent="0.3">
      <c r="I315" t="str">
        <f>_xlfn.IFNA(INDEX('[1]Sector list'!$A$2:$A$122,MATCH(H315,'[1]Sector list'!$B$2:$B$122,0)),"")</f>
        <v/>
      </c>
      <c r="J315" s="172"/>
    </row>
    <row r="316" spans="9:10" x14ac:dyDescent="0.3">
      <c r="I316" t="str">
        <f>_xlfn.IFNA(INDEX('[1]Sector list'!$A$2:$A$122,MATCH(H316,'[1]Sector list'!$B$2:$B$122,0)),"")</f>
        <v/>
      </c>
      <c r="J316" s="172"/>
    </row>
    <row r="317" spans="9:10" x14ac:dyDescent="0.3">
      <c r="I317" t="str">
        <f>_xlfn.IFNA(INDEX('[1]Sector list'!$A$2:$A$122,MATCH(H317,'[1]Sector list'!$B$2:$B$122,0)),"")</f>
        <v/>
      </c>
      <c r="J317" s="172"/>
    </row>
    <row r="318" spans="9:10" x14ac:dyDescent="0.3">
      <c r="I318" t="str">
        <f>_xlfn.IFNA(INDEX('[1]Sector list'!$A$2:$A$122,MATCH(H318,'[1]Sector list'!$B$2:$B$122,0)),"")</f>
        <v/>
      </c>
      <c r="J318" s="172"/>
    </row>
    <row r="319" spans="9:10" x14ac:dyDescent="0.3">
      <c r="I319" t="str">
        <f>_xlfn.IFNA(INDEX('[1]Sector list'!$A$2:$A$122,MATCH(H319,'[1]Sector list'!$B$2:$B$122,0)),"")</f>
        <v/>
      </c>
      <c r="J319" s="172"/>
    </row>
    <row r="320" spans="9:10" x14ac:dyDescent="0.3">
      <c r="I320" t="str">
        <f>_xlfn.IFNA(INDEX('[1]Sector list'!$A$2:$A$122,MATCH(H320,'[1]Sector list'!$B$2:$B$122,0)),"")</f>
        <v/>
      </c>
      <c r="J320" s="172"/>
    </row>
    <row r="321" spans="9:10" x14ac:dyDescent="0.3">
      <c r="I321" t="str">
        <f>_xlfn.IFNA(INDEX('[1]Sector list'!$A$2:$A$122,MATCH(H321,'[1]Sector list'!$B$2:$B$122,0)),"")</f>
        <v/>
      </c>
      <c r="J321" s="172"/>
    </row>
    <row r="322" spans="9:10" x14ac:dyDescent="0.3">
      <c r="I322" t="str">
        <f>_xlfn.IFNA(INDEX('[1]Sector list'!$A$2:$A$122,MATCH(H322,'[1]Sector list'!$B$2:$B$122,0)),"")</f>
        <v/>
      </c>
      <c r="J322" s="172"/>
    </row>
    <row r="323" spans="9:10" x14ac:dyDescent="0.3">
      <c r="I323" t="str">
        <f>_xlfn.IFNA(INDEX('[1]Sector list'!$A$2:$A$122,MATCH(H323,'[1]Sector list'!$B$2:$B$122,0)),"")</f>
        <v/>
      </c>
      <c r="J323" s="172"/>
    </row>
    <row r="324" spans="9:10" x14ac:dyDescent="0.3">
      <c r="I324" t="str">
        <f>_xlfn.IFNA(INDEX('[1]Sector list'!$A$2:$A$122,MATCH(H324,'[1]Sector list'!$B$2:$B$122,0)),"")</f>
        <v/>
      </c>
      <c r="J324" s="172"/>
    </row>
    <row r="325" spans="9:10" x14ac:dyDescent="0.3">
      <c r="I325" t="str">
        <f>_xlfn.IFNA(INDEX('[1]Sector list'!$A$2:$A$122,MATCH(H325,'[1]Sector list'!$B$2:$B$122,0)),"")</f>
        <v/>
      </c>
      <c r="J325" s="172"/>
    </row>
    <row r="326" spans="9:10" x14ac:dyDescent="0.3">
      <c r="I326" t="str">
        <f>_xlfn.IFNA(INDEX('[1]Sector list'!$A$2:$A$122,MATCH(H326,'[1]Sector list'!$B$2:$B$122,0)),"")</f>
        <v/>
      </c>
      <c r="J326" s="172"/>
    </row>
    <row r="327" spans="9:10" x14ac:dyDescent="0.3">
      <c r="I327" t="str">
        <f>_xlfn.IFNA(INDEX('[1]Sector list'!$A$2:$A$122,MATCH(H327,'[1]Sector list'!$B$2:$B$122,0)),"")</f>
        <v/>
      </c>
      <c r="J327" s="172"/>
    </row>
    <row r="328" spans="9:10" x14ac:dyDescent="0.3">
      <c r="I328" t="str">
        <f>_xlfn.IFNA(INDEX('[1]Sector list'!$A$2:$A$122,MATCH(H328,'[1]Sector list'!$B$2:$B$122,0)),"")</f>
        <v/>
      </c>
      <c r="J328" s="172"/>
    </row>
    <row r="329" spans="9:10" x14ac:dyDescent="0.3">
      <c r="I329" t="str">
        <f>_xlfn.IFNA(INDEX('[1]Sector list'!$A$2:$A$122,MATCH(H329,'[1]Sector list'!$B$2:$B$122,0)),"")</f>
        <v/>
      </c>
      <c r="J329" s="172"/>
    </row>
    <row r="330" spans="9:10" x14ac:dyDescent="0.3">
      <c r="I330" t="str">
        <f>_xlfn.IFNA(INDEX('[1]Sector list'!$A$2:$A$122,MATCH(H330,'[1]Sector list'!$B$2:$B$122,0)),"")</f>
        <v/>
      </c>
      <c r="J330" s="172"/>
    </row>
    <row r="331" spans="9:10" x14ac:dyDescent="0.3">
      <c r="I331" t="str">
        <f>_xlfn.IFNA(INDEX('[1]Sector list'!$A$2:$A$122,MATCH(H331,'[1]Sector list'!$B$2:$B$122,0)),"")</f>
        <v/>
      </c>
      <c r="J331" s="172"/>
    </row>
    <row r="332" spans="9:10" x14ac:dyDescent="0.3">
      <c r="I332" t="str">
        <f>_xlfn.IFNA(INDEX('[1]Sector list'!$A$2:$A$122,MATCH(H332,'[1]Sector list'!$B$2:$B$122,0)),"")</f>
        <v/>
      </c>
      <c r="J332" s="172"/>
    </row>
    <row r="333" spans="9:10" x14ac:dyDescent="0.3">
      <c r="I333" t="str">
        <f>_xlfn.IFNA(INDEX('[1]Sector list'!$A$2:$A$122,MATCH(H333,'[1]Sector list'!$B$2:$B$122,0)),"")</f>
        <v/>
      </c>
      <c r="J333" s="172"/>
    </row>
    <row r="334" spans="9:10" x14ac:dyDescent="0.3">
      <c r="I334" t="str">
        <f>_xlfn.IFNA(INDEX('[1]Sector list'!$A$2:$A$122,MATCH(H334,'[1]Sector list'!$B$2:$B$122,0)),"")</f>
        <v/>
      </c>
      <c r="J334" s="172"/>
    </row>
    <row r="335" spans="9:10" x14ac:dyDescent="0.3">
      <c r="I335" t="str">
        <f>_xlfn.IFNA(INDEX('[1]Sector list'!$A$2:$A$122,MATCH(H335,'[1]Sector list'!$B$2:$B$122,0)),"")</f>
        <v/>
      </c>
      <c r="J335" s="172"/>
    </row>
    <row r="336" spans="9:10" x14ac:dyDescent="0.3">
      <c r="I336" t="str">
        <f>_xlfn.IFNA(INDEX('[1]Sector list'!$A$2:$A$122,MATCH(H336,'[1]Sector list'!$B$2:$B$122,0)),"")</f>
        <v/>
      </c>
      <c r="J336" s="172"/>
    </row>
    <row r="337" spans="9:10" x14ac:dyDescent="0.3">
      <c r="I337" t="str">
        <f>_xlfn.IFNA(INDEX('[1]Sector list'!$A$2:$A$122,MATCH(H337,'[1]Sector list'!$B$2:$B$122,0)),"")</f>
        <v/>
      </c>
      <c r="J337" s="172"/>
    </row>
    <row r="338" spans="9:10" x14ac:dyDescent="0.3">
      <c r="I338" t="str">
        <f>_xlfn.IFNA(INDEX('[1]Sector list'!$A$2:$A$122,MATCH(H338,'[1]Sector list'!$B$2:$B$122,0)),"")</f>
        <v/>
      </c>
      <c r="J338" s="172"/>
    </row>
    <row r="339" spans="9:10" x14ac:dyDescent="0.3">
      <c r="I339" t="str">
        <f>_xlfn.IFNA(INDEX('[1]Sector list'!$A$2:$A$122,MATCH(H339,'[1]Sector list'!$B$2:$B$122,0)),"")</f>
        <v/>
      </c>
      <c r="J339" s="172"/>
    </row>
    <row r="340" spans="9:10" x14ac:dyDescent="0.3">
      <c r="I340" t="str">
        <f>_xlfn.IFNA(INDEX('[1]Sector list'!$A$2:$A$122,MATCH(H340,'[1]Sector list'!$B$2:$B$122,0)),"")</f>
        <v/>
      </c>
      <c r="J340" s="172"/>
    </row>
    <row r="341" spans="9:10" x14ac:dyDescent="0.3">
      <c r="I341" t="str">
        <f>_xlfn.IFNA(INDEX('[1]Sector list'!$A$2:$A$122,MATCH(H341,'[1]Sector list'!$B$2:$B$122,0)),"")</f>
        <v/>
      </c>
      <c r="J341" s="172"/>
    </row>
    <row r="342" spans="9:10" x14ac:dyDescent="0.3">
      <c r="I342" t="str">
        <f>_xlfn.IFNA(INDEX('[1]Sector list'!$A$2:$A$122,MATCH(H342,'[1]Sector list'!$B$2:$B$122,0)),"")</f>
        <v/>
      </c>
      <c r="J342" s="172"/>
    </row>
    <row r="343" spans="9:10" x14ac:dyDescent="0.3">
      <c r="I343" t="str">
        <f>_xlfn.IFNA(INDEX('[1]Sector list'!$A$2:$A$122,MATCH(H343,'[1]Sector list'!$B$2:$B$122,0)),"")</f>
        <v/>
      </c>
      <c r="J343" s="172"/>
    </row>
    <row r="344" spans="9:10" x14ac:dyDescent="0.3">
      <c r="I344" t="str">
        <f>_xlfn.IFNA(INDEX('[1]Sector list'!$A$2:$A$122,MATCH(H344,'[1]Sector list'!$B$2:$B$122,0)),"")</f>
        <v/>
      </c>
      <c r="J344" s="172"/>
    </row>
    <row r="345" spans="9:10" x14ac:dyDescent="0.3">
      <c r="I345" t="str">
        <f>_xlfn.IFNA(INDEX('[1]Sector list'!$A$2:$A$122,MATCH(H345,'[1]Sector list'!$B$2:$B$122,0)),"")</f>
        <v/>
      </c>
      <c r="J345" s="172"/>
    </row>
    <row r="346" spans="9:10" x14ac:dyDescent="0.3">
      <c r="I346" t="str">
        <f>_xlfn.IFNA(INDEX('[1]Sector list'!$A$2:$A$122,MATCH(H346,'[1]Sector list'!$B$2:$B$122,0)),"")</f>
        <v/>
      </c>
      <c r="J346" s="172"/>
    </row>
    <row r="347" spans="9:10" x14ac:dyDescent="0.3">
      <c r="I347" t="str">
        <f>_xlfn.IFNA(INDEX('[1]Sector list'!$A$2:$A$122,MATCH(H347,'[1]Sector list'!$B$2:$B$122,0)),"")</f>
        <v/>
      </c>
      <c r="J347" s="172"/>
    </row>
    <row r="348" spans="9:10" x14ac:dyDescent="0.3">
      <c r="I348" t="str">
        <f>_xlfn.IFNA(INDEX('[1]Sector list'!$A$2:$A$122,MATCH(H348,'[1]Sector list'!$B$2:$B$122,0)),"")</f>
        <v/>
      </c>
      <c r="J348" s="172"/>
    </row>
    <row r="349" spans="9:10" x14ac:dyDescent="0.3">
      <c r="I349" t="str">
        <f>_xlfn.IFNA(INDEX('[1]Sector list'!$A$2:$A$122,MATCH(H349,'[1]Sector list'!$B$2:$B$122,0)),"")</f>
        <v/>
      </c>
      <c r="J349" s="172"/>
    </row>
    <row r="350" spans="9:10" x14ac:dyDescent="0.3">
      <c r="I350" t="str">
        <f>_xlfn.IFNA(INDEX('[1]Sector list'!$A$2:$A$122,MATCH(H350,'[1]Sector list'!$B$2:$B$122,0)),"")</f>
        <v/>
      </c>
      <c r="J350" s="172"/>
    </row>
    <row r="351" spans="9:10" x14ac:dyDescent="0.3">
      <c r="I351" t="str">
        <f>_xlfn.IFNA(INDEX('[1]Sector list'!$A$2:$A$122,MATCH(H351,'[1]Sector list'!$B$2:$B$122,0)),"")</f>
        <v/>
      </c>
      <c r="J351" s="172"/>
    </row>
    <row r="352" spans="9:10" x14ac:dyDescent="0.3">
      <c r="I352" t="str">
        <f>_xlfn.IFNA(INDEX('[1]Sector list'!$A$2:$A$122,MATCH(H352,'[1]Sector list'!$B$2:$B$122,0)),"")</f>
        <v/>
      </c>
      <c r="J352" s="172"/>
    </row>
    <row r="353" spans="9:10" x14ac:dyDescent="0.3">
      <c r="I353" t="str">
        <f>_xlfn.IFNA(INDEX('[1]Sector list'!$A$2:$A$122,MATCH(H353,'[1]Sector list'!$B$2:$B$122,0)),"")</f>
        <v/>
      </c>
      <c r="J353" s="172"/>
    </row>
    <row r="354" spans="9:10" x14ac:dyDescent="0.3">
      <c r="I354" t="str">
        <f>_xlfn.IFNA(INDEX('[1]Sector list'!$A$2:$A$122,MATCH(H354,'[1]Sector list'!$B$2:$B$122,0)),"")</f>
        <v/>
      </c>
      <c r="J354" s="172"/>
    </row>
    <row r="355" spans="9:10" x14ac:dyDescent="0.3">
      <c r="I355" t="str">
        <f>_xlfn.IFNA(INDEX('[1]Sector list'!$A$2:$A$122,MATCH(H355,'[1]Sector list'!$B$2:$B$122,0)),"")</f>
        <v/>
      </c>
      <c r="J355" s="172"/>
    </row>
    <row r="356" spans="9:10" x14ac:dyDescent="0.3">
      <c r="I356" t="str">
        <f>_xlfn.IFNA(INDEX('[1]Sector list'!$A$2:$A$122,MATCH(H356,'[1]Sector list'!$B$2:$B$122,0)),"")</f>
        <v/>
      </c>
      <c r="J356" s="172"/>
    </row>
    <row r="357" spans="9:10" x14ac:dyDescent="0.3">
      <c r="I357" t="str">
        <f>_xlfn.IFNA(INDEX('[1]Sector list'!$A$2:$A$122,MATCH(H357,'[1]Sector list'!$B$2:$B$122,0)),"")</f>
        <v/>
      </c>
      <c r="J357" s="172"/>
    </row>
    <row r="358" spans="9:10" x14ac:dyDescent="0.3">
      <c r="I358" t="str">
        <f>_xlfn.IFNA(INDEX('[1]Sector list'!$A$2:$A$122,MATCH(H358,'[1]Sector list'!$B$2:$B$122,0)),"")</f>
        <v/>
      </c>
      <c r="J358" s="172"/>
    </row>
    <row r="359" spans="9:10" x14ac:dyDescent="0.3">
      <c r="I359" t="str">
        <f>_xlfn.IFNA(INDEX('[1]Sector list'!$A$2:$A$122,MATCH(H359,'[1]Sector list'!$B$2:$B$122,0)),"")</f>
        <v/>
      </c>
      <c r="J359" s="172"/>
    </row>
    <row r="360" spans="9:10" x14ac:dyDescent="0.3">
      <c r="I360" t="str">
        <f>_xlfn.IFNA(INDEX('[1]Sector list'!$A$2:$A$122,MATCH(H360,'[1]Sector list'!$B$2:$B$122,0)),"")</f>
        <v/>
      </c>
      <c r="J360" s="172"/>
    </row>
    <row r="361" spans="9:10" x14ac:dyDescent="0.3">
      <c r="I361" t="str">
        <f>_xlfn.IFNA(INDEX('[1]Sector list'!$A$2:$A$122,MATCH(H361,'[1]Sector list'!$B$2:$B$122,0)),"")</f>
        <v/>
      </c>
      <c r="J361" s="172"/>
    </row>
    <row r="362" spans="9:10" x14ac:dyDescent="0.3">
      <c r="I362" t="str">
        <f>_xlfn.IFNA(INDEX('[1]Sector list'!$A$2:$A$122,MATCH(H362,'[1]Sector list'!$B$2:$B$122,0)),"")</f>
        <v/>
      </c>
      <c r="J362" s="172"/>
    </row>
    <row r="363" spans="9:10" x14ac:dyDescent="0.3">
      <c r="I363" t="str">
        <f>_xlfn.IFNA(INDEX('[1]Sector list'!$A$2:$A$122,MATCH(H363,'[1]Sector list'!$B$2:$B$122,0)),"")</f>
        <v/>
      </c>
      <c r="J363" s="172"/>
    </row>
    <row r="364" spans="9:10" x14ac:dyDescent="0.3">
      <c r="I364" t="str">
        <f>_xlfn.IFNA(INDEX('[1]Sector list'!$A$2:$A$122,MATCH(H364,'[1]Sector list'!$B$2:$B$122,0)),"")</f>
        <v/>
      </c>
      <c r="J364" s="172"/>
    </row>
    <row r="365" spans="9:10" x14ac:dyDescent="0.3">
      <c r="I365" t="str">
        <f>_xlfn.IFNA(INDEX('[1]Sector list'!$A$2:$A$122,MATCH(H365,'[1]Sector list'!$B$2:$B$122,0)),"")</f>
        <v/>
      </c>
      <c r="J365" s="172"/>
    </row>
    <row r="366" spans="9:10" x14ac:dyDescent="0.3">
      <c r="I366" t="str">
        <f>_xlfn.IFNA(INDEX('[1]Sector list'!$A$2:$A$122,MATCH(H366,'[1]Sector list'!$B$2:$B$122,0)),"")</f>
        <v/>
      </c>
      <c r="J366" s="172"/>
    </row>
    <row r="367" spans="9:10" x14ac:dyDescent="0.3">
      <c r="I367" t="str">
        <f>_xlfn.IFNA(INDEX('[1]Sector list'!$A$2:$A$122,MATCH(H367,'[1]Sector list'!$B$2:$B$122,0)),"")</f>
        <v/>
      </c>
      <c r="J367" s="172"/>
    </row>
    <row r="368" spans="9:10" x14ac:dyDescent="0.3">
      <c r="I368" t="str">
        <f>_xlfn.IFNA(INDEX('[1]Sector list'!$A$2:$A$122,MATCH(H368,'[1]Sector list'!$B$2:$B$122,0)),"")</f>
        <v/>
      </c>
      <c r="J368" s="172"/>
    </row>
    <row r="369" spans="9:10" x14ac:dyDescent="0.3">
      <c r="I369" t="str">
        <f>_xlfn.IFNA(INDEX('[1]Sector list'!$A$2:$A$122,MATCH(H369,'[1]Sector list'!$B$2:$B$122,0)),"")</f>
        <v/>
      </c>
      <c r="J369" s="172"/>
    </row>
    <row r="370" spans="9:10" x14ac:dyDescent="0.3">
      <c r="I370" t="str">
        <f>_xlfn.IFNA(INDEX('[1]Sector list'!$A$2:$A$122,MATCH(H370,'[1]Sector list'!$B$2:$B$122,0)),"")</f>
        <v/>
      </c>
      <c r="J370" s="172"/>
    </row>
    <row r="371" spans="9:10" x14ac:dyDescent="0.3">
      <c r="I371" t="str">
        <f>_xlfn.IFNA(INDEX('[1]Sector list'!$A$2:$A$122,MATCH(H371,'[1]Sector list'!$B$2:$B$122,0)),"")</f>
        <v/>
      </c>
      <c r="J371" s="172"/>
    </row>
    <row r="372" spans="9:10" x14ac:dyDescent="0.3">
      <c r="I372" t="str">
        <f>_xlfn.IFNA(INDEX('[1]Sector list'!$A$2:$A$122,MATCH(H372,'[1]Sector list'!$B$2:$B$122,0)),"")</f>
        <v/>
      </c>
      <c r="J372" s="172"/>
    </row>
    <row r="373" spans="9:10" x14ac:dyDescent="0.3">
      <c r="I373" t="str">
        <f>_xlfn.IFNA(INDEX('[1]Sector list'!$A$2:$A$122,MATCH(H373,'[1]Sector list'!$B$2:$B$122,0)),"")</f>
        <v/>
      </c>
      <c r="J373" s="172"/>
    </row>
    <row r="374" spans="9:10" x14ac:dyDescent="0.3">
      <c r="I374" t="str">
        <f>_xlfn.IFNA(INDEX('[1]Sector list'!$A$2:$A$122,MATCH(H374,'[1]Sector list'!$B$2:$B$122,0)),"")</f>
        <v/>
      </c>
      <c r="J374" s="172"/>
    </row>
    <row r="375" spans="9:10" x14ac:dyDescent="0.3">
      <c r="I375" t="str">
        <f>_xlfn.IFNA(INDEX('[1]Sector list'!$A$2:$A$122,MATCH(H375,'[1]Sector list'!$B$2:$B$122,0)),"")</f>
        <v/>
      </c>
      <c r="J375" s="172"/>
    </row>
    <row r="376" spans="9:10" x14ac:dyDescent="0.3">
      <c r="I376" t="str">
        <f>_xlfn.IFNA(INDEX('[1]Sector list'!$A$2:$A$122,MATCH(H376,'[1]Sector list'!$B$2:$B$122,0)),"")</f>
        <v/>
      </c>
      <c r="J376" s="172"/>
    </row>
    <row r="377" spans="9:10" x14ac:dyDescent="0.3">
      <c r="I377" t="str">
        <f>_xlfn.IFNA(INDEX('[1]Sector list'!$A$2:$A$122,MATCH(H377,'[1]Sector list'!$B$2:$B$122,0)),"")</f>
        <v/>
      </c>
      <c r="J377" s="172"/>
    </row>
    <row r="378" spans="9:10" x14ac:dyDescent="0.3">
      <c r="I378" t="str">
        <f>_xlfn.IFNA(INDEX('[1]Sector list'!$A$2:$A$122,MATCH(H378,'[1]Sector list'!$B$2:$B$122,0)),"")</f>
        <v/>
      </c>
      <c r="J378" s="172"/>
    </row>
    <row r="379" spans="9:10" x14ac:dyDescent="0.3">
      <c r="I379" t="str">
        <f>_xlfn.IFNA(INDEX('[1]Sector list'!$A$2:$A$122,MATCH(H379,'[1]Sector list'!$B$2:$B$122,0)),"")</f>
        <v/>
      </c>
      <c r="J379" s="172"/>
    </row>
    <row r="380" spans="9:10" x14ac:dyDescent="0.3">
      <c r="I380" t="str">
        <f>_xlfn.IFNA(INDEX('[1]Sector list'!$A$2:$A$122,MATCH(H380,'[1]Sector list'!$B$2:$B$122,0)),"")</f>
        <v/>
      </c>
      <c r="J380" s="172"/>
    </row>
    <row r="381" spans="9:10" x14ac:dyDescent="0.3">
      <c r="I381" t="str">
        <f>_xlfn.IFNA(INDEX('[1]Sector list'!$A$2:$A$122,MATCH(H381,'[1]Sector list'!$B$2:$B$122,0)),"")</f>
        <v/>
      </c>
      <c r="J381" s="172"/>
    </row>
    <row r="382" spans="9:10" x14ac:dyDescent="0.3">
      <c r="I382" t="str">
        <f>_xlfn.IFNA(INDEX('[1]Sector list'!$A$2:$A$122,MATCH(H382,'[1]Sector list'!$B$2:$B$122,0)),"")</f>
        <v/>
      </c>
      <c r="J382" s="172"/>
    </row>
    <row r="383" spans="9:10" x14ac:dyDescent="0.3">
      <c r="I383" t="str">
        <f>_xlfn.IFNA(INDEX('[1]Sector list'!$A$2:$A$122,MATCH(H383,'[1]Sector list'!$B$2:$B$122,0)),"")</f>
        <v/>
      </c>
      <c r="J383" s="172"/>
    </row>
    <row r="384" spans="9:10" x14ac:dyDescent="0.3">
      <c r="I384" t="str">
        <f>_xlfn.IFNA(INDEX('[1]Sector list'!$A$2:$A$122,MATCH(H384,'[1]Sector list'!$B$2:$B$122,0)),"")</f>
        <v/>
      </c>
      <c r="J384" s="172"/>
    </row>
    <row r="385" spans="9:10" x14ac:dyDescent="0.3">
      <c r="I385" t="str">
        <f>_xlfn.IFNA(INDEX('[1]Sector list'!$A$2:$A$122,MATCH(H385,'[1]Sector list'!$B$2:$B$122,0)),"")</f>
        <v/>
      </c>
      <c r="J385" s="172"/>
    </row>
    <row r="386" spans="9:10" x14ac:dyDescent="0.3">
      <c r="I386" t="str">
        <f>_xlfn.IFNA(INDEX('[1]Sector list'!$A$2:$A$122,MATCH(H386,'[1]Sector list'!$B$2:$B$122,0)),"")</f>
        <v/>
      </c>
      <c r="J386" s="172"/>
    </row>
    <row r="387" spans="9:10" x14ac:dyDescent="0.3">
      <c r="I387" t="str">
        <f>_xlfn.IFNA(INDEX('[1]Sector list'!$A$2:$A$122,MATCH(H387,'[1]Sector list'!$B$2:$B$122,0)),"")</f>
        <v/>
      </c>
      <c r="J387" s="172"/>
    </row>
    <row r="388" spans="9:10" x14ac:dyDescent="0.3">
      <c r="I388" t="str">
        <f>_xlfn.IFNA(INDEX('[1]Sector list'!$A$2:$A$122,MATCH(H388,'[1]Sector list'!$B$2:$B$122,0)),"")</f>
        <v/>
      </c>
      <c r="J388" s="172"/>
    </row>
    <row r="389" spans="9:10" x14ac:dyDescent="0.3">
      <c r="I389" t="str">
        <f>_xlfn.IFNA(INDEX('[1]Sector list'!$A$2:$A$122,MATCH(H389,'[1]Sector list'!$B$2:$B$122,0)),"")</f>
        <v/>
      </c>
      <c r="J389" s="172"/>
    </row>
    <row r="390" spans="9:10" x14ac:dyDescent="0.3">
      <c r="I390" t="str">
        <f>_xlfn.IFNA(INDEX('[1]Sector list'!$A$2:$A$122,MATCH(H390,'[1]Sector list'!$B$2:$B$122,0)),"")</f>
        <v/>
      </c>
      <c r="J390" s="172"/>
    </row>
    <row r="391" spans="9:10" x14ac:dyDescent="0.3">
      <c r="I391" t="str">
        <f>_xlfn.IFNA(INDEX('[1]Sector list'!$A$2:$A$122,MATCH(H391,'[1]Sector list'!$B$2:$B$122,0)),"")</f>
        <v/>
      </c>
      <c r="J391" s="172"/>
    </row>
    <row r="392" spans="9:10" x14ac:dyDescent="0.3">
      <c r="I392" t="str">
        <f>_xlfn.IFNA(INDEX('[1]Sector list'!$A$2:$A$122,MATCH(H392,'[1]Sector list'!$B$2:$B$122,0)),"")</f>
        <v/>
      </c>
      <c r="J392" s="172"/>
    </row>
    <row r="393" spans="9:10" x14ac:dyDescent="0.3">
      <c r="I393" t="str">
        <f>_xlfn.IFNA(INDEX('[1]Sector list'!$A$2:$A$122,MATCH(H393,'[1]Sector list'!$B$2:$B$122,0)),"")</f>
        <v/>
      </c>
      <c r="J393" s="172"/>
    </row>
    <row r="394" spans="9:10" x14ac:dyDescent="0.3">
      <c r="I394" t="str">
        <f>_xlfn.IFNA(INDEX('[1]Sector list'!$A$2:$A$122,MATCH(H394,'[1]Sector list'!$B$2:$B$122,0)),"")</f>
        <v/>
      </c>
      <c r="J394" s="172"/>
    </row>
    <row r="395" spans="9:10" x14ac:dyDescent="0.3">
      <c r="I395" t="str">
        <f>_xlfn.IFNA(INDEX('[1]Sector list'!$A$2:$A$122,MATCH(H395,'[1]Sector list'!$B$2:$B$122,0)),"")</f>
        <v/>
      </c>
      <c r="J395" s="172"/>
    </row>
    <row r="396" spans="9:10" x14ac:dyDescent="0.3">
      <c r="I396" t="str">
        <f>_xlfn.IFNA(INDEX('[1]Sector list'!$A$2:$A$122,MATCH(H396,'[1]Sector list'!$B$2:$B$122,0)),"")</f>
        <v/>
      </c>
      <c r="J396" s="172"/>
    </row>
    <row r="397" spans="9:10" x14ac:dyDescent="0.3">
      <c r="I397" t="str">
        <f>_xlfn.IFNA(INDEX('[1]Sector list'!$A$2:$A$122,MATCH(H397,'[1]Sector list'!$B$2:$B$122,0)),"")</f>
        <v/>
      </c>
      <c r="J397" s="172"/>
    </row>
    <row r="398" spans="9:10" x14ac:dyDescent="0.3">
      <c r="I398" t="str">
        <f>_xlfn.IFNA(INDEX('[1]Sector list'!$A$2:$A$122,MATCH(H398,'[1]Sector list'!$B$2:$B$122,0)),"")</f>
        <v/>
      </c>
      <c r="J398" s="172"/>
    </row>
    <row r="399" spans="9:10" x14ac:dyDescent="0.3">
      <c r="I399" t="str">
        <f>_xlfn.IFNA(INDEX('[1]Sector list'!$A$2:$A$122,MATCH(H399,'[1]Sector list'!$B$2:$B$122,0)),"")</f>
        <v/>
      </c>
      <c r="J399" s="172"/>
    </row>
    <row r="400" spans="9:10" x14ac:dyDescent="0.3">
      <c r="I400" t="str">
        <f>_xlfn.IFNA(INDEX('[1]Sector list'!$A$2:$A$122,MATCH(H400,'[1]Sector list'!$B$2:$B$122,0)),"")</f>
        <v/>
      </c>
      <c r="J400" s="172"/>
    </row>
    <row r="401" spans="9:10" x14ac:dyDescent="0.3">
      <c r="I401" t="str">
        <f>_xlfn.IFNA(INDEX('[1]Sector list'!$A$2:$A$122,MATCH(H401,'[1]Sector list'!$B$2:$B$122,0)),"")</f>
        <v/>
      </c>
      <c r="J401" s="172"/>
    </row>
    <row r="402" spans="9:10" x14ac:dyDescent="0.3">
      <c r="I402" t="str">
        <f>_xlfn.IFNA(INDEX('[1]Sector list'!$A$2:$A$122,MATCH(H402,'[1]Sector list'!$B$2:$B$122,0)),"")</f>
        <v/>
      </c>
      <c r="J402" s="172"/>
    </row>
    <row r="403" spans="9:10" x14ac:dyDescent="0.3">
      <c r="I403" t="str">
        <f>_xlfn.IFNA(INDEX('[1]Sector list'!$A$2:$A$122,MATCH(H403,'[1]Sector list'!$B$2:$B$122,0)),"")</f>
        <v/>
      </c>
      <c r="J403" s="172"/>
    </row>
    <row r="404" spans="9:10" x14ac:dyDescent="0.3">
      <c r="I404" t="str">
        <f>_xlfn.IFNA(INDEX('[1]Sector list'!$A$2:$A$122,MATCH(H404,'[1]Sector list'!$B$2:$B$122,0)),"")</f>
        <v/>
      </c>
      <c r="J404" s="172"/>
    </row>
    <row r="405" spans="9:10" x14ac:dyDescent="0.3">
      <c r="I405" t="str">
        <f>_xlfn.IFNA(INDEX('[1]Sector list'!$A$2:$A$122,MATCH(H405,'[1]Sector list'!$B$2:$B$122,0)),"")</f>
        <v/>
      </c>
      <c r="J405" s="172"/>
    </row>
    <row r="406" spans="9:10" x14ac:dyDescent="0.3">
      <c r="I406" t="str">
        <f>_xlfn.IFNA(INDEX('[1]Sector list'!$A$2:$A$122,MATCH(H406,'[1]Sector list'!$B$2:$B$122,0)),"")</f>
        <v/>
      </c>
      <c r="J406" s="172"/>
    </row>
    <row r="407" spans="9:10" x14ac:dyDescent="0.3">
      <c r="I407" t="str">
        <f>_xlfn.IFNA(INDEX('[1]Sector list'!$A$2:$A$122,MATCH(H407,'[1]Sector list'!$B$2:$B$122,0)),"")</f>
        <v/>
      </c>
      <c r="J407" s="172"/>
    </row>
    <row r="408" spans="9:10" x14ac:dyDescent="0.3">
      <c r="I408" t="str">
        <f>_xlfn.IFNA(INDEX('[1]Sector list'!$A$2:$A$122,MATCH(H408,'[1]Sector list'!$B$2:$B$122,0)),"")</f>
        <v/>
      </c>
      <c r="J408" s="172"/>
    </row>
    <row r="409" spans="9:10" x14ac:dyDescent="0.3">
      <c r="I409" t="str">
        <f>_xlfn.IFNA(INDEX('[1]Sector list'!$A$2:$A$122,MATCH(H409,'[1]Sector list'!$B$2:$B$122,0)),"")</f>
        <v/>
      </c>
      <c r="J409" s="172"/>
    </row>
    <row r="410" spans="9:10" x14ac:dyDescent="0.3">
      <c r="I410" t="str">
        <f>_xlfn.IFNA(INDEX('[1]Sector list'!$A$2:$A$122,MATCH(H410,'[1]Sector list'!$B$2:$B$122,0)),"")</f>
        <v/>
      </c>
      <c r="J410" s="172"/>
    </row>
    <row r="411" spans="9:10" x14ac:dyDescent="0.3">
      <c r="I411" t="str">
        <f>_xlfn.IFNA(INDEX('[1]Sector list'!$A$2:$A$122,MATCH(H411,'[1]Sector list'!$B$2:$B$122,0)),"")</f>
        <v/>
      </c>
      <c r="J411" s="172"/>
    </row>
    <row r="412" spans="9:10" x14ac:dyDescent="0.3">
      <c r="I412" t="str">
        <f>_xlfn.IFNA(INDEX('[1]Sector list'!$A$2:$A$122,MATCH(H412,'[1]Sector list'!$B$2:$B$122,0)),"")</f>
        <v/>
      </c>
      <c r="J412" s="172"/>
    </row>
    <row r="413" spans="9:10" x14ac:dyDescent="0.3">
      <c r="I413" t="str">
        <f>_xlfn.IFNA(INDEX('[1]Sector list'!$A$2:$A$122,MATCH(H413,'[1]Sector list'!$B$2:$B$122,0)),"")</f>
        <v/>
      </c>
      <c r="J413" s="172"/>
    </row>
    <row r="414" spans="9:10" x14ac:dyDescent="0.3">
      <c r="I414" t="str">
        <f>_xlfn.IFNA(INDEX('[1]Sector list'!$A$2:$A$122,MATCH(H414,'[1]Sector list'!$B$2:$B$122,0)),"")</f>
        <v/>
      </c>
      <c r="J414" s="172"/>
    </row>
    <row r="415" spans="9:10" x14ac:dyDescent="0.3">
      <c r="I415" t="str">
        <f>_xlfn.IFNA(INDEX('[1]Sector list'!$A$2:$A$122,MATCH(H415,'[1]Sector list'!$B$2:$B$122,0)),"")</f>
        <v/>
      </c>
      <c r="J415" s="172"/>
    </row>
    <row r="416" spans="9:10" x14ac:dyDescent="0.3">
      <c r="I416" t="str">
        <f>_xlfn.IFNA(INDEX('[1]Sector list'!$A$2:$A$122,MATCH(H416,'[1]Sector list'!$B$2:$B$122,0)),"")</f>
        <v/>
      </c>
      <c r="J416" s="172"/>
    </row>
    <row r="417" spans="9:10" x14ac:dyDescent="0.3">
      <c r="I417" t="str">
        <f>_xlfn.IFNA(INDEX('[1]Sector list'!$A$2:$A$122,MATCH(H417,'[1]Sector list'!$B$2:$B$122,0)),"")</f>
        <v/>
      </c>
      <c r="J417" s="172"/>
    </row>
    <row r="418" spans="9:10" x14ac:dyDescent="0.3">
      <c r="I418" t="str">
        <f>_xlfn.IFNA(INDEX('[1]Sector list'!$A$2:$A$122,MATCH(H418,'[1]Sector list'!$B$2:$B$122,0)),"")</f>
        <v/>
      </c>
      <c r="J418" s="172"/>
    </row>
    <row r="419" spans="9:10" x14ac:dyDescent="0.3">
      <c r="I419" t="str">
        <f>_xlfn.IFNA(INDEX('[1]Sector list'!$A$2:$A$122,MATCH(H419,'[1]Sector list'!$B$2:$B$122,0)),"")</f>
        <v/>
      </c>
      <c r="J419" s="172"/>
    </row>
    <row r="420" spans="9:10" x14ac:dyDescent="0.3">
      <c r="I420" t="str">
        <f>_xlfn.IFNA(INDEX('[1]Sector list'!$A$2:$A$122,MATCH(H420,'[1]Sector list'!$B$2:$B$122,0)),"")</f>
        <v/>
      </c>
      <c r="J420" s="172"/>
    </row>
    <row r="421" spans="9:10" x14ac:dyDescent="0.3">
      <c r="I421" t="str">
        <f>_xlfn.IFNA(INDEX('[1]Sector list'!$A$2:$A$122,MATCH(H421,'[1]Sector list'!$B$2:$B$122,0)),"")</f>
        <v/>
      </c>
      <c r="J421" s="172"/>
    </row>
    <row r="422" spans="9:10" x14ac:dyDescent="0.3">
      <c r="I422" t="str">
        <f>_xlfn.IFNA(INDEX('[1]Sector list'!$A$2:$A$122,MATCH(H422,'[1]Sector list'!$B$2:$B$122,0)),"")</f>
        <v/>
      </c>
      <c r="J422" s="172"/>
    </row>
    <row r="423" spans="9:10" x14ac:dyDescent="0.3">
      <c r="I423" t="str">
        <f>_xlfn.IFNA(INDEX('[1]Sector list'!$A$2:$A$122,MATCH(H423,'[1]Sector list'!$B$2:$B$122,0)),"")</f>
        <v/>
      </c>
      <c r="J423" s="172"/>
    </row>
    <row r="424" spans="9:10" x14ac:dyDescent="0.3">
      <c r="I424" t="str">
        <f>_xlfn.IFNA(INDEX('[1]Sector list'!$A$2:$A$122,MATCH(H424,'[1]Sector list'!$B$2:$B$122,0)),"")</f>
        <v/>
      </c>
      <c r="J424" s="172"/>
    </row>
    <row r="425" spans="9:10" x14ac:dyDescent="0.3">
      <c r="I425" t="str">
        <f>_xlfn.IFNA(INDEX('[1]Sector list'!$A$2:$A$122,MATCH(H425,'[1]Sector list'!$B$2:$B$122,0)),"")</f>
        <v/>
      </c>
      <c r="J425" s="172"/>
    </row>
    <row r="426" spans="9:10" x14ac:dyDescent="0.3">
      <c r="I426" t="str">
        <f>_xlfn.IFNA(INDEX('[1]Sector list'!$A$2:$A$122,MATCH(H426,'[1]Sector list'!$B$2:$B$122,0)),"")</f>
        <v/>
      </c>
      <c r="J426" s="172"/>
    </row>
    <row r="427" spans="9:10" x14ac:dyDescent="0.3">
      <c r="I427" t="str">
        <f>_xlfn.IFNA(INDEX('[1]Sector list'!$A$2:$A$122,MATCH(H427,'[1]Sector list'!$B$2:$B$122,0)),"")</f>
        <v/>
      </c>
      <c r="J427" s="172"/>
    </row>
    <row r="428" spans="9:10" x14ac:dyDescent="0.3">
      <c r="I428" t="str">
        <f>_xlfn.IFNA(INDEX('[1]Sector list'!$A$2:$A$122,MATCH(H428,'[1]Sector list'!$B$2:$B$122,0)),"")</f>
        <v/>
      </c>
      <c r="J428" s="172"/>
    </row>
    <row r="429" spans="9:10" x14ac:dyDescent="0.3">
      <c r="I429" t="str">
        <f>_xlfn.IFNA(INDEX('[1]Sector list'!$A$2:$A$122,MATCH(H429,'[1]Sector list'!$B$2:$B$122,0)),"")</f>
        <v/>
      </c>
      <c r="J429" s="172"/>
    </row>
    <row r="430" spans="9:10" x14ac:dyDescent="0.3">
      <c r="I430" t="str">
        <f>_xlfn.IFNA(INDEX('[1]Sector list'!$A$2:$A$122,MATCH(H430,'[1]Sector list'!$B$2:$B$122,0)),"")</f>
        <v/>
      </c>
      <c r="J430" s="172"/>
    </row>
    <row r="431" spans="9:10" x14ac:dyDescent="0.3">
      <c r="I431" t="str">
        <f>_xlfn.IFNA(INDEX('[1]Sector list'!$A$2:$A$122,MATCH(H431,'[1]Sector list'!$B$2:$B$122,0)),"")</f>
        <v/>
      </c>
      <c r="J431" s="172"/>
    </row>
    <row r="432" spans="9:10" x14ac:dyDescent="0.3">
      <c r="I432" t="str">
        <f>_xlfn.IFNA(INDEX('[1]Sector list'!$A$2:$A$122,MATCH(H432,'[1]Sector list'!$B$2:$B$122,0)),"")</f>
        <v/>
      </c>
      <c r="J432" s="172"/>
    </row>
    <row r="433" spans="9:10" x14ac:dyDescent="0.3">
      <c r="I433" t="str">
        <f>_xlfn.IFNA(INDEX('[1]Sector list'!$A$2:$A$122,MATCH(H433,'[1]Sector list'!$B$2:$B$122,0)),"")</f>
        <v/>
      </c>
      <c r="J433" s="172"/>
    </row>
    <row r="434" spans="9:10" x14ac:dyDescent="0.3">
      <c r="I434" t="str">
        <f>_xlfn.IFNA(INDEX('[1]Sector list'!$A$2:$A$122,MATCH(H434,'[1]Sector list'!$B$2:$B$122,0)),"")</f>
        <v/>
      </c>
      <c r="J434" s="172"/>
    </row>
    <row r="435" spans="9:10" x14ac:dyDescent="0.3">
      <c r="I435" t="str">
        <f>_xlfn.IFNA(INDEX('[1]Sector list'!$A$2:$A$122,MATCH(H435,'[1]Sector list'!$B$2:$B$122,0)),"")</f>
        <v/>
      </c>
      <c r="J435" s="172"/>
    </row>
    <row r="436" spans="9:10" x14ac:dyDescent="0.3">
      <c r="I436" t="str">
        <f>_xlfn.IFNA(INDEX('[1]Sector list'!$A$2:$A$122,MATCH(H436,'[1]Sector list'!$B$2:$B$122,0)),"")</f>
        <v/>
      </c>
      <c r="J436" s="172"/>
    </row>
    <row r="437" spans="9:10" x14ac:dyDescent="0.3">
      <c r="I437" t="str">
        <f>_xlfn.IFNA(INDEX('[1]Sector list'!$A$2:$A$122,MATCH(H437,'[1]Sector list'!$B$2:$B$122,0)),"")</f>
        <v/>
      </c>
      <c r="J437" s="172"/>
    </row>
    <row r="438" spans="9:10" x14ac:dyDescent="0.3">
      <c r="I438" t="str">
        <f>_xlfn.IFNA(INDEX('[1]Sector list'!$A$2:$A$122,MATCH(H438,'[1]Sector list'!$B$2:$B$122,0)),"")</f>
        <v/>
      </c>
      <c r="J438" s="172"/>
    </row>
    <row r="439" spans="9:10" x14ac:dyDescent="0.3">
      <c r="I439" t="str">
        <f>_xlfn.IFNA(INDEX('[1]Sector list'!$A$2:$A$122,MATCH(H439,'[1]Sector list'!$B$2:$B$122,0)),"")</f>
        <v/>
      </c>
      <c r="J439" s="172"/>
    </row>
    <row r="440" spans="9:10" x14ac:dyDescent="0.3">
      <c r="I440" t="str">
        <f>_xlfn.IFNA(INDEX('[1]Sector list'!$A$2:$A$122,MATCH(H440,'[1]Sector list'!$B$2:$B$122,0)),"")</f>
        <v/>
      </c>
      <c r="J440" s="172"/>
    </row>
    <row r="441" spans="9:10" x14ac:dyDescent="0.3">
      <c r="I441" t="str">
        <f>_xlfn.IFNA(INDEX('[1]Sector list'!$A$2:$A$122,MATCH(H441,'[1]Sector list'!$B$2:$B$122,0)),"")</f>
        <v/>
      </c>
      <c r="J441" s="172"/>
    </row>
    <row r="442" spans="9:10" x14ac:dyDescent="0.3">
      <c r="I442" t="str">
        <f>_xlfn.IFNA(INDEX('[1]Sector list'!$A$2:$A$122,MATCH(H442,'[1]Sector list'!$B$2:$B$122,0)),"")</f>
        <v/>
      </c>
      <c r="J442" s="172"/>
    </row>
    <row r="443" spans="9:10" x14ac:dyDescent="0.3">
      <c r="I443" t="str">
        <f>_xlfn.IFNA(INDEX('[1]Sector list'!$A$2:$A$122,MATCH(H443,'[1]Sector list'!$B$2:$B$122,0)),"")</f>
        <v/>
      </c>
      <c r="J443" s="172"/>
    </row>
    <row r="444" spans="9:10" x14ac:dyDescent="0.3">
      <c r="I444" t="str">
        <f>_xlfn.IFNA(INDEX('[1]Sector list'!$A$2:$A$122,MATCH(H444,'[1]Sector list'!$B$2:$B$122,0)),"")</f>
        <v/>
      </c>
      <c r="J444" s="172"/>
    </row>
    <row r="445" spans="9:10" x14ac:dyDescent="0.3">
      <c r="I445" t="str">
        <f>_xlfn.IFNA(INDEX('[1]Sector list'!$A$2:$A$122,MATCH(H445,'[1]Sector list'!$B$2:$B$122,0)),"")</f>
        <v/>
      </c>
      <c r="J445" s="172"/>
    </row>
    <row r="446" spans="9:10" x14ac:dyDescent="0.3">
      <c r="I446" t="str">
        <f>_xlfn.IFNA(INDEX('[1]Sector list'!$A$2:$A$122,MATCH(H446,'[1]Sector list'!$B$2:$B$122,0)),"")</f>
        <v/>
      </c>
      <c r="J446" s="172"/>
    </row>
    <row r="447" spans="9:10" x14ac:dyDescent="0.3">
      <c r="I447" t="str">
        <f>_xlfn.IFNA(INDEX('[1]Sector list'!$A$2:$A$122,MATCH(H447,'[1]Sector list'!$B$2:$B$122,0)),"")</f>
        <v/>
      </c>
      <c r="J447" s="172"/>
    </row>
    <row r="448" spans="9:10" x14ac:dyDescent="0.3">
      <c r="I448" t="str">
        <f>_xlfn.IFNA(INDEX('[1]Sector list'!$A$2:$A$122,MATCH(H448,'[1]Sector list'!$B$2:$B$122,0)),"")</f>
        <v/>
      </c>
      <c r="J448" s="172"/>
    </row>
    <row r="449" spans="9:10" x14ac:dyDescent="0.3">
      <c r="I449" t="str">
        <f>_xlfn.IFNA(INDEX('[1]Sector list'!$A$2:$A$122,MATCH(H449,'[1]Sector list'!$B$2:$B$122,0)),"")</f>
        <v/>
      </c>
      <c r="J449" s="172"/>
    </row>
    <row r="450" spans="9:10" x14ac:dyDescent="0.3">
      <c r="I450" t="str">
        <f>_xlfn.IFNA(INDEX('[1]Sector list'!$A$2:$A$122,MATCH(H450,'[1]Sector list'!$B$2:$B$122,0)),"")</f>
        <v/>
      </c>
      <c r="J450" s="172"/>
    </row>
    <row r="451" spans="9:10" x14ac:dyDescent="0.3">
      <c r="I451" t="str">
        <f>_xlfn.IFNA(INDEX('[1]Sector list'!$A$2:$A$122,MATCH(H451,'[1]Sector list'!$B$2:$B$122,0)),"")</f>
        <v/>
      </c>
      <c r="J451" s="172"/>
    </row>
    <row r="452" spans="9:10" x14ac:dyDescent="0.3">
      <c r="I452" t="str">
        <f>_xlfn.IFNA(INDEX('[1]Sector list'!$A$2:$A$122,MATCH(H452,'[1]Sector list'!$B$2:$B$122,0)),"")</f>
        <v/>
      </c>
      <c r="J452" s="172"/>
    </row>
    <row r="453" spans="9:10" x14ac:dyDescent="0.3">
      <c r="I453" t="str">
        <f>_xlfn.IFNA(INDEX('[1]Sector list'!$A$2:$A$122,MATCH(H453,'[1]Sector list'!$B$2:$B$122,0)),"")</f>
        <v/>
      </c>
      <c r="J453" s="172"/>
    </row>
    <row r="454" spans="9:10" x14ac:dyDescent="0.3">
      <c r="I454" t="str">
        <f>_xlfn.IFNA(INDEX('[1]Sector list'!$A$2:$A$122,MATCH(H454,'[1]Sector list'!$B$2:$B$122,0)),"")</f>
        <v/>
      </c>
      <c r="J454" s="172"/>
    </row>
    <row r="455" spans="9:10" x14ac:dyDescent="0.3">
      <c r="I455" t="str">
        <f>_xlfn.IFNA(INDEX('[1]Sector list'!$A$2:$A$122,MATCH(H455,'[1]Sector list'!$B$2:$B$122,0)),"")</f>
        <v/>
      </c>
      <c r="J455" s="172"/>
    </row>
    <row r="456" spans="9:10" x14ac:dyDescent="0.3">
      <c r="I456" t="str">
        <f>_xlfn.IFNA(INDEX('[1]Sector list'!$A$2:$A$122,MATCH(H456,'[1]Sector list'!$B$2:$B$122,0)),"")</f>
        <v/>
      </c>
      <c r="J456" s="172"/>
    </row>
    <row r="457" spans="9:10" x14ac:dyDescent="0.3">
      <c r="I457" t="str">
        <f>_xlfn.IFNA(INDEX('[1]Sector list'!$A$2:$A$122,MATCH(H457,'[1]Sector list'!$B$2:$B$122,0)),"")</f>
        <v/>
      </c>
      <c r="J457" s="172"/>
    </row>
    <row r="458" spans="9:10" x14ac:dyDescent="0.3">
      <c r="I458" t="str">
        <f>_xlfn.IFNA(INDEX('[1]Sector list'!$A$2:$A$122,MATCH(H458,'[1]Sector list'!$B$2:$B$122,0)),"")</f>
        <v/>
      </c>
      <c r="J458" s="172"/>
    </row>
    <row r="459" spans="9:10" x14ac:dyDescent="0.3">
      <c r="I459" t="str">
        <f>_xlfn.IFNA(INDEX('[1]Sector list'!$A$2:$A$122,MATCH(H459,'[1]Sector list'!$B$2:$B$122,0)),"")</f>
        <v/>
      </c>
      <c r="J459" s="172"/>
    </row>
    <row r="460" spans="9:10" x14ac:dyDescent="0.3">
      <c r="I460" t="str">
        <f>_xlfn.IFNA(INDEX('[1]Sector list'!$A$2:$A$122,MATCH(H460,'[1]Sector list'!$B$2:$B$122,0)),"")</f>
        <v/>
      </c>
      <c r="J460" s="172"/>
    </row>
    <row r="461" spans="9:10" x14ac:dyDescent="0.3">
      <c r="I461" t="str">
        <f>_xlfn.IFNA(INDEX('[1]Sector list'!$A$2:$A$122,MATCH(H461,'[1]Sector list'!$B$2:$B$122,0)),"")</f>
        <v/>
      </c>
      <c r="J461" s="172"/>
    </row>
    <row r="462" spans="9:10" x14ac:dyDescent="0.3">
      <c r="I462" t="str">
        <f>_xlfn.IFNA(INDEX('[1]Sector list'!$A$2:$A$122,MATCH(H462,'[1]Sector list'!$B$2:$B$122,0)),"")</f>
        <v/>
      </c>
      <c r="J462" s="172"/>
    </row>
    <row r="463" spans="9:10" x14ac:dyDescent="0.3">
      <c r="I463" t="str">
        <f>_xlfn.IFNA(INDEX('[1]Sector list'!$A$2:$A$122,MATCH(H463,'[1]Sector list'!$B$2:$B$122,0)),"")</f>
        <v/>
      </c>
      <c r="J463" s="172"/>
    </row>
    <row r="464" spans="9:10" x14ac:dyDescent="0.3">
      <c r="I464" t="str">
        <f>_xlfn.IFNA(INDEX('[1]Sector list'!$A$2:$A$122,MATCH(H464,'[1]Sector list'!$B$2:$B$122,0)),"")</f>
        <v/>
      </c>
      <c r="J464" s="172"/>
    </row>
    <row r="465" spans="9:10" x14ac:dyDescent="0.3">
      <c r="I465" t="str">
        <f>_xlfn.IFNA(INDEX('[1]Sector list'!$A$2:$A$122,MATCH(H465,'[1]Sector list'!$B$2:$B$122,0)),"")</f>
        <v/>
      </c>
      <c r="J465" s="172"/>
    </row>
    <row r="466" spans="9:10" x14ac:dyDescent="0.3">
      <c r="I466" t="str">
        <f>_xlfn.IFNA(INDEX('[1]Sector list'!$A$2:$A$122,MATCH(H466,'[1]Sector list'!$B$2:$B$122,0)),"")</f>
        <v/>
      </c>
      <c r="J466" s="172"/>
    </row>
    <row r="467" spans="9:10" x14ac:dyDescent="0.3">
      <c r="I467" t="str">
        <f>_xlfn.IFNA(INDEX('[1]Sector list'!$A$2:$A$122,MATCH(H467,'[1]Sector list'!$B$2:$B$122,0)),"")</f>
        <v/>
      </c>
      <c r="J467" s="172"/>
    </row>
    <row r="468" spans="9:10" x14ac:dyDescent="0.3">
      <c r="I468" t="str">
        <f>_xlfn.IFNA(INDEX('[1]Sector list'!$A$2:$A$122,MATCH(H468,'[1]Sector list'!$B$2:$B$122,0)),"")</f>
        <v/>
      </c>
      <c r="J468" s="172"/>
    </row>
    <row r="469" spans="9:10" x14ac:dyDescent="0.3">
      <c r="I469" t="str">
        <f>_xlfn.IFNA(INDEX('[1]Sector list'!$A$2:$A$122,MATCH(H469,'[1]Sector list'!$B$2:$B$122,0)),"")</f>
        <v/>
      </c>
      <c r="J469" s="172"/>
    </row>
    <row r="470" spans="9:10" x14ac:dyDescent="0.3">
      <c r="I470" t="str">
        <f>_xlfn.IFNA(INDEX('[1]Sector list'!$A$2:$A$122,MATCH(H470,'[1]Sector list'!$B$2:$B$122,0)),"")</f>
        <v/>
      </c>
      <c r="J470" s="172"/>
    </row>
    <row r="471" spans="9:10" x14ac:dyDescent="0.3">
      <c r="I471" t="str">
        <f>_xlfn.IFNA(INDEX('[1]Sector list'!$A$2:$A$122,MATCH(H471,'[1]Sector list'!$B$2:$B$122,0)),"")</f>
        <v/>
      </c>
      <c r="J471" s="172"/>
    </row>
    <row r="472" spans="9:10" x14ac:dyDescent="0.3">
      <c r="I472" t="str">
        <f>_xlfn.IFNA(INDEX('[1]Sector list'!$A$2:$A$122,MATCH(H472,'[1]Sector list'!$B$2:$B$122,0)),"")</f>
        <v/>
      </c>
      <c r="J472" s="172"/>
    </row>
    <row r="473" spans="9:10" x14ac:dyDescent="0.3">
      <c r="I473" t="str">
        <f>_xlfn.IFNA(INDEX('[1]Sector list'!$A$2:$A$122,MATCH(H473,'[1]Sector list'!$B$2:$B$122,0)),"")</f>
        <v/>
      </c>
      <c r="J473" s="172"/>
    </row>
    <row r="474" spans="9:10" x14ac:dyDescent="0.3">
      <c r="I474" t="str">
        <f>_xlfn.IFNA(INDEX('[1]Sector list'!$A$2:$A$122,MATCH(H474,'[1]Sector list'!$B$2:$B$122,0)),"")</f>
        <v/>
      </c>
      <c r="J474" s="172"/>
    </row>
    <row r="475" spans="9:10" x14ac:dyDescent="0.3">
      <c r="I475" t="str">
        <f>_xlfn.IFNA(INDEX('[1]Sector list'!$A$2:$A$122,MATCH(H475,'[1]Sector list'!$B$2:$B$122,0)),"")</f>
        <v/>
      </c>
      <c r="J475" s="172"/>
    </row>
    <row r="476" spans="9:10" x14ac:dyDescent="0.3">
      <c r="I476" t="str">
        <f>_xlfn.IFNA(INDEX('[1]Sector list'!$A$2:$A$122,MATCH(H476,'[1]Sector list'!$B$2:$B$122,0)),"")</f>
        <v/>
      </c>
      <c r="J476" s="172"/>
    </row>
    <row r="477" spans="9:10" x14ac:dyDescent="0.3">
      <c r="I477" t="str">
        <f>_xlfn.IFNA(INDEX('[1]Sector list'!$A$2:$A$122,MATCH(H477,'[1]Sector list'!$B$2:$B$122,0)),"")</f>
        <v/>
      </c>
      <c r="J477" s="172"/>
    </row>
    <row r="478" spans="9:10" x14ac:dyDescent="0.3">
      <c r="I478" t="str">
        <f>_xlfn.IFNA(INDEX('[1]Sector list'!$A$2:$A$122,MATCH(H478,'[1]Sector list'!$B$2:$B$122,0)),"")</f>
        <v/>
      </c>
      <c r="J478" s="172"/>
    </row>
    <row r="479" spans="9:10" x14ac:dyDescent="0.3">
      <c r="I479" t="str">
        <f>_xlfn.IFNA(INDEX('[1]Sector list'!$A$2:$A$122,MATCH(H479,'[1]Sector list'!$B$2:$B$122,0)),"")</f>
        <v/>
      </c>
      <c r="J479" s="172"/>
    </row>
    <row r="480" spans="9:10" x14ac:dyDescent="0.3">
      <c r="I480" t="str">
        <f>_xlfn.IFNA(INDEX('[1]Sector list'!$A$2:$A$122,MATCH(H480,'[1]Sector list'!$B$2:$B$122,0)),"")</f>
        <v/>
      </c>
      <c r="J480" s="172"/>
    </row>
    <row r="481" spans="9:10" x14ac:dyDescent="0.3">
      <c r="I481" t="str">
        <f>_xlfn.IFNA(INDEX('[1]Sector list'!$A$2:$A$122,MATCH(H481,'[1]Sector list'!$B$2:$B$122,0)),"")</f>
        <v/>
      </c>
      <c r="J481" s="172"/>
    </row>
    <row r="482" spans="9:10" x14ac:dyDescent="0.3">
      <c r="I482" t="str">
        <f>_xlfn.IFNA(INDEX('[1]Sector list'!$A$2:$A$122,MATCH(H482,'[1]Sector list'!$B$2:$B$122,0)),"")</f>
        <v/>
      </c>
      <c r="J482" s="172"/>
    </row>
    <row r="483" spans="9:10" x14ac:dyDescent="0.3">
      <c r="I483" t="str">
        <f>_xlfn.IFNA(INDEX('[1]Sector list'!$A$2:$A$122,MATCH(H483,'[1]Sector list'!$B$2:$B$122,0)),"")</f>
        <v/>
      </c>
      <c r="J483" s="172"/>
    </row>
    <row r="484" spans="9:10" x14ac:dyDescent="0.3">
      <c r="I484" t="str">
        <f>_xlfn.IFNA(INDEX('[1]Sector list'!$A$2:$A$122,MATCH(H484,'[1]Sector list'!$B$2:$B$122,0)),"")</f>
        <v/>
      </c>
      <c r="J484" s="172"/>
    </row>
    <row r="485" spans="9:10" x14ac:dyDescent="0.3">
      <c r="I485" t="str">
        <f>_xlfn.IFNA(INDEX('[1]Sector list'!$A$2:$A$122,MATCH(H485,'[1]Sector list'!$B$2:$B$122,0)),"")</f>
        <v/>
      </c>
      <c r="J485" s="172"/>
    </row>
    <row r="486" spans="9:10" x14ac:dyDescent="0.3">
      <c r="I486" t="str">
        <f>_xlfn.IFNA(INDEX('[1]Sector list'!$A$2:$A$122,MATCH(H486,'[1]Sector list'!$B$2:$B$122,0)),"")</f>
        <v/>
      </c>
      <c r="J486" s="172"/>
    </row>
    <row r="487" spans="9:10" x14ac:dyDescent="0.3">
      <c r="I487" t="str">
        <f>_xlfn.IFNA(INDEX('[1]Sector list'!$A$2:$A$122,MATCH(H487,'[1]Sector list'!$B$2:$B$122,0)),"")</f>
        <v/>
      </c>
      <c r="J487" s="172"/>
    </row>
    <row r="488" spans="9:10" x14ac:dyDescent="0.3">
      <c r="I488" t="str">
        <f>_xlfn.IFNA(INDEX('[1]Sector list'!$A$2:$A$122,MATCH(H488,'[1]Sector list'!$B$2:$B$122,0)),"")</f>
        <v/>
      </c>
      <c r="J488" s="172"/>
    </row>
    <row r="489" spans="9:10" x14ac:dyDescent="0.3">
      <c r="I489" t="str">
        <f>_xlfn.IFNA(INDEX('[1]Sector list'!$A$2:$A$122,MATCH(H489,'[1]Sector list'!$B$2:$B$122,0)),"")</f>
        <v/>
      </c>
      <c r="J489" s="172"/>
    </row>
    <row r="490" spans="9:10" x14ac:dyDescent="0.3">
      <c r="I490" t="str">
        <f>_xlfn.IFNA(INDEX('[1]Sector list'!$A$2:$A$122,MATCH(H490,'[1]Sector list'!$B$2:$B$122,0)),"")</f>
        <v/>
      </c>
      <c r="J490" s="172"/>
    </row>
    <row r="491" spans="9:10" x14ac:dyDescent="0.3">
      <c r="I491" t="str">
        <f>_xlfn.IFNA(INDEX('[1]Sector list'!$A$2:$A$122,MATCH(H491,'[1]Sector list'!$B$2:$B$122,0)),"")</f>
        <v/>
      </c>
      <c r="J491" s="172"/>
    </row>
    <row r="492" spans="9:10" x14ac:dyDescent="0.3">
      <c r="I492" t="str">
        <f>_xlfn.IFNA(INDEX('[1]Sector list'!$A$2:$A$122,MATCH(H492,'[1]Sector list'!$B$2:$B$122,0)),"")</f>
        <v/>
      </c>
      <c r="J492" s="172"/>
    </row>
    <row r="493" spans="9:10" x14ac:dyDescent="0.3">
      <c r="I493" t="str">
        <f>_xlfn.IFNA(INDEX('[1]Sector list'!$A$2:$A$122,MATCH(H493,'[1]Sector list'!$B$2:$B$122,0)),"")</f>
        <v/>
      </c>
      <c r="J493" s="172"/>
    </row>
    <row r="494" spans="9:10" x14ac:dyDescent="0.3">
      <c r="I494" t="str">
        <f>_xlfn.IFNA(INDEX('[1]Sector list'!$A$2:$A$122,MATCH(H494,'[1]Sector list'!$B$2:$B$122,0)),"")</f>
        <v/>
      </c>
      <c r="J494" s="172"/>
    </row>
    <row r="495" spans="9:10" x14ac:dyDescent="0.3">
      <c r="I495" t="str">
        <f>_xlfn.IFNA(INDEX('[1]Sector list'!$A$2:$A$122,MATCH(H495,'[1]Sector list'!$B$2:$B$122,0)),"")</f>
        <v/>
      </c>
      <c r="J495" s="172"/>
    </row>
    <row r="496" spans="9:10" x14ac:dyDescent="0.3">
      <c r="I496" t="str">
        <f>_xlfn.IFNA(INDEX('[1]Sector list'!$A$2:$A$122,MATCH(H496,'[1]Sector list'!$B$2:$B$122,0)),"")</f>
        <v/>
      </c>
      <c r="J496" s="172"/>
    </row>
    <row r="497" spans="9:10" x14ac:dyDescent="0.3">
      <c r="I497" t="str">
        <f>_xlfn.IFNA(INDEX('[1]Sector list'!$A$2:$A$122,MATCH(H497,'[1]Sector list'!$B$2:$B$122,0)),"")</f>
        <v/>
      </c>
      <c r="J497" s="172"/>
    </row>
    <row r="498" spans="9:10" x14ac:dyDescent="0.3">
      <c r="I498" t="str">
        <f>_xlfn.IFNA(INDEX('[1]Sector list'!$A$2:$A$122,MATCH(H498,'[1]Sector list'!$B$2:$B$122,0)),"")</f>
        <v/>
      </c>
      <c r="J498" s="172"/>
    </row>
    <row r="499" spans="9:10" x14ac:dyDescent="0.3">
      <c r="I499" t="str">
        <f>_xlfn.IFNA(INDEX('[1]Sector list'!$A$2:$A$122,MATCH(H499,'[1]Sector list'!$B$2:$B$122,0)),"")</f>
        <v/>
      </c>
      <c r="J499" s="172"/>
    </row>
    <row r="500" spans="9:10" x14ac:dyDescent="0.3">
      <c r="I500" t="str">
        <f>_xlfn.IFNA(INDEX('[1]Sector list'!$A$2:$A$122,MATCH(H500,'[1]Sector list'!$B$2:$B$122,0)),"")</f>
        <v/>
      </c>
      <c r="J500" s="172"/>
    </row>
    <row r="501" spans="9:10" x14ac:dyDescent="0.3">
      <c r="I501" t="str">
        <f>_xlfn.IFNA(INDEX('[1]Sector list'!$A$2:$A$122,MATCH(H501,'[1]Sector list'!$B$2:$B$122,0)),"")</f>
        <v/>
      </c>
      <c r="J501" s="172"/>
    </row>
    <row r="502" spans="9:10" x14ac:dyDescent="0.3">
      <c r="I502" t="str">
        <f>_xlfn.IFNA(INDEX('[1]Sector list'!$A$2:$A$122,MATCH(H502,'[1]Sector list'!$B$2:$B$122,0)),"")</f>
        <v/>
      </c>
      <c r="J502" s="172"/>
    </row>
    <row r="503" spans="9:10" x14ac:dyDescent="0.3">
      <c r="I503" t="str">
        <f>_xlfn.IFNA(INDEX('[1]Sector list'!$A$2:$A$122,MATCH(H503,'[1]Sector list'!$B$2:$B$122,0)),"")</f>
        <v/>
      </c>
      <c r="J503" s="172"/>
    </row>
    <row r="504" spans="9:10" x14ac:dyDescent="0.3">
      <c r="I504" t="str">
        <f>_xlfn.IFNA(INDEX('[1]Sector list'!$A$2:$A$122,MATCH(H504,'[1]Sector list'!$B$2:$B$122,0)),"")</f>
        <v/>
      </c>
      <c r="J504" s="172"/>
    </row>
    <row r="505" spans="9:10" x14ac:dyDescent="0.3">
      <c r="I505" t="str">
        <f>_xlfn.IFNA(INDEX('[1]Sector list'!$A$2:$A$122,MATCH(H505,'[1]Sector list'!$B$2:$B$122,0)),"")</f>
        <v/>
      </c>
      <c r="J505" s="172"/>
    </row>
    <row r="506" spans="9:10" x14ac:dyDescent="0.3">
      <c r="I506" t="str">
        <f>_xlfn.IFNA(INDEX('[1]Sector list'!$A$2:$A$122,MATCH(H506,'[1]Sector list'!$B$2:$B$122,0)),"")</f>
        <v/>
      </c>
      <c r="J506" s="172"/>
    </row>
    <row r="507" spans="9:10" x14ac:dyDescent="0.3">
      <c r="I507" t="str">
        <f>_xlfn.IFNA(INDEX('[1]Sector list'!$A$2:$A$122,MATCH(H507,'[1]Sector list'!$B$2:$B$122,0)),"")</f>
        <v/>
      </c>
      <c r="J507" s="172"/>
    </row>
    <row r="508" spans="9:10" x14ac:dyDescent="0.3">
      <c r="I508" t="str">
        <f>_xlfn.IFNA(INDEX('[1]Sector list'!$A$2:$A$122,MATCH(H508,'[1]Sector list'!$B$2:$B$122,0)),"")</f>
        <v/>
      </c>
      <c r="J508" s="172"/>
    </row>
    <row r="509" spans="9:10" x14ac:dyDescent="0.3">
      <c r="I509" t="str">
        <f>_xlfn.IFNA(INDEX('[1]Sector list'!$A$2:$A$122,MATCH(H509,'[1]Sector list'!$B$2:$B$122,0)),"")</f>
        <v/>
      </c>
      <c r="J509" s="172"/>
    </row>
    <row r="510" spans="9:10" x14ac:dyDescent="0.3">
      <c r="I510" t="str">
        <f>_xlfn.IFNA(INDEX('[1]Sector list'!$A$2:$A$122,MATCH(H510,'[1]Sector list'!$B$2:$B$122,0)),"")</f>
        <v/>
      </c>
      <c r="J510" s="172"/>
    </row>
    <row r="511" spans="9:10" x14ac:dyDescent="0.3">
      <c r="I511" t="str">
        <f>_xlfn.IFNA(INDEX('[1]Sector list'!$A$2:$A$122,MATCH(H511,'[1]Sector list'!$B$2:$B$122,0)),"")</f>
        <v/>
      </c>
      <c r="J511" s="172"/>
    </row>
    <row r="512" spans="9:10" x14ac:dyDescent="0.3">
      <c r="I512" t="str">
        <f>_xlfn.IFNA(INDEX('[1]Sector list'!$A$2:$A$122,MATCH(H512,'[1]Sector list'!$B$2:$B$122,0)),"")</f>
        <v/>
      </c>
      <c r="J512" s="172"/>
    </row>
    <row r="513" spans="9:10" x14ac:dyDescent="0.3">
      <c r="I513" t="str">
        <f>_xlfn.IFNA(INDEX('[1]Sector list'!$A$2:$A$122,MATCH(H513,'[1]Sector list'!$B$2:$B$122,0)),"")</f>
        <v/>
      </c>
      <c r="J513" s="172"/>
    </row>
    <row r="514" spans="9:10" x14ac:dyDescent="0.3">
      <c r="I514" t="str">
        <f>_xlfn.IFNA(INDEX('[1]Sector list'!$A$2:$A$122,MATCH(H514,'[1]Sector list'!$B$2:$B$122,0)),"")</f>
        <v/>
      </c>
      <c r="J514" s="172"/>
    </row>
    <row r="515" spans="9:10" x14ac:dyDescent="0.3">
      <c r="I515" t="str">
        <f>_xlfn.IFNA(INDEX('[1]Sector list'!$A$2:$A$122,MATCH(H515,'[1]Sector list'!$B$2:$B$122,0)),"")</f>
        <v/>
      </c>
      <c r="J515" s="172"/>
    </row>
    <row r="516" spans="9:10" x14ac:dyDescent="0.3">
      <c r="I516" t="str">
        <f>_xlfn.IFNA(INDEX('[1]Sector list'!$A$2:$A$122,MATCH(H516,'[1]Sector list'!$B$2:$B$122,0)),"")</f>
        <v/>
      </c>
      <c r="J516" s="172"/>
    </row>
    <row r="517" spans="9:10" x14ac:dyDescent="0.3">
      <c r="I517" t="str">
        <f>_xlfn.IFNA(INDEX('[1]Sector list'!$A$2:$A$122,MATCH(H517,'[1]Sector list'!$B$2:$B$122,0)),"")</f>
        <v/>
      </c>
      <c r="J517" s="172"/>
    </row>
    <row r="518" spans="9:10" x14ac:dyDescent="0.3">
      <c r="I518" t="str">
        <f>_xlfn.IFNA(INDEX('[1]Sector list'!$A$2:$A$122,MATCH(H518,'[1]Sector list'!$B$2:$B$122,0)),"")</f>
        <v/>
      </c>
      <c r="J518" s="172"/>
    </row>
    <row r="519" spans="9:10" x14ac:dyDescent="0.3">
      <c r="I519" t="str">
        <f>_xlfn.IFNA(INDEX('[1]Sector list'!$A$2:$A$122,MATCH(H519,'[1]Sector list'!$B$2:$B$122,0)),"")</f>
        <v/>
      </c>
      <c r="J519" s="172"/>
    </row>
    <row r="520" spans="9:10" x14ac:dyDescent="0.3">
      <c r="I520" t="str">
        <f>_xlfn.IFNA(INDEX('[1]Sector list'!$A$2:$A$122,MATCH(H520,'[1]Sector list'!$B$2:$B$122,0)),"")</f>
        <v/>
      </c>
      <c r="J520" s="172"/>
    </row>
    <row r="521" spans="9:10" x14ac:dyDescent="0.3">
      <c r="I521" t="str">
        <f>_xlfn.IFNA(INDEX('[1]Sector list'!$A$2:$A$122,MATCH(H521,'[1]Sector list'!$B$2:$B$122,0)),"")</f>
        <v/>
      </c>
      <c r="J521" s="172"/>
    </row>
    <row r="522" spans="9:10" x14ac:dyDescent="0.3">
      <c r="I522" t="str">
        <f>_xlfn.IFNA(INDEX('[1]Sector list'!$A$2:$A$122,MATCH(H522,'[1]Sector list'!$B$2:$B$122,0)),"")</f>
        <v/>
      </c>
      <c r="J522" s="172"/>
    </row>
    <row r="523" spans="9:10" x14ac:dyDescent="0.3">
      <c r="I523" t="str">
        <f>_xlfn.IFNA(INDEX('[1]Sector list'!$A$2:$A$122,MATCH(H523,'[1]Sector list'!$B$2:$B$122,0)),"")</f>
        <v/>
      </c>
      <c r="J523" s="172"/>
    </row>
    <row r="524" spans="9:10" x14ac:dyDescent="0.3">
      <c r="I524" t="str">
        <f>_xlfn.IFNA(INDEX('[1]Sector list'!$A$2:$A$122,MATCH(H524,'[1]Sector list'!$B$2:$B$122,0)),"")</f>
        <v/>
      </c>
      <c r="J524" s="172"/>
    </row>
    <row r="525" spans="9:10" x14ac:dyDescent="0.3">
      <c r="I525" t="str">
        <f>_xlfn.IFNA(INDEX('[1]Sector list'!$A$2:$A$122,MATCH(H525,'[1]Sector list'!$B$2:$B$122,0)),"")</f>
        <v/>
      </c>
      <c r="J525" s="172"/>
    </row>
    <row r="526" spans="9:10" x14ac:dyDescent="0.3">
      <c r="I526" t="str">
        <f>_xlfn.IFNA(INDEX('[1]Sector list'!$A$2:$A$122,MATCH(H526,'[1]Sector list'!$B$2:$B$122,0)),"")</f>
        <v/>
      </c>
      <c r="J526" s="172"/>
    </row>
    <row r="527" spans="9:10" x14ac:dyDescent="0.3">
      <c r="I527" t="str">
        <f>_xlfn.IFNA(INDEX('[1]Sector list'!$A$2:$A$122,MATCH(H527,'[1]Sector list'!$B$2:$B$122,0)),"")</f>
        <v/>
      </c>
      <c r="J527" s="172"/>
    </row>
    <row r="528" spans="9:10" x14ac:dyDescent="0.3">
      <c r="I528" t="str">
        <f>_xlfn.IFNA(INDEX('[1]Sector list'!$A$2:$A$122,MATCH(H528,'[1]Sector list'!$B$2:$B$122,0)),"")</f>
        <v/>
      </c>
      <c r="J528" s="172"/>
    </row>
    <row r="529" spans="9:10" x14ac:dyDescent="0.3">
      <c r="I529" t="str">
        <f>_xlfn.IFNA(INDEX('[1]Sector list'!$A$2:$A$122,MATCH(H529,'[1]Sector list'!$B$2:$B$122,0)),"")</f>
        <v/>
      </c>
      <c r="J529" s="172"/>
    </row>
    <row r="530" spans="9:10" x14ac:dyDescent="0.3">
      <c r="I530" t="str">
        <f>_xlfn.IFNA(INDEX('[1]Sector list'!$A$2:$A$122,MATCH(H530,'[1]Sector list'!$B$2:$B$122,0)),"")</f>
        <v/>
      </c>
      <c r="J530" s="172"/>
    </row>
    <row r="531" spans="9:10" x14ac:dyDescent="0.3">
      <c r="I531" t="str">
        <f>_xlfn.IFNA(INDEX('[1]Sector list'!$A$2:$A$122,MATCH(H531,'[1]Sector list'!$B$2:$B$122,0)),"")</f>
        <v/>
      </c>
      <c r="J531" s="172"/>
    </row>
    <row r="532" spans="9:10" x14ac:dyDescent="0.3">
      <c r="I532" t="str">
        <f>_xlfn.IFNA(INDEX('[1]Sector list'!$A$2:$A$122,MATCH(H532,'[1]Sector list'!$B$2:$B$122,0)),"")</f>
        <v/>
      </c>
      <c r="J532" s="172"/>
    </row>
    <row r="533" spans="9:10" x14ac:dyDescent="0.3">
      <c r="I533" t="str">
        <f>_xlfn.IFNA(INDEX('[1]Sector list'!$A$2:$A$122,MATCH(H533,'[1]Sector list'!$B$2:$B$122,0)),"")</f>
        <v/>
      </c>
      <c r="J533" s="172"/>
    </row>
    <row r="534" spans="9:10" x14ac:dyDescent="0.3">
      <c r="I534" t="str">
        <f>_xlfn.IFNA(INDEX('[1]Sector list'!$A$2:$A$122,MATCH(H534,'[1]Sector list'!$B$2:$B$122,0)),"")</f>
        <v/>
      </c>
      <c r="J534" s="172"/>
    </row>
    <row r="535" spans="9:10" x14ac:dyDescent="0.3">
      <c r="I535" t="str">
        <f>_xlfn.IFNA(INDEX('[1]Sector list'!$A$2:$A$122,MATCH(H535,'[1]Sector list'!$B$2:$B$122,0)),"")</f>
        <v/>
      </c>
      <c r="J535" s="172"/>
    </row>
    <row r="536" spans="9:10" x14ac:dyDescent="0.3">
      <c r="I536" t="str">
        <f>_xlfn.IFNA(INDEX('[1]Sector list'!$A$2:$A$122,MATCH(H536,'[1]Sector list'!$B$2:$B$122,0)),"")</f>
        <v/>
      </c>
      <c r="J536" s="172"/>
    </row>
    <row r="537" spans="9:10" x14ac:dyDescent="0.3">
      <c r="I537" t="str">
        <f>_xlfn.IFNA(INDEX('[1]Sector list'!$A$2:$A$122,MATCH(H537,'[1]Sector list'!$B$2:$B$122,0)),"")</f>
        <v/>
      </c>
      <c r="J537" s="172"/>
    </row>
    <row r="538" spans="9:10" x14ac:dyDescent="0.3">
      <c r="I538" t="str">
        <f>_xlfn.IFNA(INDEX('[1]Sector list'!$A$2:$A$122,MATCH(H538,'[1]Sector list'!$B$2:$B$122,0)),"")</f>
        <v/>
      </c>
      <c r="J538" s="172"/>
    </row>
    <row r="539" spans="9:10" x14ac:dyDescent="0.3">
      <c r="I539" t="str">
        <f>_xlfn.IFNA(INDEX('[1]Sector list'!$A$2:$A$122,MATCH(H539,'[1]Sector list'!$B$2:$B$122,0)),"")</f>
        <v/>
      </c>
      <c r="J539" s="172"/>
    </row>
    <row r="540" spans="9:10" x14ac:dyDescent="0.3">
      <c r="I540" t="str">
        <f>_xlfn.IFNA(INDEX('[1]Sector list'!$A$2:$A$122,MATCH(H540,'[1]Sector list'!$B$2:$B$122,0)),"")</f>
        <v/>
      </c>
      <c r="J540" s="172"/>
    </row>
    <row r="541" spans="9:10" x14ac:dyDescent="0.3">
      <c r="I541" t="str">
        <f>_xlfn.IFNA(INDEX('[1]Sector list'!$A$2:$A$122,MATCH(H541,'[1]Sector list'!$B$2:$B$122,0)),"")</f>
        <v/>
      </c>
      <c r="J541" s="172"/>
    </row>
    <row r="542" spans="9:10" x14ac:dyDescent="0.3">
      <c r="I542" t="str">
        <f>_xlfn.IFNA(INDEX('[1]Sector list'!$A$2:$A$122,MATCH(H542,'[1]Sector list'!$B$2:$B$122,0)),"")</f>
        <v/>
      </c>
      <c r="J542" s="172"/>
    </row>
    <row r="543" spans="9:10" x14ac:dyDescent="0.3">
      <c r="I543" t="str">
        <f>_xlfn.IFNA(INDEX('[1]Sector list'!$A$2:$A$122,MATCH(H543,'[1]Sector list'!$B$2:$B$122,0)),"")</f>
        <v/>
      </c>
      <c r="J543" s="172"/>
    </row>
    <row r="544" spans="9:10" x14ac:dyDescent="0.3">
      <c r="I544" t="str">
        <f>_xlfn.IFNA(INDEX('[1]Sector list'!$A$2:$A$122,MATCH(H544,'[1]Sector list'!$B$2:$B$122,0)),"")</f>
        <v/>
      </c>
      <c r="J544" s="172"/>
    </row>
    <row r="545" spans="9:10" x14ac:dyDescent="0.3">
      <c r="I545" t="str">
        <f>_xlfn.IFNA(INDEX('[1]Sector list'!$A$2:$A$122,MATCH(H545,'[1]Sector list'!$B$2:$B$122,0)),"")</f>
        <v/>
      </c>
      <c r="J545" s="172"/>
    </row>
    <row r="546" spans="9:10" x14ac:dyDescent="0.3">
      <c r="I546" t="str">
        <f>_xlfn.IFNA(INDEX('[1]Sector list'!$A$2:$A$122,MATCH(H546,'[1]Sector list'!$B$2:$B$122,0)),"")</f>
        <v/>
      </c>
      <c r="J546" s="172"/>
    </row>
    <row r="547" spans="9:10" x14ac:dyDescent="0.3">
      <c r="I547" t="str">
        <f>_xlfn.IFNA(INDEX('[1]Sector list'!$A$2:$A$122,MATCH(H547,'[1]Sector list'!$B$2:$B$122,0)),"")</f>
        <v/>
      </c>
      <c r="J547" s="172"/>
    </row>
    <row r="548" spans="9:10" x14ac:dyDescent="0.3">
      <c r="I548" t="str">
        <f>_xlfn.IFNA(INDEX('[1]Sector list'!$A$2:$A$122,MATCH(H548,'[1]Sector list'!$B$2:$B$122,0)),"")</f>
        <v/>
      </c>
      <c r="J548" s="172"/>
    </row>
    <row r="549" spans="9:10" x14ac:dyDescent="0.3">
      <c r="I549" t="str">
        <f>_xlfn.IFNA(INDEX('[1]Sector list'!$A$2:$A$122,MATCH(H549,'[1]Sector list'!$B$2:$B$122,0)),"")</f>
        <v/>
      </c>
      <c r="J549" s="172"/>
    </row>
    <row r="550" spans="9:10" x14ac:dyDescent="0.3">
      <c r="I550" t="str">
        <f>_xlfn.IFNA(INDEX('[1]Sector list'!$A$2:$A$122,MATCH(H550,'[1]Sector list'!$B$2:$B$122,0)),"")</f>
        <v/>
      </c>
      <c r="J550" s="172"/>
    </row>
    <row r="551" spans="9:10" x14ac:dyDescent="0.3">
      <c r="I551" t="str">
        <f>_xlfn.IFNA(INDEX('[1]Sector list'!$A$2:$A$122,MATCH(H551,'[1]Sector list'!$B$2:$B$122,0)),"")</f>
        <v/>
      </c>
      <c r="J551" s="172"/>
    </row>
    <row r="552" spans="9:10" x14ac:dyDescent="0.3">
      <c r="I552" t="str">
        <f>_xlfn.IFNA(INDEX('[1]Sector list'!$A$2:$A$122,MATCH(H552,'[1]Sector list'!$B$2:$B$122,0)),"")</f>
        <v/>
      </c>
      <c r="J552" s="172"/>
    </row>
    <row r="553" spans="9:10" x14ac:dyDescent="0.3">
      <c r="I553" t="str">
        <f>_xlfn.IFNA(INDEX('[1]Sector list'!$A$2:$A$122,MATCH(H553,'[1]Sector list'!$B$2:$B$122,0)),"")</f>
        <v/>
      </c>
      <c r="J553" s="172"/>
    </row>
    <row r="554" spans="9:10" x14ac:dyDescent="0.3">
      <c r="I554" t="str">
        <f>_xlfn.IFNA(INDEX('[1]Sector list'!$A$2:$A$122,MATCH(H554,'[1]Sector list'!$B$2:$B$122,0)),"")</f>
        <v/>
      </c>
      <c r="J554" s="172"/>
    </row>
    <row r="555" spans="9:10" x14ac:dyDescent="0.3">
      <c r="I555" t="str">
        <f>_xlfn.IFNA(INDEX('[1]Sector list'!$A$2:$A$122,MATCH(H555,'[1]Sector list'!$B$2:$B$122,0)),"")</f>
        <v/>
      </c>
      <c r="J555" s="172"/>
    </row>
    <row r="556" spans="9:10" x14ac:dyDescent="0.3">
      <c r="I556" t="str">
        <f>_xlfn.IFNA(INDEX('[1]Sector list'!$A$2:$A$122,MATCH(H556,'[1]Sector list'!$B$2:$B$122,0)),"")</f>
        <v/>
      </c>
      <c r="J556" s="172"/>
    </row>
    <row r="557" spans="9:10" x14ac:dyDescent="0.3">
      <c r="I557" t="str">
        <f>_xlfn.IFNA(INDEX('[1]Sector list'!$A$2:$A$122,MATCH(H557,'[1]Sector list'!$B$2:$B$122,0)),"")</f>
        <v/>
      </c>
      <c r="J557" s="172"/>
    </row>
    <row r="558" spans="9:10" x14ac:dyDescent="0.3">
      <c r="I558" t="str">
        <f>_xlfn.IFNA(INDEX('[1]Sector list'!$A$2:$A$122,MATCH(H558,'[1]Sector list'!$B$2:$B$122,0)),"")</f>
        <v/>
      </c>
      <c r="J558" s="172"/>
    </row>
    <row r="559" spans="9:10" x14ac:dyDescent="0.3">
      <c r="I559" t="str">
        <f>_xlfn.IFNA(INDEX('[1]Sector list'!$A$2:$A$122,MATCH(H559,'[1]Sector list'!$B$2:$B$122,0)),"")</f>
        <v/>
      </c>
      <c r="J559" s="172"/>
    </row>
    <row r="560" spans="9:10" x14ac:dyDescent="0.3">
      <c r="I560" t="str">
        <f>_xlfn.IFNA(INDEX('[1]Sector list'!$A$2:$A$122,MATCH(H560,'[1]Sector list'!$B$2:$B$122,0)),"")</f>
        <v/>
      </c>
      <c r="J560" s="172"/>
    </row>
    <row r="561" spans="9:10" x14ac:dyDescent="0.3">
      <c r="I561" t="str">
        <f>_xlfn.IFNA(INDEX('[1]Sector list'!$A$2:$A$122,MATCH(H561,'[1]Sector list'!$B$2:$B$122,0)),"")</f>
        <v/>
      </c>
      <c r="J561" s="172"/>
    </row>
    <row r="562" spans="9:10" x14ac:dyDescent="0.3">
      <c r="I562" t="str">
        <f>_xlfn.IFNA(INDEX('[1]Sector list'!$A$2:$A$122,MATCH(H562,'[1]Sector list'!$B$2:$B$122,0)),"")</f>
        <v/>
      </c>
      <c r="J562" s="172"/>
    </row>
    <row r="563" spans="9:10" x14ac:dyDescent="0.3">
      <c r="I563" t="str">
        <f>_xlfn.IFNA(INDEX('[1]Sector list'!$A$2:$A$122,MATCH(H563,'[1]Sector list'!$B$2:$B$122,0)),"")</f>
        <v/>
      </c>
      <c r="J563" s="172"/>
    </row>
    <row r="564" spans="9:10" x14ac:dyDescent="0.3">
      <c r="I564" t="str">
        <f>_xlfn.IFNA(INDEX('[1]Sector list'!$A$2:$A$122,MATCH(H564,'[1]Sector list'!$B$2:$B$122,0)),"")</f>
        <v/>
      </c>
      <c r="J564" s="172"/>
    </row>
    <row r="565" spans="9:10" x14ac:dyDescent="0.3">
      <c r="I565" t="str">
        <f>_xlfn.IFNA(INDEX('[1]Sector list'!$A$2:$A$122,MATCH(H565,'[1]Sector list'!$B$2:$B$122,0)),"")</f>
        <v/>
      </c>
      <c r="J565" s="172"/>
    </row>
    <row r="566" spans="9:10" x14ac:dyDescent="0.3">
      <c r="I566" t="str">
        <f>_xlfn.IFNA(INDEX('[1]Sector list'!$A$2:$A$122,MATCH(H566,'[1]Sector list'!$B$2:$B$122,0)),"")</f>
        <v/>
      </c>
      <c r="J566" s="172"/>
    </row>
    <row r="567" spans="9:10" x14ac:dyDescent="0.3">
      <c r="I567" t="str">
        <f>_xlfn.IFNA(INDEX('[1]Sector list'!$A$2:$A$122,MATCH(H567,'[1]Sector list'!$B$2:$B$122,0)),"")</f>
        <v/>
      </c>
      <c r="J567" s="172"/>
    </row>
    <row r="568" spans="9:10" x14ac:dyDescent="0.3">
      <c r="I568" t="str">
        <f>_xlfn.IFNA(INDEX('[1]Sector list'!$A$2:$A$122,MATCH(H568,'[1]Sector list'!$B$2:$B$122,0)),"")</f>
        <v/>
      </c>
      <c r="J568" s="172"/>
    </row>
    <row r="569" spans="9:10" x14ac:dyDescent="0.3">
      <c r="I569" t="str">
        <f>_xlfn.IFNA(INDEX('[1]Sector list'!$A$2:$A$122,MATCH(H569,'[1]Sector list'!$B$2:$B$122,0)),"")</f>
        <v/>
      </c>
      <c r="J569" s="172"/>
    </row>
    <row r="570" spans="9:10" x14ac:dyDescent="0.3">
      <c r="I570" t="str">
        <f>_xlfn.IFNA(INDEX('[1]Sector list'!$A$2:$A$122,MATCH(H570,'[1]Sector list'!$B$2:$B$122,0)),"")</f>
        <v/>
      </c>
      <c r="J570" s="172"/>
    </row>
    <row r="571" spans="9:10" x14ac:dyDescent="0.3">
      <c r="I571" t="str">
        <f>_xlfn.IFNA(INDEX('[1]Sector list'!$A$2:$A$122,MATCH(H571,'[1]Sector list'!$B$2:$B$122,0)),"")</f>
        <v/>
      </c>
      <c r="J571" s="172"/>
    </row>
    <row r="572" spans="9:10" x14ac:dyDescent="0.3">
      <c r="I572" t="str">
        <f>_xlfn.IFNA(INDEX('[1]Sector list'!$A$2:$A$122,MATCH(H572,'[1]Sector list'!$B$2:$B$122,0)),"")</f>
        <v/>
      </c>
      <c r="J572" s="172"/>
    </row>
    <row r="573" spans="9:10" x14ac:dyDescent="0.3">
      <c r="I573" t="str">
        <f>_xlfn.IFNA(INDEX('[1]Sector list'!$A$2:$A$122,MATCH(H573,'[1]Sector list'!$B$2:$B$122,0)),"")</f>
        <v/>
      </c>
      <c r="J573" s="172"/>
    </row>
    <row r="574" spans="9:10" x14ac:dyDescent="0.3">
      <c r="I574" t="str">
        <f>_xlfn.IFNA(INDEX('[1]Sector list'!$A$2:$A$122,MATCH(H574,'[1]Sector list'!$B$2:$B$122,0)),"")</f>
        <v/>
      </c>
      <c r="J574" s="172"/>
    </row>
    <row r="575" spans="9:10" x14ac:dyDescent="0.3">
      <c r="I575" t="str">
        <f>_xlfn.IFNA(INDEX('[1]Sector list'!$A$2:$A$122,MATCH(H575,'[1]Sector list'!$B$2:$B$122,0)),"")</f>
        <v/>
      </c>
      <c r="J575" s="172"/>
    </row>
    <row r="576" spans="9:10" x14ac:dyDescent="0.3">
      <c r="I576" t="str">
        <f>_xlfn.IFNA(INDEX('[1]Sector list'!$A$2:$A$122,MATCH(H576,'[1]Sector list'!$B$2:$B$122,0)),"")</f>
        <v/>
      </c>
      <c r="J576" s="172"/>
    </row>
    <row r="577" spans="9:10" x14ac:dyDescent="0.3">
      <c r="I577" t="str">
        <f>_xlfn.IFNA(INDEX('[1]Sector list'!$A$2:$A$122,MATCH(H577,'[1]Sector list'!$B$2:$B$122,0)),"")</f>
        <v/>
      </c>
      <c r="J577" s="172"/>
    </row>
    <row r="578" spans="9:10" x14ac:dyDescent="0.3">
      <c r="I578" t="str">
        <f>_xlfn.IFNA(INDEX('[1]Sector list'!$A$2:$A$122,MATCH(H578,'[1]Sector list'!$B$2:$B$122,0)),"")</f>
        <v/>
      </c>
      <c r="J578" s="172"/>
    </row>
    <row r="579" spans="9:10" x14ac:dyDescent="0.3">
      <c r="I579" t="str">
        <f>_xlfn.IFNA(INDEX('[1]Sector list'!$A$2:$A$122,MATCH(H579,'[1]Sector list'!$B$2:$B$122,0)),"")</f>
        <v/>
      </c>
      <c r="J579" s="172"/>
    </row>
    <row r="580" spans="9:10" x14ac:dyDescent="0.3">
      <c r="I580" t="str">
        <f>_xlfn.IFNA(INDEX('[1]Sector list'!$A$2:$A$122,MATCH(H580,'[1]Sector list'!$B$2:$B$122,0)),"")</f>
        <v/>
      </c>
      <c r="J580" s="172"/>
    </row>
    <row r="581" spans="9:10" x14ac:dyDescent="0.3">
      <c r="I581" t="str">
        <f>_xlfn.IFNA(INDEX('[1]Sector list'!$A$2:$A$122,MATCH(H581,'[1]Sector list'!$B$2:$B$122,0)),"")</f>
        <v/>
      </c>
      <c r="J581" s="172"/>
    </row>
    <row r="582" spans="9:10" x14ac:dyDescent="0.3">
      <c r="I582" t="str">
        <f>_xlfn.IFNA(INDEX('[1]Sector list'!$A$2:$A$122,MATCH(H582,'[1]Sector list'!$B$2:$B$122,0)),"")</f>
        <v/>
      </c>
      <c r="J582" s="172"/>
    </row>
    <row r="583" spans="9:10" x14ac:dyDescent="0.3">
      <c r="I583" t="str">
        <f>_xlfn.IFNA(INDEX('[1]Sector list'!$A$2:$A$122,MATCH(H583,'[1]Sector list'!$B$2:$B$122,0)),"")</f>
        <v/>
      </c>
      <c r="J583" s="172"/>
    </row>
    <row r="584" spans="9:10" x14ac:dyDescent="0.3">
      <c r="I584" t="str">
        <f>_xlfn.IFNA(INDEX('[1]Sector list'!$A$2:$A$122,MATCH(H584,'[1]Sector list'!$B$2:$B$122,0)),"")</f>
        <v/>
      </c>
      <c r="J584" s="172"/>
    </row>
    <row r="585" spans="9:10" x14ac:dyDescent="0.3">
      <c r="I585" t="str">
        <f>_xlfn.IFNA(INDEX('[1]Sector list'!$A$2:$A$122,MATCH(H585,'[1]Sector list'!$B$2:$B$122,0)),"")</f>
        <v/>
      </c>
      <c r="J585" s="172"/>
    </row>
    <row r="586" spans="9:10" x14ac:dyDescent="0.3">
      <c r="I586" t="str">
        <f>_xlfn.IFNA(INDEX('[1]Sector list'!$A$2:$A$122,MATCH(H586,'[1]Sector list'!$B$2:$B$122,0)),"")</f>
        <v/>
      </c>
      <c r="J586" s="172"/>
    </row>
    <row r="587" spans="9:10" x14ac:dyDescent="0.3">
      <c r="I587" t="str">
        <f>_xlfn.IFNA(INDEX('[1]Sector list'!$A$2:$A$122,MATCH(H587,'[1]Sector list'!$B$2:$B$122,0)),"")</f>
        <v/>
      </c>
      <c r="J587" s="172"/>
    </row>
    <row r="588" spans="9:10" x14ac:dyDescent="0.3">
      <c r="I588" t="str">
        <f>_xlfn.IFNA(INDEX('[1]Sector list'!$A$2:$A$122,MATCH(H588,'[1]Sector list'!$B$2:$B$122,0)),"")</f>
        <v/>
      </c>
      <c r="J588" s="172"/>
    </row>
    <row r="589" spans="9:10" x14ac:dyDescent="0.3">
      <c r="I589" t="str">
        <f>_xlfn.IFNA(INDEX('[1]Sector list'!$A$2:$A$122,MATCH(H589,'[1]Sector list'!$B$2:$B$122,0)),"")</f>
        <v/>
      </c>
      <c r="J589" s="172"/>
    </row>
    <row r="590" spans="9:10" x14ac:dyDescent="0.3">
      <c r="I590" t="str">
        <f>_xlfn.IFNA(INDEX('[1]Sector list'!$A$2:$A$122,MATCH(H590,'[1]Sector list'!$B$2:$B$122,0)),"")</f>
        <v/>
      </c>
      <c r="J590" s="172"/>
    </row>
    <row r="591" spans="9:10" x14ac:dyDescent="0.3">
      <c r="I591" t="str">
        <f>_xlfn.IFNA(INDEX('[1]Sector list'!$A$2:$A$122,MATCH(H591,'[1]Sector list'!$B$2:$B$122,0)),"")</f>
        <v/>
      </c>
      <c r="J591" s="172"/>
    </row>
    <row r="592" spans="9:10" x14ac:dyDescent="0.3">
      <c r="I592" t="str">
        <f>_xlfn.IFNA(INDEX('[1]Sector list'!$A$2:$A$122,MATCH(H592,'[1]Sector list'!$B$2:$B$122,0)),"")</f>
        <v/>
      </c>
      <c r="J592" s="172"/>
    </row>
    <row r="593" spans="9:10" x14ac:dyDescent="0.3">
      <c r="I593" t="str">
        <f>_xlfn.IFNA(INDEX('[1]Sector list'!$A$2:$A$122,MATCH(H593,'[1]Sector list'!$B$2:$B$122,0)),"")</f>
        <v/>
      </c>
      <c r="J593" s="172"/>
    </row>
    <row r="594" spans="9:10" x14ac:dyDescent="0.3">
      <c r="I594" t="str">
        <f>_xlfn.IFNA(INDEX('[1]Sector list'!$A$2:$A$122,MATCH(H594,'[1]Sector list'!$B$2:$B$122,0)),"")</f>
        <v/>
      </c>
      <c r="J594" s="172"/>
    </row>
    <row r="595" spans="9:10" x14ac:dyDescent="0.3">
      <c r="I595" t="str">
        <f>_xlfn.IFNA(INDEX('[1]Sector list'!$A$2:$A$122,MATCH(H595,'[1]Sector list'!$B$2:$B$122,0)),"")</f>
        <v/>
      </c>
      <c r="J595" s="172"/>
    </row>
    <row r="596" spans="9:10" x14ac:dyDescent="0.3">
      <c r="I596" t="str">
        <f>_xlfn.IFNA(INDEX('[1]Sector list'!$A$2:$A$122,MATCH(H596,'[1]Sector list'!$B$2:$B$122,0)),"")</f>
        <v/>
      </c>
      <c r="J596" s="172"/>
    </row>
    <row r="597" spans="9:10" x14ac:dyDescent="0.3">
      <c r="I597" t="str">
        <f>_xlfn.IFNA(INDEX('[1]Sector list'!$A$2:$A$122,MATCH(H597,'[1]Sector list'!$B$2:$B$122,0)),"")</f>
        <v/>
      </c>
      <c r="J597" s="172"/>
    </row>
    <row r="598" spans="9:10" x14ac:dyDescent="0.3">
      <c r="I598" t="str">
        <f>_xlfn.IFNA(INDEX('[1]Sector list'!$A$2:$A$122,MATCH(H598,'[1]Sector list'!$B$2:$B$122,0)),"")</f>
        <v/>
      </c>
      <c r="J598" s="172"/>
    </row>
    <row r="599" spans="9:10" x14ac:dyDescent="0.3">
      <c r="I599" t="str">
        <f>_xlfn.IFNA(INDEX('[1]Sector list'!$A$2:$A$122,MATCH(H599,'[1]Sector list'!$B$2:$B$122,0)),"")</f>
        <v/>
      </c>
      <c r="J599" s="172"/>
    </row>
    <row r="600" spans="9:10" x14ac:dyDescent="0.3">
      <c r="I600" t="str">
        <f>_xlfn.IFNA(INDEX('[1]Sector list'!$A$2:$A$122,MATCH(H600,'[1]Sector list'!$B$2:$B$122,0)),"")</f>
        <v/>
      </c>
      <c r="J600" s="172"/>
    </row>
    <row r="601" spans="9:10" x14ac:dyDescent="0.3">
      <c r="I601" t="str">
        <f>_xlfn.IFNA(INDEX('[1]Sector list'!$A$2:$A$122,MATCH(H601,'[1]Sector list'!$B$2:$B$122,0)),"")</f>
        <v/>
      </c>
      <c r="J601" s="172"/>
    </row>
    <row r="602" spans="9:10" x14ac:dyDescent="0.3">
      <c r="I602" t="str">
        <f>_xlfn.IFNA(INDEX('[1]Sector list'!$A$2:$A$122,MATCH(H602,'[1]Sector list'!$B$2:$B$122,0)),"")</f>
        <v/>
      </c>
      <c r="J602" s="172"/>
    </row>
    <row r="603" spans="9:10" x14ac:dyDescent="0.3">
      <c r="I603" t="str">
        <f>_xlfn.IFNA(INDEX('[1]Sector list'!$A$2:$A$122,MATCH(H603,'[1]Sector list'!$B$2:$B$122,0)),"")</f>
        <v/>
      </c>
      <c r="J603" s="172"/>
    </row>
    <row r="604" spans="9:10" x14ac:dyDescent="0.3">
      <c r="I604" t="str">
        <f>_xlfn.IFNA(INDEX('[1]Sector list'!$A$2:$A$122,MATCH(H604,'[1]Sector list'!$B$2:$B$122,0)),"")</f>
        <v/>
      </c>
      <c r="J604" s="172"/>
    </row>
    <row r="605" spans="9:10" x14ac:dyDescent="0.3">
      <c r="I605" t="str">
        <f>_xlfn.IFNA(INDEX('[1]Sector list'!$A$2:$A$122,MATCH(H605,'[1]Sector list'!$B$2:$B$122,0)),"")</f>
        <v/>
      </c>
      <c r="J605" s="172"/>
    </row>
    <row r="606" spans="9:10" x14ac:dyDescent="0.3">
      <c r="I606" t="str">
        <f>_xlfn.IFNA(INDEX('[1]Sector list'!$A$2:$A$122,MATCH(H606,'[1]Sector list'!$B$2:$B$122,0)),"")</f>
        <v/>
      </c>
      <c r="J606" s="172"/>
    </row>
    <row r="607" spans="9:10" x14ac:dyDescent="0.3">
      <c r="I607" t="str">
        <f>_xlfn.IFNA(INDEX('[1]Sector list'!$A$2:$A$122,MATCH(H607,'[1]Sector list'!$B$2:$B$122,0)),"")</f>
        <v/>
      </c>
      <c r="J607" s="172"/>
    </row>
    <row r="608" spans="9:10" x14ac:dyDescent="0.3">
      <c r="I608" t="str">
        <f>_xlfn.IFNA(INDEX('[1]Sector list'!$A$2:$A$122,MATCH(H608,'[1]Sector list'!$B$2:$B$122,0)),"")</f>
        <v/>
      </c>
      <c r="J608" s="172"/>
    </row>
    <row r="609" spans="9:10" x14ac:dyDescent="0.3">
      <c r="I609" t="str">
        <f>_xlfn.IFNA(INDEX('[1]Sector list'!$A$2:$A$122,MATCH(H609,'[1]Sector list'!$B$2:$B$122,0)),"")</f>
        <v/>
      </c>
      <c r="J609" s="172"/>
    </row>
    <row r="610" spans="9:10" x14ac:dyDescent="0.3">
      <c r="I610" t="str">
        <f>_xlfn.IFNA(INDEX('[1]Sector list'!$A$2:$A$122,MATCH(H610,'[1]Sector list'!$B$2:$B$122,0)),"")</f>
        <v/>
      </c>
      <c r="J610" s="172"/>
    </row>
    <row r="611" spans="9:10" x14ac:dyDescent="0.3">
      <c r="I611" t="str">
        <f>_xlfn.IFNA(INDEX('[1]Sector list'!$A$2:$A$122,MATCH(H611,'[1]Sector list'!$B$2:$B$122,0)),"")</f>
        <v/>
      </c>
      <c r="J611" s="172"/>
    </row>
    <row r="612" spans="9:10" x14ac:dyDescent="0.3">
      <c r="I612" t="str">
        <f>_xlfn.IFNA(INDEX('[1]Sector list'!$A$2:$A$122,MATCH(H612,'[1]Sector list'!$B$2:$B$122,0)),"")</f>
        <v/>
      </c>
      <c r="J612" s="172"/>
    </row>
    <row r="613" spans="9:10" x14ac:dyDescent="0.3">
      <c r="I613" t="str">
        <f>_xlfn.IFNA(INDEX('[1]Sector list'!$A$2:$A$122,MATCH(H613,'[1]Sector list'!$B$2:$B$122,0)),"")</f>
        <v/>
      </c>
      <c r="J613" s="172"/>
    </row>
    <row r="614" spans="9:10" x14ac:dyDescent="0.3">
      <c r="I614" t="str">
        <f>_xlfn.IFNA(INDEX('[1]Sector list'!$A$2:$A$122,MATCH(H614,'[1]Sector list'!$B$2:$B$122,0)),"")</f>
        <v/>
      </c>
      <c r="J614" s="172"/>
    </row>
    <row r="615" spans="9:10" x14ac:dyDescent="0.3">
      <c r="I615" t="str">
        <f>_xlfn.IFNA(INDEX('[1]Sector list'!$A$2:$A$122,MATCH(H615,'[1]Sector list'!$B$2:$B$122,0)),"")</f>
        <v/>
      </c>
      <c r="J615" s="172"/>
    </row>
    <row r="616" spans="9:10" x14ac:dyDescent="0.3">
      <c r="I616" t="str">
        <f>_xlfn.IFNA(INDEX('[1]Sector list'!$A$2:$A$122,MATCH(H616,'[1]Sector list'!$B$2:$B$122,0)),"")</f>
        <v/>
      </c>
      <c r="J616" s="172"/>
    </row>
    <row r="617" spans="9:10" x14ac:dyDescent="0.3">
      <c r="I617" t="str">
        <f>_xlfn.IFNA(INDEX('[1]Sector list'!$A$2:$A$122,MATCH(H617,'[1]Sector list'!$B$2:$B$122,0)),"")</f>
        <v/>
      </c>
      <c r="J617" s="172"/>
    </row>
    <row r="618" spans="9:10" x14ac:dyDescent="0.3">
      <c r="I618" t="str">
        <f>_xlfn.IFNA(INDEX('[1]Sector list'!$A$2:$A$122,MATCH(H618,'[1]Sector list'!$B$2:$B$122,0)),"")</f>
        <v/>
      </c>
      <c r="J618" s="172"/>
    </row>
    <row r="619" spans="9:10" x14ac:dyDescent="0.3">
      <c r="I619" t="str">
        <f>_xlfn.IFNA(INDEX('[1]Sector list'!$A$2:$A$122,MATCH(H619,'[1]Sector list'!$B$2:$B$122,0)),"")</f>
        <v/>
      </c>
      <c r="J619" s="172"/>
    </row>
    <row r="620" spans="9:10" x14ac:dyDescent="0.3">
      <c r="I620" t="str">
        <f>_xlfn.IFNA(INDEX('[1]Sector list'!$A$2:$A$122,MATCH(H620,'[1]Sector list'!$B$2:$B$122,0)),"")</f>
        <v/>
      </c>
      <c r="J620" s="172"/>
    </row>
    <row r="621" spans="9:10" x14ac:dyDescent="0.3">
      <c r="I621" t="str">
        <f>_xlfn.IFNA(INDEX('[1]Sector list'!$A$2:$A$122,MATCH(H621,'[1]Sector list'!$B$2:$B$122,0)),"")</f>
        <v/>
      </c>
      <c r="J621" s="172"/>
    </row>
    <row r="622" spans="9:10" x14ac:dyDescent="0.3">
      <c r="I622" t="str">
        <f>_xlfn.IFNA(INDEX('[1]Sector list'!$A$2:$A$122,MATCH(H622,'[1]Sector list'!$B$2:$B$122,0)),"")</f>
        <v/>
      </c>
      <c r="J622" s="172"/>
    </row>
    <row r="623" spans="9:10" x14ac:dyDescent="0.3">
      <c r="I623" t="str">
        <f>_xlfn.IFNA(INDEX('[1]Sector list'!$A$2:$A$122,MATCH(H623,'[1]Sector list'!$B$2:$B$122,0)),"")</f>
        <v/>
      </c>
      <c r="J623" s="172"/>
    </row>
    <row r="624" spans="9:10" x14ac:dyDescent="0.3">
      <c r="I624" t="str">
        <f>_xlfn.IFNA(INDEX('[1]Sector list'!$A$2:$A$122,MATCH(H624,'[1]Sector list'!$B$2:$B$122,0)),"")</f>
        <v/>
      </c>
      <c r="J624" s="172"/>
    </row>
    <row r="625" spans="9:10" x14ac:dyDescent="0.3">
      <c r="I625" t="str">
        <f>_xlfn.IFNA(INDEX('[1]Sector list'!$A$2:$A$122,MATCH(H625,'[1]Sector list'!$B$2:$B$122,0)),"")</f>
        <v/>
      </c>
      <c r="J625" s="172"/>
    </row>
    <row r="626" spans="9:10" x14ac:dyDescent="0.3">
      <c r="I626" t="str">
        <f>_xlfn.IFNA(INDEX('[1]Sector list'!$A$2:$A$122,MATCH(H626,'[1]Sector list'!$B$2:$B$122,0)),"")</f>
        <v/>
      </c>
      <c r="J626" s="172"/>
    </row>
    <row r="627" spans="9:10" x14ac:dyDescent="0.3">
      <c r="I627" t="str">
        <f>_xlfn.IFNA(INDEX('[1]Sector list'!$A$2:$A$122,MATCH(H627,'[1]Sector list'!$B$2:$B$122,0)),"")</f>
        <v/>
      </c>
      <c r="J627" s="172"/>
    </row>
    <row r="628" spans="9:10" x14ac:dyDescent="0.3">
      <c r="I628" t="str">
        <f>_xlfn.IFNA(INDEX('[1]Sector list'!$A$2:$A$122,MATCH(H628,'[1]Sector list'!$B$2:$B$122,0)),"")</f>
        <v/>
      </c>
      <c r="J628" s="172"/>
    </row>
    <row r="629" spans="9:10" x14ac:dyDescent="0.3">
      <c r="I629" t="str">
        <f>_xlfn.IFNA(INDEX('[1]Sector list'!$A$2:$A$122,MATCH(H629,'[1]Sector list'!$B$2:$B$122,0)),"")</f>
        <v/>
      </c>
      <c r="J629" s="172"/>
    </row>
    <row r="630" spans="9:10" x14ac:dyDescent="0.3">
      <c r="I630" t="str">
        <f>_xlfn.IFNA(INDEX('[1]Sector list'!$A$2:$A$122,MATCH(H630,'[1]Sector list'!$B$2:$B$122,0)),"")</f>
        <v/>
      </c>
      <c r="J630" s="172"/>
    </row>
    <row r="631" spans="9:10" x14ac:dyDescent="0.3">
      <c r="I631" t="str">
        <f>_xlfn.IFNA(INDEX('[1]Sector list'!$A$2:$A$122,MATCH(H631,'[1]Sector list'!$B$2:$B$122,0)),"")</f>
        <v/>
      </c>
      <c r="J631" s="172"/>
    </row>
    <row r="632" spans="9:10" x14ac:dyDescent="0.3">
      <c r="I632" t="str">
        <f>_xlfn.IFNA(INDEX('[1]Sector list'!$A$2:$A$122,MATCH(H632,'[1]Sector list'!$B$2:$B$122,0)),"")</f>
        <v/>
      </c>
      <c r="J632" s="172"/>
    </row>
    <row r="633" spans="9:10" x14ac:dyDescent="0.3">
      <c r="I633" t="str">
        <f>_xlfn.IFNA(INDEX('[1]Sector list'!$A$2:$A$122,MATCH(H633,'[1]Sector list'!$B$2:$B$122,0)),"")</f>
        <v/>
      </c>
      <c r="J633" s="172"/>
    </row>
    <row r="634" spans="9:10" x14ac:dyDescent="0.3">
      <c r="I634" t="str">
        <f>_xlfn.IFNA(INDEX('[1]Sector list'!$A$2:$A$122,MATCH(H634,'[1]Sector list'!$B$2:$B$122,0)),"")</f>
        <v/>
      </c>
      <c r="J634" s="172"/>
    </row>
    <row r="635" spans="9:10" x14ac:dyDescent="0.3">
      <c r="I635" t="str">
        <f>_xlfn.IFNA(INDEX('[1]Sector list'!$A$2:$A$122,MATCH(H635,'[1]Sector list'!$B$2:$B$122,0)),"")</f>
        <v/>
      </c>
      <c r="J635" s="172"/>
    </row>
    <row r="636" spans="9:10" x14ac:dyDescent="0.3">
      <c r="I636" t="str">
        <f>_xlfn.IFNA(INDEX('[1]Sector list'!$A$2:$A$122,MATCH(H636,'[1]Sector list'!$B$2:$B$122,0)),"")</f>
        <v/>
      </c>
      <c r="J636" s="172"/>
    </row>
    <row r="637" spans="9:10" x14ac:dyDescent="0.3">
      <c r="I637" t="str">
        <f>_xlfn.IFNA(INDEX('[1]Sector list'!$A$2:$A$122,MATCH(H637,'[1]Sector list'!$B$2:$B$122,0)),"")</f>
        <v/>
      </c>
      <c r="J637" s="172"/>
    </row>
    <row r="638" spans="9:10" x14ac:dyDescent="0.3">
      <c r="I638" t="str">
        <f>_xlfn.IFNA(INDEX('[1]Sector list'!$A$2:$A$122,MATCH(H638,'[1]Sector list'!$B$2:$B$122,0)),"")</f>
        <v/>
      </c>
      <c r="J638" s="172"/>
    </row>
    <row r="639" spans="9:10" x14ac:dyDescent="0.3">
      <c r="I639" t="str">
        <f>_xlfn.IFNA(INDEX('[1]Sector list'!$A$2:$A$122,MATCH(H639,'[1]Sector list'!$B$2:$B$122,0)),"")</f>
        <v/>
      </c>
      <c r="J639" s="172"/>
    </row>
    <row r="640" spans="9:10" x14ac:dyDescent="0.3">
      <c r="I640" t="str">
        <f>_xlfn.IFNA(INDEX('[1]Sector list'!$A$2:$A$122,MATCH(H640,'[1]Sector list'!$B$2:$B$122,0)),"")</f>
        <v/>
      </c>
      <c r="J640" s="172"/>
    </row>
    <row r="641" spans="9:10" x14ac:dyDescent="0.3">
      <c r="I641" t="str">
        <f>_xlfn.IFNA(INDEX('[1]Sector list'!$A$2:$A$122,MATCH(H641,'[1]Sector list'!$B$2:$B$122,0)),"")</f>
        <v/>
      </c>
      <c r="J641" s="172"/>
    </row>
    <row r="642" spans="9:10" x14ac:dyDescent="0.3">
      <c r="I642" t="str">
        <f>_xlfn.IFNA(INDEX('[1]Sector list'!$A$2:$A$122,MATCH(H642,'[1]Sector list'!$B$2:$B$122,0)),"")</f>
        <v/>
      </c>
      <c r="J642" s="172"/>
    </row>
    <row r="643" spans="9:10" x14ac:dyDescent="0.3">
      <c r="I643" t="str">
        <f>_xlfn.IFNA(INDEX('[1]Sector list'!$A$2:$A$122,MATCH(H643,'[1]Sector list'!$B$2:$B$122,0)),"")</f>
        <v/>
      </c>
      <c r="J643" s="172"/>
    </row>
    <row r="644" spans="9:10" x14ac:dyDescent="0.3">
      <c r="I644" t="str">
        <f>_xlfn.IFNA(INDEX('[1]Sector list'!$A$2:$A$122,MATCH(H644,'[1]Sector list'!$B$2:$B$122,0)),"")</f>
        <v/>
      </c>
      <c r="J644" s="172"/>
    </row>
    <row r="645" spans="9:10" x14ac:dyDescent="0.3">
      <c r="I645" t="str">
        <f>_xlfn.IFNA(INDEX('[1]Sector list'!$A$2:$A$122,MATCH(H645,'[1]Sector list'!$B$2:$B$122,0)),"")</f>
        <v/>
      </c>
      <c r="J645" s="172"/>
    </row>
    <row r="646" spans="9:10" x14ac:dyDescent="0.3">
      <c r="I646" t="str">
        <f>_xlfn.IFNA(INDEX('[1]Sector list'!$A$2:$A$122,MATCH(H646,'[1]Sector list'!$B$2:$B$122,0)),"")</f>
        <v/>
      </c>
      <c r="J646" s="172"/>
    </row>
    <row r="647" spans="9:10" x14ac:dyDescent="0.3">
      <c r="I647" t="str">
        <f>_xlfn.IFNA(INDEX('[1]Sector list'!$A$2:$A$122,MATCH(H647,'[1]Sector list'!$B$2:$B$122,0)),"")</f>
        <v/>
      </c>
      <c r="J647" s="172"/>
    </row>
    <row r="648" spans="9:10" x14ac:dyDescent="0.3">
      <c r="I648" t="str">
        <f>_xlfn.IFNA(INDEX('[1]Sector list'!$A$2:$A$122,MATCH(H648,'[1]Sector list'!$B$2:$B$122,0)),"")</f>
        <v/>
      </c>
      <c r="J648" s="172"/>
    </row>
    <row r="649" spans="9:10" x14ac:dyDescent="0.3">
      <c r="I649" t="str">
        <f>_xlfn.IFNA(INDEX('[1]Sector list'!$A$2:$A$122,MATCH(H649,'[1]Sector list'!$B$2:$B$122,0)),"")</f>
        <v/>
      </c>
      <c r="J649" s="172"/>
    </row>
    <row r="650" spans="9:10" x14ac:dyDescent="0.3">
      <c r="I650" t="str">
        <f>_xlfn.IFNA(INDEX('[1]Sector list'!$A$2:$A$122,MATCH(H650,'[1]Sector list'!$B$2:$B$122,0)),"")</f>
        <v/>
      </c>
      <c r="J650" s="172"/>
    </row>
    <row r="651" spans="9:10" x14ac:dyDescent="0.3">
      <c r="I651" t="str">
        <f>_xlfn.IFNA(INDEX('[1]Sector list'!$A$2:$A$122,MATCH(H651,'[1]Sector list'!$B$2:$B$122,0)),"")</f>
        <v/>
      </c>
      <c r="J651" s="172"/>
    </row>
    <row r="652" spans="9:10" x14ac:dyDescent="0.3">
      <c r="I652" t="str">
        <f>_xlfn.IFNA(INDEX('[1]Sector list'!$A$2:$A$122,MATCH(H652,'[1]Sector list'!$B$2:$B$122,0)),"")</f>
        <v/>
      </c>
      <c r="J652" s="172"/>
    </row>
    <row r="653" spans="9:10" x14ac:dyDescent="0.3">
      <c r="I653" t="str">
        <f>_xlfn.IFNA(INDEX('[1]Sector list'!$A$2:$A$122,MATCH(H653,'[1]Sector list'!$B$2:$B$122,0)),"")</f>
        <v/>
      </c>
      <c r="J653" s="172"/>
    </row>
    <row r="654" spans="9:10" x14ac:dyDescent="0.3">
      <c r="I654" t="str">
        <f>_xlfn.IFNA(INDEX('[1]Sector list'!$A$2:$A$122,MATCH(H654,'[1]Sector list'!$B$2:$B$122,0)),"")</f>
        <v/>
      </c>
      <c r="J654" s="172"/>
    </row>
    <row r="655" spans="9:10" x14ac:dyDescent="0.3">
      <c r="I655" t="str">
        <f>_xlfn.IFNA(INDEX('[1]Sector list'!$A$2:$A$122,MATCH(H655,'[1]Sector list'!$B$2:$B$122,0)),"")</f>
        <v/>
      </c>
      <c r="J655" s="172"/>
    </row>
    <row r="656" spans="9:10" x14ac:dyDescent="0.3">
      <c r="I656" t="str">
        <f>_xlfn.IFNA(INDEX('[1]Sector list'!$A$2:$A$122,MATCH(H656,'[1]Sector list'!$B$2:$B$122,0)),"")</f>
        <v/>
      </c>
      <c r="J656" s="172"/>
    </row>
    <row r="657" spans="9:10" x14ac:dyDescent="0.3">
      <c r="I657" t="str">
        <f>_xlfn.IFNA(INDEX('[1]Sector list'!$A$2:$A$122,MATCH(H657,'[1]Sector list'!$B$2:$B$122,0)),"")</f>
        <v/>
      </c>
      <c r="J657" s="172"/>
    </row>
    <row r="658" spans="9:10" x14ac:dyDescent="0.3">
      <c r="I658" t="str">
        <f>_xlfn.IFNA(INDEX('[1]Sector list'!$A$2:$A$122,MATCH(H658,'[1]Sector list'!$B$2:$B$122,0)),"")</f>
        <v/>
      </c>
      <c r="J658" s="172"/>
    </row>
    <row r="659" spans="9:10" x14ac:dyDescent="0.3">
      <c r="I659" t="str">
        <f>_xlfn.IFNA(INDEX('[1]Sector list'!$A$2:$A$122,MATCH(H659,'[1]Sector list'!$B$2:$B$122,0)),"")</f>
        <v/>
      </c>
      <c r="J659" s="172"/>
    </row>
    <row r="660" spans="9:10" x14ac:dyDescent="0.3">
      <c r="I660" t="str">
        <f>_xlfn.IFNA(INDEX('[1]Sector list'!$A$2:$A$122,MATCH(H660,'[1]Sector list'!$B$2:$B$122,0)),"")</f>
        <v/>
      </c>
      <c r="J660" s="172"/>
    </row>
    <row r="661" spans="9:10" x14ac:dyDescent="0.3">
      <c r="I661" t="str">
        <f>_xlfn.IFNA(INDEX('[1]Sector list'!$A$2:$A$122,MATCH(H661,'[1]Sector list'!$B$2:$B$122,0)),"")</f>
        <v/>
      </c>
      <c r="J661" s="172"/>
    </row>
    <row r="662" spans="9:10" x14ac:dyDescent="0.3">
      <c r="I662" t="str">
        <f>_xlfn.IFNA(INDEX('[1]Sector list'!$A$2:$A$122,MATCH(H662,'[1]Sector list'!$B$2:$B$122,0)),"")</f>
        <v/>
      </c>
      <c r="J662" s="172"/>
    </row>
    <row r="663" spans="9:10" x14ac:dyDescent="0.3">
      <c r="I663" t="str">
        <f>_xlfn.IFNA(INDEX('[1]Sector list'!$A$2:$A$122,MATCH(H663,'[1]Sector list'!$B$2:$B$122,0)),"")</f>
        <v/>
      </c>
      <c r="J663" s="172"/>
    </row>
    <row r="664" spans="9:10" x14ac:dyDescent="0.3">
      <c r="I664" t="str">
        <f>_xlfn.IFNA(INDEX('[1]Sector list'!$A$2:$A$122,MATCH(H664,'[1]Sector list'!$B$2:$B$122,0)),"")</f>
        <v/>
      </c>
      <c r="J664" s="172"/>
    </row>
    <row r="665" spans="9:10" x14ac:dyDescent="0.3">
      <c r="I665" t="str">
        <f>_xlfn.IFNA(INDEX('[1]Sector list'!$A$2:$A$122,MATCH(H665,'[1]Sector list'!$B$2:$B$122,0)),"")</f>
        <v/>
      </c>
      <c r="J665" s="172"/>
    </row>
    <row r="666" spans="9:10" x14ac:dyDescent="0.3">
      <c r="I666" t="str">
        <f>_xlfn.IFNA(INDEX('[1]Sector list'!$A$2:$A$122,MATCH(H666,'[1]Sector list'!$B$2:$B$122,0)),"")</f>
        <v/>
      </c>
      <c r="J666" s="172"/>
    </row>
    <row r="667" spans="9:10" x14ac:dyDescent="0.3">
      <c r="I667" t="str">
        <f>_xlfn.IFNA(INDEX('[1]Sector list'!$A$2:$A$122,MATCH(H667,'[1]Sector list'!$B$2:$B$122,0)),"")</f>
        <v/>
      </c>
      <c r="J667" s="172"/>
    </row>
    <row r="668" spans="9:10" x14ac:dyDescent="0.3">
      <c r="I668" t="str">
        <f>_xlfn.IFNA(INDEX('[1]Sector list'!$A$2:$A$122,MATCH(H668,'[1]Sector list'!$B$2:$B$122,0)),"")</f>
        <v/>
      </c>
      <c r="J668" s="172"/>
    </row>
    <row r="669" spans="9:10" x14ac:dyDescent="0.3">
      <c r="I669" t="str">
        <f>_xlfn.IFNA(INDEX('[1]Sector list'!$A$2:$A$122,MATCH(H669,'[1]Sector list'!$B$2:$B$122,0)),"")</f>
        <v/>
      </c>
      <c r="J669" s="172"/>
    </row>
    <row r="670" spans="9:10" x14ac:dyDescent="0.3">
      <c r="I670" t="str">
        <f>_xlfn.IFNA(INDEX('[1]Sector list'!$A$2:$A$122,MATCH(H670,'[1]Sector list'!$B$2:$B$122,0)),"")</f>
        <v/>
      </c>
      <c r="J670" s="172"/>
    </row>
    <row r="671" spans="9:10" x14ac:dyDescent="0.3">
      <c r="I671" t="str">
        <f>_xlfn.IFNA(INDEX('[1]Sector list'!$A$2:$A$122,MATCH(H671,'[1]Sector list'!$B$2:$B$122,0)),"")</f>
        <v/>
      </c>
      <c r="J671" s="172"/>
    </row>
    <row r="672" spans="9:10" x14ac:dyDescent="0.3">
      <c r="I672" t="str">
        <f>_xlfn.IFNA(INDEX('[1]Sector list'!$A$2:$A$122,MATCH(H672,'[1]Sector list'!$B$2:$B$122,0)),"")</f>
        <v/>
      </c>
      <c r="J672" s="172"/>
    </row>
    <row r="673" spans="9:10" x14ac:dyDescent="0.3">
      <c r="I673" t="str">
        <f>_xlfn.IFNA(INDEX('[1]Sector list'!$A$2:$A$122,MATCH(H673,'[1]Sector list'!$B$2:$B$122,0)),"")</f>
        <v/>
      </c>
      <c r="J673" s="172"/>
    </row>
    <row r="674" spans="9:10" x14ac:dyDescent="0.3">
      <c r="I674" t="str">
        <f>_xlfn.IFNA(INDEX('[1]Sector list'!$A$2:$A$122,MATCH(H674,'[1]Sector list'!$B$2:$B$122,0)),"")</f>
        <v/>
      </c>
      <c r="J674" s="172"/>
    </row>
    <row r="675" spans="9:10" x14ac:dyDescent="0.3">
      <c r="I675" t="str">
        <f>_xlfn.IFNA(INDEX('[1]Sector list'!$A$2:$A$122,MATCH(H675,'[1]Sector list'!$B$2:$B$122,0)),"")</f>
        <v/>
      </c>
      <c r="J675" s="172"/>
    </row>
    <row r="676" spans="9:10" x14ac:dyDescent="0.3">
      <c r="I676" t="str">
        <f>_xlfn.IFNA(INDEX('[1]Sector list'!$A$2:$A$122,MATCH(H676,'[1]Sector list'!$B$2:$B$122,0)),"")</f>
        <v/>
      </c>
      <c r="J676" s="172"/>
    </row>
    <row r="677" spans="9:10" x14ac:dyDescent="0.3">
      <c r="I677" t="str">
        <f>_xlfn.IFNA(INDEX('[1]Sector list'!$A$2:$A$122,MATCH(H677,'[1]Sector list'!$B$2:$B$122,0)),"")</f>
        <v/>
      </c>
      <c r="J677" s="172"/>
    </row>
    <row r="678" spans="9:10" x14ac:dyDescent="0.3">
      <c r="I678" t="str">
        <f>_xlfn.IFNA(INDEX('[1]Sector list'!$A$2:$A$122,MATCH(H678,'[1]Sector list'!$B$2:$B$122,0)),"")</f>
        <v/>
      </c>
      <c r="J678" s="172"/>
    </row>
    <row r="679" spans="9:10" x14ac:dyDescent="0.3">
      <c r="I679" t="str">
        <f>_xlfn.IFNA(INDEX('[1]Sector list'!$A$2:$A$122,MATCH(H679,'[1]Sector list'!$B$2:$B$122,0)),"")</f>
        <v/>
      </c>
      <c r="J679" s="172"/>
    </row>
    <row r="680" spans="9:10" x14ac:dyDescent="0.3">
      <c r="I680" t="str">
        <f>_xlfn.IFNA(INDEX('[1]Sector list'!$A$2:$A$122,MATCH(H680,'[1]Sector list'!$B$2:$B$122,0)),"")</f>
        <v/>
      </c>
      <c r="J680" s="172"/>
    </row>
    <row r="681" spans="9:10" x14ac:dyDescent="0.3">
      <c r="I681" t="str">
        <f>_xlfn.IFNA(INDEX('[1]Sector list'!$A$2:$A$122,MATCH(H681,'[1]Sector list'!$B$2:$B$122,0)),"")</f>
        <v/>
      </c>
      <c r="J681" s="172"/>
    </row>
    <row r="682" spans="9:10" x14ac:dyDescent="0.3">
      <c r="I682" t="str">
        <f>_xlfn.IFNA(INDEX('[1]Sector list'!$A$2:$A$122,MATCH(H682,'[1]Sector list'!$B$2:$B$122,0)),"")</f>
        <v/>
      </c>
      <c r="J682" s="172"/>
    </row>
    <row r="683" spans="9:10" x14ac:dyDescent="0.3">
      <c r="I683" t="str">
        <f>_xlfn.IFNA(INDEX('[1]Sector list'!$A$2:$A$122,MATCH(H683,'[1]Sector list'!$B$2:$B$122,0)),"")</f>
        <v/>
      </c>
      <c r="J683" s="172"/>
    </row>
    <row r="684" spans="9:10" x14ac:dyDescent="0.3">
      <c r="I684" t="str">
        <f>_xlfn.IFNA(INDEX('[1]Sector list'!$A$2:$A$122,MATCH(H684,'[1]Sector list'!$B$2:$B$122,0)),"")</f>
        <v/>
      </c>
      <c r="J684" s="172"/>
    </row>
    <row r="685" spans="9:10" x14ac:dyDescent="0.3">
      <c r="I685" t="str">
        <f>_xlfn.IFNA(INDEX('[1]Sector list'!$A$2:$A$122,MATCH(H685,'[1]Sector list'!$B$2:$B$122,0)),"")</f>
        <v/>
      </c>
      <c r="J685" s="172"/>
    </row>
    <row r="686" spans="9:10" x14ac:dyDescent="0.3">
      <c r="I686" t="str">
        <f>_xlfn.IFNA(INDEX('[1]Sector list'!$A$2:$A$122,MATCH(H686,'[1]Sector list'!$B$2:$B$122,0)),"")</f>
        <v/>
      </c>
      <c r="J686" s="172"/>
    </row>
    <row r="687" spans="9:10" x14ac:dyDescent="0.3">
      <c r="I687" t="str">
        <f>_xlfn.IFNA(INDEX('[1]Sector list'!$A$2:$A$122,MATCH(H687,'[1]Sector list'!$B$2:$B$122,0)),"")</f>
        <v/>
      </c>
      <c r="J687" s="172"/>
    </row>
    <row r="688" spans="9:10" x14ac:dyDescent="0.3">
      <c r="I688" t="str">
        <f>_xlfn.IFNA(INDEX('[1]Sector list'!$A$2:$A$122,MATCH(H688,'[1]Sector list'!$B$2:$B$122,0)),"")</f>
        <v/>
      </c>
      <c r="J688" s="172"/>
    </row>
    <row r="689" spans="9:10" x14ac:dyDescent="0.3">
      <c r="I689" t="str">
        <f>_xlfn.IFNA(INDEX('[1]Sector list'!$A$2:$A$122,MATCH(H689,'[1]Sector list'!$B$2:$B$122,0)),"")</f>
        <v/>
      </c>
      <c r="J689" s="172"/>
    </row>
    <row r="690" spans="9:10" x14ac:dyDescent="0.3">
      <c r="I690" t="str">
        <f>_xlfn.IFNA(INDEX('[1]Sector list'!$A$2:$A$122,MATCH(H690,'[1]Sector list'!$B$2:$B$122,0)),"")</f>
        <v/>
      </c>
      <c r="J690" s="172"/>
    </row>
    <row r="691" spans="9:10" x14ac:dyDescent="0.3">
      <c r="I691" t="str">
        <f>_xlfn.IFNA(INDEX('[1]Sector list'!$A$2:$A$122,MATCH(H691,'[1]Sector list'!$B$2:$B$122,0)),"")</f>
        <v/>
      </c>
      <c r="J691" s="172"/>
    </row>
    <row r="692" spans="9:10" x14ac:dyDescent="0.3">
      <c r="I692" t="str">
        <f>_xlfn.IFNA(INDEX('[1]Sector list'!$A$2:$A$122,MATCH(H692,'[1]Sector list'!$B$2:$B$122,0)),"")</f>
        <v/>
      </c>
      <c r="J692" s="172"/>
    </row>
    <row r="693" spans="9:10" x14ac:dyDescent="0.3">
      <c r="I693" t="str">
        <f>_xlfn.IFNA(INDEX('[1]Sector list'!$A$2:$A$122,MATCH(H693,'[1]Sector list'!$B$2:$B$122,0)),"")</f>
        <v/>
      </c>
      <c r="J693" s="172"/>
    </row>
    <row r="694" spans="9:10" x14ac:dyDescent="0.3">
      <c r="I694" t="str">
        <f>_xlfn.IFNA(INDEX('[1]Sector list'!$A$2:$A$122,MATCH(H694,'[1]Sector list'!$B$2:$B$122,0)),"")</f>
        <v/>
      </c>
      <c r="J694" s="172"/>
    </row>
    <row r="695" spans="9:10" x14ac:dyDescent="0.3">
      <c r="I695" t="str">
        <f>_xlfn.IFNA(INDEX('[1]Sector list'!$A$2:$A$122,MATCH(H695,'[1]Sector list'!$B$2:$B$122,0)),"")</f>
        <v/>
      </c>
      <c r="J695" s="172"/>
    </row>
    <row r="696" spans="9:10" x14ac:dyDescent="0.3">
      <c r="I696" t="str">
        <f>_xlfn.IFNA(INDEX('[1]Sector list'!$A$2:$A$122,MATCH(H696,'[1]Sector list'!$B$2:$B$122,0)),"")</f>
        <v/>
      </c>
      <c r="J696" s="172"/>
    </row>
    <row r="697" spans="9:10" x14ac:dyDescent="0.3">
      <c r="I697" t="str">
        <f>_xlfn.IFNA(INDEX('[1]Sector list'!$A$2:$A$122,MATCH(H697,'[1]Sector list'!$B$2:$B$122,0)),"")</f>
        <v/>
      </c>
      <c r="J697" s="172"/>
    </row>
    <row r="698" spans="9:10" x14ac:dyDescent="0.3">
      <c r="I698" t="str">
        <f>_xlfn.IFNA(INDEX('[1]Sector list'!$A$2:$A$122,MATCH(H698,'[1]Sector list'!$B$2:$B$122,0)),"")</f>
        <v/>
      </c>
      <c r="J698" s="172"/>
    </row>
    <row r="699" spans="9:10" x14ac:dyDescent="0.3">
      <c r="I699" t="str">
        <f>_xlfn.IFNA(INDEX('[1]Sector list'!$A$2:$A$122,MATCH(H699,'[1]Sector list'!$B$2:$B$122,0)),"")</f>
        <v/>
      </c>
      <c r="J699" s="172"/>
    </row>
    <row r="700" spans="9:10" x14ac:dyDescent="0.3">
      <c r="I700" t="str">
        <f>_xlfn.IFNA(INDEX('[1]Sector list'!$A$2:$A$122,MATCH(H700,'[1]Sector list'!$B$2:$B$122,0)),"")</f>
        <v/>
      </c>
      <c r="J700" s="172"/>
    </row>
    <row r="701" spans="9:10" x14ac:dyDescent="0.3">
      <c r="I701" t="str">
        <f>_xlfn.IFNA(INDEX('[1]Sector list'!$A$2:$A$122,MATCH(H701,'[1]Sector list'!$B$2:$B$122,0)),"")</f>
        <v/>
      </c>
      <c r="J701" s="172"/>
    </row>
    <row r="702" spans="9:10" x14ac:dyDescent="0.3">
      <c r="I702" t="str">
        <f>_xlfn.IFNA(INDEX('[1]Sector list'!$A$2:$A$122,MATCH(H702,'[1]Sector list'!$B$2:$B$122,0)),"")</f>
        <v/>
      </c>
      <c r="J702" s="172"/>
    </row>
    <row r="703" spans="9:10" x14ac:dyDescent="0.3">
      <c r="I703" t="str">
        <f>_xlfn.IFNA(INDEX('[1]Sector list'!$A$2:$A$122,MATCH(H703,'[1]Sector list'!$B$2:$B$122,0)),"")</f>
        <v/>
      </c>
      <c r="J703" s="172"/>
    </row>
    <row r="704" spans="9:10" x14ac:dyDescent="0.3">
      <c r="I704" t="str">
        <f>_xlfn.IFNA(INDEX('[1]Sector list'!$A$2:$A$122,MATCH(H704,'[1]Sector list'!$B$2:$B$122,0)),"")</f>
        <v/>
      </c>
      <c r="J704" s="172"/>
    </row>
    <row r="705" spans="9:10" x14ac:dyDescent="0.3">
      <c r="I705" t="str">
        <f>_xlfn.IFNA(INDEX('[1]Sector list'!$A$2:$A$122,MATCH(H705,'[1]Sector list'!$B$2:$B$122,0)),"")</f>
        <v/>
      </c>
      <c r="J705" s="172"/>
    </row>
    <row r="706" spans="9:10" x14ac:dyDescent="0.3">
      <c r="I706" t="str">
        <f>_xlfn.IFNA(INDEX('[1]Sector list'!$A$2:$A$122,MATCH(H706,'[1]Sector list'!$B$2:$B$122,0)),"")</f>
        <v/>
      </c>
      <c r="J706" s="172"/>
    </row>
    <row r="707" spans="9:10" x14ac:dyDescent="0.3">
      <c r="I707" t="str">
        <f>_xlfn.IFNA(INDEX('[1]Sector list'!$A$2:$A$122,MATCH(H707,'[1]Sector list'!$B$2:$B$122,0)),"")</f>
        <v/>
      </c>
      <c r="J707" s="172"/>
    </row>
    <row r="708" spans="9:10" x14ac:dyDescent="0.3">
      <c r="I708" t="str">
        <f>_xlfn.IFNA(INDEX('[1]Sector list'!$A$2:$A$122,MATCH(H708,'[1]Sector list'!$B$2:$B$122,0)),"")</f>
        <v/>
      </c>
      <c r="J708" s="172"/>
    </row>
    <row r="709" spans="9:10" x14ac:dyDescent="0.3">
      <c r="I709" t="str">
        <f>_xlfn.IFNA(INDEX('[1]Sector list'!$A$2:$A$122,MATCH(H709,'[1]Sector list'!$B$2:$B$122,0)),"")</f>
        <v/>
      </c>
      <c r="J709" s="172"/>
    </row>
    <row r="710" spans="9:10" x14ac:dyDescent="0.3">
      <c r="I710" t="str">
        <f>_xlfn.IFNA(INDEX('[1]Sector list'!$A$2:$A$122,MATCH(H710,'[1]Sector list'!$B$2:$B$122,0)),"")</f>
        <v/>
      </c>
      <c r="J710" s="172"/>
    </row>
    <row r="711" spans="9:10" x14ac:dyDescent="0.3">
      <c r="I711" t="str">
        <f>_xlfn.IFNA(INDEX('[1]Sector list'!$A$2:$A$122,MATCH(H711,'[1]Sector list'!$B$2:$B$122,0)),"")</f>
        <v/>
      </c>
      <c r="J711" s="172"/>
    </row>
    <row r="712" spans="9:10" x14ac:dyDescent="0.3">
      <c r="I712" t="str">
        <f>_xlfn.IFNA(INDEX('[1]Sector list'!$A$2:$A$122,MATCH(H712,'[1]Sector list'!$B$2:$B$122,0)),"")</f>
        <v/>
      </c>
      <c r="J712" s="172"/>
    </row>
    <row r="713" spans="9:10" x14ac:dyDescent="0.3">
      <c r="I713" t="str">
        <f>_xlfn.IFNA(INDEX('[1]Sector list'!$A$2:$A$122,MATCH(H713,'[1]Sector list'!$B$2:$B$122,0)),"")</f>
        <v/>
      </c>
      <c r="J713" s="172"/>
    </row>
    <row r="714" spans="9:10" x14ac:dyDescent="0.3">
      <c r="I714" t="str">
        <f>_xlfn.IFNA(INDEX('[1]Sector list'!$A$2:$A$122,MATCH(H714,'[1]Sector list'!$B$2:$B$122,0)),"")</f>
        <v/>
      </c>
      <c r="J714" s="172"/>
    </row>
    <row r="715" spans="9:10" x14ac:dyDescent="0.3">
      <c r="I715" t="str">
        <f>_xlfn.IFNA(INDEX('[1]Sector list'!$A$2:$A$122,MATCH(H715,'[1]Sector list'!$B$2:$B$122,0)),"")</f>
        <v/>
      </c>
      <c r="J715" s="172"/>
    </row>
    <row r="716" spans="9:10" x14ac:dyDescent="0.3">
      <c r="I716" t="str">
        <f>_xlfn.IFNA(INDEX('[1]Sector list'!$A$2:$A$122,MATCH(H716,'[1]Sector list'!$B$2:$B$122,0)),"")</f>
        <v/>
      </c>
      <c r="J716" s="172"/>
    </row>
    <row r="717" spans="9:10" x14ac:dyDescent="0.3">
      <c r="I717" t="str">
        <f>_xlfn.IFNA(INDEX('[1]Sector list'!$A$2:$A$122,MATCH(H717,'[1]Sector list'!$B$2:$B$122,0)),"")</f>
        <v/>
      </c>
      <c r="J717" s="172"/>
    </row>
    <row r="718" spans="9:10" x14ac:dyDescent="0.3">
      <c r="I718" t="str">
        <f>_xlfn.IFNA(INDEX('[1]Sector list'!$A$2:$A$122,MATCH(H718,'[1]Sector list'!$B$2:$B$122,0)),"")</f>
        <v/>
      </c>
      <c r="J718" s="172"/>
    </row>
    <row r="719" spans="9:10" x14ac:dyDescent="0.3">
      <c r="I719" t="str">
        <f>_xlfn.IFNA(INDEX('[1]Sector list'!$A$2:$A$122,MATCH(H719,'[1]Sector list'!$B$2:$B$122,0)),"")</f>
        <v/>
      </c>
      <c r="J719" s="172"/>
    </row>
    <row r="720" spans="9:10" x14ac:dyDescent="0.3">
      <c r="I720" t="str">
        <f>_xlfn.IFNA(INDEX('[1]Sector list'!$A$2:$A$122,MATCH(H720,'[1]Sector list'!$B$2:$B$122,0)),"")</f>
        <v/>
      </c>
      <c r="J720" s="172"/>
    </row>
    <row r="721" spans="9:10" x14ac:dyDescent="0.3">
      <c r="I721" t="str">
        <f>_xlfn.IFNA(INDEX('[1]Sector list'!$A$2:$A$122,MATCH(H721,'[1]Sector list'!$B$2:$B$122,0)),"")</f>
        <v/>
      </c>
      <c r="J721" s="172"/>
    </row>
    <row r="722" spans="9:10" x14ac:dyDescent="0.3">
      <c r="I722" t="str">
        <f>_xlfn.IFNA(INDEX('[1]Sector list'!$A$2:$A$122,MATCH(H722,'[1]Sector list'!$B$2:$B$122,0)),"")</f>
        <v/>
      </c>
      <c r="J722" s="172"/>
    </row>
    <row r="723" spans="9:10" x14ac:dyDescent="0.3">
      <c r="I723" t="str">
        <f>_xlfn.IFNA(INDEX('[1]Sector list'!$A$2:$A$122,MATCH(H723,'[1]Sector list'!$B$2:$B$122,0)),"")</f>
        <v/>
      </c>
      <c r="J723" s="172"/>
    </row>
    <row r="724" spans="9:10" x14ac:dyDescent="0.3">
      <c r="I724" t="str">
        <f>_xlfn.IFNA(INDEX('[1]Sector list'!$A$2:$A$122,MATCH(H724,'[1]Sector list'!$B$2:$B$122,0)),"")</f>
        <v/>
      </c>
      <c r="J724" s="172"/>
    </row>
    <row r="725" spans="9:10" x14ac:dyDescent="0.3">
      <c r="I725" t="str">
        <f>_xlfn.IFNA(INDEX('[1]Sector list'!$A$2:$A$122,MATCH(H725,'[1]Sector list'!$B$2:$B$122,0)),"")</f>
        <v/>
      </c>
      <c r="J725" s="172"/>
    </row>
    <row r="726" spans="9:10" x14ac:dyDescent="0.3">
      <c r="I726" t="str">
        <f>_xlfn.IFNA(INDEX('[1]Sector list'!$A$2:$A$122,MATCH(H726,'[1]Sector list'!$B$2:$B$122,0)),"")</f>
        <v/>
      </c>
      <c r="J726" s="172"/>
    </row>
    <row r="727" spans="9:10" x14ac:dyDescent="0.3">
      <c r="I727" t="str">
        <f>_xlfn.IFNA(INDEX('[1]Sector list'!$A$2:$A$122,MATCH(H727,'[1]Sector list'!$B$2:$B$122,0)),"")</f>
        <v/>
      </c>
      <c r="J727" s="172"/>
    </row>
    <row r="728" spans="9:10" x14ac:dyDescent="0.3">
      <c r="I728" t="str">
        <f>_xlfn.IFNA(INDEX('[1]Sector list'!$A$2:$A$122,MATCH(H728,'[1]Sector list'!$B$2:$B$122,0)),"")</f>
        <v/>
      </c>
      <c r="J728" s="172"/>
    </row>
    <row r="729" spans="9:10" x14ac:dyDescent="0.3">
      <c r="I729" t="str">
        <f>_xlfn.IFNA(INDEX('[1]Sector list'!$A$2:$A$122,MATCH(H729,'[1]Sector list'!$B$2:$B$122,0)),"")</f>
        <v/>
      </c>
      <c r="J729" s="172"/>
    </row>
    <row r="730" spans="9:10" x14ac:dyDescent="0.3">
      <c r="I730" t="str">
        <f>_xlfn.IFNA(INDEX('[1]Sector list'!$A$2:$A$122,MATCH(H730,'[1]Sector list'!$B$2:$B$122,0)),"")</f>
        <v/>
      </c>
      <c r="J730" s="172"/>
    </row>
    <row r="731" spans="9:10" x14ac:dyDescent="0.3">
      <c r="I731" t="str">
        <f>_xlfn.IFNA(INDEX('[1]Sector list'!$A$2:$A$122,MATCH(H731,'[1]Sector list'!$B$2:$B$122,0)),"")</f>
        <v/>
      </c>
      <c r="J731" s="172"/>
    </row>
    <row r="732" spans="9:10" x14ac:dyDescent="0.3">
      <c r="I732" t="str">
        <f>_xlfn.IFNA(INDEX('[1]Sector list'!$A$2:$A$122,MATCH(H732,'[1]Sector list'!$B$2:$B$122,0)),"")</f>
        <v/>
      </c>
      <c r="J732" s="172"/>
    </row>
    <row r="733" spans="9:10" x14ac:dyDescent="0.3">
      <c r="I733" t="str">
        <f>_xlfn.IFNA(INDEX('[1]Sector list'!$A$2:$A$122,MATCH(H733,'[1]Sector list'!$B$2:$B$122,0)),"")</f>
        <v/>
      </c>
      <c r="J733" s="172"/>
    </row>
    <row r="734" spans="9:10" x14ac:dyDescent="0.3">
      <c r="I734" t="str">
        <f>_xlfn.IFNA(INDEX('[1]Sector list'!$A$2:$A$122,MATCH(H734,'[1]Sector list'!$B$2:$B$122,0)),"")</f>
        <v/>
      </c>
      <c r="J734" s="172"/>
    </row>
    <row r="735" spans="9:10" x14ac:dyDescent="0.3">
      <c r="I735" t="str">
        <f>_xlfn.IFNA(INDEX('[1]Sector list'!$A$2:$A$122,MATCH(H735,'[1]Sector list'!$B$2:$B$122,0)),"")</f>
        <v/>
      </c>
      <c r="J735" s="172"/>
    </row>
    <row r="736" spans="9:10" x14ac:dyDescent="0.3">
      <c r="I736" t="str">
        <f>_xlfn.IFNA(INDEX('[1]Sector list'!$A$2:$A$122,MATCH(H736,'[1]Sector list'!$B$2:$B$122,0)),"")</f>
        <v/>
      </c>
      <c r="J736" s="172"/>
    </row>
    <row r="737" spans="9:10" x14ac:dyDescent="0.3">
      <c r="I737" t="str">
        <f>_xlfn.IFNA(INDEX('[1]Sector list'!$A$2:$A$122,MATCH(H737,'[1]Sector list'!$B$2:$B$122,0)),"")</f>
        <v/>
      </c>
      <c r="J737" s="172"/>
    </row>
    <row r="738" spans="9:10" x14ac:dyDescent="0.3">
      <c r="I738" t="str">
        <f>_xlfn.IFNA(INDEX('[1]Sector list'!$A$2:$A$122,MATCH(H738,'[1]Sector list'!$B$2:$B$122,0)),"")</f>
        <v/>
      </c>
      <c r="J738" s="172"/>
    </row>
    <row r="739" spans="9:10" x14ac:dyDescent="0.3">
      <c r="I739" t="str">
        <f>_xlfn.IFNA(INDEX('[1]Sector list'!$A$2:$A$122,MATCH(H739,'[1]Sector list'!$B$2:$B$122,0)),"")</f>
        <v/>
      </c>
      <c r="J739" s="172"/>
    </row>
    <row r="740" spans="9:10" x14ac:dyDescent="0.3">
      <c r="I740" t="str">
        <f>_xlfn.IFNA(INDEX('[1]Sector list'!$A$2:$A$122,MATCH(H740,'[1]Sector list'!$B$2:$B$122,0)),"")</f>
        <v/>
      </c>
      <c r="J740" s="172"/>
    </row>
    <row r="741" spans="9:10" x14ac:dyDescent="0.3">
      <c r="I741" t="str">
        <f>_xlfn.IFNA(INDEX('[1]Sector list'!$A$2:$A$122,MATCH(H741,'[1]Sector list'!$B$2:$B$122,0)),"")</f>
        <v/>
      </c>
      <c r="J741" s="172"/>
    </row>
    <row r="742" spans="9:10" x14ac:dyDescent="0.3">
      <c r="I742" t="str">
        <f>_xlfn.IFNA(INDEX('[1]Sector list'!$A$2:$A$122,MATCH(H742,'[1]Sector list'!$B$2:$B$122,0)),"")</f>
        <v/>
      </c>
      <c r="J742" s="172"/>
    </row>
    <row r="743" spans="9:10" x14ac:dyDescent="0.3">
      <c r="I743" t="str">
        <f>_xlfn.IFNA(INDEX('[1]Sector list'!$A$2:$A$122,MATCH(H743,'[1]Sector list'!$B$2:$B$122,0)),"")</f>
        <v/>
      </c>
      <c r="J743" s="172"/>
    </row>
    <row r="744" spans="9:10" x14ac:dyDescent="0.3">
      <c r="I744" t="str">
        <f>_xlfn.IFNA(INDEX('[1]Sector list'!$A$2:$A$122,MATCH(H744,'[1]Sector list'!$B$2:$B$122,0)),"")</f>
        <v/>
      </c>
      <c r="J744" s="172"/>
    </row>
    <row r="745" spans="9:10" x14ac:dyDescent="0.3">
      <c r="I745" t="str">
        <f>_xlfn.IFNA(INDEX('[1]Sector list'!$A$2:$A$122,MATCH(H745,'[1]Sector list'!$B$2:$B$122,0)),"")</f>
        <v/>
      </c>
      <c r="J745" s="172"/>
    </row>
    <row r="746" spans="9:10" x14ac:dyDescent="0.3">
      <c r="I746" t="str">
        <f>_xlfn.IFNA(INDEX('[1]Sector list'!$A$2:$A$122,MATCH(H746,'[1]Sector list'!$B$2:$B$122,0)),"")</f>
        <v/>
      </c>
      <c r="J746" s="172"/>
    </row>
    <row r="747" spans="9:10" x14ac:dyDescent="0.3">
      <c r="I747" t="str">
        <f>_xlfn.IFNA(INDEX('[1]Sector list'!$A$2:$A$122,MATCH(H747,'[1]Sector list'!$B$2:$B$122,0)),"")</f>
        <v/>
      </c>
      <c r="J747" s="172"/>
    </row>
    <row r="748" spans="9:10" x14ac:dyDescent="0.3">
      <c r="I748" t="str">
        <f>_xlfn.IFNA(INDEX('[1]Sector list'!$A$2:$A$122,MATCH(H748,'[1]Sector list'!$B$2:$B$122,0)),"")</f>
        <v/>
      </c>
      <c r="J748" s="172"/>
    </row>
    <row r="749" spans="9:10" x14ac:dyDescent="0.3">
      <c r="I749" t="str">
        <f>_xlfn.IFNA(INDEX('[1]Sector list'!$A$2:$A$122,MATCH(H749,'[1]Sector list'!$B$2:$B$122,0)),"")</f>
        <v/>
      </c>
      <c r="J749" s="172"/>
    </row>
    <row r="750" spans="9:10" x14ac:dyDescent="0.3">
      <c r="I750" t="str">
        <f>_xlfn.IFNA(INDEX('[1]Sector list'!$A$2:$A$122,MATCH(H750,'[1]Sector list'!$B$2:$B$122,0)),"")</f>
        <v/>
      </c>
      <c r="J750" s="172"/>
    </row>
    <row r="751" spans="9:10" x14ac:dyDescent="0.3">
      <c r="I751" t="str">
        <f>_xlfn.IFNA(INDEX('[1]Sector list'!$A$2:$A$122,MATCH(H751,'[1]Sector list'!$B$2:$B$122,0)),"")</f>
        <v/>
      </c>
      <c r="J751" s="172"/>
    </row>
    <row r="752" spans="9:10" x14ac:dyDescent="0.3">
      <c r="I752" t="str">
        <f>_xlfn.IFNA(INDEX('[1]Sector list'!$A$2:$A$122,MATCH(H752,'[1]Sector list'!$B$2:$B$122,0)),"")</f>
        <v/>
      </c>
      <c r="J752" s="172"/>
    </row>
    <row r="753" spans="9:10" x14ac:dyDescent="0.3">
      <c r="I753" t="str">
        <f>_xlfn.IFNA(INDEX('[1]Sector list'!$A$2:$A$122,MATCH(H753,'[1]Sector list'!$B$2:$B$122,0)),"")</f>
        <v/>
      </c>
      <c r="J753" s="172"/>
    </row>
    <row r="754" spans="9:10" x14ac:dyDescent="0.3">
      <c r="I754" t="str">
        <f>_xlfn.IFNA(INDEX('[1]Sector list'!$A$2:$A$122,MATCH(H754,'[1]Sector list'!$B$2:$B$122,0)),"")</f>
        <v/>
      </c>
      <c r="J754" s="172"/>
    </row>
    <row r="755" spans="9:10" x14ac:dyDescent="0.3">
      <c r="I755" t="str">
        <f>_xlfn.IFNA(INDEX('[1]Sector list'!$A$2:$A$122,MATCH(H755,'[1]Sector list'!$B$2:$B$122,0)),"")</f>
        <v/>
      </c>
      <c r="J755" s="172"/>
    </row>
    <row r="756" spans="9:10" x14ac:dyDescent="0.3">
      <c r="I756" t="str">
        <f>_xlfn.IFNA(INDEX('[1]Sector list'!$A$2:$A$122,MATCH(H756,'[1]Sector list'!$B$2:$B$122,0)),"")</f>
        <v/>
      </c>
      <c r="J756" s="172"/>
    </row>
    <row r="757" spans="9:10" x14ac:dyDescent="0.3">
      <c r="I757" t="str">
        <f>_xlfn.IFNA(INDEX('[1]Sector list'!$A$2:$A$122,MATCH(H757,'[1]Sector list'!$B$2:$B$122,0)),"")</f>
        <v/>
      </c>
      <c r="J757" s="172"/>
    </row>
    <row r="758" spans="9:10" x14ac:dyDescent="0.3">
      <c r="I758" t="str">
        <f>_xlfn.IFNA(INDEX('[1]Sector list'!$A$2:$A$122,MATCH(H758,'[1]Sector list'!$B$2:$B$122,0)),"")</f>
        <v/>
      </c>
      <c r="J758" s="172"/>
    </row>
    <row r="759" spans="9:10" x14ac:dyDescent="0.3">
      <c r="I759" t="str">
        <f>_xlfn.IFNA(INDEX('[1]Sector list'!$A$2:$A$122,MATCH(H759,'[1]Sector list'!$B$2:$B$122,0)),"")</f>
        <v/>
      </c>
      <c r="J759" s="172"/>
    </row>
    <row r="760" spans="9:10" x14ac:dyDescent="0.3">
      <c r="I760" t="str">
        <f>_xlfn.IFNA(INDEX('[1]Sector list'!$A$2:$A$122,MATCH(H760,'[1]Sector list'!$B$2:$B$122,0)),"")</f>
        <v/>
      </c>
      <c r="J760" s="172"/>
    </row>
    <row r="761" spans="9:10" x14ac:dyDescent="0.3">
      <c r="I761" t="str">
        <f>_xlfn.IFNA(INDEX('[1]Sector list'!$A$2:$A$122,MATCH(H761,'[1]Sector list'!$B$2:$B$122,0)),"")</f>
        <v/>
      </c>
      <c r="J761" s="172"/>
    </row>
    <row r="762" spans="9:10" x14ac:dyDescent="0.3">
      <c r="I762" t="str">
        <f>_xlfn.IFNA(INDEX('[1]Sector list'!$A$2:$A$122,MATCH(H762,'[1]Sector list'!$B$2:$B$122,0)),"")</f>
        <v/>
      </c>
      <c r="J762" s="172"/>
    </row>
    <row r="763" spans="9:10" x14ac:dyDescent="0.3">
      <c r="I763" t="str">
        <f>_xlfn.IFNA(INDEX('[1]Sector list'!$A$2:$A$122,MATCH(H763,'[1]Sector list'!$B$2:$B$122,0)),"")</f>
        <v/>
      </c>
      <c r="J763" s="172"/>
    </row>
    <row r="764" spans="9:10" x14ac:dyDescent="0.3">
      <c r="I764" t="str">
        <f>_xlfn.IFNA(INDEX('[1]Sector list'!$A$2:$A$122,MATCH(H764,'[1]Sector list'!$B$2:$B$122,0)),"")</f>
        <v/>
      </c>
      <c r="J764" s="172"/>
    </row>
    <row r="765" spans="9:10" x14ac:dyDescent="0.3">
      <c r="I765" t="str">
        <f>_xlfn.IFNA(INDEX('[1]Sector list'!$A$2:$A$122,MATCH(H765,'[1]Sector list'!$B$2:$B$122,0)),"")</f>
        <v/>
      </c>
      <c r="J765" s="172"/>
    </row>
    <row r="766" spans="9:10" x14ac:dyDescent="0.3">
      <c r="I766" t="str">
        <f>_xlfn.IFNA(INDEX('[1]Sector list'!$A$2:$A$122,MATCH(H766,'[1]Sector list'!$B$2:$B$122,0)),"")</f>
        <v/>
      </c>
      <c r="J766" s="172"/>
    </row>
    <row r="767" spans="9:10" x14ac:dyDescent="0.3">
      <c r="I767" t="str">
        <f>_xlfn.IFNA(INDEX('[1]Sector list'!$A$2:$A$122,MATCH(H767,'[1]Sector list'!$B$2:$B$122,0)),"")</f>
        <v/>
      </c>
      <c r="J767" s="172"/>
    </row>
    <row r="768" spans="9:10" x14ac:dyDescent="0.3">
      <c r="I768" t="str">
        <f>_xlfn.IFNA(INDEX('[1]Sector list'!$A$2:$A$122,MATCH(H768,'[1]Sector list'!$B$2:$B$122,0)),"")</f>
        <v/>
      </c>
      <c r="J768" s="172"/>
    </row>
    <row r="769" spans="9:10" x14ac:dyDescent="0.3">
      <c r="I769" t="str">
        <f>_xlfn.IFNA(INDEX('[1]Sector list'!$A$2:$A$122,MATCH(H769,'[1]Sector list'!$B$2:$B$122,0)),"")</f>
        <v/>
      </c>
      <c r="J769" s="172"/>
    </row>
    <row r="770" spans="9:10" x14ac:dyDescent="0.3">
      <c r="I770" t="str">
        <f>_xlfn.IFNA(INDEX('[1]Sector list'!$A$2:$A$122,MATCH(H770,'[1]Sector list'!$B$2:$B$122,0)),"")</f>
        <v/>
      </c>
      <c r="J770" s="172"/>
    </row>
    <row r="771" spans="9:10" x14ac:dyDescent="0.3">
      <c r="I771" t="str">
        <f>_xlfn.IFNA(INDEX('[1]Sector list'!$A$2:$A$122,MATCH(H771,'[1]Sector list'!$B$2:$B$122,0)),"")</f>
        <v/>
      </c>
      <c r="J771" s="172"/>
    </row>
    <row r="772" spans="9:10" x14ac:dyDescent="0.3">
      <c r="I772" t="str">
        <f>_xlfn.IFNA(INDEX('[1]Sector list'!$A$2:$A$122,MATCH(H772,'[1]Sector list'!$B$2:$B$122,0)),"")</f>
        <v/>
      </c>
      <c r="J772" s="172"/>
    </row>
    <row r="773" spans="9:10" x14ac:dyDescent="0.3">
      <c r="I773" t="str">
        <f>_xlfn.IFNA(INDEX('[1]Sector list'!$A$2:$A$122,MATCH(H773,'[1]Sector list'!$B$2:$B$122,0)),"")</f>
        <v/>
      </c>
      <c r="J773" s="172"/>
    </row>
    <row r="774" spans="9:10" x14ac:dyDescent="0.3">
      <c r="I774" t="str">
        <f>_xlfn.IFNA(INDEX('[1]Sector list'!$A$2:$A$122,MATCH(H774,'[1]Sector list'!$B$2:$B$122,0)),"")</f>
        <v/>
      </c>
      <c r="J774" s="172"/>
    </row>
    <row r="775" spans="9:10" x14ac:dyDescent="0.3">
      <c r="I775" t="str">
        <f>_xlfn.IFNA(INDEX('[1]Sector list'!$A$2:$A$122,MATCH(H775,'[1]Sector list'!$B$2:$B$122,0)),"")</f>
        <v/>
      </c>
      <c r="J775" s="172"/>
    </row>
    <row r="776" spans="9:10" x14ac:dyDescent="0.3">
      <c r="I776" t="str">
        <f>_xlfn.IFNA(INDEX('[1]Sector list'!$A$2:$A$122,MATCH(H776,'[1]Sector list'!$B$2:$B$122,0)),"")</f>
        <v/>
      </c>
      <c r="J776" s="172"/>
    </row>
    <row r="777" spans="9:10" x14ac:dyDescent="0.3">
      <c r="I777" t="str">
        <f>_xlfn.IFNA(INDEX('[1]Sector list'!$A$2:$A$122,MATCH(H777,'[1]Sector list'!$B$2:$B$122,0)),"")</f>
        <v/>
      </c>
      <c r="J777" s="172"/>
    </row>
    <row r="778" spans="9:10" x14ac:dyDescent="0.3">
      <c r="I778" t="str">
        <f>_xlfn.IFNA(INDEX('[1]Sector list'!$A$2:$A$122,MATCH(H778,'[1]Sector list'!$B$2:$B$122,0)),"")</f>
        <v/>
      </c>
      <c r="J778" s="172"/>
    </row>
    <row r="779" spans="9:10" x14ac:dyDescent="0.3">
      <c r="I779" t="str">
        <f>_xlfn.IFNA(INDEX('[1]Sector list'!$A$2:$A$122,MATCH(H779,'[1]Sector list'!$B$2:$B$122,0)),"")</f>
        <v/>
      </c>
      <c r="J779" s="172"/>
    </row>
    <row r="780" spans="9:10" x14ac:dyDescent="0.3">
      <c r="I780" t="str">
        <f>_xlfn.IFNA(INDEX('[1]Sector list'!$A$2:$A$122,MATCH(H780,'[1]Sector list'!$B$2:$B$122,0)),"")</f>
        <v/>
      </c>
      <c r="J780" s="172"/>
    </row>
    <row r="781" spans="9:10" x14ac:dyDescent="0.3">
      <c r="I781" t="str">
        <f>_xlfn.IFNA(INDEX('[1]Sector list'!$A$2:$A$122,MATCH(H781,'[1]Sector list'!$B$2:$B$122,0)),"")</f>
        <v/>
      </c>
      <c r="J781" s="172"/>
    </row>
    <row r="782" spans="9:10" x14ac:dyDescent="0.3">
      <c r="I782" t="str">
        <f>_xlfn.IFNA(INDEX('[1]Sector list'!$A$2:$A$122,MATCH(H782,'[1]Sector list'!$B$2:$B$122,0)),"")</f>
        <v/>
      </c>
      <c r="J782" s="172"/>
    </row>
    <row r="783" spans="9:10" x14ac:dyDescent="0.3">
      <c r="I783" t="str">
        <f>_xlfn.IFNA(INDEX('[1]Sector list'!$A$2:$A$122,MATCH(H783,'[1]Sector list'!$B$2:$B$122,0)),"")</f>
        <v/>
      </c>
      <c r="J783" s="172"/>
    </row>
    <row r="784" spans="9:10" x14ac:dyDescent="0.3">
      <c r="I784" t="str">
        <f>_xlfn.IFNA(INDEX('[1]Sector list'!$A$2:$A$122,MATCH(H784,'[1]Sector list'!$B$2:$B$122,0)),"")</f>
        <v/>
      </c>
      <c r="J784" s="172"/>
    </row>
    <row r="785" spans="9:10" x14ac:dyDescent="0.3">
      <c r="I785" t="str">
        <f>_xlfn.IFNA(INDEX('[1]Sector list'!$A$2:$A$122,MATCH(H785,'[1]Sector list'!$B$2:$B$122,0)),"")</f>
        <v/>
      </c>
      <c r="J785" s="172"/>
    </row>
    <row r="786" spans="9:10" x14ac:dyDescent="0.3">
      <c r="I786" t="str">
        <f>_xlfn.IFNA(INDEX('[1]Sector list'!$A$2:$A$122,MATCH(H786,'[1]Sector list'!$B$2:$B$122,0)),"")</f>
        <v/>
      </c>
      <c r="J786" s="172"/>
    </row>
    <row r="787" spans="9:10" x14ac:dyDescent="0.3">
      <c r="I787" t="str">
        <f>_xlfn.IFNA(INDEX('[1]Sector list'!$A$2:$A$122,MATCH(H787,'[1]Sector list'!$B$2:$B$122,0)),"")</f>
        <v/>
      </c>
      <c r="J787" s="172"/>
    </row>
    <row r="788" spans="9:10" x14ac:dyDescent="0.3">
      <c r="I788" t="str">
        <f>_xlfn.IFNA(INDEX('[1]Sector list'!$A$2:$A$122,MATCH(H788,'[1]Sector list'!$B$2:$B$122,0)),"")</f>
        <v/>
      </c>
      <c r="J788" s="172"/>
    </row>
    <row r="789" spans="9:10" x14ac:dyDescent="0.3">
      <c r="I789" t="str">
        <f>_xlfn.IFNA(INDEX('[1]Sector list'!$A$2:$A$122,MATCH(H789,'[1]Sector list'!$B$2:$B$122,0)),"")</f>
        <v/>
      </c>
      <c r="J789" s="172"/>
    </row>
    <row r="790" spans="9:10" x14ac:dyDescent="0.3">
      <c r="I790" t="str">
        <f>_xlfn.IFNA(INDEX('[1]Sector list'!$A$2:$A$122,MATCH(H790,'[1]Sector list'!$B$2:$B$122,0)),"")</f>
        <v/>
      </c>
      <c r="J790" s="172"/>
    </row>
    <row r="791" spans="9:10" x14ac:dyDescent="0.3">
      <c r="I791" t="str">
        <f>_xlfn.IFNA(INDEX('[1]Sector list'!$A$2:$A$122,MATCH(H791,'[1]Sector list'!$B$2:$B$122,0)),"")</f>
        <v/>
      </c>
      <c r="J791" s="172"/>
    </row>
    <row r="792" spans="9:10" x14ac:dyDescent="0.3">
      <c r="I792" t="str">
        <f>_xlfn.IFNA(INDEX('[1]Sector list'!$A$2:$A$122,MATCH(H792,'[1]Sector list'!$B$2:$B$122,0)),"")</f>
        <v/>
      </c>
      <c r="J792" s="172"/>
    </row>
    <row r="793" spans="9:10" x14ac:dyDescent="0.3">
      <c r="I793" t="str">
        <f>_xlfn.IFNA(INDEX('[1]Sector list'!$A$2:$A$122,MATCH(H793,'[1]Sector list'!$B$2:$B$122,0)),"")</f>
        <v/>
      </c>
      <c r="J793" s="172"/>
    </row>
    <row r="794" spans="9:10" x14ac:dyDescent="0.3">
      <c r="I794" t="str">
        <f>_xlfn.IFNA(INDEX('[1]Sector list'!$A$2:$A$122,MATCH(H794,'[1]Sector list'!$B$2:$B$122,0)),"")</f>
        <v/>
      </c>
      <c r="J794" s="172"/>
    </row>
    <row r="795" spans="9:10" x14ac:dyDescent="0.3">
      <c r="I795" t="str">
        <f>_xlfn.IFNA(INDEX('[1]Sector list'!$A$2:$A$122,MATCH(H795,'[1]Sector list'!$B$2:$B$122,0)),"")</f>
        <v/>
      </c>
      <c r="J795" s="172"/>
    </row>
    <row r="796" spans="9:10" x14ac:dyDescent="0.3">
      <c r="I796" t="str">
        <f>_xlfn.IFNA(INDEX('[1]Sector list'!$A$2:$A$122,MATCH(H796,'[1]Sector list'!$B$2:$B$122,0)),"")</f>
        <v/>
      </c>
      <c r="J796" s="172"/>
    </row>
    <row r="797" spans="9:10" x14ac:dyDescent="0.3">
      <c r="I797" t="str">
        <f>_xlfn.IFNA(INDEX('[1]Sector list'!$A$2:$A$122,MATCH(H797,'[1]Sector list'!$B$2:$B$122,0)),"")</f>
        <v/>
      </c>
      <c r="J797" s="172"/>
    </row>
    <row r="798" spans="9:10" x14ac:dyDescent="0.3">
      <c r="I798" t="str">
        <f>_xlfn.IFNA(INDEX('[1]Sector list'!$A$2:$A$122,MATCH(H798,'[1]Sector list'!$B$2:$B$122,0)),"")</f>
        <v/>
      </c>
      <c r="J798" s="172"/>
    </row>
    <row r="799" spans="9:10" x14ac:dyDescent="0.3">
      <c r="I799" t="str">
        <f>_xlfn.IFNA(INDEX('[1]Sector list'!$A$2:$A$122,MATCH(H799,'[1]Sector list'!$B$2:$B$122,0)),"")</f>
        <v/>
      </c>
      <c r="J799" s="172"/>
    </row>
    <row r="800" spans="9:10" x14ac:dyDescent="0.3">
      <c r="I800" t="str">
        <f>_xlfn.IFNA(INDEX('[1]Sector list'!$A$2:$A$122,MATCH(H800,'[1]Sector list'!$B$2:$B$122,0)),"")</f>
        <v/>
      </c>
      <c r="J800" s="172"/>
    </row>
    <row r="801" spans="9:10" x14ac:dyDescent="0.3">
      <c r="I801" t="str">
        <f>_xlfn.IFNA(INDEX('[1]Sector list'!$A$2:$A$122,MATCH(H801,'[1]Sector list'!$B$2:$B$122,0)),"")</f>
        <v/>
      </c>
      <c r="J801" s="172"/>
    </row>
    <row r="802" spans="9:10" x14ac:dyDescent="0.3">
      <c r="I802" t="str">
        <f>_xlfn.IFNA(INDEX('[1]Sector list'!$A$2:$A$122,MATCH(H802,'[1]Sector list'!$B$2:$B$122,0)),"")</f>
        <v/>
      </c>
      <c r="J802" s="172"/>
    </row>
    <row r="803" spans="9:10" x14ac:dyDescent="0.3">
      <c r="I803" t="str">
        <f>_xlfn.IFNA(INDEX('[1]Sector list'!$A$2:$A$122,MATCH(H803,'[1]Sector list'!$B$2:$B$122,0)),"")</f>
        <v/>
      </c>
      <c r="J803" s="172"/>
    </row>
    <row r="804" spans="9:10" x14ac:dyDescent="0.3">
      <c r="I804" t="str">
        <f>_xlfn.IFNA(INDEX('[1]Sector list'!$A$2:$A$122,MATCH(H804,'[1]Sector list'!$B$2:$B$122,0)),"")</f>
        <v/>
      </c>
      <c r="J804" s="172"/>
    </row>
    <row r="805" spans="9:10" x14ac:dyDescent="0.3">
      <c r="I805" t="str">
        <f>_xlfn.IFNA(INDEX('[1]Sector list'!$A$2:$A$122,MATCH(H805,'[1]Sector list'!$B$2:$B$122,0)),"")</f>
        <v/>
      </c>
      <c r="J805" s="172"/>
    </row>
    <row r="806" spans="9:10" x14ac:dyDescent="0.3">
      <c r="I806" t="str">
        <f>_xlfn.IFNA(INDEX('[1]Sector list'!$A$2:$A$122,MATCH(H806,'[1]Sector list'!$B$2:$B$122,0)),"")</f>
        <v/>
      </c>
      <c r="J806" s="172"/>
    </row>
    <row r="807" spans="9:10" x14ac:dyDescent="0.3">
      <c r="I807" t="str">
        <f>_xlfn.IFNA(INDEX('[1]Sector list'!$A$2:$A$122,MATCH(H807,'[1]Sector list'!$B$2:$B$122,0)),"")</f>
        <v/>
      </c>
      <c r="J807" s="172"/>
    </row>
    <row r="808" spans="9:10" x14ac:dyDescent="0.3">
      <c r="I808" t="str">
        <f>_xlfn.IFNA(INDEX('[1]Sector list'!$A$2:$A$122,MATCH(H808,'[1]Sector list'!$B$2:$B$122,0)),"")</f>
        <v/>
      </c>
      <c r="J808" s="172"/>
    </row>
    <row r="809" spans="9:10" x14ac:dyDescent="0.3">
      <c r="I809" t="str">
        <f>_xlfn.IFNA(INDEX('[1]Sector list'!$A$2:$A$122,MATCH(H809,'[1]Sector list'!$B$2:$B$122,0)),"")</f>
        <v/>
      </c>
      <c r="J809" s="172"/>
    </row>
    <row r="810" spans="9:10" x14ac:dyDescent="0.3">
      <c r="I810" t="str">
        <f>_xlfn.IFNA(INDEX('[1]Sector list'!$A$2:$A$122,MATCH(H810,'[1]Sector list'!$B$2:$B$122,0)),"")</f>
        <v/>
      </c>
      <c r="J810" s="172"/>
    </row>
    <row r="811" spans="9:10" x14ac:dyDescent="0.3">
      <c r="I811" t="str">
        <f>_xlfn.IFNA(INDEX('[1]Sector list'!$A$2:$A$122,MATCH(H811,'[1]Sector list'!$B$2:$B$122,0)),"")</f>
        <v/>
      </c>
      <c r="J811" s="172"/>
    </row>
    <row r="812" spans="9:10" x14ac:dyDescent="0.3">
      <c r="I812" t="str">
        <f>_xlfn.IFNA(INDEX('[1]Sector list'!$A$2:$A$122,MATCH(H812,'[1]Sector list'!$B$2:$B$122,0)),"")</f>
        <v/>
      </c>
      <c r="J812" s="172"/>
    </row>
    <row r="813" spans="9:10" x14ac:dyDescent="0.3">
      <c r="I813" t="str">
        <f>_xlfn.IFNA(INDEX('[1]Sector list'!$A$2:$A$122,MATCH(H813,'[1]Sector list'!$B$2:$B$122,0)),"")</f>
        <v/>
      </c>
      <c r="J813" s="172"/>
    </row>
    <row r="814" spans="9:10" x14ac:dyDescent="0.3">
      <c r="I814" t="str">
        <f>_xlfn.IFNA(INDEX('[1]Sector list'!$A$2:$A$122,MATCH(H814,'[1]Sector list'!$B$2:$B$122,0)),"")</f>
        <v/>
      </c>
      <c r="J814" s="172"/>
    </row>
    <row r="815" spans="9:10" x14ac:dyDescent="0.3">
      <c r="I815" t="str">
        <f>_xlfn.IFNA(INDEX('[1]Sector list'!$A$2:$A$122,MATCH(H815,'[1]Sector list'!$B$2:$B$122,0)),"")</f>
        <v/>
      </c>
      <c r="J815" s="172"/>
    </row>
    <row r="816" spans="9:10" x14ac:dyDescent="0.3">
      <c r="I816" t="str">
        <f>_xlfn.IFNA(INDEX('[1]Sector list'!$A$2:$A$122,MATCH(H816,'[1]Sector list'!$B$2:$B$122,0)),"")</f>
        <v/>
      </c>
      <c r="J816" s="172"/>
    </row>
    <row r="817" spans="9:10" x14ac:dyDescent="0.3">
      <c r="I817" t="str">
        <f>_xlfn.IFNA(INDEX('[1]Sector list'!$A$2:$A$122,MATCH(H817,'[1]Sector list'!$B$2:$B$122,0)),"")</f>
        <v/>
      </c>
      <c r="J817" s="172"/>
    </row>
    <row r="818" spans="9:10" x14ac:dyDescent="0.3">
      <c r="I818" t="str">
        <f>_xlfn.IFNA(INDEX('[1]Sector list'!$A$2:$A$122,MATCH(H818,'[1]Sector list'!$B$2:$B$122,0)),"")</f>
        <v/>
      </c>
      <c r="J818" s="172"/>
    </row>
    <row r="819" spans="9:10" x14ac:dyDescent="0.3">
      <c r="I819" t="str">
        <f>_xlfn.IFNA(INDEX('[1]Sector list'!$A$2:$A$122,MATCH(H819,'[1]Sector list'!$B$2:$B$122,0)),"")</f>
        <v/>
      </c>
      <c r="J819" s="172"/>
    </row>
    <row r="820" spans="9:10" x14ac:dyDescent="0.3">
      <c r="I820" t="str">
        <f>_xlfn.IFNA(INDEX('[1]Sector list'!$A$2:$A$122,MATCH(H820,'[1]Sector list'!$B$2:$B$122,0)),"")</f>
        <v/>
      </c>
      <c r="J820" s="172"/>
    </row>
    <row r="821" spans="9:10" x14ac:dyDescent="0.3">
      <c r="I821" t="str">
        <f>_xlfn.IFNA(INDEX('[1]Sector list'!$A$2:$A$122,MATCH(H821,'[1]Sector list'!$B$2:$B$122,0)),"")</f>
        <v/>
      </c>
      <c r="J821" s="172"/>
    </row>
    <row r="822" spans="9:10" x14ac:dyDescent="0.3">
      <c r="I822" t="str">
        <f>_xlfn.IFNA(INDEX('[1]Sector list'!$A$2:$A$122,MATCH(H822,'[1]Sector list'!$B$2:$B$122,0)),"")</f>
        <v/>
      </c>
      <c r="J822" s="172"/>
    </row>
    <row r="823" spans="9:10" x14ac:dyDescent="0.3">
      <c r="I823" t="str">
        <f>_xlfn.IFNA(INDEX('[1]Sector list'!$A$2:$A$122,MATCH(H823,'[1]Sector list'!$B$2:$B$122,0)),"")</f>
        <v/>
      </c>
      <c r="J823" s="172"/>
    </row>
    <row r="824" spans="9:10" x14ac:dyDescent="0.3">
      <c r="I824" t="str">
        <f>_xlfn.IFNA(INDEX('[1]Sector list'!$A$2:$A$122,MATCH(H824,'[1]Sector list'!$B$2:$B$122,0)),"")</f>
        <v/>
      </c>
      <c r="J824" s="172"/>
    </row>
    <row r="825" spans="9:10" x14ac:dyDescent="0.3">
      <c r="I825" t="str">
        <f>_xlfn.IFNA(INDEX('[1]Sector list'!$A$2:$A$122,MATCH(H825,'[1]Sector list'!$B$2:$B$122,0)),"")</f>
        <v/>
      </c>
      <c r="J825" s="172"/>
    </row>
    <row r="826" spans="9:10" x14ac:dyDescent="0.3">
      <c r="I826" t="str">
        <f>_xlfn.IFNA(INDEX('[1]Sector list'!$A$2:$A$122,MATCH(H826,'[1]Sector list'!$B$2:$B$122,0)),"")</f>
        <v/>
      </c>
      <c r="J826" s="172"/>
    </row>
    <row r="827" spans="9:10" x14ac:dyDescent="0.3">
      <c r="I827" t="str">
        <f>_xlfn.IFNA(INDEX('[1]Sector list'!$A$2:$A$122,MATCH(H827,'[1]Sector list'!$B$2:$B$122,0)),"")</f>
        <v/>
      </c>
      <c r="J827" s="172"/>
    </row>
    <row r="828" spans="9:10" x14ac:dyDescent="0.3">
      <c r="I828" t="str">
        <f>_xlfn.IFNA(INDEX('[1]Sector list'!$A$2:$A$122,MATCH(H828,'[1]Sector list'!$B$2:$B$122,0)),"")</f>
        <v/>
      </c>
      <c r="J828" s="172"/>
    </row>
    <row r="829" spans="9:10" x14ac:dyDescent="0.3">
      <c r="I829" t="str">
        <f>_xlfn.IFNA(INDEX('[1]Sector list'!$A$2:$A$122,MATCH(H829,'[1]Sector list'!$B$2:$B$122,0)),"")</f>
        <v/>
      </c>
      <c r="J829" s="172"/>
    </row>
    <row r="830" spans="9:10" x14ac:dyDescent="0.3">
      <c r="I830" t="str">
        <f>_xlfn.IFNA(INDEX('[1]Sector list'!$A$2:$A$122,MATCH(H830,'[1]Sector list'!$B$2:$B$122,0)),"")</f>
        <v/>
      </c>
      <c r="J830" s="172"/>
    </row>
    <row r="831" spans="9:10" x14ac:dyDescent="0.3">
      <c r="I831" t="str">
        <f>_xlfn.IFNA(INDEX('[1]Sector list'!$A$2:$A$122,MATCH(H831,'[1]Sector list'!$B$2:$B$122,0)),"")</f>
        <v/>
      </c>
      <c r="J831" s="172"/>
    </row>
    <row r="832" spans="9:10" x14ac:dyDescent="0.3">
      <c r="I832" t="str">
        <f>_xlfn.IFNA(INDEX('[1]Sector list'!$A$2:$A$122,MATCH(H832,'[1]Sector list'!$B$2:$B$122,0)),"")</f>
        <v/>
      </c>
      <c r="J832" s="172"/>
    </row>
    <row r="833" spans="9:10" x14ac:dyDescent="0.3">
      <c r="I833" t="str">
        <f>_xlfn.IFNA(INDEX('[1]Sector list'!$A$2:$A$122,MATCH(H833,'[1]Sector list'!$B$2:$B$122,0)),"")</f>
        <v/>
      </c>
      <c r="J833" s="172"/>
    </row>
    <row r="834" spans="9:10" x14ac:dyDescent="0.3">
      <c r="I834" t="str">
        <f>_xlfn.IFNA(INDEX('[1]Sector list'!$A$2:$A$122,MATCH(H834,'[1]Sector list'!$B$2:$B$122,0)),"")</f>
        <v/>
      </c>
      <c r="J834" s="172"/>
    </row>
    <row r="835" spans="9:10" x14ac:dyDescent="0.3">
      <c r="I835" t="str">
        <f>_xlfn.IFNA(INDEX('[1]Sector list'!$A$2:$A$122,MATCH(H835,'[1]Sector list'!$B$2:$B$122,0)),"")</f>
        <v/>
      </c>
      <c r="J835" s="172"/>
    </row>
    <row r="836" spans="9:10" x14ac:dyDescent="0.3">
      <c r="I836" t="str">
        <f>_xlfn.IFNA(INDEX('[1]Sector list'!$A$2:$A$122,MATCH(H836,'[1]Sector list'!$B$2:$B$122,0)),"")</f>
        <v/>
      </c>
      <c r="J836" s="172"/>
    </row>
    <row r="837" spans="9:10" x14ac:dyDescent="0.3">
      <c r="I837" t="str">
        <f>_xlfn.IFNA(INDEX('[1]Sector list'!$A$2:$A$122,MATCH(H837,'[1]Sector list'!$B$2:$B$122,0)),"")</f>
        <v/>
      </c>
      <c r="J837" s="172"/>
    </row>
    <row r="838" spans="9:10" x14ac:dyDescent="0.3">
      <c r="I838" t="str">
        <f>_xlfn.IFNA(INDEX('[1]Sector list'!$A$2:$A$122,MATCH(H838,'[1]Sector list'!$B$2:$B$122,0)),"")</f>
        <v/>
      </c>
      <c r="J838" s="172"/>
    </row>
    <row r="839" spans="9:10" x14ac:dyDescent="0.3">
      <c r="I839" t="str">
        <f>_xlfn.IFNA(INDEX('[1]Sector list'!$A$2:$A$122,MATCH(H839,'[1]Sector list'!$B$2:$B$122,0)),"")</f>
        <v/>
      </c>
      <c r="J839" s="172"/>
    </row>
    <row r="840" spans="9:10" x14ac:dyDescent="0.3">
      <c r="I840" t="str">
        <f>_xlfn.IFNA(INDEX('[1]Sector list'!$A$2:$A$122,MATCH(H840,'[1]Sector list'!$B$2:$B$122,0)),"")</f>
        <v/>
      </c>
      <c r="J840" s="172"/>
    </row>
    <row r="841" spans="9:10" x14ac:dyDescent="0.3">
      <c r="I841" t="str">
        <f>_xlfn.IFNA(INDEX('[1]Sector list'!$A$2:$A$122,MATCH(H841,'[1]Sector list'!$B$2:$B$122,0)),"")</f>
        <v/>
      </c>
      <c r="J841" s="172"/>
    </row>
    <row r="842" spans="9:10" x14ac:dyDescent="0.3">
      <c r="I842" t="str">
        <f>_xlfn.IFNA(INDEX('[1]Sector list'!$A$2:$A$122,MATCH(H842,'[1]Sector list'!$B$2:$B$122,0)),"")</f>
        <v/>
      </c>
      <c r="J842" s="172"/>
    </row>
    <row r="843" spans="9:10" x14ac:dyDescent="0.3">
      <c r="I843" t="str">
        <f>_xlfn.IFNA(INDEX('[1]Sector list'!$A$2:$A$122,MATCH(H843,'[1]Sector list'!$B$2:$B$122,0)),"")</f>
        <v/>
      </c>
      <c r="J843" s="172"/>
    </row>
    <row r="844" spans="9:10" x14ac:dyDescent="0.3">
      <c r="I844" t="str">
        <f>_xlfn.IFNA(INDEX('[1]Sector list'!$A$2:$A$122,MATCH(H844,'[1]Sector list'!$B$2:$B$122,0)),"")</f>
        <v/>
      </c>
      <c r="J844" s="172"/>
    </row>
    <row r="845" spans="9:10" x14ac:dyDescent="0.3">
      <c r="I845" t="str">
        <f>_xlfn.IFNA(INDEX('[1]Sector list'!$A$2:$A$122,MATCH(H845,'[1]Sector list'!$B$2:$B$122,0)),"")</f>
        <v/>
      </c>
      <c r="J845" s="172"/>
    </row>
    <row r="846" spans="9:10" x14ac:dyDescent="0.3">
      <c r="I846" t="str">
        <f>_xlfn.IFNA(INDEX('[1]Sector list'!$A$2:$A$122,MATCH(H846,'[1]Sector list'!$B$2:$B$122,0)),"")</f>
        <v/>
      </c>
      <c r="J846" s="172"/>
    </row>
    <row r="847" spans="9:10" x14ac:dyDescent="0.3">
      <c r="I847" t="str">
        <f>_xlfn.IFNA(INDEX('[1]Sector list'!$A$2:$A$122,MATCH(H847,'[1]Sector list'!$B$2:$B$122,0)),"")</f>
        <v/>
      </c>
      <c r="J847" s="172"/>
    </row>
    <row r="848" spans="9:10" x14ac:dyDescent="0.3">
      <c r="I848" t="str">
        <f>_xlfn.IFNA(INDEX('[1]Sector list'!$A$2:$A$122,MATCH(H848,'[1]Sector list'!$B$2:$B$122,0)),"")</f>
        <v/>
      </c>
      <c r="J848" s="172"/>
    </row>
    <row r="849" spans="9:10" x14ac:dyDescent="0.3">
      <c r="I849" t="str">
        <f>_xlfn.IFNA(INDEX('[1]Sector list'!$A$2:$A$122,MATCH(H849,'[1]Sector list'!$B$2:$B$122,0)),"")</f>
        <v/>
      </c>
      <c r="J849" s="172"/>
    </row>
    <row r="850" spans="9:10" x14ac:dyDescent="0.3">
      <c r="I850" t="str">
        <f>_xlfn.IFNA(INDEX('[1]Sector list'!$A$2:$A$122,MATCH(H850,'[1]Sector list'!$B$2:$B$122,0)),"")</f>
        <v/>
      </c>
      <c r="J850" s="172"/>
    </row>
    <row r="851" spans="9:10" x14ac:dyDescent="0.3">
      <c r="I851" t="str">
        <f>_xlfn.IFNA(INDEX('[1]Sector list'!$A$2:$A$122,MATCH(H851,'[1]Sector list'!$B$2:$B$122,0)),"")</f>
        <v/>
      </c>
      <c r="J851" s="172"/>
    </row>
    <row r="852" spans="9:10" x14ac:dyDescent="0.3">
      <c r="I852" t="str">
        <f>_xlfn.IFNA(INDEX('[1]Sector list'!$A$2:$A$122,MATCH(H852,'[1]Sector list'!$B$2:$B$122,0)),"")</f>
        <v/>
      </c>
      <c r="J852" s="172"/>
    </row>
    <row r="853" spans="9:10" x14ac:dyDescent="0.3">
      <c r="I853" t="str">
        <f>_xlfn.IFNA(INDEX('[1]Sector list'!$A$2:$A$122,MATCH(H853,'[1]Sector list'!$B$2:$B$122,0)),"")</f>
        <v/>
      </c>
      <c r="J853" s="172"/>
    </row>
    <row r="854" spans="9:10" x14ac:dyDescent="0.3">
      <c r="I854" t="str">
        <f>_xlfn.IFNA(INDEX('[1]Sector list'!$A$2:$A$122,MATCH(H854,'[1]Sector list'!$B$2:$B$122,0)),"")</f>
        <v/>
      </c>
      <c r="J854" s="172"/>
    </row>
    <row r="855" spans="9:10" x14ac:dyDescent="0.3">
      <c r="I855" t="str">
        <f>_xlfn.IFNA(INDEX('[1]Sector list'!$A$2:$A$122,MATCH(H855,'[1]Sector list'!$B$2:$B$122,0)),"")</f>
        <v/>
      </c>
      <c r="J855" s="172"/>
    </row>
    <row r="856" spans="9:10" x14ac:dyDescent="0.3">
      <c r="I856" t="str">
        <f>_xlfn.IFNA(INDEX('[1]Sector list'!$A$2:$A$122,MATCH(H856,'[1]Sector list'!$B$2:$B$122,0)),"")</f>
        <v/>
      </c>
      <c r="J856" s="172"/>
    </row>
    <row r="857" spans="9:10" x14ac:dyDescent="0.3">
      <c r="I857" t="str">
        <f>_xlfn.IFNA(INDEX('[1]Sector list'!$A$2:$A$122,MATCH(H857,'[1]Sector list'!$B$2:$B$122,0)),"")</f>
        <v/>
      </c>
      <c r="J857" s="172"/>
    </row>
    <row r="858" spans="9:10" x14ac:dyDescent="0.3">
      <c r="I858" t="str">
        <f>_xlfn.IFNA(INDEX('[1]Sector list'!$A$2:$A$122,MATCH(H858,'[1]Sector list'!$B$2:$B$122,0)),"")</f>
        <v/>
      </c>
      <c r="J858" s="172"/>
    </row>
    <row r="859" spans="9:10" x14ac:dyDescent="0.3">
      <c r="I859" t="str">
        <f>_xlfn.IFNA(INDEX('[1]Sector list'!$A$2:$A$122,MATCH(H859,'[1]Sector list'!$B$2:$B$122,0)),"")</f>
        <v/>
      </c>
      <c r="J859" s="172"/>
    </row>
    <row r="860" spans="9:10" x14ac:dyDescent="0.3">
      <c r="I860" t="str">
        <f>_xlfn.IFNA(INDEX('[1]Sector list'!$A$2:$A$122,MATCH(H860,'[1]Sector list'!$B$2:$B$122,0)),"")</f>
        <v/>
      </c>
      <c r="J860" s="172"/>
    </row>
    <row r="861" spans="9:10" x14ac:dyDescent="0.3">
      <c r="I861" t="str">
        <f>_xlfn.IFNA(INDEX('[1]Sector list'!$A$2:$A$122,MATCH(H861,'[1]Sector list'!$B$2:$B$122,0)),"")</f>
        <v/>
      </c>
      <c r="J861" s="172"/>
    </row>
    <row r="862" spans="9:10" x14ac:dyDescent="0.3">
      <c r="I862" t="str">
        <f>_xlfn.IFNA(INDEX('[1]Sector list'!$A$2:$A$122,MATCH(H862,'[1]Sector list'!$B$2:$B$122,0)),"")</f>
        <v/>
      </c>
      <c r="J862" s="172"/>
    </row>
    <row r="863" spans="9:10" x14ac:dyDescent="0.3">
      <c r="I863" t="str">
        <f>_xlfn.IFNA(INDEX('[1]Sector list'!$A$2:$A$122,MATCH(H863,'[1]Sector list'!$B$2:$B$122,0)),"")</f>
        <v/>
      </c>
      <c r="J863" s="172"/>
    </row>
    <row r="864" spans="9:10" x14ac:dyDescent="0.3">
      <c r="I864" t="str">
        <f>_xlfn.IFNA(INDEX('[1]Sector list'!$A$2:$A$122,MATCH(H864,'[1]Sector list'!$B$2:$B$122,0)),"")</f>
        <v/>
      </c>
      <c r="J864" s="172"/>
    </row>
    <row r="865" spans="9:10" x14ac:dyDescent="0.3">
      <c r="I865" t="str">
        <f>_xlfn.IFNA(INDEX('[1]Sector list'!$A$2:$A$122,MATCH(H865,'[1]Sector list'!$B$2:$B$122,0)),"")</f>
        <v/>
      </c>
      <c r="J865" s="172"/>
    </row>
    <row r="866" spans="9:10" x14ac:dyDescent="0.3">
      <c r="I866" t="str">
        <f>_xlfn.IFNA(INDEX('[1]Sector list'!$A$2:$A$122,MATCH(H866,'[1]Sector list'!$B$2:$B$122,0)),"")</f>
        <v/>
      </c>
      <c r="J866" s="172"/>
    </row>
    <row r="867" spans="9:10" x14ac:dyDescent="0.3">
      <c r="I867" t="str">
        <f>_xlfn.IFNA(INDEX('[1]Sector list'!$A$2:$A$122,MATCH(H867,'[1]Sector list'!$B$2:$B$122,0)),"")</f>
        <v/>
      </c>
      <c r="J867" s="172"/>
    </row>
    <row r="868" spans="9:10" x14ac:dyDescent="0.3">
      <c r="I868" t="str">
        <f>_xlfn.IFNA(INDEX('[1]Sector list'!$A$2:$A$122,MATCH(H868,'[1]Sector list'!$B$2:$B$122,0)),"")</f>
        <v/>
      </c>
      <c r="J868" s="172"/>
    </row>
    <row r="869" spans="9:10" x14ac:dyDescent="0.3">
      <c r="I869" t="str">
        <f>_xlfn.IFNA(INDEX('[1]Sector list'!$A$2:$A$122,MATCH(H869,'[1]Sector list'!$B$2:$B$122,0)),"")</f>
        <v/>
      </c>
      <c r="J869" s="172"/>
    </row>
    <row r="870" spans="9:10" x14ac:dyDescent="0.3">
      <c r="I870" t="str">
        <f>_xlfn.IFNA(INDEX('[1]Sector list'!$A$2:$A$122,MATCH(H870,'[1]Sector list'!$B$2:$B$122,0)),"")</f>
        <v/>
      </c>
      <c r="J870" s="172"/>
    </row>
    <row r="871" spans="9:10" x14ac:dyDescent="0.3">
      <c r="I871" t="str">
        <f>_xlfn.IFNA(INDEX('[1]Sector list'!$A$2:$A$122,MATCH(H871,'[1]Sector list'!$B$2:$B$122,0)),"")</f>
        <v/>
      </c>
      <c r="J871" s="172"/>
    </row>
    <row r="872" spans="9:10" x14ac:dyDescent="0.3">
      <c r="I872" t="str">
        <f>_xlfn.IFNA(INDEX('[1]Sector list'!$A$2:$A$122,MATCH(H872,'[1]Sector list'!$B$2:$B$122,0)),"")</f>
        <v/>
      </c>
      <c r="J872" s="172"/>
    </row>
    <row r="873" spans="9:10" x14ac:dyDescent="0.3">
      <c r="I873" t="str">
        <f>_xlfn.IFNA(INDEX('[1]Sector list'!$A$2:$A$122,MATCH(H873,'[1]Sector list'!$B$2:$B$122,0)),"")</f>
        <v/>
      </c>
      <c r="J873" s="172"/>
    </row>
    <row r="874" spans="9:10" x14ac:dyDescent="0.3">
      <c r="I874" t="str">
        <f>_xlfn.IFNA(INDEX('[1]Sector list'!$A$2:$A$122,MATCH(H874,'[1]Sector list'!$B$2:$B$122,0)),"")</f>
        <v/>
      </c>
      <c r="J874" s="172"/>
    </row>
    <row r="875" spans="9:10" x14ac:dyDescent="0.3">
      <c r="I875" t="str">
        <f>_xlfn.IFNA(INDEX('[1]Sector list'!$A$2:$A$122,MATCH(H875,'[1]Sector list'!$B$2:$B$122,0)),"")</f>
        <v/>
      </c>
      <c r="J875" s="172"/>
    </row>
    <row r="876" spans="9:10" x14ac:dyDescent="0.3">
      <c r="I876" t="str">
        <f>_xlfn.IFNA(INDEX('[1]Sector list'!$A$2:$A$122,MATCH(H876,'[1]Sector list'!$B$2:$B$122,0)),"")</f>
        <v/>
      </c>
      <c r="J876" s="172"/>
    </row>
    <row r="877" spans="9:10" x14ac:dyDescent="0.3">
      <c r="I877" t="str">
        <f>_xlfn.IFNA(INDEX('[1]Sector list'!$A$2:$A$122,MATCH(H877,'[1]Sector list'!$B$2:$B$122,0)),"")</f>
        <v/>
      </c>
      <c r="J877" s="172"/>
    </row>
    <row r="878" spans="9:10" x14ac:dyDescent="0.3">
      <c r="I878" t="str">
        <f>_xlfn.IFNA(INDEX('[1]Sector list'!$A$2:$A$122,MATCH(H878,'[1]Sector list'!$B$2:$B$122,0)),"")</f>
        <v/>
      </c>
      <c r="J878" s="172"/>
    </row>
    <row r="879" spans="9:10" x14ac:dyDescent="0.3">
      <c r="I879" t="str">
        <f>_xlfn.IFNA(INDEX('[1]Sector list'!$A$2:$A$122,MATCH(H879,'[1]Sector list'!$B$2:$B$122,0)),"")</f>
        <v/>
      </c>
      <c r="J879" s="172"/>
    </row>
    <row r="880" spans="9:10" x14ac:dyDescent="0.3">
      <c r="I880" t="str">
        <f>_xlfn.IFNA(INDEX('[1]Sector list'!$A$2:$A$122,MATCH(H880,'[1]Sector list'!$B$2:$B$122,0)),"")</f>
        <v/>
      </c>
      <c r="J880" s="172"/>
    </row>
    <row r="881" spans="9:10" x14ac:dyDescent="0.3">
      <c r="I881" t="str">
        <f>_xlfn.IFNA(INDEX('[1]Sector list'!$A$2:$A$122,MATCH(H881,'[1]Sector list'!$B$2:$B$122,0)),"")</f>
        <v/>
      </c>
      <c r="J881" s="172"/>
    </row>
    <row r="882" spans="9:10" x14ac:dyDescent="0.3">
      <c r="I882" t="str">
        <f>_xlfn.IFNA(INDEX('[1]Sector list'!$A$2:$A$122,MATCH(H882,'[1]Sector list'!$B$2:$B$122,0)),"")</f>
        <v/>
      </c>
      <c r="J882" s="172"/>
    </row>
    <row r="883" spans="9:10" x14ac:dyDescent="0.3">
      <c r="I883" t="str">
        <f>_xlfn.IFNA(INDEX('[1]Sector list'!$A$2:$A$122,MATCH(H883,'[1]Sector list'!$B$2:$B$122,0)),"")</f>
        <v/>
      </c>
      <c r="J883" s="172"/>
    </row>
    <row r="884" spans="9:10" x14ac:dyDescent="0.3">
      <c r="I884" t="str">
        <f>_xlfn.IFNA(INDEX('[1]Sector list'!$A$2:$A$122,MATCH(H884,'[1]Sector list'!$B$2:$B$122,0)),"")</f>
        <v/>
      </c>
      <c r="J884" s="172"/>
    </row>
    <row r="885" spans="9:10" x14ac:dyDescent="0.3">
      <c r="I885" t="str">
        <f>_xlfn.IFNA(INDEX('[1]Sector list'!$A$2:$A$122,MATCH(H885,'[1]Sector list'!$B$2:$B$122,0)),"")</f>
        <v/>
      </c>
      <c r="J885" s="172"/>
    </row>
    <row r="886" spans="9:10" x14ac:dyDescent="0.3">
      <c r="I886" t="str">
        <f>_xlfn.IFNA(INDEX('[1]Sector list'!$A$2:$A$122,MATCH(H886,'[1]Sector list'!$B$2:$B$122,0)),"")</f>
        <v/>
      </c>
      <c r="J886" s="172"/>
    </row>
    <row r="887" spans="9:10" x14ac:dyDescent="0.3">
      <c r="I887" t="str">
        <f>_xlfn.IFNA(INDEX('[1]Sector list'!$A$2:$A$122,MATCH(H887,'[1]Sector list'!$B$2:$B$122,0)),"")</f>
        <v/>
      </c>
      <c r="J887" s="172"/>
    </row>
    <row r="888" spans="9:10" x14ac:dyDescent="0.3">
      <c r="I888" t="str">
        <f>_xlfn.IFNA(INDEX('[1]Sector list'!$A$2:$A$122,MATCH(H888,'[1]Sector list'!$B$2:$B$122,0)),"")</f>
        <v/>
      </c>
      <c r="J888" s="172"/>
    </row>
    <row r="889" spans="9:10" x14ac:dyDescent="0.3">
      <c r="I889" t="str">
        <f>_xlfn.IFNA(INDEX('[1]Sector list'!$A$2:$A$122,MATCH(H889,'[1]Sector list'!$B$2:$B$122,0)),"")</f>
        <v/>
      </c>
      <c r="J889" s="172"/>
    </row>
    <row r="890" spans="9:10" x14ac:dyDescent="0.3">
      <c r="I890" t="str">
        <f>_xlfn.IFNA(INDEX('[1]Sector list'!$A$2:$A$122,MATCH(H890,'[1]Sector list'!$B$2:$B$122,0)),"")</f>
        <v/>
      </c>
      <c r="J890" s="172"/>
    </row>
    <row r="891" spans="9:10" x14ac:dyDescent="0.3">
      <c r="I891" t="str">
        <f>_xlfn.IFNA(INDEX('[1]Sector list'!$A$2:$A$122,MATCH(H891,'[1]Sector list'!$B$2:$B$122,0)),"")</f>
        <v/>
      </c>
      <c r="J891" s="172"/>
    </row>
    <row r="892" spans="9:10" x14ac:dyDescent="0.3">
      <c r="I892" t="str">
        <f>_xlfn.IFNA(INDEX('[1]Sector list'!$A$2:$A$122,MATCH(H892,'[1]Sector list'!$B$2:$B$122,0)),"")</f>
        <v/>
      </c>
      <c r="J892" s="172"/>
    </row>
    <row r="893" spans="9:10" x14ac:dyDescent="0.3">
      <c r="I893" t="str">
        <f>_xlfn.IFNA(INDEX('[1]Sector list'!$A$2:$A$122,MATCH(H893,'[1]Sector list'!$B$2:$B$122,0)),"")</f>
        <v/>
      </c>
      <c r="J893" s="172"/>
    </row>
    <row r="894" spans="9:10" x14ac:dyDescent="0.3">
      <c r="I894" t="str">
        <f>_xlfn.IFNA(INDEX('[1]Sector list'!$A$2:$A$122,MATCH(H894,'[1]Sector list'!$B$2:$B$122,0)),"")</f>
        <v/>
      </c>
      <c r="J894" s="172"/>
    </row>
    <row r="895" spans="9:10" x14ac:dyDescent="0.3">
      <c r="I895" t="str">
        <f>_xlfn.IFNA(INDEX('[1]Sector list'!$A$2:$A$122,MATCH(H895,'[1]Sector list'!$B$2:$B$122,0)),"")</f>
        <v/>
      </c>
      <c r="J895" s="172"/>
    </row>
    <row r="896" spans="9:10" x14ac:dyDescent="0.3">
      <c r="I896" t="str">
        <f>_xlfn.IFNA(INDEX('[1]Sector list'!$A$2:$A$122,MATCH(H896,'[1]Sector list'!$B$2:$B$122,0)),"")</f>
        <v/>
      </c>
      <c r="J896" s="172"/>
    </row>
    <row r="897" spans="9:10" x14ac:dyDescent="0.3">
      <c r="I897" t="str">
        <f>_xlfn.IFNA(INDEX('[1]Sector list'!$A$2:$A$122,MATCH(H897,'[1]Sector list'!$B$2:$B$122,0)),"")</f>
        <v/>
      </c>
      <c r="J897" s="172"/>
    </row>
    <row r="898" spans="9:10" x14ac:dyDescent="0.3">
      <c r="I898" t="str">
        <f>_xlfn.IFNA(INDEX('[1]Sector list'!$A$2:$A$122,MATCH(H898,'[1]Sector list'!$B$2:$B$122,0)),"")</f>
        <v/>
      </c>
      <c r="J898" s="172"/>
    </row>
    <row r="899" spans="9:10" x14ac:dyDescent="0.3">
      <c r="I899" t="str">
        <f>_xlfn.IFNA(INDEX('[1]Sector list'!$A$2:$A$122,MATCH(H899,'[1]Sector list'!$B$2:$B$122,0)),"")</f>
        <v/>
      </c>
      <c r="J899" s="172"/>
    </row>
    <row r="900" spans="9:10" x14ac:dyDescent="0.3">
      <c r="I900" t="str">
        <f>_xlfn.IFNA(INDEX('[1]Sector list'!$A$2:$A$122,MATCH(H900,'[1]Sector list'!$B$2:$B$122,0)),"")</f>
        <v/>
      </c>
      <c r="J900" s="172"/>
    </row>
    <row r="901" spans="9:10" x14ac:dyDescent="0.3">
      <c r="I901" t="str">
        <f>_xlfn.IFNA(INDEX('[1]Sector list'!$A$2:$A$122,MATCH(H901,'[1]Sector list'!$B$2:$B$122,0)),"")</f>
        <v/>
      </c>
      <c r="J901" s="172"/>
    </row>
    <row r="902" spans="9:10" x14ac:dyDescent="0.3">
      <c r="I902" t="str">
        <f>_xlfn.IFNA(INDEX('[1]Sector list'!$A$2:$A$122,MATCH(H902,'[1]Sector list'!$B$2:$B$122,0)),"")</f>
        <v/>
      </c>
      <c r="J902" s="172"/>
    </row>
    <row r="903" spans="9:10" x14ac:dyDescent="0.3">
      <c r="I903" t="str">
        <f>_xlfn.IFNA(INDEX('[1]Sector list'!$A$2:$A$122,MATCH(H903,'[1]Sector list'!$B$2:$B$122,0)),"")</f>
        <v/>
      </c>
      <c r="J903" s="172"/>
    </row>
    <row r="904" spans="9:10" x14ac:dyDescent="0.3">
      <c r="J904" s="172"/>
    </row>
    <row r="905" spans="9:10" x14ac:dyDescent="0.3">
      <c r="J905" s="172"/>
    </row>
    <row r="906" spans="9:10" x14ac:dyDescent="0.3">
      <c r="J906" s="172"/>
    </row>
    <row r="907" spans="9:10" x14ac:dyDescent="0.3">
      <c r="J907" s="172"/>
    </row>
    <row r="908" spans="9:10" x14ac:dyDescent="0.3">
      <c r="J908" s="172"/>
    </row>
    <row r="909" spans="9:10" x14ac:dyDescent="0.3">
      <c r="J909" s="172"/>
    </row>
    <row r="910" spans="9:10" x14ac:dyDescent="0.3">
      <c r="J910" s="172"/>
    </row>
    <row r="911" spans="9:10" x14ac:dyDescent="0.3">
      <c r="J911" s="172"/>
    </row>
    <row r="912" spans="9:10" x14ac:dyDescent="0.3">
      <c r="J912" s="172"/>
    </row>
    <row r="913" spans="10:10" x14ac:dyDescent="0.3">
      <c r="J913" s="172"/>
    </row>
    <row r="914" spans="10:10" x14ac:dyDescent="0.3">
      <c r="J914" s="172"/>
    </row>
    <row r="915" spans="10:10" x14ac:dyDescent="0.3">
      <c r="J915" s="172"/>
    </row>
    <row r="916" spans="10:10" x14ac:dyDescent="0.3">
      <c r="J916" s="172"/>
    </row>
    <row r="917" spans="10:10" x14ac:dyDescent="0.3">
      <c r="J917" s="172"/>
    </row>
    <row r="918" spans="10:10" x14ac:dyDescent="0.3">
      <c r="J918" s="172"/>
    </row>
    <row r="919" spans="10:10" x14ac:dyDescent="0.3">
      <c r="J919" s="172"/>
    </row>
    <row r="920" spans="10:10" x14ac:dyDescent="0.3">
      <c r="J920" s="172"/>
    </row>
    <row r="921" spans="10:10" x14ac:dyDescent="0.3">
      <c r="J921" s="172"/>
    </row>
    <row r="922" spans="10:10" x14ac:dyDescent="0.3">
      <c r="J922" s="172"/>
    </row>
    <row r="923" spans="10:10" x14ac:dyDescent="0.3">
      <c r="J923" s="172"/>
    </row>
    <row r="924" spans="10:10" x14ac:dyDescent="0.3">
      <c r="J924" s="172"/>
    </row>
    <row r="925" spans="10:10" x14ac:dyDescent="0.3">
      <c r="J925" s="172"/>
    </row>
    <row r="926" spans="10:10" x14ac:dyDescent="0.3">
      <c r="J926" s="172"/>
    </row>
    <row r="927" spans="10:10" x14ac:dyDescent="0.3">
      <c r="J927" s="172"/>
    </row>
    <row r="928" spans="10:10" x14ac:dyDescent="0.3">
      <c r="J928" s="172"/>
    </row>
    <row r="929" spans="10:10" x14ac:dyDescent="0.3">
      <c r="J929" s="172"/>
    </row>
    <row r="930" spans="10:10" x14ac:dyDescent="0.3">
      <c r="J930" s="172"/>
    </row>
    <row r="931" spans="10:10" x14ac:dyDescent="0.3">
      <c r="J931" s="172"/>
    </row>
    <row r="932" spans="10:10" x14ac:dyDescent="0.3">
      <c r="J932" s="172"/>
    </row>
    <row r="933" spans="10:10" x14ac:dyDescent="0.3">
      <c r="J933" s="172"/>
    </row>
    <row r="934" spans="10:10" x14ac:dyDescent="0.3">
      <c r="J934" s="172"/>
    </row>
    <row r="935" spans="10:10" x14ac:dyDescent="0.3">
      <c r="J935" s="172"/>
    </row>
    <row r="936" spans="10:10" x14ac:dyDescent="0.3">
      <c r="J936" s="172"/>
    </row>
    <row r="937" spans="10:10" x14ac:dyDescent="0.3">
      <c r="J937" s="172"/>
    </row>
    <row r="938" spans="10:10" x14ac:dyDescent="0.3">
      <c r="J938" s="172"/>
    </row>
    <row r="939" spans="10:10" x14ac:dyDescent="0.3">
      <c r="J939" s="172"/>
    </row>
    <row r="940" spans="10:10" x14ac:dyDescent="0.3">
      <c r="J940" s="172"/>
    </row>
    <row r="941" spans="10:10" x14ac:dyDescent="0.3">
      <c r="J941" s="172"/>
    </row>
    <row r="942" spans="10:10" x14ac:dyDescent="0.3">
      <c r="J942" s="172"/>
    </row>
    <row r="943" spans="10:10" x14ac:dyDescent="0.3">
      <c r="J943" s="172"/>
    </row>
    <row r="944" spans="10:10" x14ac:dyDescent="0.3">
      <c r="J944" s="172"/>
    </row>
    <row r="945" spans="10:10" x14ac:dyDescent="0.3">
      <c r="J945" s="172"/>
    </row>
    <row r="946" spans="10:10" x14ac:dyDescent="0.3">
      <c r="J946" s="172"/>
    </row>
    <row r="947" spans="10:10" x14ac:dyDescent="0.3">
      <c r="J947" s="172"/>
    </row>
    <row r="948" spans="10:10" x14ac:dyDescent="0.3">
      <c r="J948" s="172"/>
    </row>
    <row r="949" spans="10:10" x14ac:dyDescent="0.3">
      <c r="J949" s="172"/>
    </row>
    <row r="950" spans="10:10" x14ac:dyDescent="0.3">
      <c r="J950" s="172"/>
    </row>
    <row r="951" spans="10:10" x14ac:dyDescent="0.3">
      <c r="J951" s="172"/>
    </row>
    <row r="952" spans="10:10" x14ac:dyDescent="0.3">
      <c r="J952" s="172"/>
    </row>
    <row r="953" spans="10:10" x14ac:dyDescent="0.3">
      <c r="J953" s="172"/>
    </row>
    <row r="954" spans="10:10" x14ac:dyDescent="0.3">
      <c r="J954" s="172"/>
    </row>
    <row r="955" spans="10:10" x14ac:dyDescent="0.3">
      <c r="J955" s="172"/>
    </row>
    <row r="956" spans="10:10" x14ac:dyDescent="0.3">
      <c r="J956" s="172"/>
    </row>
    <row r="957" spans="10:10" x14ac:dyDescent="0.3">
      <c r="J957" s="172"/>
    </row>
    <row r="958" spans="10:10" x14ac:dyDescent="0.3">
      <c r="J958" s="172"/>
    </row>
    <row r="959" spans="10:10" x14ac:dyDescent="0.3">
      <c r="J959" s="172"/>
    </row>
    <row r="960" spans="10:10" x14ac:dyDescent="0.3">
      <c r="J960" s="172"/>
    </row>
    <row r="961" spans="10:10" x14ac:dyDescent="0.3">
      <c r="J961" s="172"/>
    </row>
    <row r="962" spans="10:10" x14ac:dyDescent="0.3">
      <c r="J962" s="172"/>
    </row>
    <row r="963" spans="10:10" x14ac:dyDescent="0.3">
      <c r="J963" s="172"/>
    </row>
    <row r="964" spans="10:10" x14ac:dyDescent="0.3">
      <c r="J964" s="172"/>
    </row>
    <row r="965" spans="10:10" x14ac:dyDescent="0.3">
      <c r="J965" s="172"/>
    </row>
    <row r="966" spans="10:10" x14ac:dyDescent="0.3">
      <c r="J966" s="172"/>
    </row>
    <row r="967" spans="10:10" x14ac:dyDescent="0.3">
      <c r="J967" s="172"/>
    </row>
    <row r="968" spans="10:10" x14ac:dyDescent="0.3">
      <c r="J968" s="172"/>
    </row>
    <row r="969" spans="10:10" x14ac:dyDescent="0.3">
      <c r="J969" s="172"/>
    </row>
    <row r="970" spans="10:10" x14ac:dyDescent="0.3">
      <c r="J970" s="172"/>
    </row>
    <row r="971" spans="10:10" x14ac:dyDescent="0.3">
      <c r="J971" s="172"/>
    </row>
    <row r="972" spans="10:10" x14ac:dyDescent="0.3">
      <c r="J972" s="172"/>
    </row>
    <row r="973" spans="10:10" x14ac:dyDescent="0.3">
      <c r="J973" s="172"/>
    </row>
    <row r="974" spans="10:10" x14ac:dyDescent="0.3">
      <c r="J974" s="172"/>
    </row>
    <row r="975" spans="10:10" x14ac:dyDescent="0.3">
      <c r="J975" s="172"/>
    </row>
    <row r="976" spans="10:10" x14ac:dyDescent="0.3">
      <c r="J976" s="172"/>
    </row>
    <row r="977" spans="10:10" x14ac:dyDescent="0.3">
      <c r="J977" s="172"/>
    </row>
    <row r="978" spans="10:10" x14ac:dyDescent="0.3">
      <c r="J978" s="172"/>
    </row>
    <row r="979" spans="10:10" x14ac:dyDescent="0.3">
      <c r="J979" s="172"/>
    </row>
    <row r="980" spans="10:10" x14ac:dyDescent="0.3">
      <c r="J980" s="172"/>
    </row>
    <row r="981" spans="10:10" x14ac:dyDescent="0.3">
      <c r="J981" s="172"/>
    </row>
    <row r="982" spans="10:10" x14ac:dyDescent="0.3">
      <c r="J982" s="172"/>
    </row>
    <row r="983" spans="10:10" x14ac:dyDescent="0.3">
      <c r="J983" s="172"/>
    </row>
    <row r="984" spans="10:10" x14ac:dyDescent="0.3">
      <c r="J984" s="172"/>
    </row>
    <row r="985" spans="10:10" x14ac:dyDescent="0.3">
      <c r="J985" s="172"/>
    </row>
    <row r="986" spans="10:10" x14ac:dyDescent="0.3">
      <c r="J986" s="172"/>
    </row>
    <row r="987" spans="10:10" x14ac:dyDescent="0.3">
      <c r="J987" s="172"/>
    </row>
    <row r="988" spans="10:10" x14ac:dyDescent="0.3">
      <c r="J988" s="172"/>
    </row>
    <row r="989" spans="10:10" x14ac:dyDescent="0.3">
      <c r="J989" s="172"/>
    </row>
    <row r="990" spans="10:10" x14ac:dyDescent="0.3">
      <c r="J990" s="172"/>
    </row>
    <row r="991" spans="10:10" x14ac:dyDescent="0.3">
      <c r="J991" s="172"/>
    </row>
    <row r="992" spans="10:10" x14ac:dyDescent="0.3">
      <c r="J992" s="172"/>
    </row>
    <row r="993" spans="10:10" x14ac:dyDescent="0.3">
      <c r="J993" s="172"/>
    </row>
    <row r="994" spans="10:10" x14ac:dyDescent="0.3">
      <c r="J994" s="172"/>
    </row>
    <row r="995" spans="10:10" x14ac:dyDescent="0.3">
      <c r="J995" s="172"/>
    </row>
    <row r="996" spans="10:10" x14ac:dyDescent="0.3">
      <c r="J996" s="172"/>
    </row>
    <row r="997" spans="10:10" x14ac:dyDescent="0.3">
      <c r="J997" s="172"/>
    </row>
    <row r="998" spans="10:10" x14ac:dyDescent="0.3">
      <c r="J998" s="172"/>
    </row>
    <row r="999" spans="10:10" x14ac:dyDescent="0.3">
      <c r="J999" s="172"/>
    </row>
    <row r="1000" spans="10:10" x14ac:dyDescent="0.3">
      <c r="J1000" s="172"/>
    </row>
    <row r="1001" spans="10:10" x14ac:dyDescent="0.3">
      <c r="J1001" s="172"/>
    </row>
    <row r="1002" spans="10:10" x14ac:dyDescent="0.3">
      <c r="J1002" s="172"/>
    </row>
    <row r="1003" spans="10:10" x14ac:dyDescent="0.3">
      <c r="J1003" s="172"/>
    </row>
    <row r="1004" spans="10:10" x14ac:dyDescent="0.3">
      <c r="J1004" s="172"/>
    </row>
    <row r="1005" spans="10:10" x14ac:dyDescent="0.3">
      <c r="J1005" s="172"/>
    </row>
    <row r="1006" spans="10:10" x14ac:dyDescent="0.3">
      <c r="J1006" s="172"/>
    </row>
    <row r="1007" spans="10:10" x14ac:dyDescent="0.3">
      <c r="J1007" s="172"/>
    </row>
    <row r="1008" spans="10:10" x14ac:dyDescent="0.3">
      <c r="J1008" s="172"/>
    </row>
    <row r="1009" spans="10:10" x14ac:dyDescent="0.3">
      <c r="J1009" s="172"/>
    </row>
    <row r="1010" spans="10:10" x14ac:dyDescent="0.3">
      <c r="J1010" s="172"/>
    </row>
    <row r="1011" spans="10:10" x14ac:dyDescent="0.3">
      <c r="J1011" s="172"/>
    </row>
    <row r="1012" spans="10:10" x14ac:dyDescent="0.3">
      <c r="J1012" s="172"/>
    </row>
    <row r="1013" spans="10:10" x14ac:dyDescent="0.3">
      <c r="J1013" s="172"/>
    </row>
    <row r="1014" spans="10:10" x14ac:dyDescent="0.3">
      <c r="J1014" s="172"/>
    </row>
    <row r="1015" spans="10:10" x14ac:dyDescent="0.3">
      <c r="J1015" s="172"/>
    </row>
    <row r="1016" spans="10:10" x14ac:dyDescent="0.3">
      <c r="J1016" s="172"/>
    </row>
    <row r="1017" spans="10:10" x14ac:dyDescent="0.3">
      <c r="J1017" s="172"/>
    </row>
    <row r="1018" spans="10:10" x14ac:dyDescent="0.3">
      <c r="J1018" s="172"/>
    </row>
    <row r="1019" spans="10:10" x14ac:dyDescent="0.3">
      <c r="J1019" s="172"/>
    </row>
    <row r="1020" spans="10:10" x14ac:dyDescent="0.3">
      <c r="J1020" s="172"/>
    </row>
    <row r="1021" spans="10:10" x14ac:dyDescent="0.3">
      <c r="J1021" s="172"/>
    </row>
    <row r="1022" spans="10:10" x14ac:dyDescent="0.3">
      <c r="J1022" s="172"/>
    </row>
    <row r="1023" spans="10:10" x14ac:dyDescent="0.3">
      <c r="J1023" s="172"/>
    </row>
    <row r="1024" spans="10:10" x14ac:dyDescent="0.3">
      <c r="J1024" s="172"/>
    </row>
    <row r="1025" spans="10:10" x14ac:dyDescent="0.3">
      <c r="J1025" s="172"/>
    </row>
    <row r="1026" spans="10:10" x14ac:dyDescent="0.3">
      <c r="J1026" s="172"/>
    </row>
    <row r="1027" spans="10:10" x14ac:dyDescent="0.3">
      <c r="J1027" s="172"/>
    </row>
    <row r="1028" spans="10:10" x14ac:dyDescent="0.3">
      <c r="J1028" s="172"/>
    </row>
    <row r="1029" spans="10:10" x14ac:dyDescent="0.3">
      <c r="J1029" s="172"/>
    </row>
    <row r="1030" spans="10:10" x14ac:dyDescent="0.3">
      <c r="J1030" s="172"/>
    </row>
    <row r="1031" spans="10:10" x14ac:dyDescent="0.3">
      <c r="J1031" s="172"/>
    </row>
    <row r="1032" spans="10:10" x14ac:dyDescent="0.3">
      <c r="J1032" s="172"/>
    </row>
    <row r="1033" spans="10:10" x14ac:dyDescent="0.3">
      <c r="J1033" s="172"/>
    </row>
    <row r="1034" spans="10:10" x14ac:dyDescent="0.3">
      <c r="J1034" s="172"/>
    </row>
    <row r="1035" spans="10:10" x14ac:dyDescent="0.3">
      <c r="J1035" s="172"/>
    </row>
    <row r="1036" spans="10:10" x14ac:dyDescent="0.3">
      <c r="J1036" s="172"/>
    </row>
    <row r="1037" spans="10:10" x14ac:dyDescent="0.3">
      <c r="J1037" s="17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5FFB0-C42D-4200-86A4-9B209B08F3B3}">
  <sheetPr>
    <tabColor theme="1" tint="0.499984740745262"/>
  </sheetPr>
  <dimension ref="A1:AM1027"/>
  <sheetViews>
    <sheetView topLeftCell="B1" zoomScale="70" zoomScaleNormal="70" workbookViewId="0">
      <selection activeCell="F48" sqref="F48"/>
    </sheetView>
  </sheetViews>
  <sheetFormatPr defaultRowHeight="14.4" x14ac:dyDescent="0.3"/>
  <cols>
    <col min="1" max="1" width="4.33203125" style="16" customWidth="1"/>
    <col min="2" max="4" width="15.6640625" customWidth="1"/>
    <col min="5" max="5" width="20.109375" customWidth="1"/>
    <col min="6" max="6" width="19.5546875" customWidth="1"/>
    <col min="7" max="7" width="24.33203125" customWidth="1"/>
    <col min="9" max="18" width="2.6640625" customWidth="1"/>
    <col min="19" max="19" width="12.6640625" bestFit="1" customWidth="1"/>
    <col min="20" max="20" width="12.5546875" customWidth="1"/>
    <col min="21" max="27" width="12.6640625" bestFit="1" customWidth="1"/>
    <col min="28" max="28" width="13.109375" customWidth="1"/>
    <col min="29" max="29" width="12.6640625" customWidth="1"/>
    <col min="30" max="34" width="12.6640625" bestFit="1" customWidth="1"/>
  </cols>
  <sheetData>
    <row r="1" spans="2:39" s="166" customFormat="1" ht="5.0999999999999996" customHeight="1" x14ac:dyDescent="0.3"/>
    <row r="2" spans="2:39" s="166" customFormat="1" x14ac:dyDescent="0.3">
      <c r="B2" s="167" t="s">
        <v>1313</v>
      </c>
      <c r="G2" s="167" t="str">
        <f>'Final demand(4)'!H2</f>
        <v>CVF_upper</v>
      </c>
      <c r="H2" s="166">
        <f>'Final demand(4)'!H3</f>
        <v>4</v>
      </c>
    </row>
    <row r="3" spans="2:39" s="166" customFormat="1" x14ac:dyDescent="0.3">
      <c r="B3" s="168" t="s">
        <v>1223</v>
      </c>
    </row>
    <row r="4" spans="2:39" s="170" customFormat="1" ht="5.0999999999999996" customHeight="1" thickBot="1" x14ac:dyDescent="0.35">
      <c r="B4" s="169"/>
    </row>
    <row r="5" spans="2:39" s="166" customFormat="1" x14ac:dyDescent="0.3">
      <c r="B5" s="171" t="s">
        <v>1224</v>
      </c>
      <c r="C5" s="171" t="s">
        <v>1225</v>
      </c>
      <c r="D5" s="171" t="s">
        <v>1314</v>
      </c>
      <c r="E5" s="171" t="s">
        <v>1315</v>
      </c>
      <c r="F5" s="171" t="s">
        <v>1230</v>
      </c>
      <c r="G5" s="171" t="s">
        <v>1231</v>
      </c>
    </row>
    <row r="6" spans="2:39" x14ac:dyDescent="0.3">
      <c r="F6" s="205"/>
      <c r="G6" s="37">
        <f>1/3</f>
        <v>0.33333333333333331</v>
      </c>
      <c r="H6" t="s">
        <v>1316</v>
      </c>
    </row>
    <row r="7" spans="2:39" x14ac:dyDescent="0.3">
      <c r="F7" s="205"/>
    </row>
    <row r="8" spans="2:39" x14ac:dyDescent="0.3">
      <c r="B8" t="s">
        <v>579</v>
      </c>
      <c r="C8" t="str">
        <f>_xlfn.IFNA(INDEX('[2]Country list'!$A$2:$A$166,MATCH(B8,'[2]Country list'!$B$2:$B$166,0)),"")</f>
        <v>DEU</v>
      </c>
      <c r="E8" s="4" t="s">
        <v>1238</v>
      </c>
      <c r="F8" t="s">
        <v>1317</v>
      </c>
      <c r="G8" t="s">
        <v>1318</v>
      </c>
    </row>
    <row r="9" spans="2:39" x14ac:dyDescent="0.3">
      <c r="E9" s="4"/>
    </row>
    <row r="10" spans="2:39" x14ac:dyDescent="0.3">
      <c r="E10" s="4"/>
    </row>
    <row r="11" spans="2:39" x14ac:dyDescent="0.3">
      <c r="E11" s="4"/>
    </row>
    <row r="12" spans="2:39" x14ac:dyDescent="0.3">
      <c r="E12" s="4"/>
      <c r="G12" t="s">
        <v>1319</v>
      </c>
    </row>
    <row r="13" spans="2:39" x14ac:dyDescent="0.3">
      <c r="C13" s="174" t="s">
        <v>1246</v>
      </c>
      <c r="D13" s="174"/>
      <c r="E13" s="206" t="s">
        <v>1320</v>
      </c>
      <c r="G13" s="205" t="s">
        <v>1321</v>
      </c>
    </row>
    <row r="14" spans="2:39" s="176" customFormat="1" ht="15" thickBot="1" x14ac:dyDescent="0.35">
      <c r="B14" s="175" t="s">
        <v>1250</v>
      </c>
      <c r="F14" s="207"/>
    </row>
    <row r="15" spans="2:39" s="166" customFormat="1" x14ac:dyDescent="0.3">
      <c r="B15" s="171" t="s">
        <v>1224</v>
      </c>
      <c r="C15" s="171" t="s">
        <v>1225</v>
      </c>
      <c r="D15" s="171" t="s">
        <v>1314</v>
      </c>
      <c r="E15" s="171" t="s">
        <v>1315</v>
      </c>
      <c r="F15" s="171" t="s">
        <v>1230</v>
      </c>
      <c r="G15" s="171" t="s">
        <v>1231</v>
      </c>
      <c r="H15" s="166">
        <v>2019</v>
      </c>
      <c r="I15" s="166">
        <v>2020</v>
      </c>
      <c r="J15" s="166">
        <v>2021</v>
      </c>
      <c r="K15" s="166">
        <v>2022</v>
      </c>
      <c r="L15" s="166">
        <v>2023</v>
      </c>
      <c r="M15" s="166">
        <v>2024</v>
      </c>
      <c r="N15" s="166">
        <v>2025</v>
      </c>
      <c r="O15" s="166">
        <v>2026</v>
      </c>
      <c r="P15" s="166">
        <v>2027</v>
      </c>
      <c r="Q15" s="166">
        <v>2028</v>
      </c>
      <c r="R15" s="166">
        <v>2029</v>
      </c>
      <c r="S15" s="166">
        <v>2030</v>
      </c>
      <c r="T15" s="166">
        <v>2031</v>
      </c>
      <c r="U15" s="166">
        <v>2032</v>
      </c>
      <c r="V15" s="166">
        <v>2033</v>
      </c>
      <c r="W15" s="166">
        <v>2034</v>
      </c>
      <c r="X15" s="166">
        <v>2035</v>
      </c>
      <c r="Y15" s="166">
        <v>2036</v>
      </c>
      <c r="Z15" s="166">
        <v>2037</v>
      </c>
      <c r="AA15" s="166">
        <v>2038</v>
      </c>
      <c r="AB15" s="166">
        <v>2039</v>
      </c>
      <c r="AC15" s="166">
        <v>2040</v>
      </c>
      <c r="AD15" s="166">
        <v>2041</v>
      </c>
      <c r="AE15" s="166">
        <v>2042</v>
      </c>
      <c r="AF15" s="166">
        <v>2043</v>
      </c>
      <c r="AG15" s="166">
        <v>2044</v>
      </c>
      <c r="AH15" s="166">
        <v>2045</v>
      </c>
      <c r="AI15" s="166">
        <v>2046</v>
      </c>
      <c r="AJ15" s="166">
        <v>2047</v>
      </c>
      <c r="AK15" s="166">
        <v>2048</v>
      </c>
      <c r="AL15" s="166">
        <v>2049</v>
      </c>
      <c r="AM15" s="166">
        <v>2050</v>
      </c>
    </row>
    <row r="16" spans="2:39" x14ac:dyDescent="0.3">
      <c r="C16" s="161" t="s">
        <v>1058</v>
      </c>
      <c r="E16" t="s">
        <v>1232</v>
      </c>
      <c r="F16" t="s">
        <v>1240</v>
      </c>
      <c r="G16" s="266">
        <f>SUM(T16:AH16)/1000000</f>
        <v>46.609067997358721</v>
      </c>
      <c r="H16" s="208"/>
      <c r="I16" s="208"/>
      <c r="J16" s="208"/>
      <c r="K16" s="208"/>
      <c r="L16" s="208"/>
      <c r="M16" s="208"/>
      <c r="N16" s="208"/>
      <c r="O16" s="208"/>
      <c r="P16" s="208"/>
      <c r="Q16" s="208"/>
      <c r="R16" s="208"/>
      <c r="T16" s="208">
        <f>VLOOKUP($C16,'MSET pivots'!$B$4:$H$14,$H$2,FALSE)*1000000*$G$6*'MSET pivots'!E$65</f>
        <v>1553658.9043294343</v>
      </c>
      <c r="U16" s="208">
        <f>VLOOKUP($C16,'MSET pivots'!$B$4:$H$14,$H$2,FALSE)*1000000*$G$6*'MSET pivots'!F$65</f>
        <v>1775603.5179715031</v>
      </c>
      <c r="V16" s="208">
        <f>VLOOKUP($C16,'MSET pivots'!$B$4:$H$14,$H$2,FALSE)*1000000*$G$6*'MSET pivots'!G$65</f>
        <v>1997548.1316135719</v>
      </c>
      <c r="W16" s="208">
        <f>VLOOKUP($C16,'MSET pivots'!$B$4:$H$14,$H$2,FALSE)*1000000*$G$6*'MSET pivots'!H$65</f>
        <v>2219492.7452556407</v>
      </c>
      <c r="X16" s="208">
        <f>VLOOKUP($C16,'MSET pivots'!$B$4:$H$14,$H$2,FALSE)*1000000*$G$6*'MSET pivots'!I$65</f>
        <v>2441437.3588977093</v>
      </c>
      <c r="Y16" s="208">
        <f>VLOOKUP($C16,'MSET pivots'!$B$4:$H$14,$H$2,FALSE)*1000000*$G$6*'MSET pivots'!J$65</f>
        <v>2663381.9725397783</v>
      </c>
      <c r="Z16" s="208">
        <f>VLOOKUP($C16,'MSET pivots'!$B$4:$H$14,$H$2,FALSE)*1000000*$G$6*'MSET pivots'!K$65</f>
        <v>2885326.5861818469</v>
      </c>
      <c r="AA16" s="208">
        <f>VLOOKUP($C16,'MSET pivots'!$B$4:$H$14,$H$2,FALSE)*1000000*$G$6*'MSET pivots'!L$65</f>
        <v>3107271.1998239155</v>
      </c>
      <c r="AB16" s="208">
        <f>VLOOKUP($C16,'MSET pivots'!$B$4:$H$14,$H$2,FALSE)*1000000*$G$6*'MSET pivots'!M$65</f>
        <v>3329215.8134659841</v>
      </c>
      <c r="AC16" s="208">
        <f>VLOOKUP($C16,'MSET pivots'!$B$4:$H$14,$H$2,FALSE)*1000000*$G$6*'MSET pivots'!N$65</f>
        <v>3551160.4271080527</v>
      </c>
      <c r="AD16" s="208">
        <f>VLOOKUP($C16,'MSET pivots'!$B$4:$H$14,$H$2,FALSE)*1000000*$G$6*'MSET pivots'!O$65</f>
        <v>3773105.0407501208</v>
      </c>
      <c r="AE16" s="208">
        <f>VLOOKUP($C16,'MSET pivots'!$B$4:$H$14,$H$2,FALSE)*1000000*$G$6*'MSET pivots'!P$65</f>
        <v>3995049.6543921893</v>
      </c>
      <c r="AF16" s="208">
        <f>VLOOKUP($C16,'MSET pivots'!$B$4:$H$14,$H$2,FALSE)*1000000*$G$6*'MSET pivots'!Q$65</f>
        <v>4216994.2680342579</v>
      </c>
      <c r="AG16" s="208">
        <f>VLOOKUP($C16,'MSET pivots'!$B$4:$H$14,$H$2,FALSE)*1000000*$G$6*'MSET pivots'!R$65</f>
        <v>4438938.8816763265</v>
      </c>
      <c r="AH16" s="208">
        <f>VLOOKUP($C16,'MSET pivots'!$B$4:$H$14,$H$2,FALSE)*1000000*$G$6*'MSET pivots'!S$65</f>
        <v>4660883.4953183969</v>
      </c>
    </row>
    <row r="17" spans="3:34" x14ac:dyDescent="0.3">
      <c r="C17" t="s">
        <v>1048</v>
      </c>
      <c r="E17" t="s">
        <v>1232</v>
      </c>
      <c r="F17" t="s">
        <v>1240</v>
      </c>
      <c r="G17" s="266">
        <f t="shared" ref="G17:G19" si="0">SUM(T17:AH17)/1000000</f>
        <v>48.50396287112661</v>
      </c>
      <c r="H17" s="208"/>
      <c r="I17" s="208"/>
      <c r="J17" s="208"/>
      <c r="K17" s="208"/>
      <c r="L17" s="208"/>
      <c r="M17" s="208"/>
      <c r="N17" s="208"/>
      <c r="O17" s="208"/>
      <c r="P17" s="208"/>
      <c r="Q17" s="208"/>
      <c r="R17" s="208"/>
      <c r="S17" s="208"/>
      <c r="T17" s="208">
        <f>VLOOKUP($C17,'MSET pivots'!$B$4:$H$14,$H$2,FALSE)*1000000*$G$6*'MSET pivots'!E$65</f>
        <v>1616823.0142310637</v>
      </c>
      <c r="U17" s="208">
        <f>VLOOKUP($C17,'MSET pivots'!$B$4:$H$14,$H$2,FALSE)*1000000*$G$6*'MSET pivots'!F$65</f>
        <v>1847790.8014468795</v>
      </c>
      <c r="V17" s="208">
        <f>VLOOKUP($C17,'MSET pivots'!$B$4:$H$14,$H$2,FALSE)*1000000*$G$6*'MSET pivots'!G$65</f>
        <v>2078758.5886626954</v>
      </c>
      <c r="W17" s="208">
        <f>VLOOKUP($C17,'MSET pivots'!$B$4:$H$14,$H$2,FALSE)*1000000*$G$6*'MSET pivots'!H$65</f>
        <v>2309726.3758785115</v>
      </c>
      <c r="X17" s="208">
        <f>VLOOKUP($C17,'MSET pivots'!$B$4:$H$14,$H$2,FALSE)*1000000*$G$6*'MSET pivots'!I$65</f>
        <v>2540694.1630943273</v>
      </c>
      <c r="Y17" s="208">
        <f>VLOOKUP($C17,'MSET pivots'!$B$4:$H$14,$H$2,FALSE)*1000000*$G$6*'MSET pivots'!J$65</f>
        <v>2771661.9503101432</v>
      </c>
      <c r="Z17" s="208">
        <f>VLOOKUP($C17,'MSET pivots'!$B$4:$H$14,$H$2,FALSE)*1000000*$G$6*'MSET pivots'!K$65</f>
        <v>3002629.737525959</v>
      </c>
      <c r="AA17" s="208">
        <f>VLOOKUP($C17,'MSET pivots'!$B$4:$H$14,$H$2,FALSE)*1000000*$G$6*'MSET pivots'!L$65</f>
        <v>3233597.5247417744</v>
      </c>
      <c r="AB17" s="208">
        <f>VLOOKUP($C17,'MSET pivots'!$B$4:$H$14,$H$2,FALSE)*1000000*$G$6*'MSET pivots'!M$65</f>
        <v>3464565.3119575903</v>
      </c>
      <c r="AC17" s="208">
        <f>VLOOKUP($C17,'MSET pivots'!$B$4:$H$14,$H$2,FALSE)*1000000*$G$6*'MSET pivots'!N$65</f>
        <v>3695533.0991734057</v>
      </c>
      <c r="AD17" s="208">
        <f>VLOOKUP($C17,'MSET pivots'!$B$4:$H$14,$H$2,FALSE)*1000000*$G$6*'MSET pivots'!O$65</f>
        <v>3926500.8863892215</v>
      </c>
      <c r="AE17" s="208">
        <f>VLOOKUP($C17,'MSET pivots'!$B$4:$H$14,$H$2,FALSE)*1000000*$G$6*'MSET pivots'!P$65</f>
        <v>4157468.6736050369</v>
      </c>
      <c r="AF17" s="208">
        <f>VLOOKUP($C17,'MSET pivots'!$B$4:$H$14,$H$2,FALSE)*1000000*$G$6*'MSET pivots'!Q$65</f>
        <v>4388436.4608208528</v>
      </c>
      <c r="AG17" s="208">
        <f>VLOOKUP($C17,'MSET pivots'!$B$4:$H$14,$H$2,FALSE)*1000000*$G$6*'MSET pivots'!R$65</f>
        <v>4619404.2480366677</v>
      </c>
      <c r="AH17" s="208">
        <f>VLOOKUP($C17,'MSET pivots'!$B$4:$H$14,$H$2,FALSE)*1000000*$G$6*'MSET pivots'!S$65</f>
        <v>4850372.0352524854</v>
      </c>
    </row>
    <row r="18" spans="3:34" x14ac:dyDescent="0.3">
      <c r="C18" s="161" t="s">
        <v>1052</v>
      </c>
      <c r="E18" t="s">
        <v>1232</v>
      </c>
      <c r="F18" t="s">
        <v>1240</v>
      </c>
      <c r="G18" s="266">
        <f t="shared" si="0"/>
        <v>35.970131447436941</v>
      </c>
      <c r="H18" s="208"/>
      <c r="I18" s="208"/>
      <c r="J18" s="208"/>
      <c r="K18" s="208"/>
      <c r="L18" s="208"/>
      <c r="M18" s="208"/>
      <c r="N18" s="208"/>
      <c r="O18" s="208"/>
      <c r="P18" s="208"/>
      <c r="Q18" s="208"/>
      <c r="R18" s="208"/>
      <c r="S18" s="208"/>
      <c r="T18" s="208">
        <f>VLOOKUP($C18,'MSET pivots'!$B$4:$H$14,$H$2,FALSE)*1000000*$G$6*'MSET pivots'!E$65</f>
        <v>1199022.3665570305</v>
      </c>
      <c r="U18" s="208">
        <f>VLOOKUP($C18,'MSET pivots'!$B$4:$H$14,$H$2,FALSE)*1000000*$G$6*'MSET pivots'!F$65</f>
        <v>1370306.1375006638</v>
      </c>
      <c r="V18" s="208">
        <f>VLOOKUP($C18,'MSET pivots'!$B$4:$H$14,$H$2,FALSE)*1000000*$G$6*'MSET pivots'!G$65</f>
        <v>1541589.908444297</v>
      </c>
      <c r="W18" s="208">
        <f>VLOOKUP($C18,'MSET pivots'!$B$4:$H$14,$H$2,FALSE)*1000000*$G$6*'MSET pivots'!H$65</f>
        <v>1712873.6793879303</v>
      </c>
      <c r="X18" s="208">
        <f>VLOOKUP($C18,'MSET pivots'!$B$4:$H$14,$H$2,FALSE)*1000000*$G$6*'MSET pivots'!I$65</f>
        <v>1884157.4503315636</v>
      </c>
      <c r="Y18" s="208">
        <f>VLOOKUP($C18,'MSET pivots'!$B$4:$H$14,$H$2,FALSE)*1000000*$G$6*'MSET pivots'!J$65</f>
        <v>2055441.2212751969</v>
      </c>
      <c r="Z18" s="208">
        <f>VLOOKUP($C18,'MSET pivots'!$B$4:$H$14,$H$2,FALSE)*1000000*$G$6*'MSET pivots'!K$65</f>
        <v>2226724.9922188302</v>
      </c>
      <c r="AA18" s="208">
        <f>VLOOKUP($C18,'MSET pivots'!$B$4:$H$14,$H$2,FALSE)*1000000*$G$6*'MSET pivots'!L$65</f>
        <v>2398008.7631624634</v>
      </c>
      <c r="AB18" s="208">
        <f>VLOOKUP($C18,'MSET pivots'!$B$4:$H$14,$H$2,FALSE)*1000000*$G$6*'MSET pivots'!M$65</f>
        <v>2569292.5341060963</v>
      </c>
      <c r="AC18" s="208">
        <f>VLOOKUP($C18,'MSET pivots'!$B$4:$H$14,$H$2,FALSE)*1000000*$G$6*'MSET pivots'!N$65</f>
        <v>2740576.3050497295</v>
      </c>
      <c r="AD18" s="208">
        <f>VLOOKUP($C18,'MSET pivots'!$B$4:$H$14,$H$2,FALSE)*1000000*$G$6*'MSET pivots'!O$65</f>
        <v>2911860.0759933623</v>
      </c>
      <c r="AE18" s="208">
        <f>VLOOKUP($C18,'MSET pivots'!$B$4:$H$14,$H$2,FALSE)*1000000*$G$6*'MSET pivots'!P$65</f>
        <v>3083143.8469369956</v>
      </c>
      <c r="AF18" s="208">
        <f>VLOOKUP($C18,'MSET pivots'!$B$4:$H$14,$H$2,FALSE)*1000000*$G$6*'MSET pivots'!Q$65</f>
        <v>3254427.6178806284</v>
      </c>
      <c r="AG18" s="208">
        <f>VLOOKUP($C18,'MSET pivots'!$B$4:$H$14,$H$2,FALSE)*1000000*$G$6*'MSET pivots'!R$65</f>
        <v>3425711.3888242617</v>
      </c>
      <c r="AH18" s="208">
        <f>VLOOKUP($C18,'MSET pivots'!$B$4:$H$14,$H$2,FALSE)*1000000*$G$6*'MSET pivots'!S$65</f>
        <v>3596995.1597678959</v>
      </c>
    </row>
    <row r="19" spans="3:34" x14ac:dyDescent="0.3">
      <c r="C19" t="s">
        <v>1021</v>
      </c>
      <c r="E19" t="s">
        <v>1232</v>
      </c>
      <c r="F19" t="s">
        <v>1240</v>
      </c>
      <c r="G19" s="266">
        <f t="shared" si="0"/>
        <v>44.855230094438269</v>
      </c>
      <c r="H19" s="208"/>
      <c r="I19" s="208"/>
      <c r="J19" s="208"/>
      <c r="K19" s="208"/>
      <c r="L19" s="208"/>
      <c r="M19" s="208"/>
      <c r="N19" s="208"/>
      <c r="O19" s="208"/>
      <c r="P19" s="208"/>
      <c r="Q19" s="208"/>
      <c r="R19" s="208"/>
      <c r="S19" s="208">
        <f>'Preliminary results'!$C$31*1000000*G6</f>
        <v>902060.73048874759</v>
      </c>
      <c r="T19" s="208">
        <f>VLOOKUP($C19,'MSET pivots'!$B$4:$H$14,$H$2,FALSE)*1000000*$G$6*'MSET pivots'!E$65</f>
        <v>1495196.7639841852</v>
      </c>
      <c r="U19" s="208">
        <f>VLOOKUP($C19,'MSET pivots'!$B$4:$H$14,$H$2,FALSE)*1000000*$G$6*'MSET pivots'!F$65</f>
        <v>1708789.8938382375</v>
      </c>
      <c r="V19" s="208">
        <f>VLOOKUP($C19,'MSET pivots'!$B$4:$H$14,$H$2,FALSE)*1000000*$G$6*'MSET pivots'!G$65</f>
        <v>1922383.0236922896</v>
      </c>
      <c r="W19" s="208">
        <f>VLOOKUP($C19,'MSET pivots'!$B$4:$H$14,$H$2,FALSE)*1000000*$G$6*'MSET pivots'!H$65</f>
        <v>2135976.1535463422</v>
      </c>
      <c r="X19" s="208">
        <f>VLOOKUP($C19,'MSET pivots'!$B$4:$H$14,$H$2,FALSE)*1000000*$G$6*'MSET pivots'!I$65</f>
        <v>2349569.283400394</v>
      </c>
      <c r="Y19" s="208">
        <f>VLOOKUP($C19,'MSET pivots'!$B$4:$H$14,$H$2,FALSE)*1000000*$G$6*'MSET pivots'!J$65</f>
        <v>2563162.4132544464</v>
      </c>
      <c r="Z19" s="208">
        <f>VLOOKUP($C19,'MSET pivots'!$B$4:$H$14,$H$2,FALSE)*1000000*$G$6*'MSET pivots'!K$65</f>
        <v>2776755.5431084987</v>
      </c>
      <c r="AA19" s="208">
        <f>VLOOKUP($C19,'MSET pivots'!$B$4:$H$14,$H$2,FALSE)*1000000*$G$6*'MSET pivots'!L$65</f>
        <v>2990348.6729625505</v>
      </c>
      <c r="AB19" s="208">
        <f>VLOOKUP($C19,'MSET pivots'!$B$4:$H$14,$H$2,FALSE)*1000000*$G$6*'MSET pivots'!M$65</f>
        <v>3203941.8028166029</v>
      </c>
      <c r="AC19" s="208">
        <f>VLOOKUP($C19,'MSET pivots'!$B$4:$H$14,$H$2,FALSE)*1000000*$G$6*'MSET pivots'!N$65</f>
        <v>3417534.9326706547</v>
      </c>
      <c r="AD19" s="208">
        <f>VLOOKUP($C19,'MSET pivots'!$B$4:$H$14,$H$2,FALSE)*1000000*$G$6*'MSET pivots'!O$65</f>
        <v>3631128.0625247066</v>
      </c>
      <c r="AE19" s="208">
        <f>VLOOKUP($C19,'MSET pivots'!$B$4:$H$14,$H$2,FALSE)*1000000*$G$6*'MSET pivots'!P$65</f>
        <v>3844721.1923787585</v>
      </c>
      <c r="AF19" s="208">
        <f>VLOOKUP($C19,'MSET pivots'!$B$4:$H$14,$H$2,FALSE)*1000000*$G$6*'MSET pivots'!Q$65</f>
        <v>4058314.3222328108</v>
      </c>
      <c r="AG19" s="208">
        <f>VLOOKUP($C19,'MSET pivots'!$B$4:$H$14,$H$2,FALSE)*1000000*$G$6*'MSET pivots'!R$65</f>
        <v>4271907.4520868622</v>
      </c>
      <c r="AH19" s="208">
        <f>VLOOKUP($C19,'MSET pivots'!$B$4:$H$14,$H$2,FALSE)*1000000*$G$6*'MSET pivots'!S$65</f>
        <v>4485500.5819409164</v>
      </c>
    </row>
    <row r="20" spans="3:34" x14ac:dyDescent="0.3">
      <c r="F20" s="205"/>
      <c r="H20" s="208"/>
      <c r="I20" s="208"/>
      <c r="J20" s="208"/>
      <c r="K20" s="208"/>
      <c r="L20" s="208"/>
      <c r="M20" s="208"/>
      <c r="N20" s="208"/>
      <c r="O20" s="208"/>
      <c r="P20" s="208"/>
      <c r="Q20" s="208"/>
      <c r="R20" s="208"/>
      <c r="S20" s="208"/>
      <c r="T20" s="208"/>
      <c r="U20" s="208"/>
      <c r="V20" s="208"/>
      <c r="W20" s="208"/>
      <c r="X20" s="208"/>
      <c r="Y20" s="208"/>
      <c r="Z20" s="208"/>
      <c r="AA20" s="208"/>
      <c r="AB20" s="208"/>
      <c r="AC20" s="208"/>
    </row>
    <row r="21" spans="3:34" x14ac:dyDescent="0.3">
      <c r="F21" s="205"/>
      <c r="H21" s="208"/>
      <c r="I21" s="208"/>
      <c r="J21" s="208"/>
      <c r="K21" s="208"/>
      <c r="L21" s="208"/>
      <c r="M21" s="208"/>
      <c r="N21" s="208"/>
      <c r="O21" s="208"/>
      <c r="P21" s="208"/>
      <c r="Q21" s="208"/>
      <c r="R21" s="208"/>
      <c r="S21" s="208"/>
      <c r="T21" s="208"/>
      <c r="U21" s="208"/>
      <c r="V21" s="208"/>
      <c r="W21" s="208"/>
      <c r="X21" s="208"/>
      <c r="Y21" s="208"/>
      <c r="Z21" s="208"/>
      <c r="AA21" s="208"/>
      <c r="AB21" s="208"/>
      <c r="AC21" s="208"/>
    </row>
    <row r="22" spans="3:34" x14ac:dyDescent="0.3">
      <c r="F22" s="205"/>
      <c r="H22" s="208"/>
      <c r="I22" s="208"/>
      <c r="J22" s="208"/>
      <c r="K22" s="208"/>
      <c r="L22" s="208"/>
      <c r="M22" s="208"/>
      <c r="N22" s="208"/>
      <c r="O22" s="208"/>
      <c r="P22" s="208"/>
      <c r="Q22" s="208"/>
      <c r="R22" s="208"/>
      <c r="S22" s="208"/>
      <c r="T22" s="208"/>
      <c r="U22" s="208"/>
      <c r="V22" s="208"/>
      <c r="W22" s="208"/>
      <c r="X22" s="208"/>
      <c r="Y22" s="208"/>
      <c r="Z22" s="208"/>
      <c r="AA22" s="208"/>
      <c r="AB22" s="208"/>
      <c r="AC22" s="208"/>
    </row>
    <row r="23" spans="3:34" x14ac:dyDescent="0.3">
      <c r="F23" s="205"/>
      <c r="G23" s="182"/>
      <c r="H23" s="208"/>
      <c r="I23" s="208"/>
      <c r="J23" s="208"/>
      <c r="K23" s="208"/>
      <c r="L23" s="208"/>
      <c r="M23" s="208"/>
      <c r="N23" s="208"/>
      <c r="O23" s="208"/>
      <c r="P23" s="208"/>
      <c r="Q23" s="208"/>
      <c r="R23" s="208"/>
      <c r="S23" s="208"/>
      <c r="T23" s="208"/>
      <c r="U23" s="208"/>
      <c r="V23" s="208"/>
      <c r="W23" s="208"/>
      <c r="X23" s="208"/>
      <c r="Y23" s="208"/>
      <c r="Z23" s="208"/>
      <c r="AA23" s="208"/>
      <c r="AB23" s="208"/>
      <c r="AC23" s="208"/>
    </row>
    <row r="24" spans="3:34" x14ac:dyDescent="0.3">
      <c r="F24" s="205"/>
      <c r="H24" s="208"/>
      <c r="I24" s="208"/>
      <c r="J24" s="208"/>
      <c r="K24" s="208"/>
      <c r="L24" s="208"/>
      <c r="M24" s="208"/>
      <c r="N24" s="208"/>
      <c r="O24" s="208"/>
      <c r="P24" s="208"/>
      <c r="Q24" s="208"/>
      <c r="R24" s="208"/>
      <c r="S24" s="208"/>
      <c r="T24" s="208"/>
      <c r="U24" s="208"/>
      <c r="V24" s="208"/>
      <c r="W24" s="208"/>
      <c r="X24" s="208"/>
      <c r="Y24" s="208"/>
      <c r="Z24" s="208"/>
      <c r="AA24" s="208"/>
      <c r="AB24" s="208"/>
      <c r="AC24" s="208"/>
    </row>
    <row r="25" spans="3:34" x14ac:dyDescent="0.3">
      <c r="F25" s="205"/>
      <c r="H25" s="208"/>
      <c r="I25" s="208"/>
      <c r="J25" s="208"/>
      <c r="K25" s="208"/>
      <c r="L25" s="208"/>
      <c r="M25" s="208"/>
      <c r="N25" s="208"/>
      <c r="O25" s="208"/>
      <c r="P25" s="208"/>
      <c r="Q25" s="208"/>
      <c r="R25" s="208"/>
      <c r="S25" s="208"/>
      <c r="T25" s="208"/>
      <c r="U25" s="208"/>
      <c r="V25" s="208"/>
      <c r="W25" s="208"/>
      <c r="X25" s="208"/>
      <c r="Y25" s="208"/>
      <c r="Z25" s="208"/>
      <c r="AA25" s="208"/>
      <c r="AB25" s="208"/>
      <c r="AC25" s="208"/>
    </row>
    <row r="26" spans="3:34" x14ac:dyDescent="0.3">
      <c r="F26" s="205"/>
      <c r="H26" s="208"/>
      <c r="I26" s="208"/>
      <c r="J26" s="208"/>
      <c r="K26" s="208"/>
      <c r="L26" s="208"/>
      <c r="M26" s="208"/>
      <c r="N26" s="208"/>
      <c r="O26" s="208"/>
      <c r="P26" s="208"/>
      <c r="Q26" s="208"/>
      <c r="R26" s="208"/>
      <c r="S26" s="208"/>
      <c r="T26" s="208"/>
      <c r="U26" s="208"/>
      <c r="V26" s="208"/>
      <c r="W26" s="208"/>
      <c r="X26" s="208"/>
      <c r="Y26" s="208"/>
      <c r="Z26" s="208"/>
      <c r="AA26" s="208"/>
      <c r="AB26" s="208"/>
      <c r="AC26" s="208"/>
    </row>
    <row r="27" spans="3:34" x14ac:dyDescent="0.3">
      <c r="F27" s="205"/>
      <c r="H27" s="208"/>
      <c r="I27" s="208"/>
      <c r="J27" s="208"/>
      <c r="K27" s="208"/>
      <c r="L27" s="208"/>
      <c r="M27" s="208"/>
      <c r="N27" s="208"/>
      <c r="O27" s="208"/>
      <c r="P27" s="208"/>
      <c r="Q27" s="208"/>
      <c r="R27" s="208"/>
      <c r="S27" s="208"/>
      <c r="T27" s="208"/>
      <c r="U27" s="208"/>
      <c r="V27" s="208"/>
      <c r="W27" s="208"/>
      <c r="X27" s="208"/>
      <c r="Y27" s="208"/>
      <c r="Z27" s="208"/>
      <c r="AA27" s="208"/>
      <c r="AB27" s="208"/>
      <c r="AC27" s="208"/>
    </row>
    <row r="28" spans="3:34" x14ac:dyDescent="0.3">
      <c r="F28" s="205"/>
      <c r="H28" s="208"/>
      <c r="I28" s="208"/>
      <c r="J28" s="208"/>
      <c r="K28" s="208"/>
      <c r="L28" s="208"/>
      <c r="M28" s="208"/>
      <c r="N28" s="208"/>
      <c r="O28" s="208"/>
      <c r="P28" s="208"/>
      <c r="Q28" s="208"/>
      <c r="R28" s="208"/>
      <c r="S28" s="208"/>
      <c r="T28" s="208"/>
      <c r="U28" s="208"/>
      <c r="V28" s="208"/>
      <c r="W28" s="208"/>
      <c r="X28" s="208"/>
      <c r="Y28" s="208"/>
      <c r="Z28" s="208"/>
      <c r="AA28" s="208"/>
      <c r="AB28" s="208"/>
      <c r="AC28" s="208"/>
    </row>
    <row r="29" spans="3:34" x14ac:dyDescent="0.3">
      <c r="F29" s="205"/>
      <c r="H29" s="209"/>
      <c r="I29" s="209"/>
      <c r="J29" s="209"/>
      <c r="K29" s="209"/>
      <c r="L29" s="209"/>
      <c r="M29" s="209"/>
      <c r="N29" s="209"/>
      <c r="O29" s="209"/>
      <c r="P29" s="209"/>
      <c r="Q29" s="209"/>
      <c r="R29" s="209"/>
      <c r="S29" s="209"/>
      <c r="T29" s="209"/>
      <c r="U29" s="209"/>
      <c r="V29" s="209"/>
      <c r="W29" s="209"/>
      <c r="X29" s="209"/>
      <c r="Y29" s="209"/>
      <c r="Z29" s="209"/>
      <c r="AA29" s="209"/>
      <c r="AB29" s="209"/>
      <c r="AC29" s="209"/>
    </row>
    <row r="30" spans="3:34" x14ac:dyDescent="0.3">
      <c r="F30" s="205"/>
    </row>
    <row r="31" spans="3:34" x14ac:dyDescent="0.3">
      <c r="F31" s="205"/>
    </row>
    <row r="32" spans="3:34" x14ac:dyDescent="0.3">
      <c r="F32" s="205"/>
    </row>
    <row r="33" spans="6:6" x14ac:dyDescent="0.3">
      <c r="F33" s="205"/>
    </row>
    <row r="34" spans="6:6" x14ac:dyDescent="0.3">
      <c r="F34" s="205"/>
    </row>
    <row r="35" spans="6:6" x14ac:dyDescent="0.3">
      <c r="F35" s="205"/>
    </row>
    <row r="36" spans="6:6" x14ac:dyDescent="0.3">
      <c r="F36" s="205"/>
    </row>
    <row r="37" spans="6:6" x14ac:dyDescent="0.3">
      <c r="F37" s="205"/>
    </row>
    <row r="38" spans="6:6" x14ac:dyDescent="0.3">
      <c r="F38" s="205"/>
    </row>
    <row r="39" spans="6:6" x14ac:dyDescent="0.3">
      <c r="F39" s="205"/>
    </row>
    <row r="40" spans="6:6" x14ac:dyDescent="0.3">
      <c r="F40" s="205"/>
    </row>
    <row r="41" spans="6:6" x14ac:dyDescent="0.3">
      <c r="F41" s="205"/>
    </row>
    <row r="42" spans="6:6" x14ac:dyDescent="0.3">
      <c r="F42" s="205"/>
    </row>
    <row r="43" spans="6:6" x14ac:dyDescent="0.3">
      <c r="F43" s="205"/>
    </row>
    <row r="44" spans="6:6" x14ac:dyDescent="0.3">
      <c r="F44" s="205"/>
    </row>
    <row r="45" spans="6:6" x14ac:dyDescent="0.3">
      <c r="F45" s="205"/>
    </row>
    <row r="46" spans="6:6" x14ac:dyDescent="0.3">
      <c r="F46" s="205"/>
    </row>
    <row r="47" spans="6:6" x14ac:dyDescent="0.3">
      <c r="F47" s="205"/>
    </row>
    <row r="48" spans="6:6" x14ac:dyDescent="0.3">
      <c r="F48" s="205"/>
    </row>
    <row r="49" spans="6:6" x14ac:dyDescent="0.3">
      <c r="F49" s="205"/>
    </row>
    <row r="50" spans="6:6" x14ac:dyDescent="0.3">
      <c r="F50" s="205"/>
    </row>
    <row r="51" spans="6:6" x14ac:dyDescent="0.3">
      <c r="F51" s="205"/>
    </row>
    <row r="52" spans="6:6" x14ac:dyDescent="0.3">
      <c r="F52" s="205"/>
    </row>
    <row r="53" spans="6:6" x14ac:dyDescent="0.3">
      <c r="F53" s="205"/>
    </row>
    <row r="54" spans="6:6" x14ac:dyDescent="0.3">
      <c r="F54" s="205"/>
    </row>
    <row r="55" spans="6:6" x14ac:dyDescent="0.3">
      <c r="F55" s="205"/>
    </row>
    <row r="56" spans="6:6" x14ac:dyDescent="0.3">
      <c r="F56" s="205"/>
    </row>
    <row r="57" spans="6:6" x14ac:dyDescent="0.3">
      <c r="F57" s="205"/>
    </row>
    <row r="58" spans="6:6" x14ac:dyDescent="0.3">
      <c r="F58" s="205"/>
    </row>
    <row r="59" spans="6:6" x14ac:dyDescent="0.3">
      <c r="F59" s="205"/>
    </row>
    <row r="60" spans="6:6" x14ac:dyDescent="0.3">
      <c r="F60" s="205"/>
    </row>
    <row r="61" spans="6:6" x14ac:dyDescent="0.3">
      <c r="F61" s="205"/>
    </row>
    <row r="62" spans="6:6" x14ac:dyDescent="0.3">
      <c r="F62" s="205"/>
    </row>
    <row r="63" spans="6:6" x14ac:dyDescent="0.3">
      <c r="F63" s="205"/>
    </row>
    <row r="64" spans="6:6" x14ac:dyDescent="0.3">
      <c r="F64" s="205"/>
    </row>
    <row r="65" spans="6:6" x14ac:dyDescent="0.3">
      <c r="F65" s="205"/>
    </row>
    <row r="66" spans="6:6" x14ac:dyDescent="0.3">
      <c r="F66" s="205"/>
    </row>
    <row r="67" spans="6:6" x14ac:dyDescent="0.3">
      <c r="F67" s="205"/>
    </row>
    <row r="68" spans="6:6" x14ac:dyDescent="0.3">
      <c r="F68" s="205"/>
    </row>
    <row r="69" spans="6:6" x14ac:dyDescent="0.3">
      <c r="F69" s="205"/>
    </row>
    <row r="70" spans="6:6" x14ac:dyDescent="0.3">
      <c r="F70" s="205"/>
    </row>
    <row r="71" spans="6:6" x14ac:dyDescent="0.3">
      <c r="F71" s="205"/>
    </row>
    <row r="72" spans="6:6" x14ac:dyDescent="0.3">
      <c r="F72" s="205"/>
    </row>
    <row r="73" spans="6:6" x14ac:dyDescent="0.3">
      <c r="F73" s="205"/>
    </row>
    <row r="74" spans="6:6" x14ac:dyDescent="0.3">
      <c r="F74" s="205"/>
    </row>
    <row r="75" spans="6:6" x14ac:dyDescent="0.3">
      <c r="F75" s="205"/>
    </row>
    <row r="76" spans="6:6" x14ac:dyDescent="0.3">
      <c r="F76" s="205"/>
    </row>
    <row r="77" spans="6:6" x14ac:dyDescent="0.3">
      <c r="F77" s="205"/>
    </row>
    <row r="78" spans="6:6" x14ac:dyDescent="0.3">
      <c r="F78" s="205"/>
    </row>
    <row r="79" spans="6:6" x14ac:dyDescent="0.3">
      <c r="F79" s="205"/>
    </row>
    <row r="80" spans="6:6" x14ac:dyDescent="0.3">
      <c r="F80" s="205"/>
    </row>
    <row r="81" spans="6:6" x14ac:dyDescent="0.3">
      <c r="F81" s="205"/>
    </row>
    <row r="82" spans="6:6" x14ac:dyDescent="0.3">
      <c r="F82" s="205"/>
    </row>
    <row r="83" spans="6:6" x14ac:dyDescent="0.3">
      <c r="F83" s="205"/>
    </row>
    <row r="84" spans="6:6" x14ac:dyDescent="0.3">
      <c r="F84" s="205"/>
    </row>
    <row r="85" spans="6:6" x14ac:dyDescent="0.3">
      <c r="F85" s="205"/>
    </row>
    <row r="86" spans="6:6" x14ac:dyDescent="0.3">
      <c r="F86" s="205"/>
    </row>
    <row r="87" spans="6:6" x14ac:dyDescent="0.3">
      <c r="F87" s="205"/>
    </row>
    <row r="88" spans="6:6" x14ac:dyDescent="0.3">
      <c r="F88" s="205"/>
    </row>
    <row r="89" spans="6:6" x14ac:dyDescent="0.3">
      <c r="F89" s="205"/>
    </row>
    <row r="90" spans="6:6" x14ac:dyDescent="0.3">
      <c r="F90" s="205"/>
    </row>
    <row r="91" spans="6:6" x14ac:dyDescent="0.3">
      <c r="F91" s="205"/>
    </row>
    <row r="92" spans="6:6" x14ac:dyDescent="0.3">
      <c r="F92" s="205"/>
    </row>
    <row r="93" spans="6:6" x14ac:dyDescent="0.3">
      <c r="F93" s="205"/>
    </row>
    <row r="94" spans="6:6" x14ac:dyDescent="0.3">
      <c r="F94" s="205"/>
    </row>
    <row r="95" spans="6:6" x14ac:dyDescent="0.3">
      <c r="F95" s="205"/>
    </row>
    <row r="96" spans="6:6" x14ac:dyDescent="0.3">
      <c r="F96" s="205"/>
    </row>
    <row r="97" spans="6:6" x14ac:dyDescent="0.3">
      <c r="F97" s="205"/>
    </row>
    <row r="98" spans="6:6" x14ac:dyDescent="0.3">
      <c r="F98" s="205"/>
    </row>
    <row r="99" spans="6:6" x14ac:dyDescent="0.3">
      <c r="F99" s="205"/>
    </row>
    <row r="100" spans="6:6" x14ac:dyDescent="0.3">
      <c r="F100" s="205"/>
    </row>
    <row r="101" spans="6:6" x14ac:dyDescent="0.3">
      <c r="F101" s="205"/>
    </row>
    <row r="102" spans="6:6" x14ac:dyDescent="0.3">
      <c r="F102" s="205"/>
    </row>
    <row r="103" spans="6:6" x14ac:dyDescent="0.3">
      <c r="F103" s="205"/>
    </row>
    <row r="104" spans="6:6" x14ac:dyDescent="0.3">
      <c r="F104" s="205"/>
    </row>
    <row r="105" spans="6:6" x14ac:dyDescent="0.3">
      <c r="F105" s="205"/>
    </row>
    <row r="106" spans="6:6" x14ac:dyDescent="0.3">
      <c r="F106" s="205"/>
    </row>
    <row r="107" spans="6:6" x14ac:dyDescent="0.3">
      <c r="F107" s="205"/>
    </row>
    <row r="108" spans="6:6" x14ac:dyDescent="0.3">
      <c r="F108" s="205"/>
    </row>
    <row r="109" spans="6:6" x14ac:dyDescent="0.3">
      <c r="F109" s="205"/>
    </row>
    <row r="110" spans="6:6" x14ac:dyDescent="0.3">
      <c r="F110" s="205"/>
    </row>
    <row r="111" spans="6:6" x14ac:dyDescent="0.3">
      <c r="F111" s="205"/>
    </row>
    <row r="112" spans="6:6" x14ac:dyDescent="0.3">
      <c r="F112" s="205"/>
    </row>
    <row r="113" spans="6:6" x14ac:dyDescent="0.3">
      <c r="F113" s="205"/>
    </row>
    <row r="114" spans="6:6" x14ac:dyDescent="0.3">
      <c r="F114" s="205"/>
    </row>
    <row r="115" spans="6:6" x14ac:dyDescent="0.3">
      <c r="F115" s="205"/>
    </row>
    <row r="116" spans="6:6" x14ac:dyDescent="0.3">
      <c r="F116" s="205"/>
    </row>
    <row r="117" spans="6:6" x14ac:dyDescent="0.3">
      <c r="F117" s="205"/>
    </row>
    <row r="118" spans="6:6" x14ac:dyDescent="0.3">
      <c r="F118" s="205"/>
    </row>
    <row r="119" spans="6:6" x14ac:dyDescent="0.3">
      <c r="F119" s="205"/>
    </row>
    <row r="120" spans="6:6" x14ac:dyDescent="0.3">
      <c r="F120" s="205"/>
    </row>
    <row r="121" spans="6:6" x14ac:dyDescent="0.3">
      <c r="F121" s="205"/>
    </row>
    <row r="122" spans="6:6" x14ac:dyDescent="0.3">
      <c r="F122" s="205"/>
    </row>
    <row r="123" spans="6:6" x14ac:dyDescent="0.3">
      <c r="F123" s="205"/>
    </row>
    <row r="124" spans="6:6" x14ac:dyDescent="0.3">
      <c r="F124" s="205"/>
    </row>
    <row r="125" spans="6:6" x14ac:dyDescent="0.3">
      <c r="F125" s="205"/>
    </row>
    <row r="126" spans="6:6" x14ac:dyDescent="0.3">
      <c r="F126" s="205"/>
    </row>
    <row r="127" spans="6:6" x14ac:dyDescent="0.3">
      <c r="F127" s="205"/>
    </row>
    <row r="128" spans="6:6" x14ac:dyDescent="0.3">
      <c r="F128" s="205"/>
    </row>
    <row r="129" spans="6:6" x14ac:dyDescent="0.3">
      <c r="F129" s="205"/>
    </row>
    <row r="130" spans="6:6" x14ac:dyDescent="0.3">
      <c r="F130" s="205"/>
    </row>
    <row r="131" spans="6:6" x14ac:dyDescent="0.3">
      <c r="F131" s="205"/>
    </row>
    <row r="132" spans="6:6" x14ac:dyDescent="0.3">
      <c r="F132" s="205"/>
    </row>
    <row r="133" spans="6:6" x14ac:dyDescent="0.3">
      <c r="F133" s="205"/>
    </row>
    <row r="134" spans="6:6" x14ac:dyDescent="0.3">
      <c r="F134" s="205"/>
    </row>
    <row r="135" spans="6:6" x14ac:dyDescent="0.3">
      <c r="F135" s="205"/>
    </row>
    <row r="136" spans="6:6" x14ac:dyDescent="0.3">
      <c r="F136" s="205"/>
    </row>
    <row r="137" spans="6:6" x14ac:dyDescent="0.3">
      <c r="F137" s="205"/>
    </row>
    <row r="138" spans="6:6" x14ac:dyDescent="0.3">
      <c r="F138" s="205"/>
    </row>
    <row r="139" spans="6:6" x14ac:dyDescent="0.3">
      <c r="F139" s="205"/>
    </row>
    <row r="140" spans="6:6" x14ac:dyDescent="0.3">
      <c r="F140" s="205"/>
    </row>
    <row r="141" spans="6:6" x14ac:dyDescent="0.3">
      <c r="F141" s="205"/>
    </row>
    <row r="142" spans="6:6" x14ac:dyDescent="0.3">
      <c r="F142" s="205"/>
    </row>
    <row r="143" spans="6:6" x14ac:dyDescent="0.3">
      <c r="F143" s="205"/>
    </row>
    <row r="144" spans="6:6" x14ac:dyDescent="0.3">
      <c r="F144" s="205"/>
    </row>
    <row r="145" spans="6:6" x14ac:dyDescent="0.3">
      <c r="F145" s="205"/>
    </row>
    <row r="146" spans="6:6" x14ac:dyDescent="0.3">
      <c r="F146" s="205"/>
    </row>
    <row r="147" spans="6:6" x14ac:dyDescent="0.3">
      <c r="F147" s="205"/>
    </row>
    <row r="148" spans="6:6" x14ac:dyDescent="0.3">
      <c r="F148" s="205"/>
    </row>
    <row r="149" spans="6:6" x14ac:dyDescent="0.3">
      <c r="F149" s="205"/>
    </row>
    <row r="150" spans="6:6" x14ac:dyDescent="0.3">
      <c r="F150" s="205"/>
    </row>
    <row r="151" spans="6:6" x14ac:dyDescent="0.3">
      <c r="F151" s="205"/>
    </row>
    <row r="152" spans="6:6" x14ac:dyDescent="0.3">
      <c r="F152" s="205"/>
    </row>
    <row r="153" spans="6:6" x14ac:dyDescent="0.3">
      <c r="F153" s="205"/>
    </row>
    <row r="154" spans="6:6" x14ac:dyDescent="0.3">
      <c r="F154" s="205"/>
    </row>
    <row r="155" spans="6:6" x14ac:dyDescent="0.3">
      <c r="F155" s="205"/>
    </row>
    <row r="156" spans="6:6" x14ac:dyDescent="0.3">
      <c r="F156" s="205"/>
    </row>
    <row r="157" spans="6:6" x14ac:dyDescent="0.3">
      <c r="F157" s="205"/>
    </row>
    <row r="158" spans="6:6" x14ac:dyDescent="0.3">
      <c r="F158" s="205"/>
    </row>
    <row r="159" spans="6:6" x14ac:dyDescent="0.3">
      <c r="F159" s="205"/>
    </row>
    <row r="160" spans="6:6" x14ac:dyDescent="0.3">
      <c r="F160" s="205"/>
    </row>
    <row r="161" spans="6:6" x14ac:dyDescent="0.3">
      <c r="F161" s="205"/>
    </row>
    <row r="162" spans="6:6" x14ac:dyDescent="0.3">
      <c r="F162" s="205"/>
    </row>
    <row r="163" spans="6:6" x14ac:dyDescent="0.3">
      <c r="F163" s="205"/>
    </row>
    <row r="164" spans="6:6" x14ac:dyDescent="0.3">
      <c r="F164" s="205"/>
    </row>
    <row r="165" spans="6:6" x14ac:dyDescent="0.3">
      <c r="F165" s="205"/>
    </row>
    <row r="166" spans="6:6" x14ac:dyDescent="0.3">
      <c r="F166" s="205"/>
    </row>
    <row r="167" spans="6:6" x14ac:dyDescent="0.3">
      <c r="F167" s="205"/>
    </row>
    <row r="168" spans="6:6" x14ac:dyDescent="0.3">
      <c r="F168" s="205"/>
    </row>
    <row r="169" spans="6:6" x14ac:dyDescent="0.3">
      <c r="F169" s="205"/>
    </row>
    <row r="170" spans="6:6" x14ac:dyDescent="0.3">
      <c r="F170" s="205"/>
    </row>
    <row r="171" spans="6:6" x14ac:dyDescent="0.3">
      <c r="F171" s="205"/>
    </row>
    <row r="172" spans="6:6" x14ac:dyDescent="0.3">
      <c r="F172" s="205"/>
    </row>
    <row r="173" spans="6:6" x14ac:dyDescent="0.3">
      <c r="F173" s="205"/>
    </row>
    <row r="174" spans="6:6" x14ac:dyDescent="0.3">
      <c r="F174" s="205"/>
    </row>
    <row r="175" spans="6:6" x14ac:dyDescent="0.3">
      <c r="F175" s="205"/>
    </row>
    <row r="176" spans="6:6" x14ac:dyDescent="0.3">
      <c r="F176" s="205"/>
    </row>
    <row r="177" spans="6:6" x14ac:dyDescent="0.3">
      <c r="F177" s="205"/>
    </row>
    <row r="178" spans="6:6" x14ac:dyDescent="0.3">
      <c r="F178" s="205"/>
    </row>
    <row r="179" spans="6:6" x14ac:dyDescent="0.3">
      <c r="F179" s="205"/>
    </row>
    <row r="180" spans="6:6" x14ac:dyDescent="0.3">
      <c r="F180" s="205"/>
    </row>
    <row r="181" spans="6:6" x14ac:dyDescent="0.3">
      <c r="F181" s="205"/>
    </row>
    <row r="182" spans="6:6" x14ac:dyDescent="0.3">
      <c r="F182" s="205"/>
    </row>
    <row r="183" spans="6:6" x14ac:dyDescent="0.3">
      <c r="F183" s="205"/>
    </row>
    <row r="184" spans="6:6" x14ac:dyDescent="0.3">
      <c r="F184" s="205"/>
    </row>
    <row r="185" spans="6:6" x14ac:dyDescent="0.3">
      <c r="F185" s="205"/>
    </row>
    <row r="186" spans="6:6" x14ac:dyDescent="0.3">
      <c r="F186" s="205"/>
    </row>
    <row r="187" spans="6:6" x14ac:dyDescent="0.3">
      <c r="F187" s="205"/>
    </row>
    <row r="188" spans="6:6" x14ac:dyDescent="0.3">
      <c r="F188" s="205"/>
    </row>
    <row r="189" spans="6:6" x14ac:dyDescent="0.3">
      <c r="F189" s="205"/>
    </row>
    <row r="190" spans="6:6" x14ac:dyDescent="0.3">
      <c r="F190" s="205"/>
    </row>
    <row r="191" spans="6:6" x14ac:dyDescent="0.3">
      <c r="F191" s="205"/>
    </row>
    <row r="192" spans="6:6" x14ac:dyDescent="0.3">
      <c r="F192" s="205"/>
    </row>
    <row r="193" spans="6:6" x14ac:dyDescent="0.3">
      <c r="F193" s="205"/>
    </row>
    <row r="194" spans="6:6" x14ac:dyDescent="0.3">
      <c r="F194" s="205"/>
    </row>
    <row r="195" spans="6:6" x14ac:dyDescent="0.3">
      <c r="F195" s="205"/>
    </row>
    <row r="196" spans="6:6" x14ac:dyDescent="0.3">
      <c r="F196" s="205"/>
    </row>
    <row r="197" spans="6:6" x14ac:dyDescent="0.3">
      <c r="F197" s="205"/>
    </row>
    <row r="198" spans="6:6" x14ac:dyDescent="0.3">
      <c r="F198" s="205"/>
    </row>
    <row r="199" spans="6:6" x14ac:dyDescent="0.3">
      <c r="F199" s="205"/>
    </row>
    <row r="200" spans="6:6" x14ac:dyDescent="0.3">
      <c r="F200" s="205"/>
    </row>
    <row r="201" spans="6:6" x14ac:dyDescent="0.3">
      <c r="F201" s="205"/>
    </row>
    <row r="202" spans="6:6" x14ac:dyDescent="0.3">
      <c r="F202" s="205"/>
    </row>
    <row r="203" spans="6:6" x14ac:dyDescent="0.3">
      <c r="F203" s="205"/>
    </row>
    <row r="204" spans="6:6" x14ac:dyDescent="0.3">
      <c r="F204" s="205"/>
    </row>
    <row r="205" spans="6:6" x14ac:dyDescent="0.3">
      <c r="F205" s="205"/>
    </row>
    <row r="206" spans="6:6" x14ac:dyDescent="0.3">
      <c r="F206" s="205"/>
    </row>
    <row r="207" spans="6:6" x14ac:dyDescent="0.3">
      <c r="F207" s="205"/>
    </row>
    <row r="208" spans="6:6" x14ac:dyDescent="0.3">
      <c r="F208" s="205"/>
    </row>
    <row r="209" spans="6:6" x14ac:dyDescent="0.3">
      <c r="F209" s="205"/>
    </row>
    <row r="210" spans="6:6" x14ac:dyDescent="0.3">
      <c r="F210" s="205"/>
    </row>
    <row r="211" spans="6:6" x14ac:dyDescent="0.3">
      <c r="F211" s="205"/>
    </row>
    <row r="212" spans="6:6" x14ac:dyDescent="0.3">
      <c r="F212" s="205"/>
    </row>
    <row r="213" spans="6:6" x14ac:dyDescent="0.3">
      <c r="F213" s="205"/>
    </row>
    <row r="214" spans="6:6" x14ac:dyDescent="0.3">
      <c r="F214" s="205"/>
    </row>
    <row r="215" spans="6:6" x14ac:dyDescent="0.3">
      <c r="F215" s="205"/>
    </row>
    <row r="216" spans="6:6" x14ac:dyDescent="0.3">
      <c r="F216" s="205"/>
    </row>
    <row r="217" spans="6:6" x14ac:dyDescent="0.3">
      <c r="F217" s="205"/>
    </row>
    <row r="218" spans="6:6" x14ac:dyDescent="0.3">
      <c r="F218" s="205"/>
    </row>
    <row r="219" spans="6:6" x14ac:dyDescent="0.3">
      <c r="F219" s="205"/>
    </row>
    <row r="220" spans="6:6" x14ac:dyDescent="0.3">
      <c r="F220" s="205"/>
    </row>
    <row r="221" spans="6:6" x14ac:dyDescent="0.3">
      <c r="F221" s="205"/>
    </row>
    <row r="222" spans="6:6" x14ac:dyDescent="0.3">
      <c r="F222" s="205"/>
    </row>
    <row r="223" spans="6:6" x14ac:dyDescent="0.3">
      <c r="F223" s="205"/>
    </row>
    <row r="224" spans="6:6" x14ac:dyDescent="0.3">
      <c r="F224" s="205"/>
    </row>
    <row r="225" spans="6:6" x14ac:dyDescent="0.3">
      <c r="F225" s="205"/>
    </row>
    <row r="226" spans="6:6" x14ac:dyDescent="0.3">
      <c r="F226" s="205"/>
    </row>
    <row r="227" spans="6:6" x14ac:dyDescent="0.3">
      <c r="F227" s="205"/>
    </row>
    <row r="228" spans="6:6" x14ac:dyDescent="0.3">
      <c r="F228" s="205"/>
    </row>
    <row r="229" spans="6:6" x14ac:dyDescent="0.3">
      <c r="F229" s="205"/>
    </row>
    <row r="230" spans="6:6" x14ac:dyDescent="0.3">
      <c r="F230" s="205"/>
    </row>
    <row r="231" spans="6:6" x14ac:dyDescent="0.3">
      <c r="F231" s="205"/>
    </row>
    <row r="232" spans="6:6" x14ac:dyDescent="0.3">
      <c r="F232" s="205"/>
    </row>
    <row r="233" spans="6:6" x14ac:dyDescent="0.3">
      <c r="F233" s="205"/>
    </row>
    <row r="234" spans="6:6" x14ac:dyDescent="0.3">
      <c r="F234" s="205"/>
    </row>
    <row r="235" spans="6:6" x14ac:dyDescent="0.3">
      <c r="F235" s="205"/>
    </row>
    <row r="236" spans="6:6" x14ac:dyDescent="0.3">
      <c r="F236" s="205"/>
    </row>
    <row r="237" spans="6:6" x14ac:dyDescent="0.3">
      <c r="F237" s="205"/>
    </row>
    <row r="238" spans="6:6" x14ac:dyDescent="0.3">
      <c r="F238" s="205"/>
    </row>
    <row r="239" spans="6:6" x14ac:dyDescent="0.3">
      <c r="F239" s="205"/>
    </row>
    <row r="240" spans="6:6" x14ac:dyDescent="0.3">
      <c r="F240" s="205"/>
    </row>
    <row r="241" spans="6:6" x14ac:dyDescent="0.3">
      <c r="F241" s="205"/>
    </row>
    <row r="242" spans="6:6" x14ac:dyDescent="0.3">
      <c r="F242" s="205"/>
    </row>
    <row r="243" spans="6:6" x14ac:dyDescent="0.3">
      <c r="F243" s="205"/>
    </row>
    <row r="244" spans="6:6" x14ac:dyDescent="0.3">
      <c r="F244" s="205"/>
    </row>
    <row r="245" spans="6:6" x14ac:dyDescent="0.3">
      <c r="F245" s="205"/>
    </row>
    <row r="246" spans="6:6" x14ac:dyDescent="0.3">
      <c r="F246" s="205"/>
    </row>
    <row r="247" spans="6:6" x14ac:dyDescent="0.3">
      <c r="F247" s="205"/>
    </row>
    <row r="248" spans="6:6" x14ac:dyDescent="0.3">
      <c r="F248" s="205"/>
    </row>
    <row r="249" spans="6:6" x14ac:dyDescent="0.3">
      <c r="F249" s="205"/>
    </row>
    <row r="250" spans="6:6" x14ac:dyDescent="0.3">
      <c r="F250" s="205"/>
    </row>
    <row r="251" spans="6:6" x14ac:dyDescent="0.3">
      <c r="F251" s="205"/>
    </row>
    <row r="252" spans="6:6" x14ac:dyDescent="0.3">
      <c r="F252" s="205"/>
    </row>
    <row r="253" spans="6:6" x14ac:dyDescent="0.3">
      <c r="F253" s="205"/>
    </row>
    <row r="254" spans="6:6" x14ac:dyDescent="0.3">
      <c r="F254" s="205"/>
    </row>
    <row r="255" spans="6:6" x14ac:dyDescent="0.3">
      <c r="F255" s="205"/>
    </row>
    <row r="256" spans="6:6" x14ac:dyDescent="0.3">
      <c r="F256" s="205"/>
    </row>
    <row r="257" spans="6:6" x14ac:dyDescent="0.3">
      <c r="F257" s="205"/>
    </row>
    <row r="258" spans="6:6" x14ac:dyDescent="0.3">
      <c r="F258" s="205"/>
    </row>
    <row r="259" spans="6:6" x14ac:dyDescent="0.3">
      <c r="F259" s="205"/>
    </row>
    <row r="260" spans="6:6" x14ac:dyDescent="0.3">
      <c r="F260" s="205"/>
    </row>
    <row r="261" spans="6:6" x14ac:dyDescent="0.3">
      <c r="F261" s="205"/>
    </row>
    <row r="262" spans="6:6" x14ac:dyDescent="0.3">
      <c r="F262" s="205"/>
    </row>
    <row r="263" spans="6:6" x14ac:dyDescent="0.3">
      <c r="F263" s="205"/>
    </row>
    <row r="264" spans="6:6" x14ac:dyDescent="0.3">
      <c r="F264" s="205"/>
    </row>
    <row r="265" spans="6:6" x14ac:dyDescent="0.3">
      <c r="F265" s="205"/>
    </row>
    <row r="266" spans="6:6" x14ac:dyDescent="0.3">
      <c r="F266" s="205"/>
    </row>
    <row r="267" spans="6:6" x14ac:dyDescent="0.3">
      <c r="F267" s="205"/>
    </row>
    <row r="268" spans="6:6" x14ac:dyDescent="0.3">
      <c r="F268" s="205"/>
    </row>
    <row r="269" spans="6:6" x14ac:dyDescent="0.3">
      <c r="F269" s="205"/>
    </row>
    <row r="270" spans="6:6" x14ac:dyDescent="0.3">
      <c r="F270" s="205"/>
    </row>
    <row r="271" spans="6:6" x14ac:dyDescent="0.3">
      <c r="F271" s="205"/>
    </row>
    <row r="272" spans="6:6" x14ac:dyDescent="0.3">
      <c r="F272" s="205"/>
    </row>
    <row r="273" spans="6:6" x14ac:dyDescent="0.3">
      <c r="F273" s="205"/>
    </row>
    <row r="274" spans="6:6" x14ac:dyDescent="0.3">
      <c r="F274" s="205"/>
    </row>
    <row r="275" spans="6:6" x14ac:dyDescent="0.3">
      <c r="F275" s="205"/>
    </row>
    <row r="276" spans="6:6" x14ac:dyDescent="0.3">
      <c r="F276" s="205"/>
    </row>
    <row r="277" spans="6:6" x14ac:dyDescent="0.3">
      <c r="F277" s="205"/>
    </row>
    <row r="278" spans="6:6" x14ac:dyDescent="0.3">
      <c r="F278" s="205"/>
    </row>
    <row r="279" spans="6:6" x14ac:dyDescent="0.3">
      <c r="F279" s="205"/>
    </row>
    <row r="280" spans="6:6" x14ac:dyDescent="0.3">
      <c r="F280" s="205"/>
    </row>
    <row r="281" spans="6:6" x14ac:dyDescent="0.3">
      <c r="F281" s="205"/>
    </row>
    <row r="282" spans="6:6" x14ac:dyDescent="0.3">
      <c r="F282" s="205"/>
    </row>
    <row r="283" spans="6:6" x14ac:dyDescent="0.3">
      <c r="F283" s="205"/>
    </row>
    <row r="284" spans="6:6" x14ac:dyDescent="0.3">
      <c r="F284" s="205"/>
    </row>
    <row r="285" spans="6:6" x14ac:dyDescent="0.3">
      <c r="F285" s="205"/>
    </row>
    <row r="286" spans="6:6" x14ac:dyDescent="0.3">
      <c r="F286" s="205"/>
    </row>
    <row r="287" spans="6:6" x14ac:dyDescent="0.3">
      <c r="F287" s="205"/>
    </row>
    <row r="288" spans="6:6" x14ac:dyDescent="0.3">
      <c r="F288" s="205"/>
    </row>
    <row r="289" spans="6:6" x14ac:dyDescent="0.3">
      <c r="F289" s="205"/>
    </row>
    <row r="290" spans="6:6" x14ac:dyDescent="0.3">
      <c r="F290" s="205"/>
    </row>
    <row r="291" spans="6:6" x14ac:dyDescent="0.3">
      <c r="F291" s="205"/>
    </row>
    <row r="292" spans="6:6" x14ac:dyDescent="0.3">
      <c r="F292" s="205"/>
    </row>
    <row r="293" spans="6:6" x14ac:dyDescent="0.3">
      <c r="F293" s="205"/>
    </row>
    <row r="294" spans="6:6" x14ac:dyDescent="0.3">
      <c r="F294" s="205"/>
    </row>
    <row r="295" spans="6:6" x14ac:dyDescent="0.3">
      <c r="F295" s="205"/>
    </row>
    <row r="296" spans="6:6" x14ac:dyDescent="0.3">
      <c r="F296" s="205"/>
    </row>
    <row r="297" spans="6:6" x14ac:dyDescent="0.3">
      <c r="F297" s="205"/>
    </row>
    <row r="298" spans="6:6" x14ac:dyDescent="0.3">
      <c r="F298" s="205"/>
    </row>
    <row r="299" spans="6:6" x14ac:dyDescent="0.3">
      <c r="F299" s="205"/>
    </row>
    <row r="300" spans="6:6" x14ac:dyDescent="0.3">
      <c r="F300" s="205"/>
    </row>
    <row r="301" spans="6:6" x14ac:dyDescent="0.3">
      <c r="F301" s="205"/>
    </row>
    <row r="302" spans="6:6" x14ac:dyDescent="0.3">
      <c r="F302" s="205"/>
    </row>
    <row r="303" spans="6:6" x14ac:dyDescent="0.3">
      <c r="F303" s="205"/>
    </row>
    <row r="304" spans="6:6" x14ac:dyDescent="0.3">
      <c r="F304" s="205"/>
    </row>
    <row r="305" spans="6:6" x14ac:dyDescent="0.3">
      <c r="F305" s="205"/>
    </row>
    <row r="306" spans="6:6" x14ac:dyDescent="0.3">
      <c r="F306" s="205"/>
    </row>
    <row r="307" spans="6:6" x14ac:dyDescent="0.3">
      <c r="F307" s="205"/>
    </row>
    <row r="308" spans="6:6" x14ac:dyDescent="0.3">
      <c r="F308" s="205"/>
    </row>
    <row r="309" spans="6:6" x14ac:dyDescent="0.3">
      <c r="F309" s="205"/>
    </row>
    <row r="310" spans="6:6" x14ac:dyDescent="0.3">
      <c r="F310" s="205"/>
    </row>
    <row r="311" spans="6:6" x14ac:dyDescent="0.3">
      <c r="F311" s="205"/>
    </row>
    <row r="312" spans="6:6" x14ac:dyDescent="0.3">
      <c r="F312" s="205"/>
    </row>
    <row r="313" spans="6:6" x14ac:dyDescent="0.3">
      <c r="F313" s="205"/>
    </row>
    <row r="314" spans="6:6" x14ac:dyDescent="0.3">
      <c r="F314" s="205"/>
    </row>
    <row r="315" spans="6:6" x14ac:dyDescent="0.3">
      <c r="F315" s="205"/>
    </row>
    <row r="316" spans="6:6" x14ac:dyDescent="0.3">
      <c r="F316" s="205"/>
    </row>
    <row r="317" spans="6:6" x14ac:dyDescent="0.3">
      <c r="F317" s="205"/>
    </row>
    <row r="318" spans="6:6" x14ac:dyDescent="0.3">
      <c r="F318" s="205"/>
    </row>
    <row r="319" spans="6:6" x14ac:dyDescent="0.3">
      <c r="F319" s="205"/>
    </row>
    <row r="320" spans="6:6" x14ac:dyDescent="0.3">
      <c r="F320" s="205"/>
    </row>
    <row r="321" spans="6:6" x14ac:dyDescent="0.3">
      <c r="F321" s="205"/>
    </row>
    <row r="322" spans="6:6" x14ac:dyDescent="0.3">
      <c r="F322" s="205"/>
    </row>
    <row r="323" spans="6:6" x14ac:dyDescent="0.3">
      <c r="F323" s="205"/>
    </row>
    <row r="324" spans="6:6" x14ac:dyDescent="0.3">
      <c r="F324" s="205"/>
    </row>
    <row r="325" spans="6:6" x14ac:dyDescent="0.3">
      <c r="F325" s="205"/>
    </row>
    <row r="326" spans="6:6" x14ac:dyDescent="0.3">
      <c r="F326" s="205"/>
    </row>
    <row r="327" spans="6:6" x14ac:dyDescent="0.3">
      <c r="F327" s="205"/>
    </row>
    <row r="328" spans="6:6" x14ac:dyDescent="0.3">
      <c r="F328" s="205"/>
    </row>
    <row r="329" spans="6:6" x14ac:dyDescent="0.3">
      <c r="F329" s="205"/>
    </row>
    <row r="330" spans="6:6" x14ac:dyDescent="0.3">
      <c r="F330" s="205"/>
    </row>
    <row r="331" spans="6:6" x14ac:dyDescent="0.3">
      <c r="F331" s="205"/>
    </row>
    <row r="332" spans="6:6" x14ac:dyDescent="0.3">
      <c r="F332" s="205"/>
    </row>
    <row r="333" spans="6:6" x14ac:dyDescent="0.3">
      <c r="F333" s="205"/>
    </row>
    <row r="334" spans="6:6" x14ac:dyDescent="0.3">
      <c r="F334" s="205"/>
    </row>
    <row r="335" spans="6:6" x14ac:dyDescent="0.3">
      <c r="F335" s="205"/>
    </row>
    <row r="336" spans="6:6" x14ac:dyDescent="0.3">
      <c r="F336" s="205"/>
    </row>
    <row r="337" spans="6:6" x14ac:dyDescent="0.3">
      <c r="F337" s="205"/>
    </row>
    <row r="338" spans="6:6" x14ac:dyDescent="0.3">
      <c r="F338" s="205"/>
    </row>
    <row r="339" spans="6:6" x14ac:dyDescent="0.3">
      <c r="F339" s="205"/>
    </row>
    <row r="340" spans="6:6" x14ac:dyDescent="0.3">
      <c r="F340" s="205"/>
    </row>
    <row r="341" spans="6:6" x14ac:dyDescent="0.3">
      <c r="F341" s="205"/>
    </row>
    <row r="342" spans="6:6" x14ac:dyDescent="0.3">
      <c r="F342" s="205"/>
    </row>
    <row r="343" spans="6:6" x14ac:dyDescent="0.3">
      <c r="F343" s="205"/>
    </row>
    <row r="344" spans="6:6" x14ac:dyDescent="0.3">
      <c r="F344" s="205"/>
    </row>
    <row r="345" spans="6:6" x14ac:dyDescent="0.3">
      <c r="F345" s="205"/>
    </row>
    <row r="346" spans="6:6" x14ac:dyDescent="0.3">
      <c r="F346" s="205"/>
    </row>
    <row r="347" spans="6:6" x14ac:dyDescent="0.3">
      <c r="F347" s="205"/>
    </row>
    <row r="348" spans="6:6" x14ac:dyDescent="0.3">
      <c r="F348" s="205"/>
    </row>
    <row r="349" spans="6:6" x14ac:dyDescent="0.3">
      <c r="F349" s="205"/>
    </row>
    <row r="350" spans="6:6" x14ac:dyDescent="0.3">
      <c r="F350" s="205"/>
    </row>
    <row r="351" spans="6:6" x14ac:dyDescent="0.3">
      <c r="F351" s="205"/>
    </row>
    <row r="352" spans="6:6" x14ac:dyDescent="0.3">
      <c r="F352" s="205"/>
    </row>
    <row r="353" spans="6:6" x14ac:dyDescent="0.3">
      <c r="F353" s="205"/>
    </row>
    <row r="354" spans="6:6" x14ac:dyDescent="0.3">
      <c r="F354" s="205"/>
    </row>
    <row r="355" spans="6:6" x14ac:dyDescent="0.3">
      <c r="F355" s="205"/>
    </row>
    <row r="356" spans="6:6" x14ac:dyDescent="0.3">
      <c r="F356" s="205"/>
    </row>
    <row r="357" spans="6:6" x14ac:dyDescent="0.3">
      <c r="F357" s="205"/>
    </row>
    <row r="358" spans="6:6" x14ac:dyDescent="0.3">
      <c r="F358" s="205"/>
    </row>
    <row r="359" spans="6:6" x14ac:dyDescent="0.3">
      <c r="F359" s="205"/>
    </row>
    <row r="360" spans="6:6" x14ac:dyDescent="0.3">
      <c r="F360" s="205"/>
    </row>
    <row r="361" spans="6:6" x14ac:dyDescent="0.3">
      <c r="F361" s="205"/>
    </row>
    <row r="362" spans="6:6" x14ac:dyDescent="0.3">
      <c r="F362" s="205"/>
    </row>
    <row r="363" spans="6:6" x14ac:dyDescent="0.3">
      <c r="F363" s="205"/>
    </row>
    <row r="364" spans="6:6" x14ac:dyDescent="0.3">
      <c r="F364" s="205"/>
    </row>
    <row r="365" spans="6:6" x14ac:dyDescent="0.3">
      <c r="F365" s="205"/>
    </row>
    <row r="366" spans="6:6" x14ac:dyDescent="0.3">
      <c r="F366" s="205"/>
    </row>
    <row r="367" spans="6:6" x14ac:dyDescent="0.3">
      <c r="F367" s="205"/>
    </row>
    <row r="368" spans="6:6" x14ac:dyDescent="0.3">
      <c r="F368" s="205"/>
    </row>
    <row r="369" spans="6:6" x14ac:dyDescent="0.3">
      <c r="F369" s="205"/>
    </row>
    <row r="370" spans="6:6" x14ac:dyDescent="0.3">
      <c r="F370" s="205"/>
    </row>
    <row r="371" spans="6:6" x14ac:dyDescent="0.3">
      <c r="F371" s="205"/>
    </row>
    <row r="372" spans="6:6" x14ac:dyDescent="0.3">
      <c r="F372" s="205"/>
    </row>
    <row r="373" spans="6:6" x14ac:dyDescent="0.3">
      <c r="F373" s="205"/>
    </row>
    <row r="374" spans="6:6" x14ac:dyDescent="0.3">
      <c r="F374" s="205"/>
    </row>
    <row r="375" spans="6:6" x14ac:dyDescent="0.3">
      <c r="F375" s="205"/>
    </row>
    <row r="376" spans="6:6" x14ac:dyDescent="0.3">
      <c r="F376" s="205"/>
    </row>
    <row r="377" spans="6:6" x14ac:dyDescent="0.3">
      <c r="F377" s="205"/>
    </row>
    <row r="378" spans="6:6" x14ac:dyDescent="0.3">
      <c r="F378" s="205"/>
    </row>
    <row r="379" spans="6:6" x14ac:dyDescent="0.3">
      <c r="F379" s="205"/>
    </row>
    <row r="380" spans="6:6" x14ac:dyDescent="0.3">
      <c r="F380" s="205"/>
    </row>
    <row r="381" spans="6:6" x14ac:dyDescent="0.3">
      <c r="F381" s="205"/>
    </row>
    <row r="382" spans="6:6" x14ac:dyDescent="0.3">
      <c r="F382" s="205"/>
    </row>
    <row r="383" spans="6:6" x14ac:dyDescent="0.3">
      <c r="F383" s="205"/>
    </row>
    <row r="384" spans="6:6" x14ac:dyDescent="0.3">
      <c r="F384" s="205"/>
    </row>
    <row r="385" spans="6:6" x14ac:dyDescent="0.3">
      <c r="F385" s="205"/>
    </row>
    <row r="386" spans="6:6" x14ac:dyDescent="0.3">
      <c r="F386" s="205"/>
    </row>
    <row r="387" spans="6:6" x14ac:dyDescent="0.3">
      <c r="F387" s="205"/>
    </row>
    <row r="388" spans="6:6" x14ac:dyDescent="0.3">
      <c r="F388" s="205"/>
    </row>
    <row r="389" spans="6:6" x14ac:dyDescent="0.3">
      <c r="F389" s="205"/>
    </row>
    <row r="390" spans="6:6" x14ac:dyDescent="0.3">
      <c r="F390" s="205"/>
    </row>
    <row r="391" spans="6:6" x14ac:dyDescent="0.3">
      <c r="F391" s="205"/>
    </row>
    <row r="392" spans="6:6" x14ac:dyDescent="0.3">
      <c r="F392" s="205"/>
    </row>
    <row r="393" spans="6:6" x14ac:dyDescent="0.3">
      <c r="F393" s="205"/>
    </row>
    <row r="394" spans="6:6" x14ac:dyDescent="0.3">
      <c r="F394" s="205"/>
    </row>
    <row r="395" spans="6:6" x14ac:dyDescent="0.3">
      <c r="F395" s="205"/>
    </row>
    <row r="396" spans="6:6" x14ac:dyDescent="0.3">
      <c r="F396" s="205"/>
    </row>
    <row r="397" spans="6:6" x14ac:dyDescent="0.3">
      <c r="F397" s="205"/>
    </row>
    <row r="398" spans="6:6" x14ac:dyDescent="0.3">
      <c r="F398" s="205"/>
    </row>
    <row r="399" spans="6:6" x14ac:dyDescent="0.3">
      <c r="F399" s="205"/>
    </row>
    <row r="400" spans="6:6" x14ac:dyDescent="0.3">
      <c r="F400" s="205"/>
    </row>
    <row r="401" spans="6:6" x14ac:dyDescent="0.3">
      <c r="F401" s="205"/>
    </row>
    <row r="402" spans="6:6" x14ac:dyDescent="0.3">
      <c r="F402" s="205"/>
    </row>
    <row r="403" spans="6:6" x14ac:dyDescent="0.3">
      <c r="F403" s="205"/>
    </row>
    <row r="404" spans="6:6" x14ac:dyDescent="0.3">
      <c r="F404" s="205"/>
    </row>
    <row r="405" spans="6:6" x14ac:dyDescent="0.3">
      <c r="F405" s="205"/>
    </row>
    <row r="406" spans="6:6" x14ac:dyDescent="0.3">
      <c r="F406" s="205"/>
    </row>
    <row r="407" spans="6:6" x14ac:dyDescent="0.3">
      <c r="F407" s="205"/>
    </row>
    <row r="408" spans="6:6" x14ac:dyDescent="0.3">
      <c r="F408" s="205"/>
    </row>
    <row r="409" spans="6:6" x14ac:dyDescent="0.3">
      <c r="F409" s="205"/>
    </row>
    <row r="410" spans="6:6" x14ac:dyDescent="0.3">
      <c r="F410" s="205"/>
    </row>
    <row r="411" spans="6:6" x14ac:dyDescent="0.3">
      <c r="F411" s="205"/>
    </row>
    <row r="412" spans="6:6" x14ac:dyDescent="0.3">
      <c r="F412" s="205"/>
    </row>
    <row r="413" spans="6:6" x14ac:dyDescent="0.3">
      <c r="F413" s="205"/>
    </row>
    <row r="414" spans="6:6" x14ac:dyDescent="0.3">
      <c r="F414" s="205"/>
    </row>
    <row r="415" spans="6:6" x14ac:dyDescent="0.3">
      <c r="F415" s="205"/>
    </row>
    <row r="416" spans="6:6" x14ac:dyDescent="0.3">
      <c r="F416" s="205"/>
    </row>
    <row r="417" spans="6:6" x14ac:dyDescent="0.3">
      <c r="F417" s="205"/>
    </row>
    <row r="418" spans="6:6" x14ac:dyDescent="0.3">
      <c r="F418" s="205"/>
    </row>
    <row r="419" spans="6:6" x14ac:dyDescent="0.3">
      <c r="F419" s="205"/>
    </row>
    <row r="420" spans="6:6" x14ac:dyDescent="0.3">
      <c r="F420" s="205"/>
    </row>
    <row r="421" spans="6:6" x14ac:dyDescent="0.3">
      <c r="F421" s="205"/>
    </row>
    <row r="422" spans="6:6" x14ac:dyDescent="0.3">
      <c r="F422" s="205"/>
    </row>
    <row r="423" spans="6:6" x14ac:dyDescent="0.3">
      <c r="F423" s="205"/>
    </row>
    <row r="424" spans="6:6" x14ac:dyDescent="0.3">
      <c r="F424" s="205"/>
    </row>
    <row r="425" spans="6:6" x14ac:dyDescent="0.3">
      <c r="F425" s="205"/>
    </row>
    <row r="426" spans="6:6" x14ac:dyDescent="0.3">
      <c r="F426" s="205"/>
    </row>
    <row r="427" spans="6:6" x14ac:dyDescent="0.3">
      <c r="F427" s="205"/>
    </row>
    <row r="428" spans="6:6" x14ac:dyDescent="0.3">
      <c r="F428" s="205"/>
    </row>
    <row r="429" spans="6:6" x14ac:dyDescent="0.3">
      <c r="F429" s="205"/>
    </row>
    <row r="430" spans="6:6" x14ac:dyDescent="0.3">
      <c r="F430" s="205"/>
    </row>
    <row r="431" spans="6:6" x14ac:dyDescent="0.3">
      <c r="F431" s="205"/>
    </row>
    <row r="432" spans="6:6" x14ac:dyDescent="0.3">
      <c r="F432" s="205"/>
    </row>
    <row r="433" spans="6:6" x14ac:dyDescent="0.3">
      <c r="F433" s="205"/>
    </row>
    <row r="434" spans="6:6" x14ac:dyDescent="0.3">
      <c r="F434" s="205"/>
    </row>
    <row r="435" spans="6:6" x14ac:dyDescent="0.3">
      <c r="F435" s="205"/>
    </row>
    <row r="436" spans="6:6" x14ac:dyDescent="0.3">
      <c r="F436" s="205"/>
    </row>
    <row r="437" spans="6:6" x14ac:dyDescent="0.3">
      <c r="F437" s="205"/>
    </row>
    <row r="438" spans="6:6" x14ac:dyDescent="0.3">
      <c r="F438" s="205"/>
    </row>
    <row r="439" spans="6:6" x14ac:dyDescent="0.3">
      <c r="F439" s="205"/>
    </row>
    <row r="440" spans="6:6" x14ac:dyDescent="0.3">
      <c r="F440" s="205"/>
    </row>
    <row r="441" spans="6:6" x14ac:dyDescent="0.3">
      <c r="F441" s="205"/>
    </row>
    <row r="442" spans="6:6" x14ac:dyDescent="0.3">
      <c r="F442" s="205"/>
    </row>
    <row r="443" spans="6:6" x14ac:dyDescent="0.3">
      <c r="F443" s="205"/>
    </row>
    <row r="444" spans="6:6" x14ac:dyDescent="0.3">
      <c r="F444" s="205"/>
    </row>
    <row r="445" spans="6:6" x14ac:dyDescent="0.3">
      <c r="F445" s="205"/>
    </row>
    <row r="446" spans="6:6" x14ac:dyDescent="0.3">
      <c r="F446" s="205"/>
    </row>
    <row r="447" spans="6:6" x14ac:dyDescent="0.3">
      <c r="F447" s="205"/>
    </row>
    <row r="448" spans="6:6" x14ac:dyDescent="0.3">
      <c r="F448" s="205"/>
    </row>
    <row r="449" spans="6:6" x14ac:dyDescent="0.3">
      <c r="F449" s="205"/>
    </row>
    <row r="450" spans="6:6" x14ac:dyDescent="0.3">
      <c r="F450" s="205"/>
    </row>
    <row r="451" spans="6:6" x14ac:dyDescent="0.3">
      <c r="F451" s="205"/>
    </row>
    <row r="452" spans="6:6" x14ac:dyDescent="0.3">
      <c r="F452" s="205"/>
    </row>
    <row r="453" spans="6:6" x14ac:dyDescent="0.3">
      <c r="F453" s="205"/>
    </row>
    <row r="454" spans="6:6" x14ac:dyDescent="0.3">
      <c r="F454" s="205"/>
    </row>
    <row r="455" spans="6:6" x14ac:dyDescent="0.3">
      <c r="F455" s="205"/>
    </row>
    <row r="456" spans="6:6" x14ac:dyDescent="0.3">
      <c r="F456" s="205"/>
    </row>
    <row r="457" spans="6:6" x14ac:dyDescent="0.3">
      <c r="F457" s="205"/>
    </row>
    <row r="458" spans="6:6" x14ac:dyDescent="0.3">
      <c r="F458" s="205"/>
    </row>
    <row r="459" spans="6:6" x14ac:dyDescent="0.3">
      <c r="F459" s="205"/>
    </row>
    <row r="460" spans="6:6" x14ac:dyDescent="0.3">
      <c r="F460" s="205"/>
    </row>
    <row r="461" spans="6:6" x14ac:dyDescent="0.3">
      <c r="F461" s="205"/>
    </row>
    <row r="462" spans="6:6" x14ac:dyDescent="0.3">
      <c r="F462" s="205"/>
    </row>
    <row r="463" spans="6:6" x14ac:dyDescent="0.3">
      <c r="F463" s="205"/>
    </row>
    <row r="464" spans="6:6" x14ac:dyDescent="0.3">
      <c r="F464" s="205"/>
    </row>
    <row r="465" spans="6:6" x14ac:dyDescent="0.3">
      <c r="F465" s="205"/>
    </row>
    <row r="466" spans="6:6" x14ac:dyDescent="0.3">
      <c r="F466" s="205"/>
    </row>
    <row r="467" spans="6:6" x14ac:dyDescent="0.3">
      <c r="F467" s="205"/>
    </row>
    <row r="468" spans="6:6" x14ac:dyDescent="0.3">
      <c r="F468" s="205"/>
    </row>
    <row r="469" spans="6:6" x14ac:dyDescent="0.3">
      <c r="F469" s="205"/>
    </row>
    <row r="470" spans="6:6" x14ac:dyDescent="0.3">
      <c r="F470" s="205"/>
    </row>
    <row r="471" spans="6:6" x14ac:dyDescent="0.3">
      <c r="F471" s="205"/>
    </row>
    <row r="472" spans="6:6" x14ac:dyDescent="0.3">
      <c r="F472" s="205"/>
    </row>
    <row r="473" spans="6:6" x14ac:dyDescent="0.3">
      <c r="F473" s="205"/>
    </row>
    <row r="474" spans="6:6" x14ac:dyDescent="0.3">
      <c r="F474" s="205"/>
    </row>
    <row r="475" spans="6:6" x14ac:dyDescent="0.3">
      <c r="F475" s="205"/>
    </row>
    <row r="476" spans="6:6" x14ac:dyDescent="0.3">
      <c r="F476" s="205"/>
    </row>
    <row r="477" spans="6:6" x14ac:dyDescent="0.3">
      <c r="F477" s="205"/>
    </row>
    <row r="478" spans="6:6" x14ac:dyDescent="0.3">
      <c r="F478" s="205"/>
    </row>
    <row r="479" spans="6:6" x14ac:dyDescent="0.3">
      <c r="F479" s="205"/>
    </row>
    <row r="480" spans="6:6" x14ac:dyDescent="0.3">
      <c r="F480" s="205"/>
    </row>
    <row r="481" spans="6:6" x14ac:dyDescent="0.3">
      <c r="F481" s="205"/>
    </row>
    <row r="482" spans="6:6" x14ac:dyDescent="0.3">
      <c r="F482" s="205"/>
    </row>
    <row r="483" spans="6:6" x14ac:dyDescent="0.3">
      <c r="F483" s="205"/>
    </row>
    <row r="484" spans="6:6" x14ac:dyDescent="0.3">
      <c r="F484" s="205"/>
    </row>
    <row r="485" spans="6:6" x14ac:dyDescent="0.3">
      <c r="F485" s="205"/>
    </row>
    <row r="486" spans="6:6" x14ac:dyDescent="0.3">
      <c r="F486" s="205"/>
    </row>
    <row r="487" spans="6:6" x14ac:dyDescent="0.3">
      <c r="F487" s="205"/>
    </row>
    <row r="488" spans="6:6" x14ac:dyDescent="0.3">
      <c r="F488" s="205"/>
    </row>
    <row r="489" spans="6:6" x14ac:dyDescent="0.3">
      <c r="F489" s="205"/>
    </row>
    <row r="490" spans="6:6" x14ac:dyDescent="0.3">
      <c r="F490" s="205"/>
    </row>
    <row r="491" spans="6:6" x14ac:dyDescent="0.3">
      <c r="F491" s="205"/>
    </row>
    <row r="492" spans="6:6" x14ac:dyDescent="0.3">
      <c r="F492" s="205"/>
    </row>
    <row r="493" spans="6:6" x14ac:dyDescent="0.3">
      <c r="F493" s="205"/>
    </row>
    <row r="494" spans="6:6" x14ac:dyDescent="0.3">
      <c r="F494" s="205"/>
    </row>
    <row r="495" spans="6:6" x14ac:dyDescent="0.3">
      <c r="F495" s="205"/>
    </row>
    <row r="496" spans="6:6" x14ac:dyDescent="0.3">
      <c r="F496" s="205"/>
    </row>
    <row r="497" spans="6:6" x14ac:dyDescent="0.3">
      <c r="F497" s="205"/>
    </row>
    <row r="498" spans="6:6" x14ac:dyDescent="0.3">
      <c r="F498" s="205"/>
    </row>
    <row r="499" spans="6:6" x14ac:dyDescent="0.3">
      <c r="F499" s="205"/>
    </row>
    <row r="500" spans="6:6" x14ac:dyDescent="0.3">
      <c r="F500" s="205"/>
    </row>
    <row r="501" spans="6:6" x14ac:dyDescent="0.3">
      <c r="F501" s="205"/>
    </row>
    <row r="502" spans="6:6" x14ac:dyDescent="0.3">
      <c r="F502" s="205"/>
    </row>
    <row r="503" spans="6:6" x14ac:dyDescent="0.3">
      <c r="F503" s="205"/>
    </row>
    <row r="504" spans="6:6" x14ac:dyDescent="0.3">
      <c r="F504" s="205"/>
    </row>
    <row r="505" spans="6:6" x14ac:dyDescent="0.3">
      <c r="F505" s="205"/>
    </row>
    <row r="506" spans="6:6" x14ac:dyDescent="0.3">
      <c r="F506" s="205"/>
    </row>
    <row r="507" spans="6:6" x14ac:dyDescent="0.3">
      <c r="F507" s="205"/>
    </row>
    <row r="508" spans="6:6" x14ac:dyDescent="0.3">
      <c r="F508" s="205"/>
    </row>
    <row r="509" spans="6:6" x14ac:dyDescent="0.3">
      <c r="F509" s="205"/>
    </row>
    <row r="510" spans="6:6" x14ac:dyDescent="0.3">
      <c r="F510" s="205"/>
    </row>
    <row r="511" spans="6:6" x14ac:dyDescent="0.3">
      <c r="F511" s="205"/>
    </row>
    <row r="512" spans="6:6" x14ac:dyDescent="0.3">
      <c r="F512" s="205"/>
    </row>
    <row r="513" spans="6:6" x14ac:dyDescent="0.3">
      <c r="F513" s="205"/>
    </row>
    <row r="514" spans="6:6" x14ac:dyDescent="0.3">
      <c r="F514" s="205"/>
    </row>
    <row r="515" spans="6:6" x14ac:dyDescent="0.3">
      <c r="F515" s="205"/>
    </row>
    <row r="516" spans="6:6" x14ac:dyDescent="0.3">
      <c r="F516" s="205"/>
    </row>
    <row r="517" spans="6:6" x14ac:dyDescent="0.3">
      <c r="F517" s="205"/>
    </row>
    <row r="518" spans="6:6" x14ac:dyDescent="0.3">
      <c r="F518" s="205"/>
    </row>
    <row r="519" spans="6:6" x14ac:dyDescent="0.3">
      <c r="F519" s="205"/>
    </row>
    <row r="520" spans="6:6" x14ac:dyDescent="0.3">
      <c r="F520" s="205"/>
    </row>
    <row r="521" spans="6:6" x14ac:dyDescent="0.3">
      <c r="F521" s="205"/>
    </row>
    <row r="522" spans="6:6" x14ac:dyDescent="0.3">
      <c r="F522" s="205"/>
    </row>
    <row r="523" spans="6:6" x14ac:dyDescent="0.3">
      <c r="F523" s="205"/>
    </row>
    <row r="524" spans="6:6" x14ac:dyDescent="0.3">
      <c r="F524" s="205"/>
    </row>
    <row r="525" spans="6:6" x14ac:dyDescent="0.3">
      <c r="F525" s="205"/>
    </row>
    <row r="526" spans="6:6" x14ac:dyDescent="0.3">
      <c r="F526" s="205"/>
    </row>
    <row r="527" spans="6:6" x14ac:dyDescent="0.3">
      <c r="F527" s="205"/>
    </row>
    <row r="528" spans="6:6" x14ac:dyDescent="0.3">
      <c r="F528" s="205"/>
    </row>
    <row r="529" spans="6:6" x14ac:dyDescent="0.3">
      <c r="F529" s="205"/>
    </row>
    <row r="530" spans="6:6" x14ac:dyDescent="0.3">
      <c r="F530" s="205"/>
    </row>
    <row r="531" spans="6:6" x14ac:dyDescent="0.3">
      <c r="F531" s="205"/>
    </row>
    <row r="532" spans="6:6" x14ac:dyDescent="0.3">
      <c r="F532" s="205"/>
    </row>
    <row r="533" spans="6:6" x14ac:dyDescent="0.3">
      <c r="F533" s="205"/>
    </row>
    <row r="534" spans="6:6" x14ac:dyDescent="0.3">
      <c r="F534" s="205"/>
    </row>
    <row r="535" spans="6:6" x14ac:dyDescent="0.3">
      <c r="F535" s="205"/>
    </row>
    <row r="536" spans="6:6" x14ac:dyDescent="0.3">
      <c r="F536" s="205"/>
    </row>
    <row r="537" spans="6:6" x14ac:dyDescent="0.3">
      <c r="F537" s="205"/>
    </row>
    <row r="538" spans="6:6" x14ac:dyDescent="0.3">
      <c r="F538" s="205"/>
    </row>
    <row r="539" spans="6:6" x14ac:dyDescent="0.3">
      <c r="F539" s="205"/>
    </row>
    <row r="540" spans="6:6" x14ac:dyDescent="0.3">
      <c r="F540" s="205"/>
    </row>
    <row r="541" spans="6:6" x14ac:dyDescent="0.3">
      <c r="F541" s="205"/>
    </row>
    <row r="542" spans="6:6" x14ac:dyDescent="0.3">
      <c r="F542" s="205"/>
    </row>
    <row r="543" spans="6:6" x14ac:dyDescent="0.3">
      <c r="F543" s="205"/>
    </row>
    <row r="544" spans="6:6" x14ac:dyDescent="0.3">
      <c r="F544" s="205"/>
    </row>
    <row r="545" spans="6:6" x14ac:dyDescent="0.3">
      <c r="F545" s="205"/>
    </row>
    <row r="546" spans="6:6" x14ac:dyDescent="0.3">
      <c r="F546" s="205"/>
    </row>
    <row r="547" spans="6:6" x14ac:dyDescent="0.3">
      <c r="F547" s="205"/>
    </row>
    <row r="548" spans="6:6" x14ac:dyDescent="0.3">
      <c r="F548" s="205"/>
    </row>
    <row r="549" spans="6:6" x14ac:dyDescent="0.3">
      <c r="F549" s="205"/>
    </row>
    <row r="550" spans="6:6" x14ac:dyDescent="0.3">
      <c r="F550" s="205"/>
    </row>
    <row r="551" spans="6:6" x14ac:dyDescent="0.3">
      <c r="F551" s="205"/>
    </row>
    <row r="552" spans="6:6" x14ac:dyDescent="0.3">
      <c r="F552" s="205"/>
    </row>
    <row r="553" spans="6:6" x14ac:dyDescent="0.3">
      <c r="F553" s="205"/>
    </row>
    <row r="554" spans="6:6" x14ac:dyDescent="0.3">
      <c r="F554" s="205"/>
    </row>
    <row r="555" spans="6:6" x14ac:dyDescent="0.3">
      <c r="F555" s="205"/>
    </row>
    <row r="556" spans="6:6" x14ac:dyDescent="0.3">
      <c r="F556" s="205"/>
    </row>
    <row r="557" spans="6:6" x14ac:dyDescent="0.3">
      <c r="F557" s="205"/>
    </row>
    <row r="558" spans="6:6" x14ac:dyDescent="0.3">
      <c r="F558" s="205"/>
    </row>
    <row r="559" spans="6:6" x14ac:dyDescent="0.3">
      <c r="F559" s="205"/>
    </row>
    <row r="560" spans="6:6" x14ac:dyDescent="0.3">
      <c r="F560" s="205"/>
    </row>
    <row r="561" spans="6:6" x14ac:dyDescent="0.3">
      <c r="F561" s="205"/>
    </row>
    <row r="562" spans="6:6" x14ac:dyDescent="0.3">
      <c r="F562" s="205"/>
    </row>
    <row r="563" spans="6:6" x14ac:dyDescent="0.3">
      <c r="F563" s="205"/>
    </row>
    <row r="564" spans="6:6" x14ac:dyDescent="0.3">
      <c r="F564" s="205"/>
    </row>
    <row r="565" spans="6:6" x14ac:dyDescent="0.3">
      <c r="F565" s="205"/>
    </row>
    <row r="566" spans="6:6" x14ac:dyDescent="0.3">
      <c r="F566" s="205"/>
    </row>
    <row r="567" spans="6:6" x14ac:dyDescent="0.3">
      <c r="F567" s="205"/>
    </row>
    <row r="568" spans="6:6" x14ac:dyDescent="0.3">
      <c r="F568" s="205"/>
    </row>
    <row r="569" spans="6:6" x14ac:dyDescent="0.3">
      <c r="F569" s="205"/>
    </row>
    <row r="570" spans="6:6" x14ac:dyDescent="0.3">
      <c r="F570" s="205"/>
    </row>
    <row r="571" spans="6:6" x14ac:dyDescent="0.3">
      <c r="F571" s="205"/>
    </row>
    <row r="572" spans="6:6" x14ac:dyDescent="0.3">
      <c r="F572" s="205"/>
    </row>
    <row r="573" spans="6:6" x14ac:dyDescent="0.3">
      <c r="F573" s="205"/>
    </row>
    <row r="574" spans="6:6" x14ac:dyDescent="0.3">
      <c r="F574" s="205"/>
    </row>
    <row r="575" spans="6:6" x14ac:dyDescent="0.3">
      <c r="F575" s="205"/>
    </row>
    <row r="576" spans="6:6" x14ac:dyDescent="0.3">
      <c r="F576" s="205"/>
    </row>
    <row r="577" spans="6:6" x14ac:dyDescent="0.3">
      <c r="F577" s="205"/>
    </row>
    <row r="578" spans="6:6" x14ac:dyDescent="0.3">
      <c r="F578" s="205"/>
    </row>
    <row r="579" spans="6:6" x14ac:dyDescent="0.3">
      <c r="F579" s="205"/>
    </row>
    <row r="580" spans="6:6" x14ac:dyDescent="0.3">
      <c r="F580" s="205"/>
    </row>
    <row r="581" spans="6:6" x14ac:dyDescent="0.3">
      <c r="F581" s="205"/>
    </row>
    <row r="582" spans="6:6" x14ac:dyDescent="0.3">
      <c r="F582" s="205"/>
    </row>
    <row r="583" spans="6:6" x14ac:dyDescent="0.3">
      <c r="F583" s="205"/>
    </row>
    <row r="584" spans="6:6" x14ac:dyDescent="0.3">
      <c r="F584" s="205"/>
    </row>
    <row r="585" spans="6:6" x14ac:dyDescent="0.3">
      <c r="F585" s="205"/>
    </row>
    <row r="586" spans="6:6" x14ac:dyDescent="0.3">
      <c r="F586" s="205"/>
    </row>
    <row r="587" spans="6:6" x14ac:dyDescent="0.3">
      <c r="F587" s="205"/>
    </row>
    <row r="588" spans="6:6" x14ac:dyDescent="0.3">
      <c r="F588" s="205"/>
    </row>
    <row r="589" spans="6:6" x14ac:dyDescent="0.3">
      <c r="F589" s="205"/>
    </row>
    <row r="590" spans="6:6" x14ac:dyDescent="0.3">
      <c r="F590" s="205"/>
    </row>
    <row r="591" spans="6:6" x14ac:dyDescent="0.3">
      <c r="F591" s="205"/>
    </row>
    <row r="592" spans="6:6" x14ac:dyDescent="0.3">
      <c r="F592" s="205"/>
    </row>
    <row r="593" spans="6:6" x14ac:dyDescent="0.3">
      <c r="F593" s="205"/>
    </row>
    <row r="594" spans="6:6" x14ac:dyDescent="0.3">
      <c r="F594" s="205"/>
    </row>
    <row r="595" spans="6:6" x14ac:dyDescent="0.3">
      <c r="F595" s="205"/>
    </row>
    <row r="596" spans="6:6" x14ac:dyDescent="0.3">
      <c r="F596" s="205"/>
    </row>
    <row r="597" spans="6:6" x14ac:dyDescent="0.3">
      <c r="F597" s="205"/>
    </row>
    <row r="598" spans="6:6" x14ac:dyDescent="0.3">
      <c r="F598" s="205"/>
    </row>
    <row r="599" spans="6:6" x14ac:dyDescent="0.3">
      <c r="F599" s="205"/>
    </row>
    <row r="600" spans="6:6" x14ac:dyDescent="0.3">
      <c r="F600" s="205"/>
    </row>
    <row r="601" spans="6:6" x14ac:dyDescent="0.3">
      <c r="F601" s="205"/>
    </row>
    <row r="602" spans="6:6" x14ac:dyDescent="0.3">
      <c r="F602" s="205"/>
    </row>
    <row r="603" spans="6:6" x14ac:dyDescent="0.3">
      <c r="F603" s="205"/>
    </row>
    <row r="604" spans="6:6" x14ac:dyDescent="0.3">
      <c r="F604" s="205"/>
    </row>
    <row r="605" spans="6:6" x14ac:dyDescent="0.3">
      <c r="F605" s="205"/>
    </row>
    <row r="606" spans="6:6" x14ac:dyDescent="0.3">
      <c r="F606" s="205"/>
    </row>
    <row r="607" spans="6:6" x14ac:dyDescent="0.3">
      <c r="F607" s="205"/>
    </row>
    <row r="608" spans="6:6" x14ac:dyDescent="0.3">
      <c r="F608" s="205"/>
    </row>
    <row r="609" spans="6:6" x14ac:dyDescent="0.3">
      <c r="F609" s="205"/>
    </row>
    <row r="610" spans="6:6" x14ac:dyDescent="0.3">
      <c r="F610" s="205"/>
    </row>
    <row r="611" spans="6:6" x14ac:dyDescent="0.3">
      <c r="F611" s="205"/>
    </row>
    <row r="612" spans="6:6" x14ac:dyDescent="0.3">
      <c r="F612" s="205"/>
    </row>
    <row r="613" spans="6:6" x14ac:dyDescent="0.3">
      <c r="F613" s="205"/>
    </row>
    <row r="614" spans="6:6" x14ac:dyDescent="0.3">
      <c r="F614" s="205"/>
    </row>
    <row r="615" spans="6:6" x14ac:dyDescent="0.3">
      <c r="F615" s="205"/>
    </row>
    <row r="616" spans="6:6" x14ac:dyDescent="0.3">
      <c r="F616" s="205"/>
    </row>
    <row r="617" spans="6:6" x14ac:dyDescent="0.3">
      <c r="F617" s="205"/>
    </row>
    <row r="618" spans="6:6" x14ac:dyDescent="0.3">
      <c r="F618" s="205"/>
    </row>
    <row r="619" spans="6:6" x14ac:dyDescent="0.3">
      <c r="F619" s="205"/>
    </row>
    <row r="620" spans="6:6" x14ac:dyDescent="0.3">
      <c r="F620" s="205"/>
    </row>
    <row r="621" spans="6:6" x14ac:dyDescent="0.3">
      <c r="F621" s="205"/>
    </row>
    <row r="622" spans="6:6" x14ac:dyDescent="0.3">
      <c r="F622" s="205"/>
    </row>
    <row r="623" spans="6:6" x14ac:dyDescent="0.3">
      <c r="F623" s="205"/>
    </row>
    <row r="624" spans="6:6" x14ac:dyDescent="0.3">
      <c r="F624" s="205"/>
    </row>
    <row r="625" spans="6:6" x14ac:dyDescent="0.3">
      <c r="F625" s="205"/>
    </row>
    <row r="626" spans="6:6" x14ac:dyDescent="0.3">
      <c r="F626" s="205"/>
    </row>
    <row r="627" spans="6:6" x14ac:dyDescent="0.3">
      <c r="F627" s="205"/>
    </row>
    <row r="628" spans="6:6" x14ac:dyDescent="0.3">
      <c r="F628" s="205"/>
    </row>
    <row r="629" spans="6:6" x14ac:dyDescent="0.3">
      <c r="F629" s="205"/>
    </row>
    <row r="630" spans="6:6" x14ac:dyDescent="0.3">
      <c r="F630" s="205"/>
    </row>
    <row r="631" spans="6:6" x14ac:dyDescent="0.3">
      <c r="F631" s="205"/>
    </row>
    <row r="632" spans="6:6" x14ac:dyDescent="0.3">
      <c r="F632" s="205"/>
    </row>
    <row r="633" spans="6:6" x14ac:dyDescent="0.3">
      <c r="F633" s="205"/>
    </row>
    <row r="634" spans="6:6" x14ac:dyDescent="0.3">
      <c r="F634" s="205"/>
    </row>
    <row r="635" spans="6:6" x14ac:dyDescent="0.3">
      <c r="F635" s="205"/>
    </row>
    <row r="636" spans="6:6" x14ac:dyDescent="0.3">
      <c r="F636" s="205"/>
    </row>
    <row r="637" spans="6:6" x14ac:dyDescent="0.3">
      <c r="F637" s="205"/>
    </row>
    <row r="638" spans="6:6" x14ac:dyDescent="0.3">
      <c r="F638" s="205"/>
    </row>
    <row r="639" spans="6:6" x14ac:dyDescent="0.3">
      <c r="F639" s="205"/>
    </row>
    <row r="640" spans="6:6" x14ac:dyDescent="0.3">
      <c r="F640" s="205"/>
    </row>
    <row r="641" spans="6:6" x14ac:dyDescent="0.3">
      <c r="F641" s="205"/>
    </row>
    <row r="642" spans="6:6" x14ac:dyDescent="0.3">
      <c r="F642" s="205"/>
    </row>
    <row r="643" spans="6:6" x14ac:dyDescent="0.3">
      <c r="F643" s="205"/>
    </row>
    <row r="644" spans="6:6" x14ac:dyDescent="0.3">
      <c r="F644" s="205"/>
    </row>
    <row r="645" spans="6:6" x14ac:dyDescent="0.3">
      <c r="F645" s="205"/>
    </row>
    <row r="646" spans="6:6" x14ac:dyDescent="0.3">
      <c r="F646" s="205"/>
    </row>
    <row r="647" spans="6:6" x14ac:dyDescent="0.3">
      <c r="F647" s="205"/>
    </row>
    <row r="648" spans="6:6" x14ac:dyDescent="0.3">
      <c r="F648" s="205"/>
    </row>
    <row r="649" spans="6:6" x14ac:dyDescent="0.3">
      <c r="F649" s="205"/>
    </row>
    <row r="650" spans="6:6" x14ac:dyDescent="0.3">
      <c r="F650" s="205"/>
    </row>
    <row r="651" spans="6:6" x14ac:dyDescent="0.3">
      <c r="F651" s="205"/>
    </row>
    <row r="652" spans="6:6" x14ac:dyDescent="0.3">
      <c r="F652" s="205"/>
    </row>
    <row r="653" spans="6:6" x14ac:dyDescent="0.3">
      <c r="F653" s="205"/>
    </row>
    <row r="654" spans="6:6" x14ac:dyDescent="0.3">
      <c r="F654" s="205"/>
    </row>
    <row r="655" spans="6:6" x14ac:dyDescent="0.3">
      <c r="F655" s="205"/>
    </row>
    <row r="656" spans="6:6" x14ac:dyDescent="0.3">
      <c r="F656" s="205"/>
    </row>
    <row r="657" spans="6:6" x14ac:dyDescent="0.3">
      <c r="F657" s="205"/>
    </row>
    <row r="658" spans="6:6" x14ac:dyDescent="0.3">
      <c r="F658" s="205"/>
    </row>
    <row r="659" spans="6:6" x14ac:dyDescent="0.3">
      <c r="F659" s="205"/>
    </row>
    <row r="660" spans="6:6" x14ac:dyDescent="0.3">
      <c r="F660" s="205"/>
    </row>
    <row r="661" spans="6:6" x14ac:dyDescent="0.3">
      <c r="F661" s="205"/>
    </row>
    <row r="662" spans="6:6" x14ac:dyDescent="0.3">
      <c r="F662" s="205"/>
    </row>
    <row r="663" spans="6:6" x14ac:dyDescent="0.3">
      <c r="F663" s="205"/>
    </row>
    <row r="664" spans="6:6" x14ac:dyDescent="0.3">
      <c r="F664" s="205"/>
    </row>
    <row r="665" spans="6:6" x14ac:dyDescent="0.3">
      <c r="F665" s="205"/>
    </row>
    <row r="666" spans="6:6" x14ac:dyDescent="0.3">
      <c r="F666" s="205"/>
    </row>
    <row r="667" spans="6:6" x14ac:dyDescent="0.3">
      <c r="F667" s="205"/>
    </row>
    <row r="668" spans="6:6" x14ac:dyDescent="0.3">
      <c r="F668" s="205"/>
    </row>
    <row r="669" spans="6:6" x14ac:dyDescent="0.3">
      <c r="F669" s="205"/>
    </row>
    <row r="670" spans="6:6" x14ac:dyDescent="0.3">
      <c r="F670" s="205"/>
    </row>
    <row r="671" spans="6:6" x14ac:dyDescent="0.3">
      <c r="F671" s="205"/>
    </row>
    <row r="672" spans="6:6" x14ac:dyDescent="0.3">
      <c r="F672" s="205"/>
    </row>
    <row r="673" spans="6:6" x14ac:dyDescent="0.3">
      <c r="F673" s="205"/>
    </row>
    <row r="674" spans="6:6" x14ac:dyDescent="0.3">
      <c r="F674" s="205"/>
    </row>
    <row r="675" spans="6:6" x14ac:dyDescent="0.3">
      <c r="F675" s="205"/>
    </row>
    <row r="676" spans="6:6" x14ac:dyDescent="0.3">
      <c r="F676" s="205"/>
    </row>
    <row r="677" spans="6:6" x14ac:dyDescent="0.3">
      <c r="F677" s="205"/>
    </row>
    <row r="678" spans="6:6" x14ac:dyDescent="0.3">
      <c r="F678" s="205"/>
    </row>
    <row r="679" spans="6:6" x14ac:dyDescent="0.3">
      <c r="F679" s="205"/>
    </row>
    <row r="680" spans="6:6" x14ac:dyDescent="0.3">
      <c r="F680" s="205"/>
    </row>
    <row r="681" spans="6:6" x14ac:dyDescent="0.3">
      <c r="F681" s="205"/>
    </row>
    <row r="682" spans="6:6" x14ac:dyDescent="0.3">
      <c r="F682" s="205"/>
    </row>
    <row r="683" spans="6:6" x14ac:dyDescent="0.3">
      <c r="F683" s="205"/>
    </row>
    <row r="684" spans="6:6" x14ac:dyDescent="0.3">
      <c r="F684" s="205"/>
    </row>
    <row r="685" spans="6:6" x14ac:dyDescent="0.3">
      <c r="F685" s="205"/>
    </row>
    <row r="686" spans="6:6" x14ac:dyDescent="0.3">
      <c r="F686" s="205"/>
    </row>
    <row r="687" spans="6:6" x14ac:dyDescent="0.3">
      <c r="F687" s="205"/>
    </row>
    <row r="688" spans="6:6" x14ac:dyDescent="0.3">
      <c r="F688" s="205"/>
    </row>
    <row r="689" spans="6:6" x14ac:dyDescent="0.3">
      <c r="F689" s="205"/>
    </row>
    <row r="690" spans="6:6" x14ac:dyDescent="0.3">
      <c r="F690" s="205"/>
    </row>
    <row r="691" spans="6:6" x14ac:dyDescent="0.3">
      <c r="F691" s="205"/>
    </row>
    <row r="692" spans="6:6" x14ac:dyDescent="0.3">
      <c r="F692" s="205"/>
    </row>
    <row r="693" spans="6:6" x14ac:dyDescent="0.3">
      <c r="F693" s="205"/>
    </row>
    <row r="694" spans="6:6" x14ac:dyDescent="0.3">
      <c r="F694" s="205"/>
    </row>
    <row r="695" spans="6:6" x14ac:dyDescent="0.3">
      <c r="F695" s="205"/>
    </row>
    <row r="696" spans="6:6" x14ac:dyDescent="0.3">
      <c r="F696" s="205"/>
    </row>
    <row r="697" spans="6:6" x14ac:dyDescent="0.3">
      <c r="F697" s="205"/>
    </row>
    <row r="698" spans="6:6" x14ac:dyDescent="0.3">
      <c r="F698" s="205"/>
    </row>
    <row r="699" spans="6:6" x14ac:dyDescent="0.3">
      <c r="F699" s="205"/>
    </row>
    <row r="700" spans="6:6" x14ac:dyDescent="0.3">
      <c r="F700" s="205"/>
    </row>
    <row r="701" spans="6:6" x14ac:dyDescent="0.3">
      <c r="F701" s="205"/>
    </row>
    <row r="702" spans="6:6" x14ac:dyDescent="0.3">
      <c r="F702" s="205"/>
    </row>
    <row r="703" spans="6:6" x14ac:dyDescent="0.3">
      <c r="F703" s="205"/>
    </row>
    <row r="704" spans="6:6" x14ac:dyDescent="0.3">
      <c r="F704" s="205"/>
    </row>
    <row r="705" spans="6:6" x14ac:dyDescent="0.3">
      <c r="F705" s="205"/>
    </row>
    <row r="706" spans="6:6" x14ac:dyDescent="0.3">
      <c r="F706" s="205"/>
    </row>
    <row r="707" spans="6:6" x14ac:dyDescent="0.3">
      <c r="F707" s="205"/>
    </row>
    <row r="708" spans="6:6" x14ac:dyDescent="0.3">
      <c r="F708" s="205"/>
    </row>
    <row r="709" spans="6:6" x14ac:dyDescent="0.3">
      <c r="F709" s="205"/>
    </row>
    <row r="710" spans="6:6" x14ac:dyDescent="0.3">
      <c r="F710" s="205"/>
    </row>
    <row r="711" spans="6:6" x14ac:dyDescent="0.3">
      <c r="F711" s="205"/>
    </row>
    <row r="712" spans="6:6" x14ac:dyDescent="0.3">
      <c r="F712" s="205"/>
    </row>
    <row r="713" spans="6:6" x14ac:dyDescent="0.3">
      <c r="F713" s="205"/>
    </row>
    <row r="714" spans="6:6" x14ac:dyDescent="0.3">
      <c r="F714" s="205"/>
    </row>
    <row r="715" spans="6:6" x14ac:dyDescent="0.3">
      <c r="F715" s="205"/>
    </row>
    <row r="716" spans="6:6" x14ac:dyDescent="0.3">
      <c r="F716" s="205"/>
    </row>
    <row r="717" spans="6:6" x14ac:dyDescent="0.3">
      <c r="F717" s="205"/>
    </row>
    <row r="718" spans="6:6" x14ac:dyDescent="0.3">
      <c r="F718" s="205"/>
    </row>
    <row r="719" spans="6:6" x14ac:dyDescent="0.3">
      <c r="F719" s="205"/>
    </row>
    <row r="720" spans="6:6" x14ac:dyDescent="0.3">
      <c r="F720" s="205"/>
    </row>
    <row r="721" spans="6:6" x14ac:dyDescent="0.3">
      <c r="F721" s="205"/>
    </row>
    <row r="722" spans="6:6" x14ac:dyDescent="0.3">
      <c r="F722" s="205"/>
    </row>
    <row r="723" spans="6:6" x14ac:dyDescent="0.3">
      <c r="F723" s="205"/>
    </row>
    <row r="724" spans="6:6" x14ac:dyDescent="0.3">
      <c r="F724" s="205"/>
    </row>
    <row r="725" spans="6:6" x14ac:dyDescent="0.3">
      <c r="F725" s="205"/>
    </row>
    <row r="726" spans="6:6" x14ac:dyDescent="0.3">
      <c r="F726" s="205"/>
    </row>
    <row r="727" spans="6:6" x14ac:dyDescent="0.3">
      <c r="F727" s="205"/>
    </row>
    <row r="728" spans="6:6" x14ac:dyDescent="0.3">
      <c r="F728" s="205"/>
    </row>
    <row r="729" spans="6:6" x14ac:dyDescent="0.3">
      <c r="F729" s="205"/>
    </row>
    <row r="730" spans="6:6" x14ac:dyDescent="0.3">
      <c r="F730" s="205"/>
    </row>
    <row r="731" spans="6:6" x14ac:dyDescent="0.3">
      <c r="F731" s="205"/>
    </row>
    <row r="732" spans="6:6" x14ac:dyDescent="0.3">
      <c r="F732" s="205"/>
    </row>
    <row r="733" spans="6:6" x14ac:dyDescent="0.3">
      <c r="F733" s="205"/>
    </row>
    <row r="734" spans="6:6" x14ac:dyDescent="0.3">
      <c r="F734" s="205"/>
    </row>
    <row r="735" spans="6:6" x14ac:dyDescent="0.3">
      <c r="F735" s="205"/>
    </row>
    <row r="736" spans="6:6" x14ac:dyDescent="0.3">
      <c r="F736" s="205"/>
    </row>
    <row r="737" spans="6:6" x14ac:dyDescent="0.3">
      <c r="F737" s="205"/>
    </row>
    <row r="738" spans="6:6" x14ac:dyDescent="0.3">
      <c r="F738" s="205"/>
    </row>
    <row r="739" spans="6:6" x14ac:dyDescent="0.3">
      <c r="F739" s="205"/>
    </row>
    <row r="740" spans="6:6" x14ac:dyDescent="0.3">
      <c r="F740" s="205"/>
    </row>
    <row r="741" spans="6:6" x14ac:dyDescent="0.3">
      <c r="F741" s="205"/>
    </row>
    <row r="742" spans="6:6" x14ac:dyDescent="0.3">
      <c r="F742" s="205"/>
    </row>
    <row r="743" spans="6:6" x14ac:dyDescent="0.3">
      <c r="F743" s="205"/>
    </row>
    <row r="744" spans="6:6" x14ac:dyDescent="0.3">
      <c r="F744" s="205"/>
    </row>
    <row r="745" spans="6:6" x14ac:dyDescent="0.3">
      <c r="F745" s="205"/>
    </row>
    <row r="746" spans="6:6" x14ac:dyDescent="0.3">
      <c r="F746" s="205"/>
    </row>
    <row r="747" spans="6:6" x14ac:dyDescent="0.3">
      <c r="F747" s="205"/>
    </row>
    <row r="748" spans="6:6" x14ac:dyDescent="0.3">
      <c r="F748" s="205"/>
    </row>
    <row r="749" spans="6:6" x14ac:dyDescent="0.3">
      <c r="F749" s="205"/>
    </row>
    <row r="750" spans="6:6" x14ac:dyDescent="0.3">
      <c r="F750" s="205"/>
    </row>
    <row r="751" spans="6:6" x14ac:dyDescent="0.3">
      <c r="F751" s="205"/>
    </row>
    <row r="752" spans="6:6" x14ac:dyDescent="0.3">
      <c r="F752" s="205"/>
    </row>
    <row r="753" spans="6:6" x14ac:dyDescent="0.3">
      <c r="F753" s="205"/>
    </row>
    <row r="754" spans="6:6" x14ac:dyDescent="0.3">
      <c r="F754" s="205"/>
    </row>
    <row r="755" spans="6:6" x14ac:dyDescent="0.3">
      <c r="F755" s="205"/>
    </row>
    <row r="756" spans="6:6" x14ac:dyDescent="0.3">
      <c r="F756" s="205"/>
    </row>
    <row r="757" spans="6:6" x14ac:dyDescent="0.3">
      <c r="F757" s="205"/>
    </row>
    <row r="758" spans="6:6" x14ac:dyDescent="0.3">
      <c r="F758" s="205"/>
    </row>
    <row r="759" spans="6:6" x14ac:dyDescent="0.3">
      <c r="F759" s="205"/>
    </row>
    <row r="760" spans="6:6" x14ac:dyDescent="0.3">
      <c r="F760" s="205"/>
    </row>
    <row r="761" spans="6:6" x14ac:dyDescent="0.3">
      <c r="F761" s="205"/>
    </row>
    <row r="762" spans="6:6" x14ac:dyDescent="0.3">
      <c r="F762" s="205"/>
    </row>
    <row r="763" spans="6:6" x14ac:dyDescent="0.3">
      <c r="F763" s="205"/>
    </row>
    <row r="764" spans="6:6" x14ac:dyDescent="0.3">
      <c r="F764" s="205"/>
    </row>
    <row r="765" spans="6:6" x14ac:dyDescent="0.3">
      <c r="F765" s="205"/>
    </row>
    <row r="766" spans="6:6" x14ac:dyDescent="0.3">
      <c r="F766" s="205"/>
    </row>
    <row r="767" spans="6:6" x14ac:dyDescent="0.3">
      <c r="F767" s="205"/>
    </row>
    <row r="768" spans="6:6" x14ac:dyDescent="0.3">
      <c r="F768" s="205"/>
    </row>
    <row r="769" spans="6:6" x14ac:dyDescent="0.3">
      <c r="F769" s="205"/>
    </row>
    <row r="770" spans="6:6" x14ac:dyDescent="0.3">
      <c r="F770" s="205"/>
    </row>
    <row r="771" spans="6:6" x14ac:dyDescent="0.3">
      <c r="F771" s="205"/>
    </row>
    <row r="772" spans="6:6" x14ac:dyDescent="0.3">
      <c r="F772" s="205"/>
    </row>
    <row r="773" spans="6:6" x14ac:dyDescent="0.3">
      <c r="F773" s="205"/>
    </row>
    <row r="774" spans="6:6" x14ac:dyDescent="0.3">
      <c r="F774" s="205"/>
    </row>
    <row r="775" spans="6:6" x14ac:dyDescent="0.3">
      <c r="F775" s="205"/>
    </row>
    <row r="776" spans="6:6" x14ac:dyDescent="0.3">
      <c r="F776" s="205"/>
    </row>
    <row r="777" spans="6:6" x14ac:dyDescent="0.3">
      <c r="F777" s="205"/>
    </row>
    <row r="778" spans="6:6" x14ac:dyDescent="0.3">
      <c r="F778" s="205"/>
    </row>
    <row r="779" spans="6:6" x14ac:dyDescent="0.3">
      <c r="F779" s="205"/>
    </row>
    <row r="780" spans="6:6" x14ac:dyDescent="0.3">
      <c r="F780" s="205"/>
    </row>
    <row r="781" spans="6:6" x14ac:dyDescent="0.3">
      <c r="F781" s="205"/>
    </row>
    <row r="782" spans="6:6" x14ac:dyDescent="0.3">
      <c r="F782" s="205"/>
    </row>
    <row r="783" spans="6:6" x14ac:dyDescent="0.3">
      <c r="F783" s="205"/>
    </row>
    <row r="784" spans="6:6" x14ac:dyDescent="0.3">
      <c r="F784" s="205"/>
    </row>
    <row r="785" spans="6:6" x14ac:dyDescent="0.3">
      <c r="F785" s="205"/>
    </row>
    <row r="786" spans="6:6" x14ac:dyDescent="0.3">
      <c r="F786" s="205"/>
    </row>
    <row r="787" spans="6:6" x14ac:dyDescent="0.3">
      <c r="F787" s="205"/>
    </row>
    <row r="788" spans="6:6" x14ac:dyDescent="0.3">
      <c r="F788" s="205"/>
    </row>
    <row r="789" spans="6:6" x14ac:dyDescent="0.3">
      <c r="F789" s="205"/>
    </row>
    <row r="790" spans="6:6" x14ac:dyDescent="0.3">
      <c r="F790" s="205"/>
    </row>
    <row r="791" spans="6:6" x14ac:dyDescent="0.3">
      <c r="F791" s="205"/>
    </row>
    <row r="792" spans="6:6" x14ac:dyDescent="0.3">
      <c r="F792" s="205"/>
    </row>
    <row r="793" spans="6:6" x14ac:dyDescent="0.3">
      <c r="F793" s="205"/>
    </row>
    <row r="794" spans="6:6" x14ac:dyDescent="0.3">
      <c r="F794" s="205"/>
    </row>
    <row r="795" spans="6:6" x14ac:dyDescent="0.3">
      <c r="F795" s="205"/>
    </row>
    <row r="796" spans="6:6" x14ac:dyDescent="0.3">
      <c r="F796" s="205"/>
    </row>
    <row r="797" spans="6:6" x14ac:dyDescent="0.3">
      <c r="F797" s="205"/>
    </row>
    <row r="798" spans="6:6" x14ac:dyDescent="0.3">
      <c r="F798" s="205"/>
    </row>
    <row r="799" spans="6:6" x14ac:dyDescent="0.3">
      <c r="F799" s="205"/>
    </row>
    <row r="800" spans="6:6" x14ac:dyDescent="0.3">
      <c r="F800" s="205"/>
    </row>
    <row r="801" spans="6:6" x14ac:dyDescent="0.3">
      <c r="F801" s="205"/>
    </row>
    <row r="802" spans="6:6" x14ac:dyDescent="0.3">
      <c r="F802" s="205"/>
    </row>
    <row r="803" spans="6:6" x14ac:dyDescent="0.3">
      <c r="F803" s="205"/>
    </row>
    <row r="804" spans="6:6" x14ac:dyDescent="0.3">
      <c r="F804" s="205"/>
    </row>
    <row r="805" spans="6:6" x14ac:dyDescent="0.3">
      <c r="F805" s="205"/>
    </row>
    <row r="806" spans="6:6" x14ac:dyDescent="0.3">
      <c r="F806" s="205"/>
    </row>
    <row r="807" spans="6:6" x14ac:dyDescent="0.3">
      <c r="F807" s="205"/>
    </row>
    <row r="808" spans="6:6" x14ac:dyDescent="0.3">
      <c r="F808" s="205"/>
    </row>
    <row r="809" spans="6:6" x14ac:dyDescent="0.3">
      <c r="F809" s="205"/>
    </row>
    <row r="810" spans="6:6" x14ac:dyDescent="0.3">
      <c r="F810" s="205"/>
    </row>
    <row r="811" spans="6:6" x14ac:dyDescent="0.3">
      <c r="F811" s="205"/>
    </row>
    <row r="812" spans="6:6" x14ac:dyDescent="0.3">
      <c r="F812" s="205"/>
    </row>
    <row r="813" spans="6:6" x14ac:dyDescent="0.3">
      <c r="F813" s="205"/>
    </row>
    <row r="814" spans="6:6" x14ac:dyDescent="0.3">
      <c r="F814" s="205"/>
    </row>
    <row r="815" spans="6:6" x14ac:dyDescent="0.3">
      <c r="F815" s="205"/>
    </row>
    <row r="816" spans="6:6" x14ac:dyDescent="0.3">
      <c r="F816" s="205"/>
    </row>
    <row r="817" spans="6:6" x14ac:dyDescent="0.3">
      <c r="F817" s="205"/>
    </row>
    <row r="818" spans="6:6" x14ac:dyDescent="0.3">
      <c r="F818" s="205"/>
    </row>
    <row r="819" spans="6:6" x14ac:dyDescent="0.3">
      <c r="F819" s="205"/>
    </row>
    <row r="820" spans="6:6" x14ac:dyDescent="0.3">
      <c r="F820" s="205"/>
    </row>
    <row r="821" spans="6:6" x14ac:dyDescent="0.3">
      <c r="F821" s="205"/>
    </row>
    <row r="822" spans="6:6" x14ac:dyDescent="0.3">
      <c r="F822" s="205"/>
    </row>
    <row r="823" spans="6:6" x14ac:dyDescent="0.3">
      <c r="F823" s="205"/>
    </row>
    <row r="824" spans="6:6" x14ac:dyDescent="0.3">
      <c r="F824" s="205"/>
    </row>
    <row r="825" spans="6:6" x14ac:dyDescent="0.3">
      <c r="F825" s="205"/>
    </row>
    <row r="826" spans="6:6" x14ac:dyDescent="0.3">
      <c r="F826" s="205"/>
    </row>
    <row r="827" spans="6:6" x14ac:dyDescent="0.3">
      <c r="F827" s="205"/>
    </row>
    <row r="828" spans="6:6" x14ac:dyDescent="0.3">
      <c r="F828" s="205"/>
    </row>
    <row r="829" spans="6:6" x14ac:dyDescent="0.3">
      <c r="F829" s="205"/>
    </row>
    <row r="830" spans="6:6" x14ac:dyDescent="0.3">
      <c r="F830" s="205"/>
    </row>
    <row r="831" spans="6:6" x14ac:dyDescent="0.3">
      <c r="F831" s="205"/>
    </row>
    <row r="832" spans="6:6" x14ac:dyDescent="0.3">
      <c r="F832" s="205"/>
    </row>
    <row r="833" spans="6:6" x14ac:dyDescent="0.3">
      <c r="F833" s="205"/>
    </row>
    <row r="834" spans="6:6" x14ac:dyDescent="0.3">
      <c r="F834" s="205"/>
    </row>
    <row r="835" spans="6:6" x14ac:dyDescent="0.3">
      <c r="F835" s="205"/>
    </row>
    <row r="836" spans="6:6" x14ac:dyDescent="0.3">
      <c r="F836" s="205"/>
    </row>
    <row r="837" spans="6:6" x14ac:dyDescent="0.3">
      <c r="F837" s="205"/>
    </row>
    <row r="838" spans="6:6" x14ac:dyDescent="0.3">
      <c r="F838" s="205"/>
    </row>
    <row r="839" spans="6:6" x14ac:dyDescent="0.3">
      <c r="F839" s="205"/>
    </row>
    <row r="840" spans="6:6" x14ac:dyDescent="0.3">
      <c r="F840" s="205"/>
    </row>
    <row r="841" spans="6:6" x14ac:dyDescent="0.3">
      <c r="F841" s="205"/>
    </row>
    <row r="842" spans="6:6" x14ac:dyDescent="0.3">
      <c r="F842" s="205"/>
    </row>
    <row r="843" spans="6:6" x14ac:dyDescent="0.3">
      <c r="F843" s="205"/>
    </row>
    <row r="844" spans="6:6" x14ac:dyDescent="0.3">
      <c r="F844" s="205"/>
    </row>
    <row r="845" spans="6:6" x14ac:dyDescent="0.3">
      <c r="F845" s="205"/>
    </row>
    <row r="846" spans="6:6" x14ac:dyDescent="0.3">
      <c r="F846" s="205"/>
    </row>
    <row r="847" spans="6:6" x14ac:dyDescent="0.3">
      <c r="F847" s="205"/>
    </row>
    <row r="848" spans="6:6" x14ac:dyDescent="0.3">
      <c r="F848" s="205"/>
    </row>
    <row r="849" spans="6:6" x14ac:dyDescent="0.3">
      <c r="F849" s="205"/>
    </row>
    <row r="850" spans="6:6" x14ac:dyDescent="0.3">
      <c r="F850" s="205"/>
    </row>
    <row r="851" spans="6:6" x14ac:dyDescent="0.3">
      <c r="F851" s="205"/>
    </row>
    <row r="852" spans="6:6" x14ac:dyDescent="0.3">
      <c r="F852" s="205"/>
    </row>
    <row r="853" spans="6:6" x14ac:dyDescent="0.3">
      <c r="F853" s="205"/>
    </row>
    <row r="854" spans="6:6" x14ac:dyDescent="0.3">
      <c r="F854" s="205"/>
    </row>
    <row r="855" spans="6:6" x14ac:dyDescent="0.3">
      <c r="F855" s="205"/>
    </row>
    <row r="856" spans="6:6" x14ac:dyDescent="0.3">
      <c r="F856" s="205"/>
    </row>
    <row r="857" spans="6:6" x14ac:dyDescent="0.3">
      <c r="F857" s="205"/>
    </row>
    <row r="858" spans="6:6" x14ac:dyDescent="0.3">
      <c r="F858" s="205"/>
    </row>
    <row r="859" spans="6:6" x14ac:dyDescent="0.3">
      <c r="F859" s="205"/>
    </row>
    <row r="860" spans="6:6" x14ac:dyDescent="0.3">
      <c r="F860" s="205"/>
    </row>
    <row r="861" spans="6:6" x14ac:dyDescent="0.3">
      <c r="F861" s="205"/>
    </row>
    <row r="862" spans="6:6" x14ac:dyDescent="0.3">
      <c r="F862" s="205"/>
    </row>
    <row r="863" spans="6:6" x14ac:dyDescent="0.3">
      <c r="F863" s="205"/>
    </row>
    <row r="864" spans="6:6" x14ac:dyDescent="0.3">
      <c r="F864" s="205"/>
    </row>
    <row r="865" spans="6:6" x14ac:dyDescent="0.3">
      <c r="F865" s="205"/>
    </row>
    <row r="866" spans="6:6" x14ac:dyDescent="0.3">
      <c r="F866" s="205"/>
    </row>
    <row r="867" spans="6:6" x14ac:dyDescent="0.3">
      <c r="F867" s="205"/>
    </row>
    <row r="868" spans="6:6" x14ac:dyDescent="0.3">
      <c r="F868" s="205"/>
    </row>
    <row r="869" spans="6:6" x14ac:dyDescent="0.3">
      <c r="F869" s="205"/>
    </row>
    <row r="870" spans="6:6" x14ac:dyDescent="0.3">
      <c r="F870" s="205"/>
    </row>
    <row r="871" spans="6:6" x14ac:dyDescent="0.3">
      <c r="F871" s="205"/>
    </row>
    <row r="872" spans="6:6" x14ac:dyDescent="0.3">
      <c r="F872" s="205"/>
    </row>
    <row r="873" spans="6:6" x14ac:dyDescent="0.3">
      <c r="F873" s="205"/>
    </row>
    <row r="874" spans="6:6" x14ac:dyDescent="0.3">
      <c r="F874" s="205"/>
    </row>
    <row r="875" spans="6:6" x14ac:dyDescent="0.3">
      <c r="F875" s="205"/>
    </row>
    <row r="876" spans="6:6" x14ac:dyDescent="0.3">
      <c r="F876" s="205"/>
    </row>
    <row r="877" spans="6:6" x14ac:dyDescent="0.3">
      <c r="F877" s="205"/>
    </row>
    <row r="878" spans="6:6" x14ac:dyDescent="0.3">
      <c r="F878" s="205"/>
    </row>
    <row r="879" spans="6:6" x14ac:dyDescent="0.3">
      <c r="F879" s="205"/>
    </row>
    <row r="880" spans="6:6" x14ac:dyDescent="0.3">
      <c r="F880" s="205"/>
    </row>
    <row r="881" spans="6:6" x14ac:dyDescent="0.3">
      <c r="F881" s="205"/>
    </row>
    <row r="882" spans="6:6" x14ac:dyDescent="0.3">
      <c r="F882" s="205"/>
    </row>
    <row r="883" spans="6:6" x14ac:dyDescent="0.3">
      <c r="F883" s="205"/>
    </row>
    <row r="884" spans="6:6" x14ac:dyDescent="0.3">
      <c r="F884" s="205"/>
    </row>
    <row r="885" spans="6:6" x14ac:dyDescent="0.3">
      <c r="F885" s="205"/>
    </row>
    <row r="886" spans="6:6" x14ac:dyDescent="0.3">
      <c r="F886" s="205"/>
    </row>
    <row r="887" spans="6:6" x14ac:dyDescent="0.3">
      <c r="F887" s="205"/>
    </row>
    <row r="888" spans="6:6" x14ac:dyDescent="0.3">
      <c r="F888" s="205"/>
    </row>
    <row r="889" spans="6:6" x14ac:dyDescent="0.3">
      <c r="F889" s="205"/>
    </row>
    <row r="890" spans="6:6" x14ac:dyDescent="0.3">
      <c r="F890" s="205"/>
    </row>
    <row r="891" spans="6:6" x14ac:dyDescent="0.3">
      <c r="F891" s="205"/>
    </row>
    <row r="892" spans="6:6" x14ac:dyDescent="0.3">
      <c r="F892" s="205"/>
    </row>
    <row r="893" spans="6:6" x14ac:dyDescent="0.3">
      <c r="F893" s="205"/>
    </row>
    <row r="894" spans="6:6" x14ac:dyDescent="0.3">
      <c r="F894" s="205"/>
    </row>
    <row r="895" spans="6:6" x14ac:dyDescent="0.3">
      <c r="F895" s="205"/>
    </row>
    <row r="896" spans="6:6" x14ac:dyDescent="0.3">
      <c r="F896" s="205"/>
    </row>
    <row r="897" spans="6:6" x14ac:dyDescent="0.3">
      <c r="F897" s="205"/>
    </row>
    <row r="898" spans="6:6" x14ac:dyDescent="0.3">
      <c r="F898" s="205"/>
    </row>
    <row r="899" spans="6:6" x14ac:dyDescent="0.3">
      <c r="F899" s="205"/>
    </row>
    <row r="900" spans="6:6" x14ac:dyDescent="0.3">
      <c r="F900" s="205"/>
    </row>
    <row r="901" spans="6:6" x14ac:dyDescent="0.3">
      <c r="F901" s="205"/>
    </row>
    <row r="902" spans="6:6" x14ac:dyDescent="0.3">
      <c r="F902" s="205"/>
    </row>
    <row r="903" spans="6:6" x14ac:dyDescent="0.3">
      <c r="F903" s="205"/>
    </row>
    <row r="904" spans="6:6" x14ac:dyDescent="0.3">
      <c r="F904" s="205"/>
    </row>
    <row r="905" spans="6:6" x14ac:dyDescent="0.3">
      <c r="F905" s="205"/>
    </row>
    <row r="906" spans="6:6" x14ac:dyDescent="0.3">
      <c r="F906" s="205"/>
    </row>
    <row r="907" spans="6:6" x14ac:dyDescent="0.3">
      <c r="F907" s="205"/>
    </row>
    <row r="908" spans="6:6" x14ac:dyDescent="0.3">
      <c r="F908" s="205"/>
    </row>
    <row r="909" spans="6:6" x14ac:dyDescent="0.3">
      <c r="F909" s="205"/>
    </row>
    <row r="910" spans="6:6" x14ac:dyDescent="0.3">
      <c r="F910" s="205"/>
    </row>
    <row r="911" spans="6:6" x14ac:dyDescent="0.3">
      <c r="F911" s="205"/>
    </row>
    <row r="912" spans="6:6" x14ac:dyDescent="0.3">
      <c r="F912" s="205"/>
    </row>
    <row r="913" spans="6:6" x14ac:dyDescent="0.3">
      <c r="F913" s="205"/>
    </row>
    <row r="914" spans="6:6" x14ac:dyDescent="0.3">
      <c r="F914" s="205"/>
    </row>
    <row r="915" spans="6:6" x14ac:dyDescent="0.3">
      <c r="F915" s="205"/>
    </row>
    <row r="916" spans="6:6" x14ac:dyDescent="0.3">
      <c r="F916" s="205"/>
    </row>
    <row r="917" spans="6:6" x14ac:dyDescent="0.3">
      <c r="F917" s="205"/>
    </row>
    <row r="918" spans="6:6" x14ac:dyDescent="0.3">
      <c r="F918" s="205"/>
    </row>
    <row r="919" spans="6:6" x14ac:dyDescent="0.3">
      <c r="F919" s="205"/>
    </row>
    <row r="920" spans="6:6" x14ac:dyDescent="0.3">
      <c r="F920" s="205"/>
    </row>
    <row r="921" spans="6:6" x14ac:dyDescent="0.3">
      <c r="F921" s="205"/>
    </row>
    <row r="922" spans="6:6" x14ac:dyDescent="0.3">
      <c r="F922" s="205"/>
    </row>
    <row r="923" spans="6:6" x14ac:dyDescent="0.3">
      <c r="F923" s="205"/>
    </row>
    <row r="924" spans="6:6" x14ac:dyDescent="0.3">
      <c r="F924" s="205"/>
    </row>
    <row r="925" spans="6:6" x14ac:dyDescent="0.3">
      <c r="F925" s="205"/>
    </row>
    <row r="926" spans="6:6" x14ac:dyDescent="0.3">
      <c r="F926" s="205"/>
    </row>
    <row r="927" spans="6:6" x14ac:dyDescent="0.3">
      <c r="F927" s="205"/>
    </row>
    <row r="928" spans="6:6" x14ac:dyDescent="0.3">
      <c r="F928" s="205"/>
    </row>
    <row r="929" spans="6:6" x14ac:dyDescent="0.3">
      <c r="F929" s="205"/>
    </row>
    <row r="930" spans="6:6" x14ac:dyDescent="0.3">
      <c r="F930" s="205"/>
    </row>
    <row r="931" spans="6:6" x14ac:dyDescent="0.3">
      <c r="F931" s="205"/>
    </row>
    <row r="932" spans="6:6" x14ac:dyDescent="0.3">
      <c r="F932" s="205"/>
    </row>
    <row r="933" spans="6:6" x14ac:dyDescent="0.3">
      <c r="F933" s="205"/>
    </row>
    <row r="934" spans="6:6" x14ac:dyDescent="0.3">
      <c r="F934" s="205"/>
    </row>
    <row r="935" spans="6:6" x14ac:dyDescent="0.3">
      <c r="F935" s="205"/>
    </row>
    <row r="936" spans="6:6" x14ac:dyDescent="0.3">
      <c r="F936" s="205"/>
    </row>
    <row r="937" spans="6:6" x14ac:dyDescent="0.3">
      <c r="F937" s="205"/>
    </row>
    <row r="938" spans="6:6" x14ac:dyDescent="0.3">
      <c r="F938" s="205"/>
    </row>
    <row r="939" spans="6:6" x14ac:dyDescent="0.3">
      <c r="F939" s="205"/>
    </row>
    <row r="940" spans="6:6" x14ac:dyDescent="0.3">
      <c r="F940" s="205"/>
    </row>
    <row r="941" spans="6:6" x14ac:dyDescent="0.3">
      <c r="F941" s="205"/>
    </row>
    <row r="942" spans="6:6" x14ac:dyDescent="0.3">
      <c r="F942" s="205"/>
    </row>
    <row r="943" spans="6:6" x14ac:dyDescent="0.3">
      <c r="F943" s="205"/>
    </row>
    <row r="944" spans="6:6" x14ac:dyDescent="0.3">
      <c r="F944" s="205"/>
    </row>
    <row r="945" spans="6:6" x14ac:dyDescent="0.3">
      <c r="F945" s="205"/>
    </row>
    <row r="946" spans="6:6" x14ac:dyDescent="0.3">
      <c r="F946" s="205"/>
    </row>
    <row r="947" spans="6:6" x14ac:dyDescent="0.3">
      <c r="F947" s="205"/>
    </row>
    <row r="948" spans="6:6" x14ac:dyDescent="0.3">
      <c r="F948" s="205"/>
    </row>
    <row r="949" spans="6:6" x14ac:dyDescent="0.3">
      <c r="F949" s="205"/>
    </row>
    <row r="950" spans="6:6" x14ac:dyDescent="0.3">
      <c r="F950" s="205"/>
    </row>
    <row r="951" spans="6:6" x14ac:dyDescent="0.3">
      <c r="F951" s="205"/>
    </row>
    <row r="952" spans="6:6" x14ac:dyDescent="0.3">
      <c r="F952" s="205"/>
    </row>
    <row r="953" spans="6:6" x14ac:dyDescent="0.3">
      <c r="F953" s="205"/>
    </row>
    <row r="954" spans="6:6" x14ac:dyDescent="0.3">
      <c r="F954" s="205"/>
    </row>
    <row r="955" spans="6:6" x14ac:dyDescent="0.3">
      <c r="F955" s="205"/>
    </row>
    <row r="956" spans="6:6" x14ac:dyDescent="0.3">
      <c r="F956" s="205"/>
    </row>
    <row r="957" spans="6:6" x14ac:dyDescent="0.3">
      <c r="F957" s="205"/>
    </row>
    <row r="958" spans="6:6" x14ac:dyDescent="0.3">
      <c r="F958" s="205"/>
    </row>
    <row r="959" spans="6:6" x14ac:dyDescent="0.3">
      <c r="F959" s="205"/>
    </row>
    <row r="960" spans="6:6" x14ac:dyDescent="0.3">
      <c r="F960" s="205"/>
    </row>
    <row r="961" spans="6:6" x14ac:dyDescent="0.3">
      <c r="F961" s="205"/>
    </row>
    <row r="962" spans="6:6" x14ac:dyDescent="0.3">
      <c r="F962" s="205"/>
    </row>
    <row r="963" spans="6:6" x14ac:dyDescent="0.3">
      <c r="F963" s="205"/>
    </row>
    <row r="964" spans="6:6" x14ac:dyDescent="0.3">
      <c r="F964" s="205"/>
    </row>
    <row r="965" spans="6:6" x14ac:dyDescent="0.3">
      <c r="F965" s="205"/>
    </row>
    <row r="966" spans="6:6" x14ac:dyDescent="0.3">
      <c r="F966" s="205"/>
    </row>
    <row r="967" spans="6:6" x14ac:dyDescent="0.3">
      <c r="F967" s="205"/>
    </row>
    <row r="968" spans="6:6" x14ac:dyDescent="0.3">
      <c r="F968" s="205"/>
    </row>
    <row r="969" spans="6:6" x14ac:dyDescent="0.3">
      <c r="F969" s="205"/>
    </row>
    <row r="970" spans="6:6" x14ac:dyDescent="0.3">
      <c r="F970" s="205"/>
    </row>
    <row r="971" spans="6:6" x14ac:dyDescent="0.3">
      <c r="F971" s="205"/>
    </row>
    <row r="972" spans="6:6" x14ac:dyDescent="0.3">
      <c r="F972" s="205"/>
    </row>
    <row r="973" spans="6:6" x14ac:dyDescent="0.3">
      <c r="F973" s="205"/>
    </row>
    <row r="974" spans="6:6" x14ac:dyDescent="0.3">
      <c r="F974" s="205"/>
    </row>
    <row r="975" spans="6:6" x14ac:dyDescent="0.3">
      <c r="F975" s="205"/>
    </row>
    <row r="976" spans="6:6" x14ac:dyDescent="0.3">
      <c r="F976" s="205"/>
    </row>
    <row r="977" spans="6:6" x14ac:dyDescent="0.3">
      <c r="F977" s="205"/>
    </row>
    <row r="978" spans="6:6" x14ac:dyDescent="0.3">
      <c r="F978" s="205"/>
    </row>
    <row r="979" spans="6:6" x14ac:dyDescent="0.3">
      <c r="F979" s="205"/>
    </row>
    <row r="980" spans="6:6" x14ac:dyDescent="0.3">
      <c r="F980" s="205"/>
    </row>
    <row r="981" spans="6:6" x14ac:dyDescent="0.3">
      <c r="F981" s="205"/>
    </row>
    <row r="982" spans="6:6" x14ac:dyDescent="0.3">
      <c r="F982" s="205"/>
    </row>
    <row r="983" spans="6:6" x14ac:dyDescent="0.3">
      <c r="F983" s="205"/>
    </row>
    <row r="984" spans="6:6" x14ac:dyDescent="0.3">
      <c r="F984" s="205"/>
    </row>
    <row r="985" spans="6:6" x14ac:dyDescent="0.3">
      <c r="F985" s="205"/>
    </row>
    <row r="986" spans="6:6" x14ac:dyDescent="0.3">
      <c r="F986" s="205"/>
    </row>
    <row r="987" spans="6:6" x14ac:dyDescent="0.3">
      <c r="F987" s="205"/>
    </row>
    <row r="988" spans="6:6" x14ac:dyDescent="0.3">
      <c r="F988" s="205"/>
    </row>
    <row r="989" spans="6:6" x14ac:dyDescent="0.3">
      <c r="F989" s="205"/>
    </row>
    <row r="990" spans="6:6" x14ac:dyDescent="0.3">
      <c r="F990" s="205"/>
    </row>
    <row r="991" spans="6:6" x14ac:dyDescent="0.3">
      <c r="F991" s="205"/>
    </row>
    <row r="992" spans="6:6" x14ac:dyDescent="0.3">
      <c r="F992" s="205"/>
    </row>
    <row r="993" spans="6:6" x14ac:dyDescent="0.3">
      <c r="F993" s="205"/>
    </row>
    <row r="994" spans="6:6" x14ac:dyDescent="0.3">
      <c r="F994" s="205"/>
    </row>
    <row r="995" spans="6:6" x14ac:dyDescent="0.3">
      <c r="F995" s="205"/>
    </row>
    <row r="996" spans="6:6" x14ac:dyDescent="0.3">
      <c r="F996" s="205"/>
    </row>
    <row r="997" spans="6:6" x14ac:dyDescent="0.3">
      <c r="F997" s="205"/>
    </row>
    <row r="998" spans="6:6" x14ac:dyDescent="0.3">
      <c r="F998" s="205"/>
    </row>
    <row r="999" spans="6:6" x14ac:dyDescent="0.3">
      <c r="F999" s="205"/>
    </row>
    <row r="1000" spans="6:6" x14ac:dyDescent="0.3">
      <c r="F1000" s="205"/>
    </row>
    <row r="1001" spans="6:6" x14ac:dyDescent="0.3">
      <c r="F1001" s="205"/>
    </row>
    <row r="1002" spans="6:6" x14ac:dyDescent="0.3">
      <c r="F1002" s="205"/>
    </row>
    <row r="1003" spans="6:6" x14ac:dyDescent="0.3">
      <c r="F1003" s="205"/>
    </row>
    <row r="1004" spans="6:6" x14ac:dyDescent="0.3">
      <c r="F1004" s="205"/>
    </row>
    <row r="1005" spans="6:6" x14ac:dyDescent="0.3">
      <c r="F1005" s="205"/>
    </row>
    <row r="1006" spans="6:6" x14ac:dyDescent="0.3">
      <c r="F1006" s="205"/>
    </row>
    <row r="1007" spans="6:6" x14ac:dyDescent="0.3">
      <c r="F1007" s="205"/>
    </row>
    <row r="1008" spans="6:6" x14ac:dyDescent="0.3">
      <c r="F1008" s="205"/>
    </row>
    <row r="1009" spans="6:6" x14ac:dyDescent="0.3">
      <c r="F1009" s="205"/>
    </row>
    <row r="1010" spans="6:6" x14ac:dyDescent="0.3">
      <c r="F1010" s="205"/>
    </row>
    <row r="1011" spans="6:6" x14ac:dyDescent="0.3">
      <c r="F1011" s="205"/>
    </row>
    <row r="1012" spans="6:6" x14ac:dyDescent="0.3">
      <c r="F1012" s="205"/>
    </row>
    <row r="1013" spans="6:6" x14ac:dyDescent="0.3">
      <c r="F1013" s="205"/>
    </row>
    <row r="1014" spans="6:6" x14ac:dyDescent="0.3">
      <c r="F1014" s="205"/>
    </row>
    <row r="1015" spans="6:6" x14ac:dyDescent="0.3">
      <c r="F1015" s="205"/>
    </row>
    <row r="1016" spans="6:6" x14ac:dyDescent="0.3">
      <c r="F1016" s="205"/>
    </row>
    <row r="1017" spans="6:6" x14ac:dyDescent="0.3">
      <c r="F1017" s="205"/>
    </row>
    <row r="1018" spans="6:6" x14ac:dyDescent="0.3">
      <c r="F1018" s="205"/>
    </row>
    <row r="1019" spans="6:6" x14ac:dyDescent="0.3">
      <c r="F1019" s="205"/>
    </row>
    <row r="1020" spans="6:6" x14ac:dyDescent="0.3">
      <c r="F1020" s="205"/>
    </row>
    <row r="1021" spans="6:6" x14ac:dyDescent="0.3">
      <c r="F1021" s="205"/>
    </row>
    <row r="1022" spans="6:6" x14ac:dyDescent="0.3">
      <c r="F1022" s="205"/>
    </row>
    <row r="1023" spans="6:6" x14ac:dyDescent="0.3">
      <c r="F1023" s="205"/>
    </row>
    <row r="1024" spans="6:6" x14ac:dyDescent="0.3">
      <c r="F1024" s="205"/>
    </row>
    <row r="1025" spans="6:6" x14ac:dyDescent="0.3">
      <c r="F1025" s="205"/>
    </row>
    <row r="1026" spans="6:6" x14ac:dyDescent="0.3">
      <c r="F1026" s="205"/>
    </row>
    <row r="1027" spans="6:6" x14ac:dyDescent="0.3">
      <c r="F1027" s="20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A0AE1-11B1-43E4-A0C7-E4600D27B561}">
  <sheetPr>
    <tabColor theme="1" tint="0.249977111117893"/>
  </sheetPr>
  <dimension ref="A1:AQ1039"/>
  <sheetViews>
    <sheetView zoomScale="85" zoomScaleNormal="85" workbookViewId="0">
      <pane xSplit="3" ySplit="15" topLeftCell="AC16" activePane="bottomRight" state="frozen"/>
      <selection activeCell="H39" sqref="H39"/>
      <selection pane="topRight" activeCell="H39" sqref="H39"/>
      <selection pane="bottomLeft" activeCell="H39" sqref="H39"/>
      <selection pane="bottomRight" activeCell="B16" sqref="B16:AL31"/>
    </sheetView>
  </sheetViews>
  <sheetFormatPr defaultRowHeight="14.4" outlineLevelCol="1" x14ac:dyDescent="0.3"/>
  <cols>
    <col min="1" max="1" width="4.33203125" style="16" customWidth="1"/>
    <col min="2" max="7" width="15.6640625" customWidth="1"/>
    <col min="8" max="8" width="27.88671875" customWidth="1"/>
    <col min="9" max="9" width="15.6640625" customWidth="1"/>
    <col min="10" max="10" width="19.5546875" customWidth="1"/>
    <col min="11" max="11" width="19.109375" customWidth="1"/>
    <col min="12" max="12" width="20.6640625" hidden="1" customWidth="1" outlineLevel="1"/>
    <col min="13" max="22" width="7.33203125" hidden="1" customWidth="1" outlineLevel="1"/>
    <col min="23" max="23" width="18" bestFit="1" customWidth="1" collapsed="1"/>
    <col min="24" max="24" width="20.5546875" bestFit="1" customWidth="1"/>
    <col min="25" max="25" width="18.6640625" customWidth="1"/>
    <col min="26" max="38" width="18.6640625" bestFit="1" customWidth="1"/>
  </cols>
  <sheetData>
    <row r="1" spans="2:43" s="166" customFormat="1" ht="5.0999999999999996" customHeight="1" x14ac:dyDescent="0.3"/>
    <row r="2" spans="2:43" s="166" customFormat="1" x14ac:dyDescent="0.3">
      <c r="B2" s="167" t="s">
        <v>1222</v>
      </c>
      <c r="H2" s="270" t="s">
        <v>1355</v>
      </c>
      <c r="I2" s="201">
        <f>1/3</f>
        <v>0.33333333333333331</v>
      </c>
      <c r="J2" s="166" t="s">
        <v>1302</v>
      </c>
    </row>
    <row r="3" spans="2:43" s="166" customFormat="1" x14ac:dyDescent="0.3">
      <c r="B3" s="168" t="s">
        <v>1223</v>
      </c>
      <c r="H3" s="271">
        <v>5</v>
      </c>
      <c r="I3" s="201">
        <f>1/3</f>
        <v>0.33333333333333331</v>
      </c>
      <c r="J3" s="166" t="s">
        <v>1303</v>
      </c>
    </row>
    <row r="4" spans="2:43" s="170" customFormat="1" ht="5.0999999999999996" customHeight="1" thickBot="1" x14ac:dyDescent="0.35">
      <c r="B4" s="169"/>
    </row>
    <row r="5" spans="2:43" s="166" customFormat="1" ht="14.4" customHeight="1" x14ac:dyDescent="0.3">
      <c r="B5" s="171" t="s">
        <v>1224</v>
      </c>
      <c r="C5" s="171" t="s">
        <v>1225</v>
      </c>
      <c r="D5" s="171"/>
      <c r="E5" s="171"/>
      <c r="F5" s="171" t="s">
        <v>1226</v>
      </c>
      <c r="G5" s="171" t="s">
        <v>1227</v>
      </c>
      <c r="H5" s="171" t="s">
        <v>1228</v>
      </c>
      <c r="I5" s="171" t="s">
        <v>1229</v>
      </c>
      <c r="J5" s="171" t="s">
        <v>1230</v>
      </c>
      <c r="K5" s="171" t="s">
        <v>1231</v>
      </c>
    </row>
    <row r="6" spans="2:43" x14ac:dyDescent="0.3">
      <c r="B6" t="s">
        <v>590</v>
      </c>
      <c r="C6" t="str">
        <f>_xlfn.IFNA(INDEX('[1]Country list'!$A$2:$A$166,MATCH(B6,'[1]Country list'!$B$2:$B$166,0)),"")</f>
        <v>ITA</v>
      </c>
      <c r="F6" t="s">
        <v>1232</v>
      </c>
      <c r="G6" t="str">
        <f>_xlfn.IFNA(INDEX('[1]Sector list'!$A$2:$A$122,MATCH(F6,'[1]Sector list'!$B$2:$B$122,0)),"")</f>
        <v>ALL</v>
      </c>
      <c r="H6" t="s">
        <v>1233</v>
      </c>
      <c r="I6" t="str">
        <f>_xlfn.IFNA(INDEX('[1]FD list'!$A$2:$A$122,MATCH(H6,'[1]FD list'!$B$2:$B$122,0)),"")</f>
        <v>FD_1</v>
      </c>
      <c r="J6" s="172" t="s">
        <v>1234</v>
      </c>
      <c r="K6" t="s">
        <v>1235</v>
      </c>
    </row>
    <row r="7" spans="2:43" x14ac:dyDescent="0.3">
      <c r="C7" t="s">
        <v>589</v>
      </c>
      <c r="F7" t="s">
        <v>1236</v>
      </c>
      <c r="G7">
        <f>_xlfn.IFNA(INDEX('[1]Sector list'!$A$2:$A$122,MATCH(F7,'[1]Sector list'!$B$2:$B$122,0)),"")</f>
        <v>43</v>
      </c>
      <c r="H7" t="s">
        <v>1232</v>
      </c>
      <c r="I7" t="str">
        <f>_xlfn.IFNA(INDEX('[1]FD list'!$A$2:$A$122,MATCH(H7,'[1]FD list'!$B$2:$B$122,0)),"")</f>
        <v>ALL</v>
      </c>
      <c r="J7" s="172" t="s">
        <v>1234</v>
      </c>
      <c r="K7" t="s">
        <v>1237</v>
      </c>
    </row>
    <row r="8" spans="2:43" x14ac:dyDescent="0.3">
      <c r="B8" t="s">
        <v>579</v>
      </c>
      <c r="C8" t="str">
        <f>_xlfn.IFNA(INDEX('[1]Country list'!$A$2:$A$166,MATCH(B8,'[1]Country list'!$B$2:$B$166,0)),"")</f>
        <v>DEU</v>
      </c>
      <c r="G8" s="173" t="s">
        <v>1238</v>
      </c>
      <c r="I8" t="s">
        <v>1239</v>
      </c>
      <c r="J8" t="s">
        <v>1240</v>
      </c>
      <c r="K8" t="s">
        <v>1241</v>
      </c>
    </row>
    <row r="9" spans="2:43" x14ac:dyDescent="0.3">
      <c r="B9" t="s">
        <v>866</v>
      </c>
      <c r="C9" t="str">
        <f>_xlfn.IFNA(INDEX('[1]Country list'!$A$2:$A$166,MATCH(B9,'[1]Country list'!$B$2:$B$166,0)),"")</f>
        <v>MWI</v>
      </c>
      <c r="F9" t="s">
        <v>1242</v>
      </c>
      <c r="G9">
        <f>_xlfn.IFNA(INDEX('[1]Sector list'!$A$2:$A$122,MATCH(F9,'[1]Sector list'!$B$2:$B$122,0)),"")</f>
        <v>98</v>
      </c>
      <c r="H9" t="s">
        <v>1243</v>
      </c>
      <c r="I9" t="str">
        <f>_xlfn.IFNA(INDEX('[1]FD list'!$A$2:$A$122,MATCH(H9,'[1]FD list'!$B$2:$B$122,0)),"")</f>
        <v>FD_4</v>
      </c>
      <c r="J9" s="172" t="s">
        <v>1234</v>
      </c>
      <c r="K9" t="s">
        <v>1244</v>
      </c>
    </row>
    <row r="10" spans="2:43" x14ac:dyDescent="0.3">
      <c r="J10" s="172"/>
    </row>
    <row r="11" spans="2:43" x14ac:dyDescent="0.3">
      <c r="J11" s="172"/>
    </row>
    <row r="12" spans="2:43" x14ac:dyDescent="0.3">
      <c r="J12" s="172"/>
    </row>
    <row r="13" spans="2:43" ht="14.4" customHeight="1" x14ac:dyDescent="0.3">
      <c r="C13" s="174" t="s">
        <v>1245</v>
      </c>
      <c r="E13" s="174" t="s">
        <v>1246</v>
      </c>
      <c r="G13" s="174" t="s">
        <v>1247</v>
      </c>
      <c r="I13" s="174" t="s">
        <v>1248</v>
      </c>
      <c r="J13" s="172" t="s">
        <v>1249</v>
      </c>
    </row>
    <row r="14" spans="2:43" s="176" customFormat="1" ht="14.4" customHeight="1" thickBot="1" x14ac:dyDescent="0.35">
      <c r="B14" s="175" t="s">
        <v>1250</v>
      </c>
      <c r="J14" s="177"/>
    </row>
    <row r="15" spans="2:43" s="166" customFormat="1" ht="14.4" customHeight="1" x14ac:dyDescent="0.3">
      <c r="B15" s="171" t="s">
        <v>1251</v>
      </c>
      <c r="C15" s="171" t="s">
        <v>1252</v>
      </c>
      <c r="D15" s="171" t="s">
        <v>1253</v>
      </c>
      <c r="E15" s="171" t="s">
        <v>1254</v>
      </c>
      <c r="F15" s="171" t="s">
        <v>1226</v>
      </c>
      <c r="G15" s="171" t="s">
        <v>1227</v>
      </c>
      <c r="H15" s="171" t="s">
        <v>1228</v>
      </c>
      <c r="I15" s="171" t="s">
        <v>1229</v>
      </c>
      <c r="J15" s="171" t="s">
        <v>1230</v>
      </c>
      <c r="K15" s="171" t="s">
        <v>1231</v>
      </c>
      <c r="L15" s="166">
        <v>2019</v>
      </c>
      <c r="M15" s="166">
        <v>2020</v>
      </c>
      <c r="N15" s="166">
        <v>2021</v>
      </c>
      <c r="O15" s="166">
        <v>2022</v>
      </c>
      <c r="P15" s="166">
        <v>2023</v>
      </c>
      <c r="Q15" s="166">
        <v>2024</v>
      </c>
      <c r="R15" s="166">
        <v>2025</v>
      </c>
      <c r="S15" s="166">
        <v>2026</v>
      </c>
      <c r="T15" s="166">
        <v>2027</v>
      </c>
      <c r="U15" s="166">
        <v>2028</v>
      </c>
      <c r="V15" s="166">
        <v>2029</v>
      </c>
      <c r="W15" s="166">
        <v>2030</v>
      </c>
      <c r="X15" s="166">
        <v>2031</v>
      </c>
      <c r="Y15" s="166">
        <v>2032</v>
      </c>
      <c r="Z15" s="166">
        <v>2033</v>
      </c>
      <c r="AA15" s="166">
        <v>2034</v>
      </c>
      <c r="AB15" s="166">
        <v>2035</v>
      </c>
      <c r="AC15" s="166">
        <v>2036</v>
      </c>
      <c r="AD15" s="166">
        <v>2037</v>
      </c>
      <c r="AE15" s="166">
        <v>2038</v>
      </c>
      <c r="AF15" s="166">
        <v>2039</v>
      </c>
      <c r="AG15" s="166">
        <v>2040</v>
      </c>
      <c r="AH15" s="166">
        <v>2041</v>
      </c>
      <c r="AI15" s="166">
        <v>2042</v>
      </c>
      <c r="AJ15" s="166">
        <v>2043</v>
      </c>
      <c r="AK15" s="166">
        <v>2044</v>
      </c>
      <c r="AL15" s="166">
        <v>2045</v>
      </c>
      <c r="AM15" s="166">
        <v>2046</v>
      </c>
      <c r="AN15" s="166">
        <v>2047</v>
      </c>
      <c r="AO15" s="166">
        <v>2048</v>
      </c>
      <c r="AP15" s="166">
        <v>2049</v>
      </c>
      <c r="AQ15" s="166">
        <v>2050</v>
      </c>
    </row>
    <row r="16" spans="2:43" x14ac:dyDescent="0.3">
      <c r="C16" s="161" t="s">
        <v>1058</v>
      </c>
      <c r="E16" s="161" t="s">
        <v>1058</v>
      </c>
      <c r="F16" t="s">
        <v>1232</v>
      </c>
      <c r="G16" t="s">
        <v>1232</v>
      </c>
      <c r="H16" t="s">
        <v>1233</v>
      </c>
      <c r="I16" t="s">
        <v>1239</v>
      </c>
      <c r="J16" t="s">
        <v>1240</v>
      </c>
      <c r="K16" s="266">
        <f>SUM(X16:AL16)/1000000</f>
        <v>1.2914527461594423</v>
      </c>
      <c r="X16" s="202">
        <f>VLOOKUP($C16,'MSET pivots'!$B$4:$H$14,$H$3,FALSE)*1000000*$I$2*'MSET pivots'!E$65</f>
        <v>43049.070595125871</v>
      </c>
      <c r="Y16" s="202">
        <f>VLOOKUP($C16,'MSET pivots'!$B$4:$H$14,$H$3,FALSE)*1000000*$I$2*'MSET pivots'!F$65</f>
        <v>49198.753330674008</v>
      </c>
      <c r="Z16" s="202">
        <f>VLOOKUP($C16,'MSET pivots'!$B$4:$H$14,$H$3,FALSE)*1000000*$I$2*'MSET pivots'!G$65</f>
        <v>55348.436066222144</v>
      </c>
      <c r="AA16" s="202">
        <f>VLOOKUP($C16,'MSET pivots'!$B$4:$H$14,$H$3,FALSE)*1000000*$I$2*'MSET pivots'!H$65</f>
        <v>61498.118801770281</v>
      </c>
      <c r="AB16" s="202">
        <f>VLOOKUP($C16,'MSET pivots'!$B$4:$H$14,$H$3,FALSE)*1000000*$I$2*'MSET pivots'!I$65</f>
        <v>67647.801537318417</v>
      </c>
      <c r="AC16" s="202">
        <f>VLOOKUP($C16,'MSET pivots'!$B$4:$H$14,$H$3,FALSE)*1000000*$I$2*'MSET pivots'!J$65</f>
        <v>73797.484272866554</v>
      </c>
      <c r="AD16" s="202">
        <f>VLOOKUP($C16,'MSET pivots'!$B$4:$H$14,$H$3,FALSE)*1000000*$I$2*'MSET pivots'!K$65</f>
        <v>79947.16700841469</v>
      </c>
      <c r="AE16" s="202">
        <f>VLOOKUP($C16,'MSET pivots'!$B$4:$H$14,$H$3,FALSE)*1000000*$I$2*'MSET pivots'!L$65</f>
        <v>86096.849743962812</v>
      </c>
      <c r="AF16" s="202">
        <f>VLOOKUP($C16,'MSET pivots'!$B$4:$H$14,$H$3,FALSE)*1000000*$I$2*'MSET pivots'!M$65</f>
        <v>92246.532479510934</v>
      </c>
      <c r="AG16" s="202">
        <f>VLOOKUP($C16,'MSET pivots'!$B$4:$H$14,$H$3,FALSE)*1000000*$I$2*'MSET pivots'!N$65</f>
        <v>98396.21521505907</v>
      </c>
      <c r="AH16" s="202">
        <f>VLOOKUP($C16,'MSET pivots'!$B$4:$H$14,$H$3,FALSE)*1000000*$I$2*'MSET pivots'!O$65</f>
        <v>104545.89795060719</v>
      </c>
      <c r="AI16" s="202">
        <f>VLOOKUP($C16,'MSET pivots'!$B$4:$H$14,$H$3,FALSE)*1000000*$I$2*'MSET pivots'!P$65</f>
        <v>110695.58068615531</v>
      </c>
      <c r="AJ16" s="202">
        <f>VLOOKUP($C16,'MSET pivots'!$B$4:$H$14,$H$3,FALSE)*1000000*$I$2*'MSET pivots'!Q$65</f>
        <v>116845.26342170345</v>
      </c>
      <c r="AK16" s="202">
        <f>VLOOKUP($C16,'MSET pivots'!$B$4:$H$14,$H$3,FALSE)*1000000*$I$2*'MSET pivots'!R$65</f>
        <v>122994.94615725157</v>
      </c>
      <c r="AL16" s="202">
        <f>VLOOKUP($C16,'MSET pivots'!$B$4:$H$14,$H$3,FALSE)*1000000*$I$2*'MSET pivots'!S$65</f>
        <v>129144.62889279975</v>
      </c>
    </row>
    <row r="17" spans="1:38" x14ac:dyDescent="0.3">
      <c r="C17" s="161" t="s">
        <v>1058</v>
      </c>
      <c r="E17" s="161" t="s">
        <v>1058</v>
      </c>
      <c r="F17" t="s">
        <v>1232</v>
      </c>
      <c r="G17" t="s">
        <v>1232</v>
      </c>
      <c r="H17" t="s">
        <v>1255</v>
      </c>
      <c r="I17" t="s">
        <v>1256</v>
      </c>
      <c r="J17" t="s">
        <v>1240</v>
      </c>
      <c r="K17" s="266">
        <f t="shared" ref="K17:K27" si="0">SUM(X17:AL17)/1000000</f>
        <v>1.2914527461594423</v>
      </c>
      <c r="X17" s="202">
        <f>VLOOKUP($C17,'MSET pivots'!$B$4:$H$14,$H$3,FALSE)*1000000*$I$3*'MSET pivots'!E$65</f>
        <v>43049.070595125871</v>
      </c>
      <c r="Y17" s="202">
        <f>VLOOKUP($C17,'MSET pivots'!$B$4:$H$14,$H$3,FALSE)*1000000*$I$3*'MSET pivots'!F$65</f>
        <v>49198.753330674008</v>
      </c>
      <c r="Z17" s="202">
        <f>VLOOKUP($C17,'MSET pivots'!$B$4:$H$14,$H$3,FALSE)*1000000*$I$3*'MSET pivots'!G$65</f>
        <v>55348.436066222144</v>
      </c>
      <c r="AA17" s="202">
        <f>VLOOKUP($C17,'MSET pivots'!$B$4:$H$14,$H$3,FALSE)*1000000*$I$3*'MSET pivots'!H$65</f>
        <v>61498.118801770281</v>
      </c>
      <c r="AB17" s="202">
        <f>VLOOKUP($C17,'MSET pivots'!$B$4:$H$14,$H$3,FALSE)*1000000*$I$3*'MSET pivots'!I$65</f>
        <v>67647.801537318417</v>
      </c>
      <c r="AC17" s="202">
        <f>VLOOKUP($C17,'MSET pivots'!$B$4:$H$14,$H$3,FALSE)*1000000*$I$3*'MSET pivots'!J$65</f>
        <v>73797.484272866554</v>
      </c>
      <c r="AD17" s="202">
        <f>VLOOKUP($C17,'MSET pivots'!$B$4:$H$14,$H$3,FALSE)*1000000*$I$3*'MSET pivots'!K$65</f>
        <v>79947.16700841469</v>
      </c>
      <c r="AE17" s="202">
        <f>VLOOKUP($C17,'MSET pivots'!$B$4:$H$14,$H$3,FALSE)*1000000*$I$3*'MSET pivots'!L$65</f>
        <v>86096.849743962812</v>
      </c>
      <c r="AF17" s="202">
        <f>VLOOKUP($C17,'MSET pivots'!$B$4:$H$14,$H$3,FALSE)*1000000*$I$3*'MSET pivots'!M$65</f>
        <v>92246.532479510934</v>
      </c>
      <c r="AG17" s="202">
        <f>VLOOKUP($C17,'MSET pivots'!$B$4:$H$14,$H$3,FALSE)*1000000*$I$3*'MSET pivots'!N$65</f>
        <v>98396.21521505907</v>
      </c>
      <c r="AH17" s="202">
        <f>VLOOKUP($C17,'MSET pivots'!$B$4:$H$14,$H$3,FALSE)*1000000*$I$3*'MSET pivots'!O$65</f>
        <v>104545.89795060719</v>
      </c>
      <c r="AI17" s="202">
        <f>VLOOKUP($C17,'MSET pivots'!$B$4:$H$14,$H$3,FALSE)*1000000*$I$3*'MSET pivots'!P$65</f>
        <v>110695.58068615531</v>
      </c>
      <c r="AJ17" s="202">
        <f>VLOOKUP($C17,'MSET pivots'!$B$4:$H$14,$H$3,FALSE)*1000000*$I$3*'MSET pivots'!Q$65</f>
        <v>116845.26342170345</v>
      </c>
      <c r="AK17" s="202">
        <f>VLOOKUP($C17,'MSET pivots'!$B$4:$H$14,$H$3,FALSE)*1000000*$I$3*'MSET pivots'!R$65</f>
        <v>122994.94615725157</v>
      </c>
      <c r="AL17" s="202">
        <f>VLOOKUP($C17,'MSET pivots'!$B$4:$H$14,$H$3,FALSE)*1000000*$I$3*'MSET pivots'!S$65</f>
        <v>129144.62889279975</v>
      </c>
    </row>
    <row r="18" spans="1:38" x14ac:dyDescent="0.3">
      <c r="C18" t="s">
        <v>1048</v>
      </c>
      <c r="E18" t="s">
        <v>1048</v>
      </c>
      <c r="F18" t="s">
        <v>1232</v>
      </c>
      <c r="G18" t="s">
        <v>1232</v>
      </c>
      <c r="H18" t="s">
        <v>1233</v>
      </c>
      <c r="I18" t="s">
        <v>1239</v>
      </c>
      <c r="J18" t="s">
        <v>1240</v>
      </c>
      <c r="K18" s="266">
        <f t="shared" si="0"/>
        <v>0.94167139452939153</v>
      </c>
      <c r="X18" s="202">
        <f>VLOOKUP($C18,'MSET pivots'!$B$4:$H$14,$H$3,FALSE)*1000000*$I$2*'MSET pivots'!E$65</f>
        <v>31389.517317656151</v>
      </c>
      <c r="Y18" s="202">
        <f>VLOOKUP($C18,'MSET pivots'!$B$4:$H$14,$H$3,FALSE)*1000000*$I$2*'MSET pivots'!F$65</f>
        <v>35873.599553509004</v>
      </c>
      <c r="Z18" s="202">
        <f>VLOOKUP($C18,'MSET pivots'!$B$4:$H$14,$H$3,FALSE)*1000000*$I$2*'MSET pivots'!G$65</f>
        <v>40357.68178936185</v>
      </c>
      <c r="AA18" s="202">
        <f>VLOOKUP($C18,'MSET pivots'!$B$4:$H$14,$H$3,FALSE)*1000000*$I$2*'MSET pivots'!H$65</f>
        <v>44841.764025214703</v>
      </c>
      <c r="AB18" s="202">
        <f>VLOOKUP($C18,'MSET pivots'!$B$4:$H$14,$H$3,FALSE)*1000000*$I$2*'MSET pivots'!I$65</f>
        <v>49325.846261067556</v>
      </c>
      <c r="AC18" s="202">
        <f>VLOOKUP($C18,'MSET pivots'!$B$4:$H$14,$H$3,FALSE)*1000000*$I$2*'MSET pivots'!J$65</f>
        <v>53809.928496920409</v>
      </c>
      <c r="AD18" s="202">
        <f>VLOOKUP($C18,'MSET pivots'!$B$4:$H$14,$H$3,FALSE)*1000000*$I$2*'MSET pivots'!K$65</f>
        <v>58294.010732773255</v>
      </c>
      <c r="AE18" s="202">
        <f>VLOOKUP($C18,'MSET pivots'!$B$4:$H$14,$H$3,FALSE)*1000000*$I$2*'MSET pivots'!L$65</f>
        <v>62778.092968626101</v>
      </c>
      <c r="AF18" s="202">
        <f>VLOOKUP($C18,'MSET pivots'!$B$4:$H$14,$H$3,FALSE)*1000000*$I$2*'MSET pivots'!M$65</f>
        <v>67262.175204478946</v>
      </c>
      <c r="AG18" s="202">
        <f>VLOOKUP($C18,'MSET pivots'!$B$4:$H$14,$H$3,FALSE)*1000000*$I$2*'MSET pivots'!N$65</f>
        <v>71746.257440331785</v>
      </c>
      <c r="AH18" s="202">
        <f>VLOOKUP($C18,'MSET pivots'!$B$4:$H$14,$H$3,FALSE)*1000000*$I$2*'MSET pivots'!O$65</f>
        <v>76230.339676184638</v>
      </c>
      <c r="AI18" s="202">
        <f>VLOOKUP($C18,'MSET pivots'!$B$4:$H$14,$H$3,FALSE)*1000000*$I$2*'MSET pivots'!P$65</f>
        <v>80714.421912037476</v>
      </c>
      <c r="AJ18" s="202">
        <f>VLOOKUP($C18,'MSET pivots'!$B$4:$H$14,$H$3,FALSE)*1000000*$I$2*'MSET pivots'!Q$65</f>
        <v>85198.504147890329</v>
      </c>
      <c r="AK18" s="202">
        <f>VLOOKUP($C18,'MSET pivots'!$B$4:$H$14,$H$3,FALSE)*1000000*$I$2*'MSET pivots'!R$65</f>
        <v>89682.586383743168</v>
      </c>
      <c r="AL18" s="202">
        <f>VLOOKUP($C18,'MSET pivots'!$B$4:$H$14,$H$3,FALSE)*1000000*$I$2*'MSET pivots'!S$65</f>
        <v>94166.66861959605</v>
      </c>
    </row>
    <row r="19" spans="1:38" x14ac:dyDescent="0.3">
      <c r="C19" t="s">
        <v>1048</v>
      </c>
      <c r="E19" t="s">
        <v>1048</v>
      </c>
      <c r="F19" t="s">
        <v>1232</v>
      </c>
      <c r="G19" t="s">
        <v>1232</v>
      </c>
      <c r="H19" t="s">
        <v>1255</v>
      </c>
      <c r="I19" t="s">
        <v>1256</v>
      </c>
      <c r="J19" t="s">
        <v>1240</v>
      </c>
      <c r="K19" s="266">
        <f t="shared" si="0"/>
        <v>0.94167139452939153</v>
      </c>
      <c r="X19" s="202">
        <f>VLOOKUP($C19,'MSET pivots'!$B$4:$H$14,$H$3,FALSE)*1000000*$I$3*'MSET pivots'!E$65</f>
        <v>31389.517317656151</v>
      </c>
      <c r="Y19" s="202">
        <f>VLOOKUP($C19,'MSET pivots'!$B$4:$H$14,$H$3,FALSE)*1000000*$I$3*'MSET pivots'!F$65</f>
        <v>35873.599553509004</v>
      </c>
      <c r="Z19" s="202">
        <f>VLOOKUP($C19,'MSET pivots'!$B$4:$H$14,$H$3,FALSE)*1000000*$I$3*'MSET pivots'!G$65</f>
        <v>40357.68178936185</v>
      </c>
      <c r="AA19" s="202">
        <f>VLOOKUP($C19,'MSET pivots'!$B$4:$H$14,$H$3,FALSE)*1000000*$I$3*'MSET pivots'!H$65</f>
        <v>44841.764025214703</v>
      </c>
      <c r="AB19" s="202">
        <f>VLOOKUP($C19,'MSET pivots'!$B$4:$H$14,$H$3,FALSE)*1000000*$I$3*'MSET pivots'!I$65</f>
        <v>49325.846261067556</v>
      </c>
      <c r="AC19" s="202">
        <f>VLOOKUP($C19,'MSET pivots'!$B$4:$H$14,$H$3,FALSE)*1000000*$I$3*'MSET pivots'!J$65</f>
        <v>53809.928496920409</v>
      </c>
      <c r="AD19" s="202">
        <f>VLOOKUP($C19,'MSET pivots'!$B$4:$H$14,$H$3,FALSE)*1000000*$I$3*'MSET pivots'!K$65</f>
        <v>58294.010732773255</v>
      </c>
      <c r="AE19" s="202">
        <f>VLOOKUP($C19,'MSET pivots'!$B$4:$H$14,$H$3,FALSE)*1000000*$I$3*'MSET pivots'!L$65</f>
        <v>62778.092968626101</v>
      </c>
      <c r="AF19" s="202">
        <f>VLOOKUP($C19,'MSET pivots'!$B$4:$H$14,$H$3,FALSE)*1000000*$I$3*'MSET pivots'!M$65</f>
        <v>67262.175204478946</v>
      </c>
      <c r="AG19" s="202">
        <f>VLOOKUP($C19,'MSET pivots'!$B$4:$H$14,$H$3,FALSE)*1000000*$I$3*'MSET pivots'!N$65</f>
        <v>71746.257440331785</v>
      </c>
      <c r="AH19" s="202">
        <f>VLOOKUP($C19,'MSET pivots'!$B$4:$H$14,$H$3,FALSE)*1000000*$I$3*'MSET pivots'!O$65</f>
        <v>76230.339676184638</v>
      </c>
      <c r="AI19" s="202">
        <f>VLOOKUP($C19,'MSET pivots'!$B$4:$H$14,$H$3,FALSE)*1000000*$I$3*'MSET pivots'!P$65</f>
        <v>80714.421912037476</v>
      </c>
      <c r="AJ19" s="202">
        <f>VLOOKUP($C19,'MSET pivots'!$B$4:$H$14,$H$3,FALSE)*1000000*$I$3*'MSET pivots'!Q$65</f>
        <v>85198.504147890329</v>
      </c>
      <c r="AK19" s="202">
        <f>VLOOKUP($C19,'MSET pivots'!$B$4:$H$14,$H$3,FALSE)*1000000*$I$3*'MSET pivots'!R$65</f>
        <v>89682.586383743168</v>
      </c>
      <c r="AL19" s="202">
        <f>VLOOKUP($C19,'MSET pivots'!$B$4:$H$14,$H$3,FALSE)*1000000*$I$3*'MSET pivots'!S$65</f>
        <v>94166.66861959605</v>
      </c>
    </row>
    <row r="20" spans="1:38" x14ac:dyDescent="0.3">
      <c r="A20" s="180"/>
      <c r="B20" s="180"/>
      <c r="C20" s="272" t="s">
        <v>1011</v>
      </c>
      <c r="D20" s="103"/>
      <c r="E20" s="272" t="s">
        <v>1011</v>
      </c>
      <c r="F20" s="103" t="s">
        <v>1232</v>
      </c>
      <c r="G20" s="103" t="s">
        <v>1232</v>
      </c>
      <c r="H20" t="s">
        <v>1233</v>
      </c>
      <c r="I20" t="s">
        <v>1239</v>
      </c>
      <c r="J20" t="s">
        <v>1240</v>
      </c>
      <c r="K20" s="266">
        <f t="shared" ref="K20:K21" si="1">SUM(X20:AL20)/1000000</f>
        <v>4.8842778871055774</v>
      </c>
      <c r="X20" s="202">
        <f>VLOOKUP($C20,'MSET pivots'!$B$4:$H$14,$H$3,FALSE)*1000000*$I$2*'MSET pivots'!E$65</f>
        <v>162811.7050302522</v>
      </c>
      <c r="Y20" s="202">
        <f>VLOOKUP($C20,'MSET pivots'!$B$4:$H$14,$H$3,FALSE)*1000000*$I$2*'MSET pivots'!F$65</f>
        <v>186069.82228407884</v>
      </c>
      <c r="Z20" s="202">
        <f>VLOOKUP($C20,'MSET pivots'!$B$4:$H$14,$H$3,FALSE)*1000000*$I$2*'MSET pivots'!G$65</f>
        <v>209327.93953790545</v>
      </c>
      <c r="AA20" s="202">
        <f>VLOOKUP($C20,'MSET pivots'!$B$4:$H$14,$H$3,FALSE)*1000000*$I$2*'MSET pivots'!H$65</f>
        <v>232586.05679173209</v>
      </c>
      <c r="AB20" s="202">
        <f>VLOOKUP($C20,'MSET pivots'!$B$4:$H$14,$H$3,FALSE)*1000000*$I$2*'MSET pivots'!I$65</f>
        <v>255844.1740455587</v>
      </c>
      <c r="AC20" s="202">
        <f>VLOOKUP($C20,'MSET pivots'!$B$4:$H$14,$H$3,FALSE)*1000000*$I$2*'MSET pivots'!J$65</f>
        <v>279102.29129938531</v>
      </c>
      <c r="AD20" s="202">
        <f>VLOOKUP($C20,'MSET pivots'!$B$4:$H$14,$H$3,FALSE)*1000000*$I$2*'MSET pivots'!K$65</f>
        <v>302360.40855321195</v>
      </c>
      <c r="AE20" s="202">
        <f>VLOOKUP($C20,'MSET pivots'!$B$4:$H$14,$H$3,FALSE)*1000000*$I$2*'MSET pivots'!L$65</f>
        <v>325618.52580703853</v>
      </c>
      <c r="AF20" s="202">
        <f>VLOOKUP($C20,'MSET pivots'!$B$4:$H$14,$H$3,FALSE)*1000000*$I$2*'MSET pivots'!M$65</f>
        <v>348876.64306086517</v>
      </c>
      <c r="AG20" s="202">
        <f>VLOOKUP($C20,'MSET pivots'!$B$4:$H$14,$H$3,FALSE)*1000000*$I$2*'MSET pivots'!N$65</f>
        <v>372134.76031469175</v>
      </c>
      <c r="AH20" s="202">
        <f>VLOOKUP($C20,'MSET pivots'!$B$4:$H$14,$H$3,FALSE)*1000000*$I$2*'MSET pivots'!O$65</f>
        <v>395392.87756851834</v>
      </c>
      <c r="AI20" s="202">
        <f>VLOOKUP($C20,'MSET pivots'!$B$4:$H$14,$H$3,FALSE)*1000000*$I$2*'MSET pivots'!P$65</f>
        <v>418650.99482234492</v>
      </c>
      <c r="AJ20" s="202">
        <f>VLOOKUP($C20,'MSET pivots'!$B$4:$H$14,$H$3,FALSE)*1000000*$I$2*'MSET pivots'!Q$65</f>
        <v>441909.1120761715</v>
      </c>
      <c r="AK20" s="202">
        <f>VLOOKUP($C20,'MSET pivots'!$B$4:$H$14,$H$3,FALSE)*1000000*$I$2*'MSET pivots'!R$65</f>
        <v>465167.22932999814</v>
      </c>
      <c r="AL20" s="202">
        <f>VLOOKUP($C20,'MSET pivots'!$B$4:$H$14,$H$3,FALSE)*1000000*$I$2*'MSET pivots'!S$65</f>
        <v>488425.3465838249</v>
      </c>
    </row>
    <row r="21" spans="1:38" x14ac:dyDescent="0.3">
      <c r="A21" s="180"/>
      <c r="B21" s="180"/>
      <c r="C21" s="272" t="s">
        <v>1011</v>
      </c>
      <c r="D21" s="103"/>
      <c r="E21" s="272" t="s">
        <v>1011</v>
      </c>
      <c r="F21" s="103" t="s">
        <v>1232</v>
      </c>
      <c r="G21" s="103" t="s">
        <v>1232</v>
      </c>
      <c r="H21" t="s">
        <v>1255</v>
      </c>
      <c r="I21" t="s">
        <v>1256</v>
      </c>
      <c r="J21" t="s">
        <v>1240</v>
      </c>
      <c r="K21" s="266">
        <f t="shared" si="1"/>
        <v>4.8842778871055774</v>
      </c>
      <c r="X21" s="202">
        <f>VLOOKUP($C21,'MSET pivots'!$B$4:$H$14,$H$3,FALSE)*1000000*$I$3*'MSET pivots'!E$65</f>
        <v>162811.7050302522</v>
      </c>
      <c r="Y21" s="202">
        <f>VLOOKUP($C21,'MSET pivots'!$B$4:$H$14,$H$3,FALSE)*1000000*$I$3*'MSET pivots'!F$65</f>
        <v>186069.82228407884</v>
      </c>
      <c r="Z21" s="202">
        <f>VLOOKUP($C21,'MSET pivots'!$B$4:$H$14,$H$3,FALSE)*1000000*$I$3*'MSET pivots'!G$65</f>
        <v>209327.93953790545</v>
      </c>
      <c r="AA21" s="202">
        <f>VLOOKUP($C21,'MSET pivots'!$B$4:$H$14,$H$3,FALSE)*1000000*$I$3*'MSET pivots'!H$65</f>
        <v>232586.05679173209</v>
      </c>
      <c r="AB21" s="202">
        <f>VLOOKUP($C21,'MSET pivots'!$B$4:$H$14,$H$3,FALSE)*1000000*$I$3*'MSET pivots'!I$65</f>
        <v>255844.1740455587</v>
      </c>
      <c r="AC21" s="202">
        <f>VLOOKUP($C21,'MSET pivots'!$B$4:$H$14,$H$3,FALSE)*1000000*$I$3*'MSET pivots'!J$65</f>
        <v>279102.29129938531</v>
      </c>
      <c r="AD21" s="202">
        <f>VLOOKUP($C21,'MSET pivots'!$B$4:$H$14,$H$3,FALSE)*1000000*$I$3*'MSET pivots'!K$65</f>
        <v>302360.40855321195</v>
      </c>
      <c r="AE21" s="202">
        <f>VLOOKUP($C21,'MSET pivots'!$B$4:$H$14,$H$3,FALSE)*1000000*$I$3*'MSET pivots'!L$65</f>
        <v>325618.52580703853</v>
      </c>
      <c r="AF21" s="202">
        <f>VLOOKUP($C21,'MSET pivots'!$B$4:$H$14,$H$3,FALSE)*1000000*$I$3*'MSET pivots'!M$65</f>
        <v>348876.64306086517</v>
      </c>
      <c r="AG21" s="202">
        <f>VLOOKUP($C21,'MSET pivots'!$B$4:$H$14,$H$3,FALSE)*1000000*$I$3*'MSET pivots'!N$65</f>
        <v>372134.76031469175</v>
      </c>
      <c r="AH21" s="202">
        <f>VLOOKUP($C21,'MSET pivots'!$B$4:$H$14,$H$3,FALSE)*1000000*$I$3*'MSET pivots'!O$65</f>
        <v>395392.87756851834</v>
      </c>
      <c r="AI21" s="202">
        <f>VLOOKUP($C21,'MSET pivots'!$B$4:$H$14,$H$3,FALSE)*1000000*$I$3*'MSET pivots'!P$65</f>
        <v>418650.99482234492</v>
      </c>
      <c r="AJ21" s="202">
        <f>VLOOKUP($C21,'MSET pivots'!$B$4:$H$14,$H$3,FALSE)*1000000*$I$3*'MSET pivots'!Q$65</f>
        <v>441909.1120761715</v>
      </c>
      <c r="AK21" s="202">
        <f>VLOOKUP($C21,'MSET pivots'!$B$4:$H$14,$H$3,FALSE)*1000000*$I$3*'MSET pivots'!R$65</f>
        <v>465167.22932999814</v>
      </c>
      <c r="AL21" s="202">
        <f>VLOOKUP($C21,'MSET pivots'!$B$4:$H$14,$H$3,FALSE)*1000000*$I$3*'MSET pivots'!S$65</f>
        <v>488425.3465838249</v>
      </c>
    </row>
    <row r="22" spans="1:38" x14ac:dyDescent="0.3">
      <c r="C22" s="161" t="s">
        <v>1052</v>
      </c>
      <c r="E22" s="161" t="s">
        <v>1052</v>
      </c>
      <c r="F22" t="s">
        <v>1232</v>
      </c>
      <c r="G22" t="s">
        <v>1232</v>
      </c>
      <c r="H22" t="s">
        <v>1233</v>
      </c>
      <c r="I22" t="s">
        <v>1239</v>
      </c>
      <c r="J22" t="s">
        <v>1240</v>
      </c>
      <c r="K22" s="266">
        <f t="shared" si="0"/>
        <v>1.1857456723865323</v>
      </c>
      <c r="W22" s="178"/>
      <c r="X22" s="202">
        <f>VLOOKUP($C22,'MSET pivots'!$B$4:$H$14,$H$3,FALSE)*1000000*$I$2*'MSET pivots'!E$65</f>
        <v>39525.44861608959</v>
      </c>
      <c r="Y22" s="202">
        <f>VLOOKUP($C22,'MSET pivots'!$B$4:$H$14,$H$3,FALSE)*1000000*$I$2*'MSET pivots'!F$65</f>
        <v>45171.771884139009</v>
      </c>
      <c r="Z22" s="202">
        <f>VLOOKUP($C22,'MSET pivots'!$B$4:$H$14,$H$3,FALSE)*1000000*$I$2*'MSET pivots'!G$65</f>
        <v>50818.09515218842</v>
      </c>
      <c r="AA22" s="202">
        <f>VLOOKUP($C22,'MSET pivots'!$B$4:$H$14,$H$3,FALSE)*1000000*$I$2*'MSET pivots'!H$65</f>
        <v>56464.418420237838</v>
      </c>
      <c r="AB22" s="202">
        <f>VLOOKUP($C22,'MSET pivots'!$B$4:$H$14,$H$3,FALSE)*1000000*$I$2*'MSET pivots'!I$65</f>
        <v>62110.741688287257</v>
      </c>
      <c r="AC22" s="202">
        <f>VLOOKUP($C22,'MSET pivots'!$B$4:$H$14,$H$3,FALSE)*1000000*$I$2*'MSET pivots'!J$65</f>
        <v>67757.064956336675</v>
      </c>
      <c r="AD22" s="202">
        <f>VLOOKUP($C22,'MSET pivots'!$B$4:$H$14,$H$3,FALSE)*1000000*$I$2*'MSET pivots'!K$65</f>
        <v>73403.388224386086</v>
      </c>
      <c r="AE22" s="202">
        <f>VLOOKUP($C22,'MSET pivots'!$B$4:$H$14,$H$3,FALSE)*1000000*$I$2*'MSET pivots'!L$65</f>
        <v>79049.711492435497</v>
      </c>
      <c r="AF22" s="202">
        <f>VLOOKUP($C22,'MSET pivots'!$B$4:$H$14,$H$3,FALSE)*1000000*$I$2*'MSET pivots'!M$65</f>
        <v>84696.034760484894</v>
      </c>
      <c r="AG22" s="202">
        <f>VLOOKUP($C22,'MSET pivots'!$B$4:$H$14,$H$3,FALSE)*1000000*$I$2*'MSET pivots'!N$65</f>
        <v>90342.358028534305</v>
      </c>
      <c r="AH22" s="202">
        <f>VLOOKUP($C22,'MSET pivots'!$B$4:$H$14,$H$3,FALSE)*1000000*$I$2*'MSET pivots'!O$65</f>
        <v>95988.681296583716</v>
      </c>
      <c r="AI22" s="202">
        <f>VLOOKUP($C22,'MSET pivots'!$B$4:$H$14,$H$3,FALSE)*1000000*$I$2*'MSET pivots'!P$65</f>
        <v>101635.00456463313</v>
      </c>
      <c r="AJ22" s="202">
        <f>VLOOKUP($C22,'MSET pivots'!$B$4:$H$14,$H$3,FALSE)*1000000*$I$2*'MSET pivots'!Q$65</f>
        <v>107281.32783268252</v>
      </c>
      <c r="AK22" s="202">
        <f>VLOOKUP($C22,'MSET pivots'!$B$4:$H$14,$H$3,FALSE)*1000000*$I$2*'MSET pivots'!R$65</f>
        <v>112927.65110073194</v>
      </c>
      <c r="AL22" s="202">
        <f>VLOOKUP($C22,'MSET pivots'!$B$4:$H$14,$H$3,FALSE)*1000000*$I$2*'MSET pivots'!S$65</f>
        <v>118573.97436878139</v>
      </c>
    </row>
    <row r="23" spans="1:38" x14ac:dyDescent="0.3">
      <c r="C23" s="161" t="s">
        <v>1052</v>
      </c>
      <c r="E23" s="161" t="s">
        <v>1052</v>
      </c>
      <c r="F23" t="s">
        <v>1232</v>
      </c>
      <c r="G23" t="s">
        <v>1232</v>
      </c>
      <c r="H23" t="s">
        <v>1255</v>
      </c>
      <c r="I23" t="s">
        <v>1256</v>
      </c>
      <c r="J23" t="s">
        <v>1240</v>
      </c>
      <c r="K23" s="266">
        <f t="shared" si="0"/>
        <v>1.1857456723865323</v>
      </c>
      <c r="W23" s="178"/>
      <c r="X23" s="202">
        <f>VLOOKUP($C23,'MSET pivots'!$B$4:$H$14,$H$3,FALSE)*1000000*$I$3*'MSET pivots'!E$65</f>
        <v>39525.44861608959</v>
      </c>
      <c r="Y23" s="202">
        <f>VLOOKUP($C23,'MSET pivots'!$B$4:$H$14,$H$3,FALSE)*1000000*$I$3*'MSET pivots'!F$65</f>
        <v>45171.771884139009</v>
      </c>
      <c r="Z23" s="202">
        <f>VLOOKUP($C23,'MSET pivots'!$B$4:$H$14,$H$3,FALSE)*1000000*$I$3*'MSET pivots'!G$65</f>
        <v>50818.09515218842</v>
      </c>
      <c r="AA23" s="202">
        <f>VLOOKUP($C23,'MSET pivots'!$B$4:$H$14,$H$3,FALSE)*1000000*$I$3*'MSET pivots'!H$65</f>
        <v>56464.418420237838</v>
      </c>
      <c r="AB23" s="202">
        <f>VLOOKUP($C23,'MSET pivots'!$B$4:$H$14,$H$3,FALSE)*1000000*$I$3*'MSET pivots'!I$65</f>
        <v>62110.741688287257</v>
      </c>
      <c r="AC23" s="202">
        <f>VLOOKUP($C23,'MSET pivots'!$B$4:$H$14,$H$3,FALSE)*1000000*$I$3*'MSET pivots'!J$65</f>
        <v>67757.064956336675</v>
      </c>
      <c r="AD23" s="202">
        <f>VLOOKUP($C23,'MSET pivots'!$B$4:$H$14,$H$3,FALSE)*1000000*$I$3*'MSET pivots'!K$65</f>
        <v>73403.388224386086</v>
      </c>
      <c r="AE23" s="202">
        <f>VLOOKUP($C23,'MSET pivots'!$B$4:$H$14,$H$3,FALSE)*1000000*$I$3*'MSET pivots'!L$65</f>
        <v>79049.711492435497</v>
      </c>
      <c r="AF23" s="202">
        <f>VLOOKUP($C23,'MSET pivots'!$B$4:$H$14,$H$3,FALSE)*1000000*$I$3*'MSET pivots'!M$65</f>
        <v>84696.034760484894</v>
      </c>
      <c r="AG23" s="202">
        <f>VLOOKUP($C23,'MSET pivots'!$B$4:$H$14,$H$3,FALSE)*1000000*$I$3*'MSET pivots'!N$65</f>
        <v>90342.358028534305</v>
      </c>
      <c r="AH23" s="202">
        <f>VLOOKUP($C23,'MSET pivots'!$B$4:$H$14,$H$3,FALSE)*1000000*$I$3*'MSET pivots'!O$65</f>
        <v>95988.681296583716</v>
      </c>
      <c r="AI23" s="202">
        <f>VLOOKUP($C23,'MSET pivots'!$B$4:$H$14,$H$3,FALSE)*1000000*$I$3*'MSET pivots'!P$65</f>
        <v>101635.00456463313</v>
      </c>
      <c r="AJ23" s="202">
        <f>VLOOKUP($C23,'MSET pivots'!$B$4:$H$14,$H$3,FALSE)*1000000*$I$3*'MSET pivots'!Q$65</f>
        <v>107281.32783268252</v>
      </c>
      <c r="AK23" s="202">
        <f>VLOOKUP($C23,'MSET pivots'!$B$4:$H$14,$H$3,FALSE)*1000000*$I$3*'MSET pivots'!R$65</f>
        <v>112927.65110073194</v>
      </c>
      <c r="AL23" s="202">
        <f>VLOOKUP($C23,'MSET pivots'!$B$4:$H$14,$H$3,FALSE)*1000000*$I$3*'MSET pivots'!S$65</f>
        <v>118573.97436878139</v>
      </c>
    </row>
    <row r="24" spans="1:38" x14ac:dyDescent="0.3">
      <c r="A24" s="180"/>
      <c r="B24" s="180"/>
      <c r="C24" s="272" t="s">
        <v>1056</v>
      </c>
      <c r="D24" s="103"/>
      <c r="E24" s="272" t="s">
        <v>1056</v>
      </c>
      <c r="F24" s="103" t="s">
        <v>1232</v>
      </c>
      <c r="G24" s="103" t="s">
        <v>1232</v>
      </c>
      <c r="H24" t="s">
        <v>1233</v>
      </c>
      <c r="I24" t="s">
        <v>1239</v>
      </c>
      <c r="J24" t="s">
        <v>1240</v>
      </c>
      <c r="K24" s="266">
        <f>SUM(X24:AL24)/1000000</f>
        <v>0.5883881285689273</v>
      </c>
      <c r="X24" s="202">
        <f>VLOOKUP($C24,'MSET pivots'!$B$4:$H$14,$H$3,FALSE)*1000000*$I$2*'MSET pivots'!E$65</f>
        <v>19613.231811557573</v>
      </c>
      <c r="Y24" s="202">
        <f>VLOOKUP($C24,'MSET pivots'!$B$4:$H$14,$H$3,FALSE)*1000000*$I$2*'MSET pivots'!F$65</f>
        <v>22415.038015324848</v>
      </c>
      <c r="Z24" s="202">
        <f>VLOOKUP($C24,'MSET pivots'!$B$4:$H$14,$H$3,FALSE)*1000000*$I$2*'MSET pivots'!G$65</f>
        <v>25216.844219092127</v>
      </c>
      <c r="AA24" s="202">
        <f>VLOOKUP($C24,'MSET pivots'!$B$4:$H$14,$H$3,FALSE)*1000000*$I$2*'MSET pivots'!H$65</f>
        <v>28018.650422859402</v>
      </c>
      <c r="AB24" s="202">
        <f>VLOOKUP($C24,'MSET pivots'!$B$4:$H$14,$H$3,FALSE)*1000000*$I$2*'MSET pivots'!I$65</f>
        <v>30820.456626626677</v>
      </c>
      <c r="AC24" s="202">
        <f>VLOOKUP($C24,'MSET pivots'!$B$4:$H$14,$H$3,FALSE)*1000000*$I$2*'MSET pivots'!J$65</f>
        <v>33622.262830393956</v>
      </c>
      <c r="AD24" s="202">
        <f>VLOOKUP($C24,'MSET pivots'!$B$4:$H$14,$H$3,FALSE)*1000000*$I$2*'MSET pivots'!K$65</f>
        <v>36424.069034161228</v>
      </c>
      <c r="AE24" s="202">
        <f>VLOOKUP($C24,'MSET pivots'!$B$4:$H$14,$H$3,FALSE)*1000000*$I$2*'MSET pivots'!L$65</f>
        <v>39225.8752379285</v>
      </c>
      <c r="AF24" s="202">
        <f>VLOOKUP($C24,'MSET pivots'!$B$4:$H$14,$H$3,FALSE)*1000000*$I$2*'MSET pivots'!M$65</f>
        <v>42027.681441695771</v>
      </c>
      <c r="AG24" s="202">
        <f>VLOOKUP($C24,'MSET pivots'!$B$4:$H$14,$H$3,FALSE)*1000000*$I$2*'MSET pivots'!N$65</f>
        <v>44829.48764546305</v>
      </c>
      <c r="AH24" s="202">
        <f>VLOOKUP($C24,'MSET pivots'!$B$4:$H$14,$H$3,FALSE)*1000000*$I$2*'MSET pivots'!O$65</f>
        <v>47631.293849230322</v>
      </c>
      <c r="AI24" s="202">
        <f>VLOOKUP($C24,'MSET pivots'!$B$4:$H$14,$H$3,FALSE)*1000000*$I$2*'MSET pivots'!P$65</f>
        <v>50433.100052997594</v>
      </c>
      <c r="AJ24" s="202">
        <f>VLOOKUP($C24,'MSET pivots'!$B$4:$H$14,$H$3,FALSE)*1000000*$I$2*'MSET pivots'!Q$65</f>
        <v>53234.906256764865</v>
      </c>
      <c r="AK24" s="202">
        <f>VLOOKUP($C24,'MSET pivots'!$B$4:$H$14,$H$3,FALSE)*1000000*$I$2*'MSET pivots'!R$65</f>
        <v>56036.712460532137</v>
      </c>
      <c r="AL24" s="202">
        <f>VLOOKUP($C24,'MSET pivots'!$B$4:$H$14,$H$3,FALSE)*1000000*$I$2*'MSET pivots'!S$65</f>
        <v>58838.51866429943</v>
      </c>
    </row>
    <row r="25" spans="1:38" x14ac:dyDescent="0.3">
      <c r="A25" s="180"/>
      <c r="B25" s="180"/>
      <c r="C25" s="272" t="s">
        <v>1056</v>
      </c>
      <c r="D25" s="103"/>
      <c r="E25" s="272" t="s">
        <v>1056</v>
      </c>
      <c r="F25" s="103" t="s">
        <v>1232</v>
      </c>
      <c r="G25" s="103" t="s">
        <v>1232</v>
      </c>
      <c r="H25" t="s">
        <v>1255</v>
      </c>
      <c r="I25" t="s">
        <v>1256</v>
      </c>
      <c r="J25" t="s">
        <v>1240</v>
      </c>
      <c r="K25" s="266">
        <f t="shared" ref="K25" si="2">SUM(X25:AL25)/1000000</f>
        <v>0.5883881285689273</v>
      </c>
      <c r="X25" s="202">
        <f>VLOOKUP($C25,'MSET pivots'!$B$4:$H$14,$H$3,FALSE)*1000000*$I$3*'MSET pivots'!E$65</f>
        <v>19613.231811557573</v>
      </c>
      <c r="Y25" s="202">
        <f>VLOOKUP($C25,'MSET pivots'!$B$4:$H$14,$H$3,FALSE)*1000000*$I$3*'MSET pivots'!F$65</f>
        <v>22415.038015324848</v>
      </c>
      <c r="Z25" s="202">
        <f>VLOOKUP($C25,'MSET pivots'!$B$4:$H$14,$H$3,FALSE)*1000000*$I$3*'MSET pivots'!G$65</f>
        <v>25216.844219092127</v>
      </c>
      <c r="AA25" s="202">
        <f>VLOOKUP($C25,'MSET pivots'!$B$4:$H$14,$H$3,FALSE)*1000000*$I$3*'MSET pivots'!H$65</f>
        <v>28018.650422859402</v>
      </c>
      <c r="AB25" s="202">
        <f>VLOOKUP($C25,'MSET pivots'!$B$4:$H$14,$H$3,FALSE)*1000000*$I$3*'MSET pivots'!I$65</f>
        <v>30820.456626626677</v>
      </c>
      <c r="AC25" s="202">
        <f>VLOOKUP($C25,'MSET pivots'!$B$4:$H$14,$H$3,FALSE)*1000000*$I$3*'MSET pivots'!J$65</f>
        <v>33622.262830393956</v>
      </c>
      <c r="AD25" s="202">
        <f>VLOOKUP($C25,'MSET pivots'!$B$4:$H$14,$H$3,FALSE)*1000000*$I$3*'MSET pivots'!K$65</f>
        <v>36424.069034161228</v>
      </c>
      <c r="AE25" s="202">
        <f>VLOOKUP($C25,'MSET pivots'!$B$4:$H$14,$H$3,FALSE)*1000000*$I$3*'MSET pivots'!L$65</f>
        <v>39225.8752379285</v>
      </c>
      <c r="AF25" s="202">
        <f>VLOOKUP($C25,'MSET pivots'!$B$4:$H$14,$H$3,FALSE)*1000000*$I$3*'MSET pivots'!M$65</f>
        <v>42027.681441695771</v>
      </c>
      <c r="AG25" s="202">
        <f>VLOOKUP($C25,'MSET pivots'!$B$4:$H$14,$H$3,FALSE)*1000000*$I$3*'MSET pivots'!N$65</f>
        <v>44829.48764546305</v>
      </c>
      <c r="AH25" s="202">
        <f>VLOOKUP($C25,'MSET pivots'!$B$4:$H$14,$H$3,FALSE)*1000000*$I$3*'MSET pivots'!O$65</f>
        <v>47631.293849230322</v>
      </c>
      <c r="AI25" s="202">
        <f>VLOOKUP($C25,'MSET pivots'!$B$4:$H$14,$H$3,FALSE)*1000000*$I$3*'MSET pivots'!P$65</f>
        <v>50433.100052997594</v>
      </c>
      <c r="AJ25" s="202">
        <f>VLOOKUP($C25,'MSET pivots'!$B$4:$H$14,$H$3,FALSE)*1000000*$I$3*'MSET pivots'!Q$65</f>
        <v>53234.906256764865</v>
      </c>
      <c r="AK25" s="202">
        <f>VLOOKUP($C25,'MSET pivots'!$B$4:$H$14,$H$3,FALSE)*1000000*$I$3*'MSET pivots'!R$65</f>
        <v>56036.712460532137</v>
      </c>
      <c r="AL25" s="202">
        <f>VLOOKUP($C25,'MSET pivots'!$B$4:$H$14,$H$3,FALSE)*1000000*$I$3*'MSET pivots'!S$65</f>
        <v>58838.51866429943</v>
      </c>
    </row>
    <row r="26" spans="1:38" x14ac:dyDescent="0.3">
      <c r="B26" t="s">
        <v>653</v>
      </c>
      <c r="C26" t="s">
        <v>1021</v>
      </c>
      <c r="E26" t="s">
        <v>1021</v>
      </c>
      <c r="F26" t="s">
        <v>1232</v>
      </c>
      <c r="G26" t="s">
        <v>1232</v>
      </c>
      <c r="H26" t="s">
        <v>1233</v>
      </c>
      <c r="I26" t="s">
        <v>1239</v>
      </c>
      <c r="J26" t="s">
        <v>1240</v>
      </c>
      <c r="K26" s="266">
        <f t="shared" si="0"/>
        <v>1.5848337914080988</v>
      </c>
      <c r="W26" s="261">
        <f>'Preliminary results'!$C$31*1000000*I2</f>
        <v>902060.73048874759</v>
      </c>
      <c r="X26" s="202">
        <f>VLOOKUP($C26,'MSET pivots'!$B$4:$H$14,$H$3,FALSE)*1000000*$I$2*'MSET pivots'!E$65</f>
        <v>52828.585459870264</v>
      </c>
      <c r="Y26" s="202">
        <f>VLOOKUP($C26,'MSET pivots'!$B$4:$H$14,$H$3,FALSE)*1000000*$I$2*'MSET pivots'!F$65</f>
        <v>60375.299836156402</v>
      </c>
      <c r="Z26" s="202">
        <f>VLOOKUP($C26,'MSET pivots'!$B$4:$H$14,$H$3,FALSE)*1000000*$I$2*'MSET pivots'!G$65</f>
        <v>67922.014212442547</v>
      </c>
      <c r="AA26" s="202">
        <f>VLOOKUP($C26,'MSET pivots'!$B$4:$H$14,$H$3,FALSE)*1000000*$I$2*'MSET pivots'!H$65</f>
        <v>75468.728588728685</v>
      </c>
      <c r="AB26" s="202">
        <f>VLOOKUP($C26,'MSET pivots'!$B$4:$H$14,$H$3,FALSE)*1000000*$I$2*'MSET pivots'!I$65</f>
        <v>83015.442965014823</v>
      </c>
      <c r="AC26" s="202">
        <f>VLOOKUP($C26,'MSET pivots'!$B$4:$H$14,$H$3,FALSE)*1000000*$I$2*'MSET pivots'!J$65</f>
        <v>90562.157341300976</v>
      </c>
      <c r="AD26" s="202">
        <f>VLOOKUP($C26,'MSET pivots'!$B$4:$H$14,$H$3,FALSE)*1000000*$I$2*'MSET pivots'!K$65</f>
        <v>98108.871717587113</v>
      </c>
      <c r="AE26" s="202">
        <f>VLOOKUP($C26,'MSET pivots'!$B$4:$H$14,$H$3,FALSE)*1000000*$I$2*'MSET pivots'!L$65</f>
        <v>105655.58609387324</v>
      </c>
      <c r="AF26" s="202">
        <f>VLOOKUP($C26,'MSET pivots'!$B$4:$H$14,$H$3,FALSE)*1000000*$I$2*'MSET pivots'!M$65</f>
        <v>113202.30047015937</v>
      </c>
      <c r="AG26" s="202">
        <f>VLOOKUP($C26,'MSET pivots'!$B$4:$H$14,$H$3,FALSE)*1000000*$I$2*'MSET pivots'!N$65</f>
        <v>120749.0148464455</v>
      </c>
      <c r="AH26" s="202">
        <f>VLOOKUP($C26,'MSET pivots'!$B$4:$H$14,$H$3,FALSE)*1000000*$I$2*'MSET pivots'!O$65</f>
        <v>128295.72922273164</v>
      </c>
      <c r="AI26" s="202">
        <f>VLOOKUP($C26,'MSET pivots'!$B$4:$H$14,$H$3,FALSE)*1000000*$I$2*'MSET pivots'!P$65</f>
        <v>135842.44359901777</v>
      </c>
      <c r="AJ26" s="202">
        <f>VLOOKUP($C26,'MSET pivots'!$B$4:$H$14,$H$3,FALSE)*1000000*$I$2*'MSET pivots'!Q$65</f>
        <v>143389.15797530391</v>
      </c>
      <c r="AK26" s="202">
        <f>VLOOKUP($C26,'MSET pivots'!$B$4:$H$14,$H$3,FALSE)*1000000*$I$2*'MSET pivots'!R$65</f>
        <v>150935.87235159002</v>
      </c>
      <c r="AL26" s="202">
        <f>VLOOKUP($C26,'MSET pivots'!$B$4:$H$14,$H$3,FALSE)*1000000*$I$2*'MSET pivots'!S$65</f>
        <v>158482.58672787622</v>
      </c>
    </row>
    <row r="27" spans="1:38" x14ac:dyDescent="0.3">
      <c r="B27" t="s">
        <v>653</v>
      </c>
      <c r="C27" t="s">
        <v>1021</v>
      </c>
      <c r="E27" t="s">
        <v>1021</v>
      </c>
      <c r="F27" t="s">
        <v>1232</v>
      </c>
      <c r="G27" t="s">
        <v>1232</v>
      </c>
      <c r="H27" t="s">
        <v>1255</v>
      </c>
      <c r="I27" t="s">
        <v>1256</v>
      </c>
      <c r="J27" t="s">
        <v>1240</v>
      </c>
      <c r="K27" s="266">
        <f t="shared" si="0"/>
        <v>1.5848337914080988</v>
      </c>
      <c r="W27" s="261">
        <f>'Preliminary results'!$C$31*1000000*I3</f>
        <v>902060.73048874759</v>
      </c>
      <c r="X27" s="202">
        <f>VLOOKUP($C27,'MSET pivots'!$B$4:$H$14,$H$3,FALSE)*1000000*$I$3*'MSET pivots'!E$65</f>
        <v>52828.585459870264</v>
      </c>
      <c r="Y27" s="202">
        <f>VLOOKUP($C27,'MSET pivots'!$B$4:$H$14,$H$3,FALSE)*1000000*$I$3*'MSET pivots'!F$65</f>
        <v>60375.299836156402</v>
      </c>
      <c r="Z27" s="202">
        <f>VLOOKUP($C27,'MSET pivots'!$B$4:$H$14,$H$3,FALSE)*1000000*$I$3*'MSET pivots'!G$65</f>
        <v>67922.014212442547</v>
      </c>
      <c r="AA27" s="202">
        <f>VLOOKUP($C27,'MSET pivots'!$B$4:$H$14,$H$3,FALSE)*1000000*$I$3*'MSET pivots'!H$65</f>
        <v>75468.728588728685</v>
      </c>
      <c r="AB27" s="202">
        <f>VLOOKUP($C27,'MSET pivots'!$B$4:$H$14,$H$3,FALSE)*1000000*$I$3*'MSET pivots'!I$65</f>
        <v>83015.442965014823</v>
      </c>
      <c r="AC27" s="202">
        <f>VLOOKUP($C27,'MSET pivots'!$B$4:$H$14,$H$3,FALSE)*1000000*$I$3*'MSET pivots'!J$65</f>
        <v>90562.157341300976</v>
      </c>
      <c r="AD27" s="202">
        <f>VLOOKUP($C27,'MSET pivots'!$B$4:$H$14,$H$3,FALSE)*1000000*$I$3*'MSET pivots'!K$65</f>
        <v>98108.871717587113</v>
      </c>
      <c r="AE27" s="202">
        <f>VLOOKUP($C27,'MSET pivots'!$B$4:$H$14,$H$3,FALSE)*1000000*$I$3*'MSET pivots'!L$65</f>
        <v>105655.58609387324</v>
      </c>
      <c r="AF27" s="202">
        <f>VLOOKUP($C27,'MSET pivots'!$B$4:$H$14,$H$3,FALSE)*1000000*$I$3*'MSET pivots'!M$65</f>
        <v>113202.30047015937</v>
      </c>
      <c r="AG27" s="202">
        <f>VLOOKUP($C27,'MSET pivots'!$B$4:$H$14,$H$3,FALSE)*1000000*$I$3*'MSET pivots'!N$65</f>
        <v>120749.0148464455</v>
      </c>
      <c r="AH27" s="202">
        <f>VLOOKUP($C27,'MSET pivots'!$B$4:$H$14,$H$3,FALSE)*1000000*$I$3*'MSET pivots'!O$65</f>
        <v>128295.72922273164</v>
      </c>
      <c r="AI27" s="202">
        <f>VLOOKUP($C27,'MSET pivots'!$B$4:$H$14,$H$3,FALSE)*1000000*$I$3*'MSET pivots'!P$65</f>
        <v>135842.44359901777</v>
      </c>
      <c r="AJ27" s="202">
        <f>VLOOKUP($C27,'MSET pivots'!$B$4:$H$14,$H$3,FALSE)*1000000*$I$3*'MSET pivots'!Q$65</f>
        <v>143389.15797530391</v>
      </c>
      <c r="AK27" s="202">
        <f>VLOOKUP($C27,'MSET pivots'!$B$4:$H$14,$H$3,FALSE)*1000000*$I$3*'MSET pivots'!R$65</f>
        <v>150935.87235159002</v>
      </c>
      <c r="AL27" s="202">
        <f>VLOOKUP($C27,'MSET pivots'!$B$4:$H$14,$H$3,FALSE)*1000000*$I$3*'MSET pivots'!S$65</f>
        <v>158482.58672787622</v>
      </c>
    </row>
    <row r="28" spans="1:38" x14ac:dyDescent="0.3">
      <c r="A28" s="180"/>
      <c r="B28" s="180"/>
      <c r="C28" s="179" t="s">
        <v>1054</v>
      </c>
      <c r="D28" s="180"/>
      <c r="E28" s="179" t="s">
        <v>1054</v>
      </c>
      <c r="F28" s="180" t="s">
        <v>1232</v>
      </c>
      <c r="G28" s="180" t="s">
        <v>1232</v>
      </c>
      <c r="H28" s="180" t="s">
        <v>1255</v>
      </c>
      <c r="I28" s="180" t="s">
        <v>1256</v>
      </c>
      <c r="J28" s="181" t="s">
        <v>1234</v>
      </c>
      <c r="K28" s="231">
        <f t="shared" ref="K28:K31" si="3">SUM(X28:AL28)</f>
        <v>-2.4830706137830786E-3</v>
      </c>
      <c r="L28" s="180"/>
      <c r="M28" s="180"/>
      <c r="N28" s="180"/>
      <c r="O28" s="180"/>
      <c r="P28" s="180"/>
      <c r="Q28" s="180"/>
      <c r="R28" s="180"/>
      <c r="S28" s="180"/>
      <c r="T28" s="180"/>
      <c r="U28" s="180"/>
      <c r="V28" s="180"/>
      <c r="W28" s="180"/>
      <c r="X28" s="203">
        <f>VLOOKUP($C28,'MSET pivots'!$J$4:$P$14,'Final demand(5)'!$H$3,FALSE)*'MSET pivots'!E$65</f>
        <v>-8.2770261988535191E-5</v>
      </c>
      <c r="Y28" s="203">
        <f>VLOOKUP($C28,'MSET pivots'!$J$4:$P$14,'Final demand(5)'!$H$3,FALSE)*'MSET pivots'!F$65</f>
        <v>-9.4594230407154723E-5</v>
      </c>
      <c r="Z28" s="203">
        <f>VLOOKUP($C28,'MSET pivots'!$J$4:$P$14,'Final demand(5)'!$H$3,FALSE)*'MSET pivots'!G$65</f>
        <v>-1.0641819882577425E-4</v>
      </c>
      <c r="AA28" s="203">
        <f>VLOOKUP($C28,'MSET pivots'!$J$4:$P$14,'Final demand(5)'!$H$3,FALSE)*'MSET pivots'!H$65</f>
        <v>-1.1824216724439379E-4</v>
      </c>
      <c r="AB28" s="203">
        <f>VLOOKUP($C28,'MSET pivots'!$J$4:$P$14,'Final demand(5)'!$H$3,FALSE)*'MSET pivots'!I$65</f>
        <v>-1.3006613566301332E-4</v>
      </c>
      <c r="AC28" s="203">
        <f>VLOOKUP($C28,'MSET pivots'!$J$4:$P$14,'Final demand(5)'!$H$3,FALSE)*'MSET pivots'!J$65</f>
        <v>-1.4189010408163286E-4</v>
      </c>
      <c r="AD28" s="203">
        <f>VLOOKUP($C28,'MSET pivots'!$J$4:$P$14,'Final demand(5)'!$H$3,FALSE)*'MSET pivots'!K$65</f>
        <v>-1.5371407250025238E-4</v>
      </c>
      <c r="AE28" s="203">
        <f>VLOOKUP($C28,'MSET pivots'!$J$4:$P$14,'Final demand(5)'!$H$3,FALSE)*'MSET pivots'!L$65</f>
        <v>-1.655380409188719E-4</v>
      </c>
      <c r="AF28" s="203">
        <f>VLOOKUP($C28,'MSET pivots'!$J$4:$P$14,'Final demand(5)'!$H$3,FALSE)*'MSET pivots'!M$65</f>
        <v>-1.7736200933749142E-4</v>
      </c>
      <c r="AG28" s="203">
        <f>VLOOKUP($C28,'MSET pivots'!$J$4:$P$14,'Final demand(5)'!$H$3,FALSE)*'MSET pivots'!N$65</f>
        <v>-1.8918597775611094E-4</v>
      </c>
      <c r="AH28" s="203">
        <f>VLOOKUP($C28,'MSET pivots'!$J$4:$P$14,'Final demand(5)'!$H$3,FALSE)*'MSET pivots'!O$65</f>
        <v>-2.0100994617473043E-4</v>
      </c>
      <c r="AI28" s="203">
        <f>VLOOKUP($C28,'MSET pivots'!$J$4:$P$14,'Final demand(5)'!$H$3,FALSE)*'MSET pivots'!P$65</f>
        <v>-2.1283391459334995E-4</v>
      </c>
      <c r="AJ28" s="203">
        <f>VLOOKUP($C28,'MSET pivots'!$J$4:$P$14,'Final demand(5)'!$H$3,FALSE)*'MSET pivots'!Q$65</f>
        <v>-2.2465788301196947E-4</v>
      </c>
      <c r="AK28" s="203">
        <f>VLOOKUP($C28,'MSET pivots'!$J$4:$P$14,'Final demand(5)'!$H$3,FALSE)*'MSET pivots'!R$65</f>
        <v>-2.3648185143058898E-4</v>
      </c>
      <c r="AL28" s="203">
        <f>VLOOKUP($C28,'MSET pivots'!$J$4:$P$14,'Final demand(5)'!$H$3,FALSE)*'MSET pivots'!S$65</f>
        <v>-2.4830581984920858E-4</v>
      </c>
    </row>
    <row r="29" spans="1:38" x14ac:dyDescent="0.3">
      <c r="A29" s="180"/>
      <c r="B29" s="180"/>
      <c r="C29" s="179" t="s">
        <v>1053</v>
      </c>
      <c r="D29" s="180"/>
      <c r="E29" s="179" t="s">
        <v>1053</v>
      </c>
      <c r="F29" s="180" t="s">
        <v>1232</v>
      </c>
      <c r="G29" s="180" t="s">
        <v>1232</v>
      </c>
      <c r="H29" s="180" t="s">
        <v>1255</v>
      </c>
      <c r="I29" s="180" t="s">
        <v>1256</v>
      </c>
      <c r="J29" s="181" t="s">
        <v>1234</v>
      </c>
      <c r="K29" s="231">
        <f t="shared" si="3"/>
        <v>-2.8084208964411373E-3</v>
      </c>
      <c r="L29" s="180"/>
      <c r="M29" s="180"/>
      <c r="N29" s="180"/>
      <c r="O29" s="180"/>
      <c r="P29" s="180"/>
      <c r="Q29" s="180"/>
      <c r="R29" s="180"/>
      <c r="S29" s="180"/>
      <c r="T29" s="180"/>
      <c r="U29" s="180"/>
      <c r="V29" s="180"/>
      <c r="W29" s="180"/>
      <c r="X29" s="203">
        <f>VLOOKUP($C29,'MSET pivots'!$J$4:$P$14,'Final demand(5)'!$H$3,FALSE)*'MSET pivots'!E$65</f>
        <v>-9.3615434084798465E-5</v>
      </c>
      <c r="Y29" s="203">
        <f>VLOOKUP($C29,'MSET pivots'!$J$4:$P$14,'Final demand(5)'!$H$3,FALSE)*'MSET pivots'!F$65</f>
        <v>-1.0698866632450475E-4</v>
      </c>
      <c r="Z29" s="203">
        <f>VLOOKUP($C29,'MSET pivots'!$J$4:$P$14,'Final demand(5)'!$H$3,FALSE)*'MSET pivots'!G$65</f>
        <v>-1.2036189856421104E-4</v>
      </c>
      <c r="AA29" s="203">
        <f>VLOOKUP($C29,'MSET pivots'!$J$4:$P$14,'Final demand(5)'!$H$3,FALSE)*'MSET pivots'!H$65</f>
        <v>-1.3373513080391735E-4</v>
      </c>
      <c r="AB29" s="203">
        <f>VLOOKUP($C29,'MSET pivots'!$J$4:$P$14,'Final demand(5)'!$H$3,FALSE)*'MSET pivots'!I$65</f>
        <v>-1.4710836304362363E-4</v>
      </c>
      <c r="AC29" s="203">
        <f>VLOOKUP($C29,'MSET pivots'!$J$4:$P$14,'Final demand(5)'!$H$3,FALSE)*'MSET pivots'!J$65</f>
        <v>-1.6048159528332992E-4</v>
      </c>
      <c r="AD29" s="203">
        <f>VLOOKUP($C29,'MSET pivots'!$J$4:$P$14,'Final demand(5)'!$H$3,FALSE)*'MSET pivots'!K$65</f>
        <v>-1.7385482752303624E-4</v>
      </c>
      <c r="AE29" s="203">
        <f>VLOOKUP($C29,'MSET pivots'!$J$4:$P$14,'Final demand(5)'!$H$3,FALSE)*'MSET pivots'!L$65</f>
        <v>-1.872280597627425E-4</v>
      </c>
      <c r="AF29" s="203">
        <f>VLOOKUP($C29,'MSET pivots'!$J$4:$P$14,'Final demand(5)'!$H$3,FALSE)*'MSET pivots'!M$65</f>
        <v>-2.0060129200244879E-4</v>
      </c>
      <c r="AG29" s="203">
        <f>VLOOKUP($C29,'MSET pivots'!$J$4:$P$14,'Final demand(5)'!$H$3,FALSE)*'MSET pivots'!N$65</f>
        <v>-2.1397452424215505E-4</v>
      </c>
      <c r="AH29" s="203">
        <f>VLOOKUP($C29,'MSET pivots'!$J$4:$P$14,'Final demand(5)'!$H$3,FALSE)*'MSET pivots'!O$65</f>
        <v>-2.2734775648186134E-4</v>
      </c>
      <c r="AI29" s="203">
        <f>VLOOKUP($C29,'MSET pivots'!$J$4:$P$14,'Final demand(5)'!$H$3,FALSE)*'MSET pivots'!P$65</f>
        <v>-2.407209887215676E-4</v>
      </c>
      <c r="AJ29" s="203">
        <f>VLOOKUP($C29,'MSET pivots'!$J$4:$P$14,'Final demand(5)'!$H$3,FALSE)*'MSET pivots'!Q$65</f>
        <v>-2.5409422096127387E-4</v>
      </c>
      <c r="AK29" s="203">
        <f>VLOOKUP($C29,'MSET pivots'!$J$4:$P$14,'Final demand(5)'!$H$3,FALSE)*'MSET pivots'!R$65</f>
        <v>-2.6746745320098018E-4</v>
      </c>
      <c r="AL29" s="203">
        <f>VLOOKUP($C29,'MSET pivots'!$J$4:$P$14,'Final demand(5)'!$H$3,FALSE)*'MSET pivots'!S$65</f>
        <v>-2.8084068544068655E-4</v>
      </c>
    </row>
    <row r="30" spans="1:38" x14ac:dyDescent="0.3">
      <c r="A30" s="180"/>
      <c r="B30" s="180" t="s">
        <v>317</v>
      </c>
      <c r="C30" s="180" t="s">
        <v>1046</v>
      </c>
      <c r="D30" s="180"/>
      <c r="E30" s="180" t="s">
        <v>1046</v>
      </c>
      <c r="F30" s="180" t="s">
        <v>1232</v>
      </c>
      <c r="G30" s="180" t="s">
        <v>1232</v>
      </c>
      <c r="H30" s="180" t="s">
        <v>1255</v>
      </c>
      <c r="I30" s="180" t="s">
        <v>1256</v>
      </c>
      <c r="J30" s="181" t="s">
        <v>1234</v>
      </c>
      <c r="K30" s="231">
        <f t="shared" si="3"/>
        <v>-1.9859117653961639E-3</v>
      </c>
      <c r="L30" s="180"/>
      <c r="M30" s="180"/>
      <c r="N30" s="180"/>
      <c r="O30" s="180"/>
      <c r="P30" s="180"/>
      <c r="Q30" s="180"/>
      <c r="R30" s="180"/>
      <c r="S30" s="180"/>
      <c r="T30" s="180"/>
      <c r="U30" s="180"/>
      <c r="V30" s="180"/>
      <c r="W30" s="204">
        <f>('Preliminary results'!$C$31)/'Baseline govt spend'!$E$51</f>
        <v>6.6729533221219594E-4</v>
      </c>
      <c r="X30" s="203">
        <f>VLOOKUP($C30,'MSET pivots'!$J$4:$P$14,'Final demand(5)'!$H$3,FALSE)*'MSET pivots'!E$65</f>
        <v>-6.6198051797456751E-5</v>
      </c>
      <c r="Y30" s="203">
        <f>VLOOKUP($C30,'MSET pivots'!$J$4:$P$14,'Final demand(5)'!$H$3,FALSE)*'MSET pivots'!F$65</f>
        <v>-7.5654632639688308E-5</v>
      </c>
      <c r="Z30" s="203">
        <f>VLOOKUP($C30,'MSET pivots'!$J$4:$P$14,'Final demand(5)'!$H$3,FALSE)*'MSET pivots'!G$65</f>
        <v>-8.5111213481919851E-5</v>
      </c>
      <c r="AA30" s="203">
        <f>VLOOKUP($C30,'MSET pivots'!$J$4:$P$14,'Final demand(5)'!$H$3,FALSE)*'MSET pivots'!H$65</f>
        <v>-9.4567794324151408E-5</v>
      </c>
      <c r="AB30" s="203">
        <f>VLOOKUP($C30,'MSET pivots'!$J$4:$P$14,'Final demand(5)'!$H$3,FALSE)*'MSET pivots'!I$65</f>
        <v>-1.0402437516638296E-4</v>
      </c>
      <c r="AC30" s="203">
        <f>VLOOKUP($C30,'MSET pivots'!$J$4:$P$14,'Final demand(5)'!$H$3,FALSE)*'MSET pivots'!J$65</f>
        <v>-1.1348095600861452E-4</v>
      </c>
      <c r="AD30" s="203">
        <f>VLOOKUP($C30,'MSET pivots'!$J$4:$P$14,'Final demand(5)'!$H$3,FALSE)*'MSET pivots'!K$65</f>
        <v>-1.2293753685084608E-4</v>
      </c>
      <c r="AE30" s="203">
        <f>VLOOKUP($C30,'MSET pivots'!$J$4:$P$14,'Final demand(5)'!$H$3,FALSE)*'MSET pivots'!L$65</f>
        <v>-1.3239411769307762E-4</v>
      </c>
      <c r="AF30" s="203">
        <f>VLOOKUP($C30,'MSET pivots'!$J$4:$P$14,'Final demand(5)'!$H$3,FALSE)*'MSET pivots'!M$65</f>
        <v>-1.4185069853530916E-4</v>
      </c>
      <c r="AG30" s="203">
        <f>VLOOKUP($C30,'MSET pivots'!$J$4:$P$14,'Final demand(5)'!$H$3,FALSE)*'MSET pivots'!N$65</f>
        <v>-1.5130727937754068E-4</v>
      </c>
      <c r="AH30" s="203">
        <f>VLOOKUP($C30,'MSET pivots'!$J$4:$P$14,'Final demand(5)'!$H$3,FALSE)*'MSET pivots'!O$65</f>
        <v>-1.6076386021977222E-4</v>
      </c>
      <c r="AI30" s="203">
        <f>VLOOKUP($C30,'MSET pivots'!$J$4:$P$14,'Final demand(5)'!$H$3,FALSE)*'MSET pivots'!P$65</f>
        <v>-1.7022044106200377E-4</v>
      </c>
      <c r="AJ30" s="203">
        <f>VLOOKUP($C30,'MSET pivots'!$J$4:$P$14,'Final demand(5)'!$H$3,FALSE)*'MSET pivots'!Q$65</f>
        <v>-1.7967702190423531E-4</v>
      </c>
      <c r="AK30" s="203">
        <f>VLOOKUP($C30,'MSET pivots'!$J$4:$P$14,'Final demand(5)'!$H$3,FALSE)*'MSET pivots'!R$65</f>
        <v>-1.8913360274646685E-4</v>
      </c>
      <c r="AL30" s="203">
        <f>VLOOKUP($C30,'MSET pivots'!$J$4:$P$14,'Final demand(5)'!$H$3,FALSE)*'MSET pivots'!S$65</f>
        <v>-1.9859018358869848E-4</v>
      </c>
    </row>
    <row r="31" spans="1:38" x14ac:dyDescent="0.3">
      <c r="A31" s="180"/>
      <c r="B31" s="180"/>
      <c r="C31" s="179" t="s">
        <v>861</v>
      </c>
      <c r="D31" s="180"/>
      <c r="E31" s="179" t="s">
        <v>861</v>
      </c>
      <c r="F31" s="180" t="s">
        <v>1232</v>
      </c>
      <c r="G31" s="180" t="s">
        <v>1232</v>
      </c>
      <c r="H31" s="180" t="s">
        <v>1255</v>
      </c>
      <c r="I31" s="180" t="s">
        <v>1256</v>
      </c>
      <c r="J31" s="181" t="s">
        <v>1234</v>
      </c>
      <c r="K31" s="231">
        <f t="shared" si="3"/>
        <v>-5.3700634568180821E-3</v>
      </c>
      <c r="L31" s="180"/>
      <c r="M31" s="180"/>
      <c r="N31" s="180"/>
      <c r="O31" s="180"/>
      <c r="P31" s="180"/>
      <c r="Q31" s="180"/>
      <c r="R31" s="180"/>
      <c r="S31" s="180"/>
      <c r="T31" s="180"/>
      <c r="U31" s="180"/>
      <c r="V31" s="180"/>
      <c r="W31" s="180"/>
      <c r="X31" s="203">
        <f>VLOOKUP($C31,'MSET pivots'!$J$4:$P$14,'Final demand(5)'!$H$3,FALSE)*'MSET pivots'!E$65</f>
        <v>-1.7900480024557274E-4</v>
      </c>
      <c r="Y31" s="203">
        <f>VLOOKUP($C31,'MSET pivots'!$J$4:$P$14,'Final demand(5)'!$H$3,FALSE)*'MSET pivots'!F$65</f>
        <v>-2.0457614741828221E-4</v>
      </c>
      <c r="Z31" s="203">
        <f>VLOOKUP($C31,'MSET pivots'!$J$4:$P$14,'Final demand(5)'!$H$3,FALSE)*'MSET pivots'!G$65</f>
        <v>-2.3014749459099166E-4</v>
      </c>
      <c r="AA31" s="203">
        <f>VLOOKUP($C31,'MSET pivots'!$J$4:$P$14,'Final demand(5)'!$H$3,FALSE)*'MSET pivots'!H$65</f>
        <v>-2.5571884176370111E-4</v>
      </c>
      <c r="AB31" s="203">
        <f>VLOOKUP($C31,'MSET pivots'!$J$4:$P$14,'Final demand(5)'!$H$3,FALSE)*'MSET pivots'!I$65</f>
        <v>-2.8129018893641053E-4</v>
      </c>
      <c r="AC31" s="203">
        <f>VLOOKUP($C31,'MSET pivots'!$J$4:$P$14,'Final demand(5)'!$H$3,FALSE)*'MSET pivots'!J$65</f>
        <v>-3.0686153610912E-4</v>
      </c>
      <c r="AD31" s="203">
        <f>VLOOKUP($C31,'MSET pivots'!$J$4:$P$14,'Final demand(5)'!$H$3,FALSE)*'MSET pivots'!K$65</f>
        <v>-3.3243288328182942E-4</v>
      </c>
      <c r="AE31" s="203">
        <f>VLOOKUP($C31,'MSET pivots'!$J$4:$P$14,'Final demand(5)'!$H$3,FALSE)*'MSET pivots'!L$65</f>
        <v>-3.5800423045453884E-4</v>
      </c>
      <c r="AF31" s="203">
        <f>VLOOKUP($C31,'MSET pivots'!$J$4:$P$14,'Final demand(5)'!$H$3,FALSE)*'MSET pivots'!M$65</f>
        <v>-3.8357557762724826E-4</v>
      </c>
      <c r="AG31" s="203">
        <f>VLOOKUP($C31,'MSET pivots'!$J$4:$P$14,'Final demand(5)'!$H$3,FALSE)*'MSET pivots'!N$65</f>
        <v>-4.0914692479995769E-4</v>
      </c>
      <c r="AH31" s="203">
        <f>VLOOKUP($C31,'MSET pivots'!$J$4:$P$14,'Final demand(5)'!$H$3,FALSE)*'MSET pivots'!O$65</f>
        <v>-4.3471827197266711E-4</v>
      </c>
      <c r="AI31" s="203">
        <f>VLOOKUP($C31,'MSET pivots'!$J$4:$P$14,'Final demand(5)'!$H$3,FALSE)*'MSET pivots'!P$65</f>
        <v>-4.6028961914537653E-4</v>
      </c>
      <c r="AJ31" s="203">
        <f>VLOOKUP($C31,'MSET pivots'!$J$4:$P$14,'Final demand(5)'!$H$3,FALSE)*'MSET pivots'!Q$65</f>
        <v>-4.8586096631808595E-4</v>
      </c>
      <c r="AK31" s="203">
        <f>VLOOKUP($C31,'MSET pivots'!$J$4:$P$14,'Final demand(5)'!$H$3,FALSE)*'MSET pivots'!R$65</f>
        <v>-5.1143231349079531E-4</v>
      </c>
      <c r="AL31" s="203">
        <f>VLOOKUP($C31,'MSET pivots'!$J$4:$P$14,'Final demand(5)'!$H$3,FALSE)*'MSET pivots'!S$65</f>
        <v>-5.37003660663505E-4</v>
      </c>
    </row>
    <row r="32" spans="1:38" x14ac:dyDescent="0.3">
      <c r="J32" s="172"/>
    </row>
    <row r="33" spans="7:10" x14ac:dyDescent="0.3">
      <c r="J33" s="172"/>
    </row>
    <row r="34" spans="7:10" x14ac:dyDescent="0.3">
      <c r="J34" s="172"/>
    </row>
    <row r="35" spans="7:10" x14ac:dyDescent="0.3">
      <c r="J35" s="172"/>
    </row>
    <row r="36" spans="7:10" x14ac:dyDescent="0.3">
      <c r="J36" s="172"/>
    </row>
    <row r="37" spans="7:10" x14ac:dyDescent="0.3">
      <c r="G37" s="94"/>
      <c r="J37" s="172"/>
    </row>
    <row r="38" spans="7:10" x14ac:dyDescent="0.3">
      <c r="G38" s="94"/>
      <c r="J38" s="172"/>
    </row>
    <row r="39" spans="7:10" x14ac:dyDescent="0.3">
      <c r="G39" s="94"/>
      <c r="J39" s="172"/>
    </row>
    <row r="40" spans="7:10" x14ac:dyDescent="0.3">
      <c r="G40" s="94"/>
      <c r="J40" s="172"/>
    </row>
    <row r="41" spans="7:10" x14ac:dyDescent="0.3">
      <c r="G41" s="94"/>
      <c r="J41" s="172"/>
    </row>
    <row r="42" spans="7:10" x14ac:dyDescent="0.3">
      <c r="G42" s="94"/>
      <c r="J42" s="172"/>
    </row>
    <row r="43" spans="7:10" x14ac:dyDescent="0.3">
      <c r="G43" s="94"/>
      <c r="J43" s="172"/>
    </row>
    <row r="44" spans="7:10" x14ac:dyDescent="0.3">
      <c r="G44" t="str">
        <f>_xlfn.IFNA(INDEX('[1]Sector list'!$A$2:$A$122,MATCH(F44,'[1]Sector list'!$B$2:$B$122,0)),"")</f>
        <v/>
      </c>
      <c r="I44" t="str">
        <f>_xlfn.IFNA(INDEX('[1]FD list'!$A$2:$A$122,MATCH(H44,'[1]FD list'!$B$2:$B$122,0)),"")</f>
        <v/>
      </c>
      <c r="J44" s="172"/>
    </row>
    <row r="45" spans="7:10" x14ac:dyDescent="0.3">
      <c r="G45" t="str">
        <f>_xlfn.IFNA(INDEX('[1]Sector list'!$A$2:$A$122,MATCH(F45,'[1]Sector list'!$B$2:$B$122,0)),"")</f>
        <v/>
      </c>
      <c r="I45" t="str">
        <f>_xlfn.IFNA(INDEX('[1]FD list'!$A$2:$A$122,MATCH(H45,'[1]FD list'!$B$2:$B$122,0)),"")</f>
        <v/>
      </c>
      <c r="J45" s="172"/>
    </row>
    <row r="46" spans="7:10" x14ac:dyDescent="0.3">
      <c r="G46" t="str">
        <f>_xlfn.IFNA(INDEX('[1]Sector list'!$A$2:$A$122,MATCH(F46,'[1]Sector list'!$B$2:$B$122,0)),"")</f>
        <v/>
      </c>
      <c r="I46" t="str">
        <f>_xlfn.IFNA(INDEX('[1]FD list'!$A$2:$A$122,MATCH(H46,'[1]FD list'!$B$2:$B$122,0)),"")</f>
        <v/>
      </c>
      <c r="J46" s="172"/>
    </row>
    <row r="47" spans="7:10" x14ac:dyDescent="0.3">
      <c r="G47" t="str">
        <f>_xlfn.IFNA(INDEX('[1]Sector list'!$A$2:$A$122,MATCH(F47,'[1]Sector list'!$B$2:$B$122,0)),"")</f>
        <v/>
      </c>
      <c r="I47" t="str">
        <f>_xlfn.IFNA(INDEX('[1]FD list'!$A$2:$A$122,MATCH(H47,'[1]FD list'!$B$2:$B$122,0)),"")</f>
        <v/>
      </c>
      <c r="J47" s="172"/>
    </row>
    <row r="48" spans="7:10" x14ac:dyDescent="0.3">
      <c r="G48" t="str">
        <f>_xlfn.IFNA(INDEX('[1]Sector list'!$A$2:$A$122,MATCH(F48,'[1]Sector list'!$B$2:$B$122,0)),"")</f>
        <v/>
      </c>
      <c r="I48" t="str">
        <f>_xlfn.IFNA(INDEX('[1]FD list'!$A$2:$A$122,MATCH(H48,'[1]FD list'!$B$2:$B$122,0)),"")</f>
        <v/>
      </c>
      <c r="J48" s="172"/>
    </row>
    <row r="49" spans="7:10" x14ac:dyDescent="0.3">
      <c r="G49" t="str">
        <f>_xlfn.IFNA(INDEX('[1]Sector list'!$A$2:$A$122,MATCH(F49,'[1]Sector list'!$B$2:$B$122,0)),"")</f>
        <v/>
      </c>
      <c r="I49" t="str">
        <f>_xlfn.IFNA(INDEX('[1]FD list'!$A$2:$A$122,MATCH(H49,'[1]FD list'!$B$2:$B$122,0)),"")</f>
        <v/>
      </c>
      <c r="J49" s="172"/>
    </row>
    <row r="50" spans="7:10" x14ac:dyDescent="0.3">
      <c r="G50" t="str">
        <f>_xlfn.IFNA(INDEX('[1]Sector list'!$A$2:$A$122,MATCH(F50,'[1]Sector list'!$B$2:$B$122,0)),"")</f>
        <v/>
      </c>
      <c r="I50" t="str">
        <f>_xlfn.IFNA(INDEX('[1]FD list'!$A$2:$A$122,MATCH(H50,'[1]FD list'!$B$2:$B$122,0)),"")</f>
        <v/>
      </c>
      <c r="J50" s="172"/>
    </row>
    <row r="51" spans="7:10" x14ac:dyDescent="0.3">
      <c r="G51" t="str">
        <f>_xlfn.IFNA(INDEX('[1]Sector list'!$A$2:$A$122,MATCH(F51,'[1]Sector list'!$B$2:$B$122,0)),"")</f>
        <v/>
      </c>
      <c r="I51" t="str">
        <f>_xlfn.IFNA(INDEX('[1]FD list'!$A$2:$A$122,MATCH(H51,'[1]FD list'!$B$2:$B$122,0)),"")</f>
        <v/>
      </c>
      <c r="J51" s="172"/>
    </row>
    <row r="52" spans="7:10" x14ac:dyDescent="0.3">
      <c r="G52" t="str">
        <f>_xlfn.IFNA(INDEX('[1]Sector list'!$A$2:$A$122,MATCH(F52,'[1]Sector list'!$B$2:$B$122,0)),"")</f>
        <v/>
      </c>
      <c r="I52" t="str">
        <f>_xlfn.IFNA(INDEX('[1]FD list'!$A$2:$A$122,MATCH(H52,'[1]FD list'!$B$2:$B$122,0)),"")</f>
        <v/>
      </c>
      <c r="J52" s="172"/>
    </row>
    <row r="53" spans="7:10" x14ac:dyDescent="0.3">
      <c r="G53" t="str">
        <f>_xlfn.IFNA(INDEX('[1]Sector list'!$A$2:$A$122,MATCH(F53,'[1]Sector list'!$B$2:$B$122,0)),"")</f>
        <v/>
      </c>
      <c r="I53" t="str">
        <f>_xlfn.IFNA(INDEX('[1]FD list'!$A$2:$A$122,MATCH(H53,'[1]FD list'!$B$2:$B$122,0)),"")</f>
        <v/>
      </c>
      <c r="J53" s="172"/>
    </row>
    <row r="54" spans="7:10" x14ac:dyDescent="0.3">
      <c r="G54" t="str">
        <f>_xlfn.IFNA(INDEX('[1]Sector list'!$A$2:$A$122,MATCH(F54,'[1]Sector list'!$B$2:$B$122,0)),"")</f>
        <v/>
      </c>
      <c r="I54" t="str">
        <f>_xlfn.IFNA(INDEX('[1]FD list'!$A$2:$A$122,MATCH(H54,'[1]FD list'!$B$2:$B$122,0)),"")</f>
        <v/>
      </c>
      <c r="J54" s="172"/>
    </row>
    <row r="55" spans="7:10" x14ac:dyDescent="0.3">
      <c r="G55" t="str">
        <f>_xlfn.IFNA(INDEX('[1]Sector list'!$A$2:$A$122,MATCH(F55,'[1]Sector list'!$B$2:$B$122,0)),"")</f>
        <v/>
      </c>
      <c r="I55" t="str">
        <f>_xlfn.IFNA(INDEX('[1]FD list'!$A$2:$A$122,MATCH(H55,'[1]FD list'!$B$2:$B$122,0)),"")</f>
        <v/>
      </c>
      <c r="J55" s="172"/>
    </row>
    <row r="56" spans="7:10" x14ac:dyDescent="0.3">
      <c r="G56" t="str">
        <f>_xlfn.IFNA(INDEX('[1]Sector list'!$A$2:$A$122,MATCH(F56,'[1]Sector list'!$B$2:$B$122,0)),"")</f>
        <v/>
      </c>
      <c r="I56" t="str">
        <f>_xlfn.IFNA(INDEX('[1]FD list'!$A$2:$A$122,MATCH(H56,'[1]FD list'!$B$2:$B$122,0)),"")</f>
        <v/>
      </c>
      <c r="J56" s="172"/>
    </row>
    <row r="57" spans="7:10" x14ac:dyDescent="0.3">
      <c r="G57" t="str">
        <f>_xlfn.IFNA(INDEX('[1]Sector list'!$A$2:$A$122,MATCH(F57,'[1]Sector list'!$B$2:$B$122,0)),"")</f>
        <v/>
      </c>
      <c r="I57" t="str">
        <f>_xlfn.IFNA(INDEX('[1]FD list'!$A$2:$A$122,MATCH(H57,'[1]FD list'!$B$2:$B$122,0)),"")</f>
        <v/>
      </c>
      <c r="J57" s="172"/>
    </row>
    <row r="58" spans="7:10" x14ac:dyDescent="0.3">
      <c r="G58" t="str">
        <f>_xlfn.IFNA(INDEX('[1]Sector list'!$A$2:$A$122,MATCH(F58,'[1]Sector list'!$B$2:$B$122,0)),"")</f>
        <v/>
      </c>
      <c r="I58" t="str">
        <f>_xlfn.IFNA(INDEX('[1]FD list'!$A$2:$A$122,MATCH(H58,'[1]FD list'!$B$2:$B$122,0)),"")</f>
        <v/>
      </c>
      <c r="J58" s="172"/>
    </row>
    <row r="59" spans="7:10" x14ac:dyDescent="0.3">
      <c r="G59" t="str">
        <f>_xlfn.IFNA(INDEX('[1]Sector list'!$A$2:$A$122,MATCH(F59,'[1]Sector list'!$B$2:$B$122,0)),"")</f>
        <v/>
      </c>
      <c r="I59" t="str">
        <f>_xlfn.IFNA(INDEX('[1]FD list'!$A$2:$A$122,MATCH(H59,'[1]FD list'!$B$2:$B$122,0)),"")</f>
        <v/>
      </c>
      <c r="J59" s="172"/>
    </row>
    <row r="60" spans="7:10" x14ac:dyDescent="0.3">
      <c r="G60" t="str">
        <f>_xlfn.IFNA(INDEX('[1]Sector list'!$A$2:$A$122,MATCH(F60,'[1]Sector list'!$B$2:$B$122,0)),"")</f>
        <v/>
      </c>
      <c r="I60" t="str">
        <f>_xlfn.IFNA(INDEX('[1]FD list'!$A$2:$A$122,MATCH(H60,'[1]FD list'!$B$2:$B$122,0)),"")</f>
        <v/>
      </c>
      <c r="J60" s="172"/>
    </row>
    <row r="61" spans="7:10" x14ac:dyDescent="0.3">
      <c r="G61" t="str">
        <f>_xlfn.IFNA(INDEX('[1]Sector list'!$A$2:$A$122,MATCH(F61,'[1]Sector list'!$B$2:$B$122,0)),"")</f>
        <v/>
      </c>
      <c r="I61" t="str">
        <f>_xlfn.IFNA(INDEX('[1]FD list'!$A$2:$A$122,MATCH(H61,'[1]FD list'!$B$2:$B$122,0)),"")</f>
        <v/>
      </c>
      <c r="J61" s="172"/>
    </row>
    <row r="62" spans="7:10" x14ac:dyDescent="0.3">
      <c r="G62" t="str">
        <f>_xlfn.IFNA(INDEX('[1]Sector list'!$A$2:$A$122,MATCH(F62,'[1]Sector list'!$B$2:$B$122,0)),"")</f>
        <v/>
      </c>
      <c r="I62" t="str">
        <f>_xlfn.IFNA(INDEX('[1]FD list'!$A$2:$A$122,MATCH(H62,'[1]FD list'!$B$2:$B$122,0)),"")</f>
        <v/>
      </c>
      <c r="J62" s="172"/>
    </row>
    <row r="63" spans="7:10" x14ac:dyDescent="0.3">
      <c r="G63" t="str">
        <f>_xlfn.IFNA(INDEX('[1]Sector list'!$A$2:$A$122,MATCH(F63,'[1]Sector list'!$B$2:$B$122,0)),"")</f>
        <v/>
      </c>
      <c r="I63" t="str">
        <f>_xlfn.IFNA(INDEX('[1]FD list'!$A$2:$A$122,MATCH(H63,'[1]FD list'!$B$2:$B$122,0)),"")</f>
        <v/>
      </c>
      <c r="J63" s="172"/>
    </row>
    <row r="64" spans="7:10" x14ac:dyDescent="0.3">
      <c r="G64" t="str">
        <f>_xlfn.IFNA(INDEX('[1]Sector list'!$A$2:$A$122,MATCH(F64,'[1]Sector list'!$B$2:$B$122,0)),"")</f>
        <v/>
      </c>
      <c r="I64" t="str">
        <f>_xlfn.IFNA(INDEX('[1]FD list'!$A$2:$A$122,MATCH(H64,'[1]FD list'!$B$2:$B$122,0)),"")</f>
        <v/>
      </c>
      <c r="J64" s="172"/>
    </row>
    <row r="65" spans="7:10" x14ac:dyDescent="0.3">
      <c r="G65" t="str">
        <f>_xlfn.IFNA(INDEX('[1]Sector list'!$A$2:$A$122,MATCH(F65,'[1]Sector list'!$B$2:$B$122,0)),"")</f>
        <v/>
      </c>
      <c r="I65" t="str">
        <f>_xlfn.IFNA(INDEX('[1]FD list'!$A$2:$A$122,MATCH(H65,'[1]FD list'!$B$2:$B$122,0)),"")</f>
        <v/>
      </c>
      <c r="J65" s="172"/>
    </row>
    <row r="66" spans="7:10" x14ac:dyDescent="0.3">
      <c r="G66" t="str">
        <f>_xlfn.IFNA(INDEX('[1]Sector list'!$A$2:$A$122,MATCH(F66,'[1]Sector list'!$B$2:$B$122,0)),"")</f>
        <v/>
      </c>
      <c r="I66" t="str">
        <f>_xlfn.IFNA(INDEX('[1]FD list'!$A$2:$A$122,MATCH(H66,'[1]FD list'!$B$2:$B$122,0)),"")</f>
        <v/>
      </c>
      <c r="J66" s="172"/>
    </row>
    <row r="67" spans="7:10" x14ac:dyDescent="0.3">
      <c r="G67" t="str">
        <f>_xlfn.IFNA(INDEX('[1]Sector list'!$A$2:$A$122,MATCH(F67,'[1]Sector list'!$B$2:$B$122,0)),"")</f>
        <v/>
      </c>
      <c r="I67" t="str">
        <f>_xlfn.IFNA(INDEX('[1]FD list'!$A$2:$A$122,MATCH(H67,'[1]FD list'!$B$2:$B$122,0)),"")</f>
        <v/>
      </c>
      <c r="J67" s="172"/>
    </row>
    <row r="68" spans="7:10" x14ac:dyDescent="0.3">
      <c r="G68" t="str">
        <f>_xlfn.IFNA(INDEX('[1]Sector list'!$A$2:$A$122,MATCH(F68,'[1]Sector list'!$B$2:$B$122,0)),"")</f>
        <v/>
      </c>
      <c r="I68" t="str">
        <f>_xlfn.IFNA(INDEX('[1]FD list'!$A$2:$A$122,MATCH(H68,'[1]FD list'!$B$2:$B$122,0)),"")</f>
        <v/>
      </c>
      <c r="J68" s="172"/>
    </row>
    <row r="69" spans="7:10" x14ac:dyDescent="0.3">
      <c r="G69" t="str">
        <f>_xlfn.IFNA(INDEX('[1]Sector list'!$A$2:$A$122,MATCH(F69,'[1]Sector list'!$B$2:$B$122,0)),"")</f>
        <v/>
      </c>
      <c r="I69" t="str">
        <f>_xlfn.IFNA(INDEX('[1]FD list'!$A$2:$A$122,MATCH(H69,'[1]FD list'!$B$2:$B$122,0)),"")</f>
        <v/>
      </c>
      <c r="J69" s="172"/>
    </row>
    <row r="70" spans="7:10" x14ac:dyDescent="0.3">
      <c r="I70" t="str">
        <f>_xlfn.IFNA(INDEX('[1]FD list'!$A$2:$A$122,MATCH(H70,'[1]FD list'!$B$2:$B$122,0)),"")</f>
        <v/>
      </c>
      <c r="J70" s="172"/>
    </row>
    <row r="71" spans="7:10" x14ac:dyDescent="0.3">
      <c r="I71" t="str">
        <f>_xlfn.IFNA(INDEX('[1]FD list'!$A$2:$A$122,MATCH(H71,'[1]FD list'!$B$2:$B$122,0)),"")</f>
        <v/>
      </c>
      <c r="J71" s="172"/>
    </row>
    <row r="72" spans="7:10" x14ac:dyDescent="0.3">
      <c r="I72" t="str">
        <f>_xlfn.IFNA(INDEX('[1]FD list'!$A$2:$A$122,MATCH(H72,'[1]FD list'!$B$2:$B$122,0)),"")</f>
        <v/>
      </c>
      <c r="J72" s="172"/>
    </row>
    <row r="73" spans="7:10" x14ac:dyDescent="0.3">
      <c r="I73" t="str">
        <f>_xlfn.IFNA(INDEX('[1]FD list'!$A$2:$A$122,MATCH(H73,'[1]FD list'!$B$2:$B$122,0)),"")</f>
        <v/>
      </c>
      <c r="J73" s="172"/>
    </row>
    <row r="74" spans="7:10" x14ac:dyDescent="0.3">
      <c r="I74" t="str">
        <f>_xlfn.IFNA(INDEX('[1]FD list'!$A$2:$A$122,MATCH(H74,'[1]FD list'!$B$2:$B$122,0)),"")</f>
        <v/>
      </c>
      <c r="J74" s="172"/>
    </row>
    <row r="75" spans="7:10" x14ac:dyDescent="0.3">
      <c r="I75" t="str">
        <f>_xlfn.IFNA(INDEX('[1]FD list'!$A$2:$A$122,MATCH(H75,'[1]FD list'!$B$2:$B$122,0)),"")</f>
        <v/>
      </c>
      <c r="J75" s="172"/>
    </row>
    <row r="76" spans="7:10" x14ac:dyDescent="0.3">
      <c r="I76" t="str">
        <f>_xlfn.IFNA(INDEX('[1]FD list'!$A$2:$A$122,MATCH(H76,'[1]FD list'!$B$2:$B$122,0)),"")</f>
        <v/>
      </c>
      <c r="J76" s="172"/>
    </row>
    <row r="77" spans="7:10" x14ac:dyDescent="0.3">
      <c r="I77" t="str">
        <f>_xlfn.IFNA(INDEX('[1]FD list'!$A$2:$A$122,MATCH(H77,'[1]FD list'!$B$2:$B$122,0)),"")</f>
        <v/>
      </c>
      <c r="J77" s="172"/>
    </row>
    <row r="78" spans="7:10" x14ac:dyDescent="0.3">
      <c r="I78" t="str">
        <f>_xlfn.IFNA(INDEX('[1]FD list'!$A$2:$A$122,MATCH(H78,'[1]FD list'!$B$2:$B$122,0)),"")</f>
        <v/>
      </c>
      <c r="J78" s="172"/>
    </row>
    <row r="79" spans="7:10" x14ac:dyDescent="0.3">
      <c r="I79" t="str">
        <f>_xlfn.IFNA(INDEX('[1]FD list'!$A$2:$A$122,MATCH(H79,'[1]FD list'!$B$2:$B$122,0)),"")</f>
        <v/>
      </c>
      <c r="J79" s="172"/>
    </row>
    <row r="80" spans="7:10" x14ac:dyDescent="0.3">
      <c r="I80" t="str">
        <f>_xlfn.IFNA(INDEX('[1]FD list'!$A$2:$A$122,MATCH(H80,'[1]FD list'!$B$2:$B$122,0)),"")</f>
        <v/>
      </c>
      <c r="J80" s="172"/>
    </row>
    <row r="81" spans="9:10" x14ac:dyDescent="0.3">
      <c r="I81" t="str">
        <f>_xlfn.IFNA(INDEX('[1]FD list'!$A$2:$A$122,MATCH(H81,'[1]FD list'!$B$2:$B$122,0)),"")</f>
        <v/>
      </c>
      <c r="J81" s="172"/>
    </row>
    <row r="82" spans="9:10" x14ac:dyDescent="0.3">
      <c r="I82" t="str">
        <f>_xlfn.IFNA(INDEX('[1]FD list'!$A$2:$A$122,MATCH(H82,'[1]FD list'!$B$2:$B$122,0)),"")</f>
        <v/>
      </c>
      <c r="J82" s="172"/>
    </row>
    <row r="83" spans="9:10" x14ac:dyDescent="0.3">
      <c r="I83" t="str">
        <f>_xlfn.IFNA(INDEX('[1]FD list'!$A$2:$A$122,MATCH(H83,'[1]FD list'!$B$2:$B$122,0)),"")</f>
        <v/>
      </c>
      <c r="J83" s="172"/>
    </row>
    <row r="84" spans="9:10" x14ac:dyDescent="0.3">
      <c r="I84" t="str">
        <f>_xlfn.IFNA(INDEX('[1]FD list'!$A$2:$A$122,MATCH(H84,'[1]FD list'!$B$2:$B$122,0)),"")</f>
        <v/>
      </c>
      <c r="J84" s="172"/>
    </row>
    <row r="85" spans="9:10" x14ac:dyDescent="0.3">
      <c r="I85" t="str">
        <f>_xlfn.IFNA(INDEX('[1]FD list'!$A$2:$A$122,MATCH(H85,'[1]FD list'!$B$2:$B$122,0)),"")</f>
        <v/>
      </c>
      <c r="J85" s="172"/>
    </row>
    <row r="86" spans="9:10" x14ac:dyDescent="0.3">
      <c r="I86" t="str">
        <f>_xlfn.IFNA(INDEX('[1]FD list'!$A$2:$A$122,MATCH(H86,'[1]FD list'!$B$2:$B$122,0)),"")</f>
        <v/>
      </c>
      <c r="J86" s="172"/>
    </row>
    <row r="87" spans="9:10" x14ac:dyDescent="0.3">
      <c r="I87" t="str">
        <f>_xlfn.IFNA(INDEX('[1]FD list'!$A$2:$A$122,MATCH(H87,'[1]FD list'!$B$2:$B$122,0)),"")</f>
        <v/>
      </c>
      <c r="J87" s="172"/>
    </row>
    <row r="88" spans="9:10" x14ac:dyDescent="0.3">
      <c r="I88" t="str">
        <f>_xlfn.IFNA(INDEX('[1]FD list'!$A$2:$A$122,MATCH(H88,'[1]FD list'!$B$2:$B$122,0)),"")</f>
        <v/>
      </c>
      <c r="J88" s="172"/>
    </row>
    <row r="89" spans="9:10" x14ac:dyDescent="0.3">
      <c r="I89" t="str">
        <f>_xlfn.IFNA(INDEX('[1]FD list'!$A$2:$A$122,MATCH(H89,'[1]FD list'!$B$2:$B$122,0)),"")</f>
        <v/>
      </c>
      <c r="J89" s="172"/>
    </row>
    <row r="90" spans="9:10" x14ac:dyDescent="0.3">
      <c r="I90" t="str">
        <f>_xlfn.IFNA(INDEX('[1]FD list'!$A$2:$A$122,MATCH(H90,'[1]FD list'!$B$2:$B$122,0)),"")</f>
        <v/>
      </c>
      <c r="J90" s="172"/>
    </row>
    <row r="91" spans="9:10" x14ac:dyDescent="0.3">
      <c r="I91" t="str">
        <f>_xlfn.IFNA(INDEX('[1]FD list'!$A$2:$A$122,MATCH(H91,'[1]FD list'!$B$2:$B$122,0)),"")</f>
        <v/>
      </c>
      <c r="J91" s="172"/>
    </row>
    <row r="92" spans="9:10" x14ac:dyDescent="0.3">
      <c r="I92" t="str">
        <f>_xlfn.IFNA(INDEX('[1]FD list'!$A$2:$A$122,MATCH(H92,'[1]FD list'!$B$2:$B$122,0)),"")</f>
        <v/>
      </c>
      <c r="J92" s="172"/>
    </row>
    <row r="93" spans="9:10" x14ac:dyDescent="0.3">
      <c r="I93" t="str">
        <f>_xlfn.IFNA(INDEX('[1]FD list'!$A$2:$A$122,MATCH(H93,'[1]FD list'!$B$2:$B$122,0)),"")</f>
        <v/>
      </c>
      <c r="J93" s="172"/>
    </row>
    <row r="94" spans="9:10" x14ac:dyDescent="0.3">
      <c r="I94" t="str">
        <f>_xlfn.IFNA(INDEX('[1]FD list'!$A$2:$A$122,MATCH(H94,'[1]FD list'!$B$2:$B$122,0)),"")</f>
        <v/>
      </c>
      <c r="J94" s="172"/>
    </row>
    <row r="95" spans="9:10" x14ac:dyDescent="0.3">
      <c r="I95" t="str">
        <f>_xlfn.IFNA(INDEX('[1]FD list'!$A$2:$A$122,MATCH(H95,'[1]FD list'!$B$2:$B$122,0)),"")</f>
        <v/>
      </c>
      <c r="J95" s="172"/>
    </row>
    <row r="96" spans="9:10" x14ac:dyDescent="0.3">
      <c r="I96" t="str">
        <f>_xlfn.IFNA(INDEX('[1]FD list'!$A$2:$A$122,MATCH(H96,'[1]FD list'!$B$2:$B$122,0)),"")</f>
        <v/>
      </c>
      <c r="J96" s="172"/>
    </row>
    <row r="97" spans="9:10" x14ac:dyDescent="0.3">
      <c r="I97" t="str">
        <f>_xlfn.IFNA(INDEX('[1]FD list'!$A$2:$A$122,MATCH(H97,'[1]FD list'!$B$2:$B$122,0)),"")</f>
        <v/>
      </c>
      <c r="J97" s="172"/>
    </row>
    <row r="98" spans="9:10" x14ac:dyDescent="0.3">
      <c r="I98" t="str">
        <f>_xlfn.IFNA(INDEX('[1]Sector list'!$A$2:$A$122,MATCH(H98,'[1]Sector list'!$B$2:$B$122,0)),"")</f>
        <v/>
      </c>
      <c r="J98" s="172"/>
    </row>
    <row r="99" spans="9:10" x14ac:dyDescent="0.3">
      <c r="I99" t="str">
        <f>_xlfn.IFNA(INDEX('[1]Sector list'!$A$2:$A$122,MATCH(H99,'[1]Sector list'!$B$2:$B$122,0)),"")</f>
        <v/>
      </c>
      <c r="J99" s="172"/>
    </row>
    <row r="100" spans="9:10" x14ac:dyDescent="0.3">
      <c r="I100" t="str">
        <f>_xlfn.IFNA(INDEX('[1]Sector list'!$A$2:$A$122,MATCH(H100,'[1]Sector list'!$B$2:$B$122,0)),"")</f>
        <v/>
      </c>
      <c r="J100" s="172"/>
    </row>
    <row r="101" spans="9:10" x14ac:dyDescent="0.3">
      <c r="I101" t="str">
        <f>_xlfn.IFNA(INDEX('[1]Sector list'!$A$2:$A$122,MATCH(H101,'[1]Sector list'!$B$2:$B$122,0)),"")</f>
        <v/>
      </c>
      <c r="J101" s="172"/>
    </row>
    <row r="102" spans="9:10" x14ac:dyDescent="0.3">
      <c r="I102" t="str">
        <f>_xlfn.IFNA(INDEX('[1]Sector list'!$A$2:$A$122,MATCH(H102,'[1]Sector list'!$B$2:$B$122,0)),"")</f>
        <v/>
      </c>
      <c r="J102" s="172"/>
    </row>
    <row r="103" spans="9:10" x14ac:dyDescent="0.3">
      <c r="I103" t="str">
        <f>_xlfn.IFNA(INDEX('[1]Sector list'!$A$2:$A$122,MATCH(H103,'[1]Sector list'!$B$2:$B$122,0)),"")</f>
        <v/>
      </c>
      <c r="J103" s="172"/>
    </row>
    <row r="104" spans="9:10" x14ac:dyDescent="0.3">
      <c r="I104" t="str">
        <f>_xlfn.IFNA(INDEX('[1]Sector list'!$A$2:$A$122,MATCH(H104,'[1]Sector list'!$B$2:$B$122,0)),"")</f>
        <v/>
      </c>
      <c r="J104" s="172"/>
    </row>
    <row r="105" spans="9:10" x14ac:dyDescent="0.3">
      <c r="I105" t="str">
        <f>_xlfn.IFNA(INDEX('[1]Sector list'!$A$2:$A$122,MATCH(H105,'[1]Sector list'!$B$2:$B$122,0)),"")</f>
        <v/>
      </c>
      <c r="J105" s="172"/>
    </row>
    <row r="106" spans="9:10" x14ac:dyDescent="0.3">
      <c r="I106" t="str">
        <f>_xlfn.IFNA(INDEX('[1]Sector list'!$A$2:$A$122,MATCH(H106,'[1]Sector list'!$B$2:$B$122,0)),"")</f>
        <v/>
      </c>
      <c r="J106" s="172"/>
    </row>
    <row r="107" spans="9:10" x14ac:dyDescent="0.3">
      <c r="I107" t="str">
        <f>_xlfn.IFNA(INDEX('[1]Sector list'!$A$2:$A$122,MATCH(H107,'[1]Sector list'!$B$2:$B$122,0)),"")</f>
        <v/>
      </c>
      <c r="J107" s="172"/>
    </row>
    <row r="108" spans="9:10" x14ac:dyDescent="0.3">
      <c r="I108" t="str">
        <f>_xlfn.IFNA(INDEX('[1]Sector list'!$A$2:$A$122,MATCH(H108,'[1]Sector list'!$B$2:$B$122,0)),"")</f>
        <v/>
      </c>
      <c r="J108" s="172"/>
    </row>
    <row r="109" spans="9:10" x14ac:dyDescent="0.3">
      <c r="I109" t="str">
        <f>_xlfn.IFNA(INDEX('[1]Sector list'!$A$2:$A$122,MATCH(H109,'[1]Sector list'!$B$2:$B$122,0)),"")</f>
        <v/>
      </c>
      <c r="J109" s="172"/>
    </row>
    <row r="110" spans="9:10" x14ac:dyDescent="0.3">
      <c r="I110" t="str">
        <f>_xlfn.IFNA(INDEX('[1]Sector list'!$A$2:$A$122,MATCH(H110,'[1]Sector list'!$B$2:$B$122,0)),"")</f>
        <v/>
      </c>
      <c r="J110" s="172"/>
    </row>
    <row r="111" spans="9:10" x14ac:dyDescent="0.3">
      <c r="I111" t="str">
        <f>_xlfn.IFNA(INDEX('[1]Sector list'!$A$2:$A$122,MATCH(H111,'[1]Sector list'!$B$2:$B$122,0)),"")</f>
        <v/>
      </c>
      <c r="J111" s="172"/>
    </row>
    <row r="112" spans="9:10" x14ac:dyDescent="0.3">
      <c r="I112" t="str">
        <f>_xlfn.IFNA(INDEX('[1]Sector list'!$A$2:$A$122,MATCH(H112,'[1]Sector list'!$B$2:$B$122,0)),"")</f>
        <v/>
      </c>
      <c r="J112" s="172"/>
    </row>
    <row r="113" spans="9:10" x14ac:dyDescent="0.3">
      <c r="I113" t="str">
        <f>_xlfn.IFNA(INDEX('[1]Sector list'!$A$2:$A$122,MATCH(H113,'[1]Sector list'!$B$2:$B$122,0)),"")</f>
        <v/>
      </c>
      <c r="J113" s="172"/>
    </row>
    <row r="114" spans="9:10" x14ac:dyDescent="0.3">
      <c r="I114" t="str">
        <f>_xlfn.IFNA(INDEX('[1]Sector list'!$A$2:$A$122,MATCH(H114,'[1]Sector list'!$B$2:$B$122,0)),"")</f>
        <v/>
      </c>
      <c r="J114" s="172"/>
    </row>
    <row r="115" spans="9:10" x14ac:dyDescent="0.3">
      <c r="I115" t="str">
        <f>_xlfn.IFNA(INDEX('[1]Sector list'!$A$2:$A$122,MATCH(H115,'[1]Sector list'!$B$2:$B$122,0)),"")</f>
        <v/>
      </c>
      <c r="J115" s="172"/>
    </row>
    <row r="116" spans="9:10" x14ac:dyDescent="0.3">
      <c r="I116" t="str">
        <f>_xlfn.IFNA(INDEX('[1]Sector list'!$A$2:$A$122,MATCH(H116,'[1]Sector list'!$B$2:$B$122,0)),"")</f>
        <v/>
      </c>
      <c r="J116" s="172"/>
    </row>
    <row r="117" spans="9:10" x14ac:dyDescent="0.3">
      <c r="I117" t="str">
        <f>_xlfn.IFNA(INDEX('[1]Sector list'!$A$2:$A$122,MATCH(H117,'[1]Sector list'!$B$2:$B$122,0)),"")</f>
        <v/>
      </c>
      <c r="J117" s="172"/>
    </row>
    <row r="118" spans="9:10" x14ac:dyDescent="0.3">
      <c r="I118" t="str">
        <f>_xlfn.IFNA(INDEX('[1]Sector list'!$A$2:$A$122,MATCH(H118,'[1]Sector list'!$B$2:$B$122,0)),"")</f>
        <v/>
      </c>
      <c r="J118" s="172"/>
    </row>
    <row r="119" spans="9:10" x14ac:dyDescent="0.3">
      <c r="I119" t="str">
        <f>_xlfn.IFNA(INDEX('[1]Sector list'!$A$2:$A$122,MATCH(H119,'[1]Sector list'!$B$2:$B$122,0)),"")</f>
        <v/>
      </c>
      <c r="J119" s="172"/>
    </row>
    <row r="120" spans="9:10" x14ac:dyDescent="0.3">
      <c r="I120" t="str">
        <f>_xlfn.IFNA(INDEX('[1]Sector list'!$A$2:$A$122,MATCH(H120,'[1]Sector list'!$B$2:$B$122,0)),"")</f>
        <v/>
      </c>
      <c r="J120" s="172"/>
    </row>
    <row r="121" spans="9:10" x14ac:dyDescent="0.3">
      <c r="I121" t="str">
        <f>_xlfn.IFNA(INDEX('[1]Sector list'!$A$2:$A$122,MATCH(H121,'[1]Sector list'!$B$2:$B$122,0)),"")</f>
        <v/>
      </c>
      <c r="J121" s="172"/>
    </row>
    <row r="122" spans="9:10" x14ac:dyDescent="0.3">
      <c r="I122" t="str">
        <f>_xlfn.IFNA(INDEX('[1]Sector list'!$A$2:$A$122,MATCH(H122,'[1]Sector list'!$B$2:$B$122,0)),"")</f>
        <v/>
      </c>
      <c r="J122" s="172"/>
    </row>
    <row r="123" spans="9:10" x14ac:dyDescent="0.3">
      <c r="I123" t="str">
        <f>_xlfn.IFNA(INDEX('[1]Sector list'!$A$2:$A$122,MATCH(H123,'[1]Sector list'!$B$2:$B$122,0)),"")</f>
        <v/>
      </c>
      <c r="J123" s="172"/>
    </row>
    <row r="124" spans="9:10" x14ac:dyDescent="0.3">
      <c r="I124" t="str">
        <f>_xlfn.IFNA(INDEX('[1]Sector list'!$A$2:$A$122,MATCH(H124,'[1]Sector list'!$B$2:$B$122,0)),"")</f>
        <v/>
      </c>
      <c r="J124" s="172"/>
    </row>
    <row r="125" spans="9:10" x14ac:dyDescent="0.3">
      <c r="I125" t="str">
        <f>_xlfn.IFNA(INDEX('[1]Sector list'!$A$2:$A$122,MATCH(H125,'[1]Sector list'!$B$2:$B$122,0)),"")</f>
        <v/>
      </c>
      <c r="J125" s="172"/>
    </row>
    <row r="126" spans="9:10" x14ac:dyDescent="0.3">
      <c r="I126" t="str">
        <f>_xlfn.IFNA(INDEX('[1]Sector list'!$A$2:$A$122,MATCH(H126,'[1]Sector list'!$B$2:$B$122,0)),"")</f>
        <v/>
      </c>
      <c r="J126" s="172"/>
    </row>
    <row r="127" spans="9:10" x14ac:dyDescent="0.3">
      <c r="I127" t="str">
        <f>_xlfn.IFNA(INDEX('[1]Sector list'!$A$2:$A$122,MATCH(H127,'[1]Sector list'!$B$2:$B$122,0)),"")</f>
        <v/>
      </c>
      <c r="J127" s="172"/>
    </row>
    <row r="128" spans="9:10" x14ac:dyDescent="0.3">
      <c r="I128" t="str">
        <f>_xlfn.IFNA(INDEX('[1]Sector list'!$A$2:$A$122,MATCH(H128,'[1]Sector list'!$B$2:$B$122,0)),"")</f>
        <v/>
      </c>
      <c r="J128" s="172"/>
    </row>
    <row r="129" spans="9:10" x14ac:dyDescent="0.3">
      <c r="I129" t="str">
        <f>_xlfn.IFNA(INDEX('[1]Sector list'!$A$2:$A$122,MATCH(H129,'[1]Sector list'!$B$2:$B$122,0)),"")</f>
        <v/>
      </c>
      <c r="J129" s="172"/>
    </row>
    <row r="130" spans="9:10" x14ac:dyDescent="0.3">
      <c r="I130" t="str">
        <f>_xlfn.IFNA(INDEX('[1]Sector list'!$A$2:$A$122,MATCH(H130,'[1]Sector list'!$B$2:$B$122,0)),"")</f>
        <v/>
      </c>
      <c r="J130" s="172"/>
    </row>
    <row r="131" spans="9:10" x14ac:dyDescent="0.3">
      <c r="I131" t="str">
        <f>_xlfn.IFNA(INDEX('[1]Sector list'!$A$2:$A$122,MATCH(H131,'[1]Sector list'!$B$2:$B$122,0)),"")</f>
        <v/>
      </c>
      <c r="J131" s="172"/>
    </row>
    <row r="132" spans="9:10" x14ac:dyDescent="0.3">
      <c r="I132" t="str">
        <f>_xlfn.IFNA(INDEX('[1]Sector list'!$A$2:$A$122,MATCH(H132,'[1]Sector list'!$B$2:$B$122,0)),"")</f>
        <v/>
      </c>
      <c r="J132" s="172"/>
    </row>
    <row r="133" spans="9:10" x14ac:dyDescent="0.3">
      <c r="I133" t="str">
        <f>_xlfn.IFNA(INDEX('[1]Sector list'!$A$2:$A$122,MATCH(H133,'[1]Sector list'!$B$2:$B$122,0)),"")</f>
        <v/>
      </c>
      <c r="J133" s="172"/>
    </row>
    <row r="134" spans="9:10" x14ac:dyDescent="0.3">
      <c r="I134" t="str">
        <f>_xlfn.IFNA(INDEX('[1]Sector list'!$A$2:$A$122,MATCH(H134,'[1]Sector list'!$B$2:$B$122,0)),"")</f>
        <v/>
      </c>
      <c r="J134" s="172"/>
    </row>
    <row r="135" spans="9:10" x14ac:dyDescent="0.3">
      <c r="I135" t="str">
        <f>_xlfn.IFNA(INDEX('[1]Sector list'!$A$2:$A$122,MATCH(H135,'[1]Sector list'!$B$2:$B$122,0)),"")</f>
        <v/>
      </c>
      <c r="J135" s="172"/>
    </row>
    <row r="136" spans="9:10" x14ac:dyDescent="0.3">
      <c r="I136" t="str">
        <f>_xlfn.IFNA(INDEX('[1]Sector list'!$A$2:$A$122,MATCH(H136,'[1]Sector list'!$B$2:$B$122,0)),"")</f>
        <v/>
      </c>
      <c r="J136" s="172"/>
    </row>
    <row r="137" spans="9:10" x14ac:dyDescent="0.3">
      <c r="I137" t="str">
        <f>_xlfn.IFNA(INDEX('[1]Sector list'!$A$2:$A$122,MATCH(H137,'[1]Sector list'!$B$2:$B$122,0)),"")</f>
        <v/>
      </c>
      <c r="J137" s="172"/>
    </row>
    <row r="138" spans="9:10" x14ac:dyDescent="0.3">
      <c r="I138" t="str">
        <f>_xlfn.IFNA(INDEX('[1]Sector list'!$A$2:$A$122,MATCH(H138,'[1]Sector list'!$B$2:$B$122,0)),"")</f>
        <v/>
      </c>
      <c r="J138" s="172"/>
    </row>
    <row r="139" spans="9:10" x14ac:dyDescent="0.3">
      <c r="I139" t="str">
        <f>_xlfn.IFNA(INDEX('[1]Sector list'!$A$2:$A$122,MATCH(H139,'[1]Sector list'!$B$2:$B$122,0)),"")</f>
        <v/>
      </c>
      <c r="J139" s="172"/>
    </row>
    <row r="140" spans="9:10" x14ac:dyDescent="0.3">
      <c r="I140" t="str">
        <f>_xlfn.IFNA(INDEX('[1]Sector list'!$A$2:$A$122,MATCH(H140,'[1]Sector list'!$B$2:$B$122,0)),"")</f>
        <v/>
      </c>
      <c r="J140" s="172"/>
    </row>
    <row r="141" spans="9:10" x14ac:dyDescent="0.3">
      <c r="I141" t="str">
        <f>_xlfn.IFNA(INDEX('[1]Sector list'!$A$2:$A$122,MATCH(H141,'[1]Sector list'!$B$2:$B$122,0)),"")</f>
        <v/>
      </c>
      <c r="J141" s="172"/>
    </row>
    <row r="142" spans="9:10" x14ac:dyDescent="0.3">
      <c r="I142" t="str">
        <f>_xlfn.IFNA(INDEX('[1]Sector list'!$A$2:$A$122,MATCH(H142,'[1]Sector list'!$B$2:$B$122,0)),"")</f>
        <v/>
      </c>
      <c r="J142" s="172"/>
    </row>
    <row r="143" spans="9:10" x14ac:dyDescent="0.3">
      <c r="I143" t="str">
        <f>_xlfn.IFNA(INDEX('[1]Sector list'!$A$2:$A$122,MATCH(H143,'[1]Sector list'!$B$2:$B$122,0)),"")</f>
        <v/>
      </c>
      <c r="J143" s="172"/>
    </row>
    <row r="144" spans="9:10" x14ac:dyDescent="0.3">
      <c r="I144" t="str">
        <f>_xlfn.IFNA(INDEX('[1]Sector list'!$A$2:$A$122,MATCH(H144,'[1]Sector list'!$B$2:$B$122,0)),"")</f>
        <v/>
      </c>
      <c r="J144" s="172"/>
    </row>
    <row r="145" spans="9:10" x14ac:dyDescent="0.3">
      <c r="I145" t="str">
        <f>_xlfn.IFNA(INDEX('[1]Sector list'!$A$2:$A$122,MATCH(H145,'[1]Sector list'!$B$2:$B$122,0)),"")</f>
        <v/>
      </c>
      <c r="J145" s="172"/>
    </row>
    <row r="146" spans="9:10" x14ac:dyDescent="0.3">
      <c r="I146" t="str">
        <f>_xlfn.IFNA(INDEX('[1]Sector list'!$A$2:$A$122,MATCH(H146,'[1]Sector list'!$B$2:$B$122,0)),"")</f>
        <v/>
      </c>
      <c r="J146" s="172"/>
    </row>
    <row r="147" spans="9:10" x14ac:dyDescent="0.3">
      <c r="I147" t="str">
        <f>_xlfn.IFNA(INDEX('[1]Sector list'!$A$2:$A$122,MATCH(H147,'[1]Sector list'!$B$2:$B$122,0)),"")</f>
        <v/>
      </c>
      <c r="J147" s="172"/>
    </row>
    <row r="148" spans="9:10" x14ac:dyDescent="0.3">
      <c r="I148" t="str">
        <f>_xlfn.IFNA(INDEX('[1]Sector list'!$A$2:$A$122,MATCH(H148,'[1]Sector list'!$B$2:$B$122,0)),"")</f>
        <v/>
      </c>
      <c r="J148" s="172"/>
    </row>
    <row r="149" spans="9:10" x14ac:dyDescent="0.3">
      <c r="I149" t="str">
        <f>_xlfn.IFNA(INDEX('[1]Sector list'!$A$2:$A$122,MATCH(H149,'[1]Sector list'!$B$2:$B$122,0)),"")</f>
        <v/>
      </c>
      <c r="J149" s="172"/>
    </row>
    <row r="150" spans="9:10" x14ac:dyDescent="0.3">
      <c r="I150" t="str">
        <f>_xlfn.IFNA(INDEX('[1]Sector list'!$A$2:$A$122,MATCH(H150,'[1]Sector list'!$B$2:$B$122,0)),"")</f>
        <v/>
      </c>
      <c r="J150" s="172"/>
    </row>
    <row r="151" spans="9:10" x14ac:dyDescent="0.3">
      <c r="I151" t="str">
        <f>_xlfn.IFNA(INDEX('[1]Sector list'!$A$2:$A$122,MATCH(H151,'[1]Sector list'!$B$2:$B$122,0)),"")</f>
        <v/>
      </c>
      <c r="J151" s="172"/>
    </row>
    <row r="152" spans="9:10" x14ac:dyDescent="0.3">
      <c r="I152" t="str">
        <f>_xlfn.IFNA(INDEX('[1]Sector list'!$A$2:$A$122,MATCH(H152,'[1]Sector list'!$B$2:$B$122,0)),"")</f>
        <v/>
      </c>
      <c r="J152" s="172"/>
    </row>
    <row r="153" spans="9:10" x14ac:dyDescent="0.3">
      <c r="I153" t="str">
        <f>_xlfn.IFNA(INDEX('[1]Sector list'!$A$2:$A$122,MATCH(H153,'[1]Sector list'!$B$2:$B$122,0)),"")</f>
        <v/>
      </c>
      <c r="J153" s="172"/>
    </row>
    <row r="154" spans="9:10" x14ac:dyDescent="0.3">
      <c r="I154" t="str">
        <f>_xlfn.IFNA(INDEX('[1]Sector list'!$A$2:$A$122,MATCH(H154,'[1]Sector list'!$B$2:$B$122,0)),"")</f>
        <v/>
      </c>
      <c r="J154" s="172"/>
    </row>
    <row r="155" spans="9:10" x14ac:dyDescent="0.3">
      <c r="I155" t="str">
        <f>_xlfn.IFNA(INDEX('[1]Sector list'!$A$2:$A$122,MATCH(H155,'[1]Sector list'!$B$2:$B$122,0)),"")</f>
        <v/>
      </c>
      <c r="J155" s="172"/>
    </row>
    <row r="156" spans="9:10" x14ac:dyDescent="0.3">
      <c r="I156" t="str">
        <f>_xlfn.IFNA(INDEX('[1]Sector list'!$A$2:$A$122,MATCH(H156,'[1]Sector list'!$B$2:$B$122,0)),"")</f>
        <v/>
      </c>
      <c r="J156" s="172"/>
    </row>
    <row r="157" spans="9:10" x14ac:dyDescent="0.3">
      <c r="I157" t="str">
        <f>_xlfn.IFNA(INDEX('[1]Sector list'!$A$2:$A$122,MATCH(H157,'[1]Sector list'!$B$2:$B$122,0)),"")</f>
        <v/>
      </c>
      <c r="J157" s="172"/>
    </row>
    <row r="158" spans="9:10" x14ac:dyDescent="0.3">
      <c r="I158" t="str">
        <f>_xlfn.IFNA(INDEX('[1]Sector list'!$A$2:$A$122,MATCH(H158,'[1]Sector list'!$B$2:$B$122,0)),"")</f>
        <v/>
      </c>
      <c r="J158" s="172"/>
    </row>
    <row r="159" spans="9:10" x14ac:dyDescent="0.3">
      <c r="I159" t="str">
        <f>_xlfn.IFNA(INDEX('[1]Sector list'!$A$2:$A$122,MATCH(H159,'[1]Sector list'!$B$2:$B$122,0)),"")</f>
        <v/>
      </c>
      <c r="J159" s="172"/>
    </row>
    <row r="160" spans="9:10" x14ac:dyDescent="0.3">
      <c r="I160" t="str">
        <f>_xlfn.IFNA(INDEX('[1]Sector list'!$A$2:$A$122,MATCH(H160,'[1]Sector list'!$B$2:$B$122,0)),"")</f>
        <v/>
      </c>
      <c r="J160" s="172"/>
    </row>
    <row r="161" spans="9:10" x14ac:dyDescent="0.3">
      <c r="I161" t="str">
        <f>_xlfn.IFNA(INDEX('[1]Sector list'!$A$2:$A$122,MATCH(H161,'[1]Sector list'!$B$2:$B$122,0)),"")</f>
        <v/>
      </c>
      <c r="J161" s="172"/>
    </row>
    <row r="162" spans="9:10" x14ac:dyDescent="0.3">
      <c r="I162" t="str">
        <f>_xlfn.IFNA(INDEX('[1]Sector list'!$A$2:$A$122,MATCH(H162,'[1]Sector list'!$B$2:$B$122,0)),"")</f>
        <v/>
      </c>
      <c r="J162" s="172"/>
    </row>
    <row r="163" spans="9:10" x14ac:dyDescent="0.3">
      <c r="I163" t="str">
        <f>_xlfn.IFNA(INDEX('[1]Sector list'!$A$2:$A$122,MATCH(H163,'[1]Sector list'!$B$2:$B$122,0)),"")</f>
        <v/>
      </c>
      <c r="J163" s="172"/>
    </row>
    <row r="164" spans="9:10" x14ac:dyDescent="0.3">
      <c r="I164" t="str">
        <f>_xlfn.IFNA(INDEX('[1]Sector list'!$A$2:$A$122,MATCH(H164,'[1]Sector list'!$B$2:$B$122,0)),"")</f>
        <v/>
      </c>
      <c r="J164" s="172"/>
    </row>
    <row r="165" spans="9:10" x14ac:dyDescent="0.3">
      <c r="I165" t="str">
        <f>_xlfn.IFNA(INDEX('[1]Sector list'!$A$2:$A$122,MATCH(H165,'[1]Sector list'!$B$2:$B$122,0)),"")</f>
        <v/>
      </c>
      <c r="J165" s="172"/>
    </row>
    <row r="166" spans="9:10" x14ac:dyDescent="0.3">
      <c r="I166" t="str">
        <f>_xlfn.IFNA(INDEX('[1]Sector list'!$A$2:$A$122,MATCH(H166,'[1]Sector list'!$B$2:$B$122,0)),"")</f>
        <v/>
      </c>
      <c r="J166" s="172"/>
    </row>
    <row r="167" spans="9:10" x14ac:dyDescent="0.3">
      <c r="I167" t="str">
        <f>_xlfn.IFNA(INDEX('[1]Sector list'!$A$2:$A$122,MATCH(H167,'[1]Sector list'!$B$2:$B$122,0)),"")</f>
        <v/>
      </c>
      <c r="J167" s="172"/>
    </row>
    <row r="168" spans="9:10" x14ac:dyDescent="0.3">
      <c r="I168" t="str">
        <f>_xlfn.IFNA(INDEX('[1]Sector list'!$A$2:$A$122,MATCH(H168,'[1]Sector list'!$B$2:$B$122,0)),"")</f>
        <v/>
      </c>
      <c r="J168" s="172"/>
    </row>
    <row r="169" spans="9:10" x14ac:dyDescent="0.3">
      <c r="I169" t="str">
        <f>_xlfn.IFNA(INDEX('[1]Sector list'!$A$2:$A$122,MATCH(H169,'[1]Sector list'!$B$2:$B$122,0)),"")</f>
        <v/>
      </c>
      <c r="J169" s="172"/>
    </row>
    <row r="170" spans="9:10" x14ac:dyDescent="0.3">
      <c r="I170" t="str">
        <f>_xlfn.IFNA(INDEX('[1]Sector list'!$A$2:$A$122,MATCH(H170,'[1]Sector list'!$B$2:$B$122,0)),"")</f>
        <v/>
      </c>
      <c r="J170" s="172"/>
    </row>
    <row r="171" spans="9:10" x14ac:dyDescent="0.3">
      <c r="I171" t="str">
        <f>_xlfn.IFNA(INDEX('[1]Sector list'!$A$2:$A$122,MATCH(H171,'[1]Sector list'!$B$2:$B$122,0)),"")</f>
        <v/>
      </c>
      <c r="J171" s="172"/>
    </row>
    <row r="172" spans="9:10" x14ac:dyDescent="0.3">
      <c r="I172" t="str">
        <f>_xlfn.IFNA(INDEX('[1]Sector list'!$A$2:$A$122,MATCH(H172,'[1]Sector list'!$B$2:$B$122,0)),"")</f>
        <v/>
      </c>
      <c r="J172" s="172"/>
    </row>
    <row r="173" spans="9:10" x14ac:dyDescent="0.3">
      <c r="I173" t="str">
        <f>_xlfn.IFNA(INDEX('[1]Sector list'!$A$2:$A$122,MATCH(H173,'[1]Sector list'!$B$2:$B$122,0)),"")</f>
        <v/>
      </c>
      <c r="J173" s="172"/>
    </row>
    <row r="174" spans="9:10" x14ac:dyDescent="0.3">
      <c r="I174" t="str">
        <f>_xlfn.IFNA(INDEX('[1]Sector list'!$A$2:$A$122,MATCH(H174,'[1]Sector list'!$B$2:$B$122,0)),"")</f>
        <v/>
      </c>
      <c r="J174" s="172"/>
    </row>
    <row r="175" spans="9:10" x14ac:dyDescent="0.3">
      <c r="I175" t="str">
        <f>_xlfn.IFNA(INDEX('[1]Sector list'!$A$2:$A$122,MATCH(H175,'[1]Sector list'!$B$2:$B$122,0)),"")</f>
        <v/>
      </c>
      <c r="J175" s="172"/>
    </row>
    <row r="176" spans="9:10" x14ac:dyDescent="0.3">
      <c r="I176" t="str">
        <f>_xlfn.IFNA(INDEX('[1]Sector list'!$A$2:$A$122,MATCH(H176,'[1]Sector list'!$B$2:$B$122,0)),"")</f>
        <v/>
      </c>
      <c r="J176" s="172"/>
    </row>
    <row r="177" spans="9:10" x14ac:dyDescent="0.3">
      <c r="I177" t="str">
        <f>_xlfn.IFNA(INDEX('[1]Sector list'!$A$2:$A$122,MATCH(H177,'[1]Sector list'!$B$2:$B$122,0)),"")</f>
        <v/>
      </c>
      <c r="J177" s="172"/>
    </row>
    <row r="178" spans="9:10" x14ac:dyDescent="0.3">
      <c r="I178" t="str">
        <f>_xlfn.IFNA(INDEX('[1]Sector list'!$A$2:$A$122,MATCH(H178,'[1]Sector list'!$B$2:$B$122,0)),"")</f>
        <v/>
      </c>
      <c r="J178" s="172"/>
    </row>
    <row r="179" spans="9:10" x14ac:dyDescent="0.3">
      <c r="I179" t="str">
        <f>_xlfn.IFNA(INDEX('[1]Sector list'!$A$2:$A$122,MATCH(H179,'[1]Sector list'!$B$2:$B$122,0)),"")</f>
        <v/>
      </c>
      <c r="J179" s="172"/>
    </row>
    <row r="180" spans="9:10" x14ac:dyDescent="0.3">
      <c r="I180" t="str">
        <f>_xlfn.IFNA(INDEX('[1]Sector list'!$A$2:$A$122,MATCH(H180,'[1]Sector list'!$B$2:$B$122,0)),"")</f>
        <v/>
      </c>
      <c r="J180" s="172"/>
    </row>
    <row r="181" spans="9:10" x14ac:dyDescent="0.3">
      <c r="I181" t="str">
        <f>_xlfn.IFNA(INDEX('[1]Sector list'!$A$2:$A$122,MATCH(H181,'[1]Sector list'!$B$2:$B$122,0)),"")</f>
        <v/>
      </c>
      <c r="J181" s="172"/>
    </row>
    <row r="182" spans="9:10" x14ac:dyDescent="0.3">
      <c r="I182" t="str">
        <f>_xlfn.IFNA(INDEX('[1]Sector list'!$A$2:$A$122,MATCH(H182,'[1]Sector list'!$B$2:$B$122,0)),"")</f>
        <v/>
      </c>
      <c r="J182" s="172"/>
    </row>
    <row r="183" spans="9:10" x14ac:dyDescent="0.3">
      <c r="I183" t="str">
        <f>_xlfn.IFNA(INDEX('[1]Sector list'!$A$2:$A$122,MATCH(H183,'[1]Sector list'!$B$2:$B$122,0)),"")</f>
        <v/>
      </c>
      <c r="J183" s="172"/>
    </row>
    <row r="184" spans="9:10" x14ac:dyDescent="0.3">
      <c r="I184" t="str">
        <f>_xlfn.IFNA(INDEX('[1]Sector list'!$A$2:$A$122,MATCH(H184,'[1]Sector list'!$B$2:$B$122,0)),"")</f>
        <v/>
      </c>
      <c r="J184" s="172"/>
    </row>
    <row r="185" spans="9:10" x14ac:dyDescent="0.3">
      <c r="I185" t="str">
        <f>_xlfn.IFNA(INDEX('[1]Sector list'!$A$2:$A$122,MATCH(H185,'[1]Sector list'!$B$2:$B$122,0)),"")</f>
        <v/>
      </c>
      <c r="J185" s="172"/>
    </row>
    <row r="186" spans="9:10" x14ac:dyDescent="0.3">
      <c r="I186" t="str">
        <f>_xlfn.IFNA(INDEX('[1]Sector list'!$A$2:$A$122,MATCH(H186,'[1]Sector list'!$B$2:$B$122,0)),"")</f>
        <v/>
      </c>
      <c r="J186" s="172"/>
    </row>
    <row r="187" spans="9:10" x14ac:dyDescent="0.3">
      <c r="I187" t="str">
        <f>_xlfn.IFNA(INDEX('[1]Sector list'!$A$2:$A$122,MATCH(H187,'[1]Sector list'!$B$2:$B$122,0)),"")</f>
        <v/>
      </c>
      <c r="J187" s="172"/>
    </row>
    <row r="188" spans="9:10" x14ac:dyDescent="0.3">
      <c r="I188" t="str">
        <f>_xlfn.IFNA(INDEX('[1]Sector list'!$A$2:$A$122,MATCH(H188,'[1]Sector list'!$B$2:$B$122,0)),"")</f>
        <v/>
      </c>
      <c r="J188" s="172"/>
    </row>
    <row r="189" spans="9:10" x14ac:dyDescent="0.3">
      <c r="I189" t="str">
        <f>_xlfn.IFNA(INDEX('[1]Sector list'!$A$2:$A$122,MATCH(H189,'[1]Sector list'!$B$2:$B$122,0)),"")</f>
        <v/>
      </c>
      <c r="J189" s="172"/>
    </row>
    <row r="190" spans="9:10" x14ac:dyDescent="0.3">
      <c r="I190" t="str">
        <f>_xlfn.IFNA(INDEX('[1]Sector list'!$A$2:$A$122,MATCH(H190,'[1]Sector list'!$B$2:$B$122,0)),"")</f>
        <v/>
      </c>
      <c r="J190" s="172"/>
    </row>
    <row r="191" spans="9:10" x14ac:dyDescent="0.3">
      <c r="I191" t="str">
        <f>_xlfn.IFNA(INDEX('[1]Sector list'!$A$2:$A$122,MATCH(H191,'[1]Sector list'!$B$2:$B$122,0)),"")</f>
        <v/>
      </c>
      <c r="J191" s="172"/>
    </row>
    <row r="192" spans="9:10" x14ac:dyDescent="0.3">
      <c r="I192" t="str">
        <f>_xlfn.IFNA(INDEX('[1]Sector list'!$A$2:$A$122,MATCH(H192,'[1]Sector list'!$B$2:$B$122,0)),"")</f>
        <v/>
      </c>
      <c r="J192" s="172"/>
    </row>
    <row r="193" spans="9:10" x14ac:dyDescent="0.3">
      <c r="I193" t="str">
        <f>_xlfn.IFNA(INDEX('[1]Sector list'!$A$2:$A$122,MATCH(H193,'[1]Sector list'!$B$2:$B$122,0)),"")</f>
        <v/>
      </c>
      <c r="J193" s="172"/>
    </row>
    <row r="194" spans="9:10" x14ac:dyDescent="0.3">
      <c r="I194" t="str">
        <f>_xlfn.IFNA(INDEX('[1]Sector list'!$A$2:$A$122,MATCH(H194,'[1]Sector list'!$B$2:$B$122,0)),"")</f>
        <v/>
      </c>
      <c r="J194" s="172"/>
    </row>
    <row r="195" spans="9:10" x14ac:dyDescent="0.3">
      <c r="I195" t="str">
        <f>_xlfn.IFNA(INDEX('[1]Sector list'!$A$2:$A$122,MATCH(H195,'[1]Sector list'!$B$2:$B$122,0)),"")</f>
        <v/>
      </c>
      <c r="J195" s="172"/>
    </row>
    <row r="196" spans="9:10" x14ac:dyDescent="0.3">
      <c r="I196" t="str">
        <f>_xlfn.IFNA(INDEX('[1]Sector list'!$A$2:$A$122,MATCH(H196,'[1]Sector list'!$B$2:$B$122,0)),"")</f>
        <v/>
      </c>
      <c r="J196" s="172"/>
    </row>
    <row r="197" spans="9:10" x14ac:dyDescent="0.3">
      <c r="I197" t="str">
        <f>_xlfn.IFNA(INDEX('[1]Sector list'!$A$2:$A$122,MATCH(H197,'[1]Sector list'!$B$2:$B$122,0)),"")</f>
        <v/>
      </c>
      <c r="J197" s="172"/>
    </row>
    <row r="198" spans="9:10" x14ac:dyDescent="0.3">
      <c r="I198" t="str">
        <f>_xlfn.IFNA(INDEX('[1]Sector list'!$A$2:$A$122,MATCH(H198,'[1]Sector list'!$B$2:$B$122,0)),"")</f>
        <v/>
      </c>
      <c r="J198" s="172"/>
    </row>
    <row r="199" spans="9:10" x14ac:dyDescent="0.3">
      <c r="I199" t="str">
        <f>_xlfn.IFNA(INDEX('[1]Sector list'!$A$2:$A$122,MATCH(H199,'[1]Sector list'!$B$2:$B$122,0)),"")</f>
        <v/>
      </c>
      <c r="J199" s="172"/>
    </row>
    <row r="200" spans="9:10" x14ac:dyDescent="0.3">
      <c r="I200" t="str">
        <f>_xlfn.IFNA(INDEX('[1]Sector list'!$A$2:$A$122,MATCH(H200,'[1]Sector list'!$B$2:$B$122,0)),"")</f>
        <v/>
      </c>
      <c r="J200" s="172"/>
    </row>
    <row r="201" spans="9:10" x14ac:dyDescent="0.3">
      <c r="I201" t="str">
        <f>_xlfn.IFNA(INDEX('[1]Sector list'!$A$2:$A$122,MATCH(H201,'[1]Sector list'!$B$2:$B$122,0)),"")</f>
        <v/>
      </c>
      <c r="J201" s="172"/>
    </row>
    <row r="202" spans="9:10" x14ac:dyDescent="0.3">
      <c r="I202" t="str">
        <f>_xlfn.IFNA(INDEX('[1]Sector list'!$A$2:$A$122,MATCH(H202,'[1]Sector list'!$B$2:$B$122,0)),"")</f>
        <v/>
      </c>
      <c r="J202" s="172"/>
    </row>
    <row r="203" spans="9:10" x14ac:dyDescent="0.3">
      <c r="I203" t="str">
        <f>_xlfn.IFNA(INDEX('[1]Sector list'!$A$2:$A$122,MATCH(H203,'[1]Sector list'!$B$2:$B$122,0)),"")</f>
        <v/>
      </c>
      <c r="J203" s="172"/>
    </row>
    <row r="204" spans="9:10" x14ac:dyDescent="0.3">
      <c r="I204" t="str">
        <f>_xlfn.IFNA(INDEX('[1]Sector list'!$A$2:$A$122,MATCH(H204,'[1]Sector list'!$B$2:$B$122,0)),"")</f>
        <v/>
      </c>
      <c r="J204" s="172"/>
    </row>
    <row r="205" spans="9:10" x14ac:dyDescent="0.3">
      <c r="I205" t="str">
        <f>_xlfn.IFNA(INDEX('[1]Sector list'!$A$2:$A$122,MATCH(H205,'[1]Sector list'!$B$2:$B$122,0)),"")</f>
        <v/>
      </c>
      <c r="J205" s="172"/>
    </row>
    <row r="206" spans="9:10" x14ac:dyDescent="0.3">
      <c r="I206" t="str">
        <f>_xlfn.IFNA(INDEX('[1]Sector list'!$A$2:$A$122,MATCH(H206,'[1]Sector list'!$B$2:$B$122,0)),"")</f>
        <v/>
      </c>
      <c r="J206" s="172"/>
    </row>
    <row r="207" spans="9:10" x14ac:dyDescent="0.3">
      <c r="I207" t="str">
        <f>_xlfn.IFNA(INDEX('[1]Sector list'!$A$2:$A$122,MATCH(H207,'[1]Sector list'!$B$2:$B$122,0)),"")</f>
        <v/>
      </c>
      <c r="J207" s="172"/>
    </row>
    <row r="208" spans="9:10" x14ac:dyDescent="0.3">
      <c r="I208" t="str">
        <f>_xlfn.IFNA(INDEX('[1]Sector list'!$A$2:$A$122,MATCH(H208,'[1]Sector list'!$B$2:$B$122,0)),"")</f>
        <v/>
      </c>
      <c r="J208" s="172"/>
    </row>
    <row r="209" spans="9:10" x14ac:dyDescent="0.3">
      <c r="I209" t="str">
        <f>_xlfn.IFNA(INDEX('[1]Sector list'!$A$2:$A$122,MATCH(H209,'[1]Sector list'!$B$2:$B$122,0)),"")</f>
        <v/>
      </c>
      <c r="J209" s="172"/>
    </row>
    <row r="210" spans="9:10" x14ac:dyDescent="0.3">
      <c r="I210" t="str">
        <f>_xlfn.IFNA(INDEX('[1]Sector list'!$A$2:$A$122,MATCH(H210,'[1]Sector list'!$B$2:$B$122,0)),"")</f>
        <v/>
      </c>
      <c r="J210" s="172"/>
    </row>
    <row r="211" spans="9:10" x14ac:dyDescent="0.3">
      <c r="I211" t="str">
        <f>_xlfn.IFNA(INDEX('[1]Sector list'!$A$2:$A$122,MATCH(H211,'[1]Sector list'!$B$2:$B$122,0)),"")</f>
        <v/>
      </c>
      <c r="J211" s="172"/>
    </row>
    <row r="212" spans="9:10" x14ac:dyDescent="0.3">
      <c r="I212" t="str">
        <f>_xlfn.IFNA(INDEX('[1]Sector list'!$A$2:$A$122,MATCH(H212,'[1]Sector list'!$B$2:$B$122,0)),"")</f>
        <v/>
      </c>
      <c r="J212" s="172"/>
    </row>
    <row r="213" spans="9:10" x14ac:dyDescent="0.3">
      <c r="I213" t="str">
        <f>_xlfn.IFNA(INDEX('[1]Sector list'!$A$2:$A$122,MATCH(H213,'[1]Sector list'!$B$2:$B$122,0)),"")</f>
        <v/>
      </c>
      <c r="J213" s="172"/>
    </row>
    <row r="214" spans="9:10" x14ac:dyDescent="0.3">
      <c r="I214" t="str">
        <f>_xlfn.IFNA(INDEX('[1]Sector list'!$A$2:$A$122,MATCH(H214,'[1]Sector list'!$B$2:$B$122,0)),"")</f>
        <v/>
      </c>
      <c r="J214" s="172"/>
    </row>
    <row r="215" spans="9:10" x14ac:dyDescent="0.3">
      <c r="I215" t="str">
        <f>_xlfn.IFNA(INDEX('[1]Sector list'!$A$2:$A$122,MATCH(H215,'[1]Sector list'!$B$2:$B$122,0)),"")</f>
        <v/>
      </c>
      <c r="J215" s="172"/>
    </row>
    <row r="216" spans="9:10" x14ac:dyDescent="0.3">
      <c r="I216" t="str">
        <f>_xlfn.IFNA(INDEX('[1]Sector list'!$A$2:$A$122,MATCH(H216,'[1]Sector list'!$B$2:$B$122,0)),"")</f>
        <v/>
      </c>
      <c r="J216" s="172"/>
    </row>
    <row r="217" spans="9:10" x14ac:dyDescent="0.3">
      <c r="I217" t="str">
        <f>_xlfn.IFNA(INDEX('[1]Sector list'!$A$2:$A$122,MATCH(H217,'[1]Sector list'!$B$2:$B$122,0)),"")</f>
        <v/>
      </c>
      <c r="J217" s="172"/>
    </row>
    <row r="218" spans="9:10" x14ac:dyDescent="0.3">
      <c r="I218" t="str">
        <f>_xlfn.IFNA(INDEX('[1]Sector list'!$A$2:$A$122,MATCH(H218,'[1]Sector list'!$B$2:$B$122,0)),"")</f>
        <v/>
      </c>
      <c r="J218" s="172"/>
    </row>
    <row r="219" spans="9:10" x14ac:dyDescent="0.3">
      <c r="I219" t="str">
        <f>_xlfn.IFNA(INDEX('[1]Sector list'!$A$2:$A$122,MATCH(H219,'[1]Sector list'!$B$2:$B$122,0)),"")</f>
        <v/>
      </c>
      <c r="J219" s="172"/>
    </row>
    <row r="220" spans="9:10" x14ac:dyDescent="0.3">
      <c r="I220" t="str">
        <f>_xlfn.IFNA(INDEX('[1]Sector list'!$A$2:$A$122,MATCH(H220,'[1]Sector list'!$B$2:$B$122,0)),"")</f>
        <v/>
      </c>
      <c r="J220" s="172"/>
    </row>
    <row r="221" spans="9:10" x14ac:dyDescent="0.3">
      <c r="I221" t="str">
        <f>_xlfn.IFNA(INDEX('[1]Sector list'!$A$2:$A$122,MATCH(H221,'[1]Sector list'!$B$2:$B$122,0)),"")</f>
        <v/>
      </c>
      <c r="J221" s="172"/>
    </row>
    <row r="222" spans="9:10" x14ac:dyDescent="0.3">
      <c r="I222" t="str">
        <f>_xlfn.IFNA(INDEX('[1]Sector list'!$A$2:$A$122,MATCH(H222,'[1]Sector list'!$B$2:$B$122,0)),"")</f>
        <v/>
      </c>
      <c r="J222" s="172"/>
    </row>
    <row r="223" spans="9:10" x14ac:dyDescent="0.3">
      <c r="I223" t="str">
        <f>_xlfn.IFNA(INDEX('[1]Sector list'!$A$2:$A$122,MATCH(H223,'[1]Sector list'!$B$2:$B$122,0)),"")</f>
        <v/>
      </c>
      <c r="J223" s="172"/>
    </row>
    <row r="224" spans="9:10" x14ac:dyDescent="0.3">
      <c r="I224" t="str">
        <f>_xlfn.IFNA(INDEX('[1]Sector list'!$A$2:$A$122,MATCH(H224,'[1]Sector list'!$B$2:$B$122,0)),"")</f>
        <v/>
      </c>
      <c r="J224" s="172"/>
    </row>
    <row r="225" spans="9:10" x14ac:dyDescent="0.3">
      <c r="I225" t="str">
        <f>_xlfn.IFNA(INDEX('[1]Sector list'!$A$2:$A$122,MATCH(H225,'[1]Sector list'!$B$2:$B$122,0)),"")</f>
        <v/>
      </c>
      <c r="J225" s="172"/>
    </row>
    <row r="226" spans="9:10" x14ac:dyDescent="0.3">
      <c r="I226" t="str">
        <f>_xlfn.IFNA(INDEX('[1]Sector list'!$A$2:$A$122,MATCH(H226,'[1]Sector list'!$B$2:$B$122,0)),"")</f>
        <v/>
      </c>
      <c r="J226" s="172"/>
    </row>
    <row r="227" spans="9:10" x14ac:dyDescent="0.3">
      <c r="I227" t="str">
        <f>_xlfn.IFNA(INDEX('[1]Sector list'!$A$2:$A$122,MATCH(H227,'[1]Sector list'!$B$2:$B$122,0)),"")</f>
        <v/>
      </c>
      <c r="J227" s="172"/>
    </row>
    <row r="228" spans="9:10" x14ac:dyDescent="0.3">
      <c r="I228" t="str">
        <f>_xlfn.IFNA(INDEX('[1]Sector list'!$A$2:$A$122,MATCH(H228,'[1]Sector list'!$B$2:$B$122,0)),"")</f>
        <v/>
      </c>
      <c r="J228" s="172"/>
    </row>
    <row r="229" spans="9:10" x14ac:dyDescent="0.3">
      <c r="I229" t="str">
        <f>_xlfn.IFNA(INDEX('[1]Sector list'!$A$2:$A$122,MATCH(H229,'[1]Sector list'!$B$2:$B$122,0)),"")</f>
        <v/>
      </c>
      <c r="J229" s="172"/>
    </row>
    <row r="230" spans="9:10" x14ac:dyDescent="0.3">
      <c r="I230" t="str">
        <f>_xlfn.IFNA(INDEX('[1]Sector list'!$A$2:$A$122,MATCH(H230,'[1]Sector list'!$B$2:$B$122,0)),"")</f>
        <v/>
      </c>
      <c r="J230" s="172"/>
    </row>
    <row r="231" spans="9:10" x14ac:dyDescent="0.3">
      <c r="I231" t="str">
        <f>_xlfn.IFNA(INDEX('[1]Sector list'!$A$2:$A$122,MATCH(H231,'[1]Sector list'!$B$2:$B$122,0)),"")</f>
        <v/>
      </c>
      <c r="J231" s="172"/>
    </row>
    <row r="232" spans="9:10" x14ac:dyDescent="0.3">
      <c r="I232" t="str">
        <f>_xlfn.IFNA(INDEX('[1]Sector list'!$A$2:$A$122,MATCH(H232,'[1]Sector list'!$B$2:$B$122,0)),"")</f>
        <v/>
      </c>
      <c r="J232" s="172"/>
    </row>
    <row r="233" spans="9:10" x14ac:dyDescent="0.3">
      <c r="I233" t="str">
        <f>_xlfn.IFNA(INDEX('[1]Sector list'!$A$2:$A$122,MATCH(H233,'[1]Sector list'!$B$2:$B$122,0)),"")</f>
        <v/>
      </c>
      <c r="J233" s="172"/>
    </row>
    <row r="234" spans="9:10" x14ac:dyDescent="0.3">
      <c r="I234" t="str">
        <f>_xlfn.IFNA(INDEX('[1]Sector list'!$A$2:$A$122,MATCH(H234,'[1]Sector list'!$B$2:$B$122,0)),"")</f>
        <v/>
      </c>
      <c r="J234" s="172"/>
    </row>
    <row r="235" spans="9:10" x14ac:dyDescent="0.3">
      <c r="I235" t="str">
        <f>_xlfn.IFNA(INDEX('[1]Sector list'!$A$2:$A$122,MATCH(H235,'[1]Sector list'!$B$2:$B$122,0)),"")</f>
        <v/>
      </c>
      <c r="J235" s="172"/>
    </row>
    <row r="236" spans="9:10" x14ac:dyDescent="0.3">
      <c r="I236" t="str">
        <f>_xlfn.IFNA(INDEX('[1]Sector list'!$A$2:$A$122,MATCH(H236,'[1]Sector list'!$B$2:$B$122,0)),"")</f>
        <v/>
      </c>
      <c r="J236" s="172"/>
    </row>
    <row r="237" spans="9:10" x14ac:dyDescent="0.3">
      <c r="I237" t="str">
        <f>_xlfn.IFNA(INDEX('[1]Sector list'!$A$2:$A$122,MATCH(H237,'[1]Sector list'!$B$2:$B$122,0)),"")</f>
        <v/>
      </c>
      <c r="J237" s="172"/>
    </row>
    <row r="238" spans="9:10" x14ac:dyDescent="0.3">
      <c r="I238" t="str">
        <f>_xlfn.IFNA(INDEX('[1]Sector list'!$A$2:$A$122,MATCH(H238,'[1]Sector list'!$B$2:$B$122,0)),"")</f>
        <v/>
      </c>
      <c r="J238" s="172"/>
    </row>
    <row r="239" spans="9:10" x14ac:dyDescent="0.3">
      <c r="I239" t="str">
        <f>_xlfn.IFNA(INDEX('[1]Sector list'!$A$2:$A$122,MATCH(H239,'[1]Sector list'!$B$2:$B$122,0)),"")</f>
        <v/>
      </c>
      <c r="J239" s="172"/>
    </row>
    <row r="240" spans="9:10" x14ac:dyDescent="0.3">
      <c r="I240" t="str">
        <f>_xlfn.IFNA(INDEX('[1]Sector list'!$A$2:$A$122,MATCH(H240,'[1]Sector list'!$B$2:$B$122,0)),"")</f>
        <v/>
      </c>
      <c r="J240" s="172"/>
    </row>
    <row r="241" spans="9:10" x14ac:dyDescent="0.3">
      <c r="I241" t="str">
        <f>_xlfn.IFNA(INDEX('[1]Sector list'!$A$2:$A$122,MATCH(H241,'[1]Sector list'!$B$2:$B$122,0)),"")</f>
        <v/>
      </c>
      <c r="J241" s="172"/>
    </row>
    <row r="242" spans="9:10" x14ac:dyDescent="0.3">
      <c r="I242" t="str">
        <f>_xlfn.IFNA(INDEX('[1]Sector list'!$A$2:$A$122,MATCH(H242,'[1]Sector list'!$B$2:$B$122,0)),"")</f>
        <v/>
      </c>
      <c r="J242" s="172"/>
    </row>
    <row r="243" spans="9:10" x14ac:dyDescent="0.3">
      <c r="I243" t="str">
        <f>_xlfn.IFNA(INDEX('[1]Sector list'!$A$2:$A$122,MATCH(H243,'[1]Sector list'!$B$2:$B$122,0)),"")</f>
        <v/>
      </c>
      <c r="J243" s="172"/>
    </row>
    <row r="244" spans="9:10" x14ac:dyDescent="0.3">
      <c r="I244" t="str">
        <f>_xlfn.IFNA(INDEX('[1]Sector list'!$A$2:$A$122,MATCH(H244,'[1]Sector list'!$B$2:$B$122,0)),"")</f>
        <v/>
      </c>
      <c r="J244" s="172"/>
    </row>
    <row r="245" spans="9:10" x14ac:dyDescent="0.3">
      <c r="I245" t="str">
        <f>_xlfn.IFNA(INDEX('[1]Sector list'!$A$2:$A$122,MATCH(H245,'[1]Sector list'!$B$2:$B$122,0)),"")</f>
        <v/>
      </c>
      <c r="J245" s="172"/>
    </row>
    <row r="246" spans="9:10" x14ac:dyDescent="0.3">
      <c r="I246" t="str">
        <f>_xlfn.IFNA(INDEX('[1]Sector list'!$A$2:$A$122,MATCH(H246,'[1]Sector list'!$B$2:$B$122,0)),"")</f>
        <v/>
      </c>
      <c r="J246" s="172"/>
    </row>
    <row r="247" spans="9:10" x14ac:dyDescent="0.3">
      <c r="I247" t="str">
        <f>_xlfn.IFNA(INDEX('[1]Sector list'!$A$2:$A$122,MATCH(H247,'[1]Sector list'!$B$2:$B$122,0)),"")</f>
        <v/>
      </c>
      <c r="J247" s="172"/>
    </row>
    <row r="248" spans="9:10" x14ac:dyDescent="0.3">
      <c r="I248" t="str">
        <f>_xlfn.IFNA(INDEX('[1]Sector list'!$A$2:$A$122,MATCH(H248,'[1]Sector list'!$B$2:$B$122,0)),"")</f>
        <v/>
      </c>
      <c r="J248" s="172"/>
    </row>
    <row r="249" spans="9:10" x14ac:dyDescent="0.3">
      <c r="I249" t="str">
        <f>_xlfn.IFNA(INDEX('[1]Sector list'!$A$2:$A$122,MATCH(H249,'[1]Sector list'!$B$2:$B$122,0)),"")</f>
        <v/>
      </c>
      <c r="J249" s="172"/>
    </row>
    <row r="250" spans="9:10" x14ac:dyDescent="0.3">
      <c r="I250" t="str">
        <f>_xlfn.IFNA(INDEX('[1]Sector list'!$A$2:$A$122,MATCH(H250,'[1]Sector list'!$B$2:$B$122,0)),"")</f>
        <v/>
      </c>
      <c r="J250" s="172"/>
    </row>
    <row r="251" spans="9:10" x14ac:dyDescent="0.3">
      <c r="I251" t="str">
        <f>_xlfn.IFNA(INDEX('[1]Sector list'!$A$2:$A$122,MATCH(H251,'[1]Sector list'!$B$2:$B$122,0)),"")</f>
        <v/>
      </c>
      <c r="J251" s="172"/>
    </row>
    <row r="252" spans="9:10" x14ac:dyDescent="0.3">
      <c r="I252" t="str">
        <f>_xlfn.IFNA(INDEX('[1]Sector list'!$A$2:$A$122,MATCH(H252,'[1]Sector list'!$B$2:$B$122,0)),"")</f>
        <v/>
      </c>
      <c r="J252" s="172"/>
    </row>
    <row r="253" spans="9:10" x14ac:dyDescent="0.3">
      <c r="I253" t="str">
        <f>_xlfn.IFNA(INDEX('[1]Sector list'!$A$2:$A$122,MATCH(H253,'[1]Sector list'!$B$2:$B$122,0)),"")</f>
        <v/>
      </c>
      <c r="J253" s="172"/>
    </row>
    <row r="254" spans="9:10" x14ac:dyDescent="0.3">
      <c r="I254" t="str">
        <f>_xlfn.IFNA(INDEX('[1]Sector list'!$A$2:$A$122,MATCH(H254,'[1]Sector list'!$B$2:$B$122,0)),"")</f>
        <v/>
      </c>
      <c r="J254" s="172"/>
    </row>
    <row r="255" spans="9:10" x14ac:dyDescent="0.3">
      <c r="I255" t="str">
        <f>_xlfn.IFNA(INDEX('[1]Sector list'!$A$2:$A$122,MATCH(H255,'[1]Sector list'!$B$2:$B$122,0)),"")</f>
        <v/>
      </c>
      <c r="J255" s="172"/>
    </row>
    <row r="256" spans="9:10" x14ac:dyDescent="0.3">
      <c r="I256" t="str">
        <f>_xlfn.IFNA(INDEX('[1]Sector list'!$A$2:$A$122,MATCH(H256,'[1]Sector list'!$B$2:$B$122,0)),"")</f>
        <v/>
      </c>
      <c r="J256" s="172"/>
    </row>
    <row r="257" spans="9:10" x14ac:dyDescent="0.3">
      <c r="I257" t="str">
        <f>_xlfn.IFNA(INDEX('[1]Sector list'!$A$2:$A$122,MATCH(H257,'[1]Sector list'!$B$2:$B$122,0)),"")</f>
        <v/>
      </c>
      <c r="J257" s="172"/>
    </row>
    <row r="258" spans="9:10" x14ac:dyDescent="0.3">
      <c r="I258" t="str">
        <f>_xlfn.IFNA(INDEX('[1]Sector list'!$A$2:$A$122,MATCH(H258,'[1]Sector list'!$B$2:$B$122,0)),"")</f>
        <v/>
      </c>
      <c r="J258" s="172"/>
    </row>
    <row r="259" spans="9:10" x14ac:dyDescent="0.3">
      <c r="I259" t="str">
        <f>_xlfn.IFNA(INDEX('[1]Sector list'!$A$2:$A$122,MATCH(H259,'[1]Sector list'!$B$2:$B$122,0)),"")</f>
        <v/>
      </c>
      <c r="J259" s="172"/>
    </row>
    <row r="260" spans="9:10" x14ac:dyDescent="0.3">
      <c r="I260" t="str">
        <f>_xlfn.IFNA(INDEX('[1]Sector list'!$A$2:$A$122,MATCH(H260,'[1]Sector list'!$B$2:$B$122,0)),"")</f>
        <v/>
      </c>
      <c r="J260" s="172"/>
    </row>
    <row r="261" spans="9:10" x14ac:dyDescent="0.3">
      <c r="I261" t="str">
        <f>_xlfn.IFNA(INDEX('[1]Sector list'!$A$2:$A$122,MATCH(H261,'[1]Sector list'!$B$2:$B$122,0)),"")</f>
        <v/>
      </c>
      <c r="J261" s="172"/>
    </row>
    <row r="262" spans="9:10" x14ac:dyDescent="0.3">
      <c r="I262" t="str">
        <f>_xlfn.IFNA(INDEX('[1]Sector list'!$A$2:$A$122,MATCH(H262,'[1]Sector list'!$B$2:$B$122,0)),"")</f>
        <v/>
      </c>
      <c r="J262" s="172"/>
    </row>
    <row r="263" spans="9:10" x14ac:dyDescent="0.3">
      <c r="I263" t="str">
        <f>_xlfn.IFNA(INDEX('[1]Sector list'!$A$2:$A$122,MATCH(H263,'[1]Sector list'!$B$2:$B$122,0)),"")</f>
        <v/>
      </c>
      <c r="J263" s="172"/>
    </row>
    <row r="264" spans="9:10" x14ac:dyDescent="0.3">
      <c r="I264" t="str">
        <f>_xlfn.IFNA(INDEX('[1]Sector list'!$A$2:$A$122,MATCH(H264,'[1]Sector list'!$B$2:$B$122,0)),"")</f>
        <v/>
      </c>
      <c r="J264" s="172"/>
    </row>
    <row r="265" spans="9:10" x14ac:dyDescent="0.3">
      <c r="I265" t="str">
        <f>_xlfn.IFNA(INDEX('[1]Sector list'!$A$2:$A$122,MATCH(H265,'[1]Sector list'!$B$2:$B$122,0)),"")</f>
        <v/>
      </c>
      <c r="J265" s="172"/>
    </row>
    <row r="266" spans="9:10" x14ac:dyDescent="0.3">
      <c r="I266" t="str">
        <f>_xlfn.IFNA(INDEX('[1]Sector list'!$A$2:$A$122,MATCH(H266,'[1]Sector list'!$B$2:$B$122,0)),"")</f>
        <v/>
      </c>
      <c r="J266" s="172"/>
    </row>
    <row r="267" spans="9:10" x14ac:dyDescent="0.3">
      <c r="I267" t="str">
        <f>_xlfn.IFNA(INDEX('[1]Sector list'!$A$2:$A$122,MATCH(H267,'[1]Sector list'!$B$2:$B$122,0)),"")</f>
        <v/>
      </c>
      <c r="J267" s="172"/>
    </row>
    <row r="268" spans="9:10" x14ac:dyDescent="0.3">
      <c r="I268" t="str">
        <f>_xlfn.IFNA(INDEX('[1]Sector list'!$A$2:$A$122,MATCH(H268,'[1]Sector list'!$B$2:$B$122,0)),"")</f>
        <v/>
      </c>
      <c r="J268" s="172"/>
    </row>
    <row r="269" spans="9:10" x14ac:dyDescent="0.3">
      <c r="I269" t="str">
        <f>_xlfn.IFNA(INDEX('[1]Sector list'!$A$2:$A$122,MATCH(H269,'[1]Sector list'!$B$2:$B$122,0)),"")</f>
        <v/>
      </c>
      <c r="J269" s="172"/>
    </row>
    <row r="270" spans="9:10" x14ac:dyDescent="0.3">
      <c r="I270" t="str">
        <f>_xlfn.IFNA(INDEX('[1]Sector list'!$A$2:$A$122,MATCH(H270,'[1]Sector list'!$B$2:$B$122,0)),"")</f>
        <v/>
      </c>
      <c r="J270" s="172"/>
    </row>
    <row r="271" spans="9:10" x14ac:dyDescent="0.3">
      <c r="I271" t="str">
        <f>_xlfn.IFNA(INDEX('[1]Sector list'!$A$2:$A$122,MATCH(H271,'[1]Sector list'!$B$2:$B$122,0)),"")</f>
        <v/>
      </c>
      <c r="J271" s="172"/>
    </row>
    <row r="272" spans="9:10" x14ac:dyDescent="0.3">
      <c r="I272" t="str">
        <f>_xlfn.IFNA(INDEX('[1]Sector list'!$A$2:$A$122,MATCH(H272,'[1]Sector list'!$B$2:$B$122,0)),"")</f>
        <v/>
      </c>
      <c r="J272" s="172"/>
    </row>
    <row r="273" spans="9:10" x14ac:dyDescent="0.3">
      <c r="I273" t="str">
        <f>_xlfn.IFNA(INDEX('[1]Sector list'!$A$2:$A$122,MATCH(H273,'[1]Sector list'!$B$2:$B$122,0)),"")</f>
        <v/>
      </c>
      <c r="J273" s="172"/>
    </row>
    <row r="274" spans="9:10" x14ac:dyDescent="0.3">
      <c r="I274" t="str">
        <f>_xlfn.IFNA(INDEX('[1]Sector list'!$A$2:$A$122,MATCH(H274,'[1]Sector list'!$B$2:$B$122,0)),"")</f>
        <v/>
      </c>
      <c r="J274" s="172"/>
    </row>
    <row r="275" spans="9:10" x14ac:dyDescent="0.3">
      <c r="I275" t="str">
        <f>_xlfn.IFNA(INDEX('[1]Sector list'!$A$2:$A$122,MATCH(H275,'[1]Sector list'!$B$2:$B$122,0)),"")</f>
        <v/>
      </c>
      <c r="J275" s="172"/>
    </row>
    <row r="276" spans="9:10" x14ac:dyDescent="0.3">
      <c r="I276" t="str">
        <f>_xlfn.IFNA(INDEX('[1]Sector list'!$A$2:$A$122,MATCH(H276,'[1]Sector list'!$B$2:$B$122,0)),"")</f>
        <v/>
      </c>
      <c r="J276" s="172"/>
    </row>
    <row r="277" spans="9:10" x14ac:dyDescent="0.3">
      <c r="I277" t="str">
        <f>_xlfn.IFNA(INDEX('[1]Sector list'!$A$2:$A$122,MATCH(H277,'[1]Sector list'!$B$2:$B$122,0)),"")</f>
        <v/>
      </c>
      <c r="J277" s="172"/>
    </row>
    <row r="278" spans="9:10" x14ac:dyDescent="0.3">
      <c r="I278" t="str">
        <f>_xlfn.IFNA(INDEX('[1]Sector list'!$A$2:$A$122,MATCH(H278,'[1]Sector list'!$B$2:$B$122,0)),"")</f>
        <v/>
      </c>
      <c r="J278" s="172"/>
    </row>
    <row r="279" spans="9:10" x14ac:dyDescent="0.3">
      <c r="I279" t="str">
        <f>_xlfn.IFNA(INDEX('[1]Sector list'!$A$2:$A$122,MATCH(H279,'[1]Sector list'!$B$2:$B$122,0)),"")</f>
        <v/>
      </c>
      <c r="J279" s="172"/>
    </row>
    <row r="280" spans="9:10" x14ac:dyDescent="0.3">
      <c r="I280" t="str">
        <f>_xlfn.IFNA(INDEX('[1]Sector list'!$A$2:$A$122,MATCH(H280,'[1]Sector list'!$B$2:$B$122,0)),"")</f>
        <v/>
      </c>
      <c r="J280" s="172"/>
    </row>
    <row r="281" spans="9:10" x14ac:dyDescent="0.3">
      <c r="I281" t="str">
        <f>_xlfn.IFNA(INDEX('[1]Sector list'!$A$2:$A$122,MATCH(H281,'[1]Sector list'!$B$2:$B$122,0)),"")</f>
        <v/>
      </c>
      <c r="J281" s="172"/>
    </row>
    <row r="282" spans="9:10" x14ac:dyDescent="0.3">
      <c r="I282" t="str">
        <f>_xlfn.IFNA(INDEX('[1]Sector list'!$A$2:$A$122,MATCH(H282,'[1]Sector list'!$B$2:$B$122,0)),"")</f>
        <v/>
      </c>
      <c r="J282" s="172"/>
    </row>
    <row r="283" spans="9:10" x14ac:dyDescent="0.3">
      <c r="I283" t="str">
        <f>_xlfn.IFNA(INDEX('[1]Sector list'!$A$2:$A$122,MATCH(H283,'[1]Sector list'!$B$2:$B$122,0)),"")</f>
        <v/>
      </c>
      <c r="J283" s="172"/>
    </row>
    <row r="284" spans="9:10" x14ac:dyDescent="0.3">
      <c r="I284" t="str">
        <f>_xlfn.IFNA(INDEX('[1]Sector list'!$A$2:$A$122,MATCH(H284,'[1]Sector list'!$B$2:$B$122,0)),"")</f>
        <v/>
      </c>
      <c r="J284" s="172"/>
    </row>
    <row r="285" spans="9:10" x14ac:dyDescent="0.3">
      <c r="I285" t="str">
        <f>_xlfn.IFNA(INDEX('[1]Sector list'!$A$2:$A$122,MATCH(H285,'[1]Sector list'!$B$2:$B$122,0)),"")</f>
        <v/>
      </c>
      <c r="J285" s="172"/>
    </row>
    <row r="286" spans="9:10" x14ac:dyDescent="0.3">
      <c r="I286" t="str">
        <f>_xlfn.IFNA(INDEX('[1]Sector list'!$A$2:$A$122,MATCH(H286,'[1]Sector list'!$B$2:$B$122,0)),"")</f>
        <v/>
      </c>
      <c r="J286" s="172"/>
    </row>
    <row r="287" spans="9:10" x14ac:dyDescent="0.3">
      <c r="I287" t="str">
        <f>_xlfn.IFNA(INDEX('[1]Sector list'!$A$2:$A$122,MATCH(H287,'[1]Sector list'!$B$2:$B$122,0)),"")</f>
        <v/>
      </c>
      <c r="J287" s="172"/>
    </row>
    <row r="288" spans="9:10" x14ac:dyDescent="0.3">
      <c r="I288" t="str">
        <f>_xlfn.IFNA(INDEX('[1]Sector list'!$A$2:$A$122,MATCH(H288,'[1]Sector list'!$B$2:$B$122,0)),"")</f>
        <v/>
      </c>
      <c r="J288" s="172"/>
    </row>
    <row r="289" spans="9:10" x14ac:dyDescent="0.3">
      <c r="I289" t="str">
        <f>_xlfn.IFNA(INDEX('[1]Sector list'!$A$2:$A$122,MATCH(H289,'[1]Sector list'!$B$2:$B$122,0)),"")</f>
        <v/>
      </c>
      <c r="J289" s="172"/>
    </row>
    <row r="290" spans="9:10" x14ac:dyDescent="0.3">
      <c r="I290" t="str">
        <f>_xlfn.IFNA(INDEX('[1]Sector list'!$A$2:$A$122,MATCH(H290,'[1]Sector list'!$B$2:$B$122,0)),"")</f>
        <v/>
      </c>
      <c r="J290" s="172"/>
    </row>
    <row r="291" spans="9:10" x14ac:dyDescent="0.3">
      <c r="I291" t="str">
        <f>_xlfn.IFNA(INDEX('[1]Sector list'!$A$2:$A$122,MATCH(H291,'[1]Sector list'!$B$2:$B$122,0)),"")</f>
        <v/>
      </c>
      <c r="J291" s="172"/>
    </row>
    <row r="292" spans="9:10" x14ac:dyDescent="0.3">
      <c r="I292" t="str">
        <f>_xlfn.IFNA(INDEX('[1]Sector list'!$A$2:$A$122,MATCH(H292,'[1]Sector list'!$B$2:$B$122,0)),"")</f>
        <v/>
      </c>
      <c r="J292" s="172"/>
    </row>
    <row r="293" spans="9:10" x14ac:dyDescent="0.3">
      <c r="I293" t="str">
        <f>_xlfn.IFNA(INDEX('[1]Sector list'!$A$2:$A$122,MATCH(H293,'[1]Sector list'!$B$2:$B$122,0)),"")</f>
        <v/>
      </c>
      <c r="J293" s="172"/>
    </row>
    <row r="294" spans="9:10" x14ac:dyDescent="0.3">
      <c r="I294" t="str">
        <f>_xlfn.IFNA(INDEX('[1]Sector list'!$A$2:$A$122,MATCH(H294,'[1]Sector list'!$B$2:$B$122,0)),"")</f>
        <v/>
      </c>
      <c r="J294" s="172"/>
    </row>
    <row r="295" spans="9:10" x14ac:dyDescent="0.3">
      <c r="I295" t="str">
        <f>_xlfn.IFNA(INDEX('[1]Sector list'!$A$2:$A$122,MATCH(H295,'[1]Sector list'!$B$2:$B$122,0)),"")</f>
        <v/>
      </c>
      <c r="J295" s="172"/>
    </row>
    <row r="296" spans="9:10" x14ac:dyDescent="0.3">
      <c r="I296" t="str">
        <f>_xlfn.IFNA(INDEX('[1]Sector list'!$A$2:$A$122,MATCH(H296,'[1]Sector list'!$B$2:$B$122,0)),"")</f>
        <v/>
      </c>
      <c r="J296" s="172"/>
    </row>
    <row r="297" spans="9:10" x14ac:dyDescent="0.3">
      <c r="I297" t="str">
        <f>_xlfn.IFNA(INDEX('[1]Sector list'!$A$2:$A$122,MATCH(H297,'[1]Sector list'!$B$2:$B$122,0)),"")</f>
        <v/>
      </c>
      <c r="J297" s="172"/>
    </row>
    <row r="298" spans="9:10" x14ac:dyDescent="0.3">
      <c r="I298" t="str">
        <f>_xlfn.IFNA(INDEX('[1]Sector list'!$A$2:$A$122,MATCH(H298,'[1]Sector list'!$B$2:$B$122,0)),"")</f>
        <v/>
      </c>
      <c r="J298" s="172"/>
    </row>
    <row r="299" spans="9:10" x14ac:dyDescent="0.3">
      <c r="I299" t="str">
        <f>_xlfn.IFNA(INDEX('[1]Sector list'!$A$2:$A$122,MATCH(H299,'[1]Sector list'!$B$2:$B$122,0)),"")</f>
        <v/>
      </c>
      <c r="J299" s="172"/>
    </row>
    <row r="300" spans="9:10" x14ac:dyDescent="0.3">
      <c r="I300" t="str">
        <f>_xlfn.IFNA(INDEX('[1]Sector list'!$A$2:$A$122,MATCH(H300,'[1]Sector list'!$B$2:$B$122,0)),"")</f>
        <v/>
      </c>
      <c r="J300" s="172"/>
    </row>
    <row r="301" spans="9:10" x14ac:dyDescent="0.3">
      <c r="I301" t="str">
        <f>_xlfn.IFNA(INDEX('[1]Sector list'!$A$2:$A$122,MATCH(H301,'[1]Sector list'!$B$2:$B$122,0)),"")</f>
        <v/>
      </c>
      <c r="J301" s="172"/>
    </row>
    <row r="302" spans="9:10" x14ac:dyDescent="0.3">
      <c r="I302" t="str">
        <f>_xlfn.IFNA(INDEX('[1]Sector list'!$A$2:$A$122,MATCH(H302,'[1]Sector list'!$B$2:$B$122,0)),"")</f>
        <v/>
      </c>
      <c r="J302" s="172"/>
    </row>
    <row r="303" spans="9:10" x14ac:dyDescent="0.3">
      <c r="I303" t="str">
        <f>_xlfn.IFNA(INDEX('[1]Sector list'!$A$2:$A$122,MATCH(H303,'[1]Sector list'!$B$2:$B$122,0)),"")</f>
        <v/>
      </c>
      <c r="J303" s="172"/>
    </row>
    <row r="304" spans="9:10" x14ac:dyDescent="0.3">
      <c r="I304" t="str">
        <f>_xlfn.IFNA(INDEX('[1]Sector list'!$A$2:$A$122,MATCH(H304,'[1]Sector list'!$B$2:$B$122,0)),"")</f>
        <v/>
      </c>
      <c r="J304" s="172"/>
    </row>
    <row r="305" spans="9:10" x14ac:dyDescent="0.3">
      <c r="I305" t="str">
        <f>_xlfn.IFNA(INDEX('[1]Sector list'!$A$2:$A$122,MATCH(H305,'[1]Sector list'!$B$2:$B$122,0)),"")</f>
        <v/>
      </c>
      <c r="J305" s="172"/>
    </row>
    <row r="306" spans="9:10" x14ac:dyDescent="0.3">
      <c r="I306" t="str">
        <f>_xlfn.IFNA(INDEX('[1]Sector list'!$A$2:$A$122,MATCH(H306,'[1]Sector list'!$B$2:$B$122,0)),"")</f>
        <v/>
      </c>
      <c r="J306" s="172"/>
    </row>
    <row r="307" spans="9:10" x14ac:dyDescent="0.3">
      <c r="I307" t="str">
        <f>_xlfn.IFNA(INDEX('[1]Sector list'!$A$2:$A$122,MATCH(H307,'[1]Sector list'!$B$2:$B$122,0)),"")</f>
        <v/>
      </c>
      <c r="J307" s="172"/>
    </row>
    <row r="308" spans="9:10" x14ac:dyDescent="0.3">
      <c r="I308" t="str">
        <f>_xlfn.IFNA(INDEX('[1]Sector list'!$A$2:$A$122,MATCH(H308,'[1]Sector list'!$B$2:$B$122,0)),"")</f>
        <v/>
      </c>
      <c r="J308" s="172"/>
    </row>
    <row r="309" spans="9:10" x14ac:dyDescent="0.3">
      <c r="I309" t="str">
        <f>_xlfn.IFNA(INDEX('[1]Sector list'!$A$2:$A$122,MATCH(H309,'[1]Sector list'!$B$2:$B$122,0)),"")</f>
        <v/>
      </c>
      <c r="J309" s="172"/>
    </row>
    <row r="310" spans="9:10" x14ac:dyDescent="0.3">
      <c r="I310" t="str">
        <f>_xlfn.IFNA(INDEX('[1]Sector list'!$A$2:$A$122,MATCH(H310,'[1]Sector list'!$B$2:$B$122,0)),"")</f>
        <v/>
      </c>
      <c r="J310" s="172"/>
    </row>
    <row r="311" spans="9:10" x14ac:dyDescent="0.3">
      <c r="I311" t="str">
        <f>_xlfn.IFNA(INDEX('[1]Sector list'!$A$2:$A$122,MATCH(H311,'[1]Sector list'!$B$2:$B$122,0)),"")</f>
        <v/>
      </c>
      <c r="J311" s="172"/>
    </row>
    <row r="312" spans="9:10" x14ac:dyDescent="0.3">
      <c r="I312" t="str">
        <f>_xlfn.IFNA(INDEX('[1]Sector list'!$A$2:$A$122,MATCH(H312,'[1]Sector list'!$B$2:$B$122,0)),"")</f>
        <v/>
      </c>
      <c r="J312" s="172"/>
    </row>
    <row r="313" spans="9:10" x14ac:dyDescent="0.3">
      <c r="I313" t="str">
        <f>_xlfn.IFNA(INDEX('[1]Sector list'!$A$2:$A$122,MATCH(H313,'[1]Sector list'!$B$2:$B$122,0)),"")</f>
        <v/>
      </c>
      <c r="J313" s="172"/>
    </row>
    <row r="314" spans="9:10" x14ac:dyDescent="0.3">
      <c r="I314" t="str">
        <f>_xlfn.IFNA(INDEX('[1]Sector list'!$A$2:$A$122,MATCH(H314,'[1]Sector list'!$B$2:$B$122,0)),"")</f>
        <v/>
      </c>
      <c r="J314" s="172"/>
    </row>
    <row r="315" spans="9:10" x14ac:dyDescent="0.3">
      <c r="I315" t="str">
        <f>_xlfn.IFNA(INDEX('[1]Sector list'!$A$2:$A$122,MATCH(H315,'[1]Sector list'!$B$2:$B$122,0)),"")</f>
        <v/>
      </c>
      <c r="J315" s="172"/>
    </row>
    <row r="316" spans="9:10" x14ac:dyDescent="0.3">
      <c r="I316" t="str">
        <f>_xlfn.IFNA(INDEX('[1]Sector list'!$A$2:$A$122,MATCH(H316,'[1]Sector list'!$B$2:$B$122,0)),"")</f>
        <v/>
      </c>
      <c r="J316" s="172"/>
    </row>
    <row r="317" spans="9:10" x14ac:dyDescent="0.3">
      <c r="I317" t="str">
        <f>_xlfn.IFNA(INDEX('[1]Sector list'!$A$2:$A$122,MATCH(H317,'[1]Sector list'!$B$2:$B$122,0)),"")</f>
        <v/>
      </c>
      <c r="J317" s="172"/>
    </row>
    <row r="318" spans="9:10" x14ac:dyDescent="0.3">
      <c r="I318" t="str">
        <f>_xlfn.IFNA(INDEX('[1]Sector list'!$A$2:$A$122,MATCH(H318,'[1]Sector list'!$B$2:$B$122,0)),"")</f>
        <v/>
      </c>
      <c r="J318" s="172"/>
    </row>
    <row r="319" spans="9:10" x14ac:dyDescent="0.3">
      <c r="I319" t="str">
        <f>_xlfn.IFNA(INDEX('[1]Sector list'!$A$2:$A$122,MATCH(H319,'[1]Sector list'!$B$2:$B$122,0)),"")</f>
        <v/>
      </c>
      <c r="J319" s="172"/>
    </row>
    <row r="320" spans="9:10" x14ac:dyDescent="0.3">
      <c r="I320" t="str">
        <f>_xlfn.IFNA(INDEX('[1]Sector list'!$A$2:$A$122,MATCH(H320,'[1]Sector list'!$B$2:$B$122,0)),"")</f>
        <v/>
      </c>
      <c r="J320" s="172"/>
    </row>
    <row r="321" spans="9:10" x14ac:dyDescent="0.3">
      <c r="I321" t="str">
        <f>_xlfn.IFNA(INDEX('[1]Sector list'!$A$2:$A$122,MATCH(H321,'[1]Sector list'!$B$2:$B$122,0)),"")</f>
        <v/>
      </c>
      <c r="J321" s="172"/>
    </row>
    <row r="322" spans="9:10" x14ac:dyDescent="0.3">
      <c r="I322" t="str">
        <f>_xlfn.IFNA(INDEX('[1]Sector list'!$A$2:$A$122,MATCH(H322,'[1]Sector list'!$B$2:$B$122,0)),"")</f>
        <v/>
      </c>
      <c r="J322" s="172"/>
    </row>
    <row r="323" spans="9:10" x14ac:dyDescent="0.3">
      <c r="I323" t="str">
        <f>_xlfn.IFNA(INDEX('[1]Sector list'!$A$2:$A$122,MATCH(H323,'[1]Sector list'!$B$2:$B$122,0)),"")</f>
        <v/>
      </c>
      <c r="J323" s="172"/>
    </row>
    <row r="324" spans="9:10" x14ac:dyDescent="0.3">
      <c r="I324" t="str">
        <f>_xlfn.IFNA(INDEX('[1]Sector list'!$A$2:$A$122,MATCH(H324,'[1]Sector list'!$B$2:$B$122,0)),"")</f>
        <v/>
      </c>
      <c r="J324" s="172"/>
    </row>
    <row r="325" spans="9:10" x14ac:dyDescent="0.3">
      <c r="I325" t="str">
        <f>_xlfn.IFNA(INDEX('[1]Sector list'!$A$2:$A$122,MATCH(H325,'[1]Sector list'!$B$2:$B$122,0)),"")</f>
        <v/>
      </c>
      <c r="J325" s="172"/>
    </row>
    <row r="326" spans="9:10" x14ac:dyDescent="0.3">
      <c r="I326" t="str">
        <f>_xlfn.IFNA(INDEX('[1]Sector list'!$A$2:$A$122,MATCH(H326,'[1]Sector list'!$B$2:$B$122,0)),"")</f>
        <v/>
      </c>
      <c r="J326" s="172"/>
    </row>
    <row r="327" spans="9:10" x14ac:dyDescent="0.3">
      <c r="I327" t="str">
        <f>_xlfn.IFNA(INDEX('[1]Sector list'!$A$2:$A$122,MATCH(H327,'[1]Sector list'!$B$2:$B$122,0)),"")</f>
        <v/>
      </c>
      <c r="J327" s="172"/>
    </row>
    <row r="328" spans="9:10" x14ac:dyDescent="0.3">
      <c r="I328" t="str">
        <f>_xlfn.IFNA(INDEX('[1]Sector list'!$A$2:$A$122,MATCH(H328,'[1]Sector list'!$B$2:$B$122,0)),"")</f>
        <v/>
      </c>
      <c r="J328" s="172"/>
    </row>
    <row r="329" spans="9:10" x14ac:dyDescent="0.3">
      <c r="I329" t="str">
        <f>_xlfn.IFNA(INDEX('[1]Sector list'!$A$2:$A$122,MATCH(H329,'[1]Sector list'!$B$2:$B$122,0)),"")</f>
        <v/>
      </c>
      <c r="J329" s="172"/>
    </row>
    <row r="330" spans="9:10" x14ac:dyDescent="0.3">
      <c r="I330" t="str">
        <f>_xlfn.IFNA(INDEX('[1]Sector list'!$A$2:$A$122,MATCH(H330,'[1]Sector list'!$B$2:$B$122,0)),"")</f>
        <v/>
      </c>
      <c r="J330" s="172"/>
    </row>
    <row r="331" spans="9:10" x14ac:dyDescent="0.3">
      <c r="I331" t="str">
        <f>_xlfn.IFNA(INDEX('[1]Sector list'!$A$2:$A$122,MATCH(H331,'[1]Sector list'!$B$2:$B$122,0)),"")</f>
        <v/>
      </c>
      <c r="J331" s="172"/>
    </row>
    <row r="332" spans="9:10" x14ac:dyDescent="0.3">
      <c r="I332" t="str">
        <f>_xlfn.IFNA(INDEX('[1]Sector list'!$A$2:$A$122,MATCH(H332,'[1]Sector list'!$B$2:$B$122,0)),"")</f>
        <v/>
      </c>
      <c r="J332" s="172"/>
    </row>
    <row r="333" spans="9:10" x14ac:dyDescent="0.3">
      <c r="I333" t="str">
        <f>_xlfn.IFNA(INDEX('[1]Sector list'!$A$2:$A$122,MATCH(H333,'[1]Sector list'!$B$2:$B$122,0)),"")</f>
        <v/>
      </c>
      <c r="J333" s="172"/>
    </row>
    <row r="334" spans="9:10" x14ac:dyDescent="0.3">
      <c r="I334" t="str">
        <f>_xlfn.IFNA(INDEX('[1]Sector list'!$A$2:$A$122,MATCH(H334,'[1]Sector list'!$B$2:$B$122,0)),"")</f>
        <v/>
      </c>
      <c r="J334" s="172"/>
    </row>
    <row r="335" spans="9:10" x14ac:dyDescent="0.3">
      <c r="I335" t="str">
        <f>_xlfn.IFNA(INDEX('[1]Sector list'!$A$2:$A$122,MATCH(H335,'[1]Sector list'!$B$2:$B$122,0)),"")</f>
        <v/>
      </c>
      <c r="J335" s="172"/>
    </row>
    <row r="336" spans="9:10" x14ac:dyDescent="0.3">
      <c r="I336" t="str">
        <f>_xlfn.IFNA(INDEX('[1]Sector list'!$A$2:$A$122,MATCH(H336,'[1]Sector list'!$B$2:$B$122,0)),"")</f>
        <v/>
      </c>
      <c r="J336" s="172"/>
    </row>
    <row r="337" spans="9:10" x14ac:dyDescent="0.3">
      <c r="I337" t="str">
        <f>_xlfn.IFNA(INDEX('[1]Sector list'!$A$2:$A$122,MATCH(H337,'[1]Sector list'!$B$2:$B$122,0)),"")</f>
        <v/>
      </c>
      <c r="J337" s="172"/>
    </row>
    <row r="338" spans="9:10" x14ac:dyDescent="0.3">
      <c r="I338" t="str">
        <f>_xlfn.IFNA(INDEX('[1]Sector list'!$A$2:$A$122,MATCH(H338,'[1]Sector list'!$B$2:$B$122,0)),"")</f>
        <v/>
      </c>
      <c r="J338" s="172"/>
    </row>
    <row r="339" spans="9:10" x14ac:dyDescent="0.3">
      <c r="I339" t="str">
        <f>_xlfn.IFNA(INDEX('[1]Sector list'!$A$2:$A$122,MATCH(H339,'[1]Sector list'!$B$2:$B$122,0)),"")</f>
        <v/>
      </c>
      <c r="J339" s="172"/>
    </row>
    <row r="340" spans="9:10" x14ac:dyDescent="0.3">
      <c r="I340" t="str">
        <f>_xlfn.IFNA(INDEX('[1]Sector list'!$A$2:$A$122,MATCH(H340,'[1]Sector list'!$B$2:$B$122,0)),"")</f>
        <v/>
      </c>
      <c r="J340" s="172"/>
    </row>
    <row r="341" spans="9:10" x14ac:dyDescent="0.3">
      <c r="I341" t="str">
        <f>_xlfn.IFNA(INDEX('[1]Sector list'!$A$2:$A$122,MATCH(H341,'[1]Sector list'!$B$2:$B$122,0)),"")</f>
        <v/>
      </c>
      <c r="J341" s="172"/>
    </row>
    <row r="342" spans="9:10" x14ac:dyDescent="0.3">
      <c r="I342" t="str">
        <f>_xlfn.IFNA(INDEX('[1]Sector list'!$A$2:$A$122,MATCH(H342,'[1]Sector list'!$B$2:$B$122,0)),"")</f>
        <v/>
      </c>
      <c r="J342" s="172"/>
    </row>
    <row r="343" spans="9:10" x14ac:dyDescent="0.3">
      <c r="I343" t="str">
        <f>_xlfn.IFNA(INDEX('[1]Sector list'!$A$2:$A$122,MATCH(H343,'[1]Sector list'!$B$2:$B$122,0)),"")</f>
        <v/>
      </c>
      <c r="J343" s="172"/>
    </row>
    <row r="344" spans="9:10" x14ac:dyDescent="0.3">
      <c r="I344" t="str">
        <f>_xlfn.IFNA(INDEX('[1]Sector list'!$A$2:$A$122,MATCH(H344,'[1]Sector list'!$B$2:$B$122,0)),"")</f>
        <v/>
      </c>
      <c r="J344" s="172"/>
    </row>
    <row r="345" spans="9:10" x14ac:dyDescent="0.3">
      <c r="I345" t="str">
        <f>_xlfn.IFNA(INDEX('[1]Sector list'!$A$2:$A$122,MATCH(H345,'[1]Sector list'!$B$2:$B$122,0)),"")</f>
        <v/>
      </c>
      <c r="J345" s="172"/>
    </row>
    <row r="346" spans="9:10" x14ac:dyDescent="0.3">
      <c r="I346" t="str">
        <f>_xlfn.IFNA(INDEX('[1]Sector list'!$A$2:$A$122,MATCH(H346,'[1]Sector list'!$B$2:$B$122,0)),"")</f>
        <v/>
      </c>
      <c r="J346" s="172"/>
    </row>
    <row r="347" spans="9:10" x14ac:dyDescent="0.3">
      <c r="I347" t="str">
        <f>_xlfn.IFNA(INDEX('[1]Sector list'!$A$2:$A$122,MATCH(H347,'[1]Sector list'!$B$2:$B$122,0)),"")</f>
        <v/>
      </c>
      <c r="J347" s="172"/>
    </row>
    <row r="348" spans="9:10" x14ac:dyDescent="0.3">
      <c r="I348" t="str">
        <f>_xlfn.IFNA(INDEX('[1]Sector list'!$A$2:$A$122,MATCH(H348,'[1]Sector list'!$B$2:$B$122,0)),"")</f>
        <v/>
      </c>
      <c r="J348" s="172"/>
    </row>
    <row r="349" spans="9:10" x14ac:dyDescent="0.3">
      <c r="I349" t="str">
        <f>_xlfn.IFNA(INDEX('[1]Sector list'!$A$2:$A$122,MATCH(H349,'[1]Sector list'!$B$2:$B$122,0)),"")</f>
        <v/>
      </c>
      <c r="J349" s="172"/>
    </row>
    <row r="350" spans="9:10" x14ac:dyDescent="0.3">
      <c r="I350" t="str">
        <f>_xlfn.IFNA(INDEX('[1]Sector list'!$A$2:$A$122,MATCH(H350,'[1]Sector list'!$B$2:$B$122,0)),"")</f>
        <v/>
      </c>
      <c r="J350" s="172"/>
    </row>
    <row r="351" spans="9:10" x14ac:dyDescent="0.3">
      <c r="I351" t="str">
        <f>_xlfn.IFNA(INDEX('[1]Sector list'!$A$2:$A$122,MATCH(H351,'[1]Sector list'!$B$2:$B$122,0)),"")</f>
        <v/>
      </c>
      <c r="J351" s="172"/>
    </row>
    <row r="352" spans="9:10" x14ac:dyDescent="0.3">
      <c r="I352" t="str">
        <f>_xlfn.IFNA(INDEX('[1]Sector list'!$A$2:$A$122,MATCH(H352,'[1]Sector list'!$B$2:$B$122,0)),"")</f>
        <v/>
      </c>
      <c r="J352" s="172"/>
    </row>
    <row r="353" spans="9:10" x14ac:dyDescent="0.3">
      <c r="I353" t="str">
        <f>_xlfn.IFNA(INDEX('[1]Sector list'!$A$2:$A$122,MATCH(H353,'[1]Sector list'!$B$2:$B$122,0)),"")</f>
        <v/>
      </c>
      <c r="J353" s="172"/>
    </row>
    <row r="354" spans="9:10" x14ac:dyDescent="0.3">
      <c r="I354" t="str">
        <f>_xlfn.IFNA(INDEX('[1]Sector list'!$A$2:$A$122,MATCH(H354,'[1]Sector list'!$B$2:$B$122,0)),"")</f>
        <v/>
      </c>
      <c r="J354" s="172"/>
    </row>
    <row r="355" spans="9:10" x14ac:dyDescent="0.3">
      <c r="I355" t="str">
        <f>_xlfn.IFNA(INDEX('[1]Sector list'!$A$2:$A$122,MATCH(H355,'[1]Sector list'!$B$2:$B$122,0)),"")</f>
        <v/>
      </c>
      <c r="J355" s="172"/>
    </row>
    <row r="356" spans="9:10" x14ac:dyDescent="0.3">
      <c r="I356" t="str">
        <f>_xlfn.IFNA(INDEX('[1]Sector list'!$A$2:$A$122,MATCH(H356,'[1]Sector list'!$B$2:$B$122,0)),"")</f>
        <v/>
      </c>
      <c r="J356" s="172"/>
    </row>
    <row r="357" spans="9:10" x14ac:dyDescent="0.3">
      <c r="I357" t="str">
        <f>_xlfn.IFNA(INDEX('[1]Sector list'!$A$2:$A$122,MATCH(H357,'[1]Sector list'!$B$2:$B$122,0)),"")</f>
        <v/>
      </c>
      <c r="J357" s="172"/>
    </row>
    <row r="358" spans="9:10" x14ac:dyDescent="0.3">
      <c r="I358" t="str">
        <f>_xlfn.IFNA(INDEX('[1]Sector list'!$A$2:$A$122,MATCH(H358,'[1]Sector list'!$B$2:$B$122,0)),"")</f>
        <v/>
      </c>
      <c r="J358" s="172"/>
    </row>
    <row r="359" spans="9:10" x14ac:dyDescent="0.3">
      <c r="I359" t="str">
        <f>_xlfn.IFNA(INDEX('[1]Sector list'!$A$2:$A$122,MATCH(H359,'[1]Sector list'!$B$2:$B$122,0)),"")</f>
        <v/>
      </c>
      <c r="J359" s="172"/>
    </row>
    <row r="360" spans="9:10" x14ac:dyDescent="0.3">
      <c r="I360" t="str">
        <f>_xlfn.IFNA(INDEX('[1]Sector list'!$A$2:$A$122,MATCH(H360,'[1]Sector list'!$B$2:$B$122,0)),"")</f>
        <v/>
      </c>
      <c r="J360" s="172"/>
    </row>
    <row r="361" spans="9:10" x14ac:dyDescent="0.3">
      <c r="I361" t="str">
        <f>_xlfn.IFNA(INDEX('[1]Sector list'!$A$2:$A$122,MATCH(H361,'[1]Sector list'!$B$2:$B$122,0)),"")</f>
        <v/>
      </c>
      <c r="J361" s="172"/>
    </row>
    <row r="362" spans="9:10" x14ac:dyDescent="0.3">
      <c r="I362" t="str">
        <f>_xlfn.IFNA(INDEX('[1]Sector list'!$A$2:$A$122,MATCH(H362,'[1]Sector list'!$B$2:$B$122,0)),"")</f>
        <v/>
      </c>
      <c r="J362" s="172"/>
    </row>
    <row r="363" spans="9:10" x14ac:dyDescent="0.3">
      <c r="I363" t="str">
        <f>_xlfn.IFNA(INDEX('[1]Sector list'!$A$2:$A$122,MATCH(H363,'[1]Sector list'!$B$2:$B$122,0)),"")</f>
        <v/>
      </c>
      <c r="J363" s="172"/>
    </row>
    <row r="364" spans="9:10" x14ac:dyDescent="0.3">
      <c r="I364" t="str">
        <f>_xlfn.IFNA(INDEX('[1]Sector list'!$A$2:$A$122,MATCH(H364,'[1]Sector list'!$B$2:$B$122,0)),"")</f>
        <v/>
      </c>
      <c r="J364" s="172"/>
    </row>
    <row r="365" spans="9:10" x14ac:dyDescent="0.3">
      <c r="I365" t="str">
        <f>_xlfn.IFNA(INDEX('[1]Sector list'!$A$2:$A$122,MATCH(H365,'[1]Sector list'!$B$2:$B$122,0)),"")</f>
        <v/>
      </c>
      <c r="J365" s="172"/>
    </row>
    <row r="366" spans="9:10" x14ac:dyDescent="0.3">
      <c r="I366" t="str">
        <f>_xlfn.IFNA(INDEX('[1]Sector list'!$A$2:$A$122,MATCH(H366,'[1]Sector list'!$B$2:$B$122,0)),"")</f>
        <v/>
      </c>
      <c r="J366" s="172"/>
    </row>
    <row r="367" spans="9:10" x14ac:dyDescent="0.3">
      <c r="I367" t="str">
        <f>_xlfn.IFNA(INDEX('[1]Sector list'!$A$2:$A$122,MATCH(H367,'[1]Sector list'!$B$2:$B$122,0)),"")</f>
        <v/>
      </c>
      <c r="J367" s="172"/>
    </row>
    <row r="368" spans="9:10" x14ac:dyDescent="0.3">
      <c r="I368" t="str">
        <f>_xlfn.IFNA(INDEX('[1]Sector list'!$A$2:$A$122,MATCH(H368,'[1]Sector list'!$B$2:$B$122,0)),"")</f>
        <v/>
      </c>
      <c r="J368" s="172"/>
    </row>
    <row r="369" spans="9:10" x14ac:dyDescent="0.3">
      <c r="I369" t="str">
        <f>_xlfn.IFNA(INDEX('[1]Sector list'!$A$2:$A$122,MATCH(H369,'[1]Sector list'!$B$2:$B$122,0)),"")</f>
        <v/>
      </c>
      <c r="J369" s="172"/>
    </row>
    <row r="370" spans="9:10" x14ac:dyDescent="0.3">
      <c r="I370" t="str">
        <f>_xlfn.IFNA(INDEX('[1]Sector list'!$A$2:$A$122,MATCH(H370,'[1]Sector list'!$B$2:$B$122,0)),"")</f>
        <v/>
      </c>
      <c r="J370" s="172"/>
    </row>
    <row r="371" spans="9:10" x14ac:dyDescent="0.3">
      <c r="I371" t="str">
        <f>_xlfn.IFNA(INDEX('[1]Sector list'!$A$2:$A$122,MATCH(H371,'[1]Sector list'!$B$2:$B$122,0)),"")</f>
        <v/>
      </c>
      <c r="J371" s="172"/>
    </row>
    <row r="372" spans="9:10" x14ac:dyDescent="0.3">
      <c r="I372" t="str">
        <f>_xlfn.IFNA(INDEX('[1]Sector list'!$A$2:$A$122,MATCH(H372,'[1]Sector list'!$B$2:$B$122,0)),"")</f>
        <v/>
      </c>
      <c r="J372" s="172"/>
    </row>
    <row r="373" spans="9:10" x14ac:dyDescent="0.3">
      <c r="I373" t="str">
        <f>_xlfn.IFNA(INDEX('[1]Sector list'!$A$2:$A$122,MATCH(H373,'[1]Sector list'!$B$2:$B$122,0)),"")</f>
        <v/>
      </c>
      <c r="J373" s="172"/>
    </row>
    <row r="374" spans="9:10" x14ac:dyDescent="0.3">
      <c r="I374" t="str">
        <f>_xlfn.IFNA(INDEX('[1]Sector list'!$A$2:$A$122,MATCH(H374,'[1]Sector list'!$B$2:$B$122,0)),"")</f>
        <v/>
      </c>
      <c r="J374" s="172"/>
    </row>
    <row r="375" spans="9:10" x14ac:dyDescent="0.3">
      <c r="I375" t="str">
        <f>_xlfn.IFNA(INDEX('[1]Sector list'!$A$2:$A$122,MATCH(H375,'[1]Sector list'!$B$2:$B$122,0)),"")</f>
        <v/>
      </c>
      <c r="J375" s="172"/>
    </row>
    <row r="376" spans="9:10" x14ac:dyDescent="0.3">
      <c r="I376" t="str">
        <f>_xlfn.IFNA(INDEX('[1]Sector list'!$A$2:$A$122,MATCH(H376,'[1]Sector list'!$B$2:$B$122,0)),"")</f>
        <v/>
      </c>
      <c r="J376" s="172"/>
    </row>
    <row r="377" spans="9:10" x14ac:dyDescent="0.3">
      <c r="I377" t="str">
        <f>_xlfn.IFNA(INDEX('[1]Sector list'!$A$2:$A$122,MATCH(H377,'[1]Sector list'!$B$2:$B$122,0)),"")</f>
        <v/>
      </c>
      <c r="J377" s="172"/>
    </row>
    <row r="378" spans="9:10" x14ac:dyDescent="0.3">
      <c r="I378" t="str">
        <f>_xlfn.IFNA(INDEX('[1]Sector list'!$A$2:$A$122,MATCH(H378,'[1]Sector list'!$B$2:$B$122,0)),"")</f>
        <v/>
      </c>
      <c r="J378" s="172"/>
    </row>
    <row r="379" spans="9:10" x14ac:dyDescent="0.3">
      <c r="I379" t="str">
        <f>_xlfn.IFNA(INDEX('[1]Sector list'!$A$2:$A$122,MATCH(H379,'[1]Sector list'!$B$2:$B$122,0)),"")</f>
        <v/>
      </c>
      <c r="J379" s="172"/>
    </row>
    <row r="380" spans="9:10" x14ac:dyDescent="0.3">
      <c r="I380" t="str">
        <f>_xlfn.IFNA(INDEX('[1]Sector list'!$A$2:$A$122,MATCH(H380,'[1]Sector list'!$B$2:$B$122,0)),"")</f>
        <v/>
      </c>
      <c r="J380" s="172"/>
    </row>
    <row r="381" spans="9:10" x14ac:dyDescent="0.3">
      <c r="I381" t="str">
        <f>_xlfn.IFNA(INDEX('[1]Sector list'!$A$2:$A$122,MATCH(H381,'[1]Sector list'!$B$2:$B$122,0)),"")</f>
        <v/>
      </c>
      <c r="J381" s="172"/>
    </row>
    <row r="382" spans="9:10" x14ac:dyDescent="0.3">
      <c r="I382" t="str">
        <f>_xlfn.IFNA(INDEX('[1]Sector list'!$A$2:$A$122,MATCH(H382,'[1]Sector list'!$B$2:$B$122,0)),"")</f>
        <v/>
      </c>
      <c r="J382" s="172"/>
    </row>
    <row r="383" spans="9:10" x14ac:dyDescent="0.3">
      <c r="I383" t="str">
        <f>_xlfn.IFNA(INDEX('[1]Sector list'!$A$2:$A$122,MATCH(H383,'[1]Sector list'!$B$2:$B$122,0)),"")</f>
        <v/>
      </c>
      <c r="J383" s="172"/>
    </row>
    <row r="384" spans="9:10" x14ac:dyDescent="0.3">
      <c r="I384" t="str">
        <f>_xlfn.IFNA(INDEX('[1]Sector list'!$A$2:$A$122,MATCH(H384,'[1]Sector list'!$B$2:$B$122,0)),"")</f>
        <v/>
      </c>
      <c r="J384" s="172"/>
    </row>
    <row r="385" spans="9:10" x14ac:dyDescent="0.3">
      <c r="I385" t="str">
        <f>_xlfn.IFNA(INDEX('[1]Sector list'!$A$2:$A$122,MATCH(H385,'[1]Sector list'!$B$2:$B$122,0)),"")</f>
        <v/>
      </c>
      <c r="J385" s="172"/>
    </row>
    <row r="386" spans="9:10" x14ac:dyDescent="0.3">
      <c r="I386" t="str">
        <f>_xlfn.IFNA(INDEX('[1]Sector list'!$A$2:$A$122,MATCH(H386,'[1]Sector list'!$B$2:$B$122,0)),"")</f>
        <v/>
      </c>
      <c r="J386" s="172"/>
    </row>
    <row r="387" spans="9:10" x14ac:dyDescent="0.3">
      <c r="I387" t="str">
        <f>_xlfn.IFNA(INDEX('[1]Sector list'!$A$2:$A$122,MATCH(H387,'[1]Sector list'!$B$2:$B$122,0)),"")</f>
        <v/>
      </c>
      <c r="J387" s="172"/>
    </row>
    <row r="388" spans="9:10" x14ac:dyDescent="0.3">
      <c r="I388" t="str">
        <f>_xlfn.IFNA(INDEX('[1]Sector list'!$A$2:$A$122,MATCH(H388,'[1]Sector list'!$B$2:$B$122,0)),"")</f>
        <v/>
      </c>
      <c r="J388" s="172"/>
    </row>
    <row r="389" spans="9:10" x14ac:dyDescent="0.3">
      <c r="I389" t="str">
        <f>_xlfn.IFNA(INDEX('[1]Sector list'!$A$2:$A$122,MATCH(H389,'[1]Sector list'!$B$2:$B$122,0)),"")</f>
        <v/>
      </c>
      <c r="J389" s="172"/>
    </row>
    <row r="390" spans="9:10" x14ac:dyDescent="0.3">
      <c r="I390" t="str">
        <f>_xlfn.IFNA(INDEX('[1]Sector list'!$A$2:$A$122,MATCH(H390,'[1]Sector list'!$B$2:$B$122,0)),"")</f>
        <v/>
      </c>
      <c r="J390" s="172"/>
    </row>
    <row r="391" spans="9:10" x14ac:dyDescent="0.3">
      <c r="I391" t="str">
        <f>_xlfn.IFNA(INDEX('[1]Sector list'!$A$2:$A$122,MATCH(H391,'[1]Sector list'!$B$2:$B$122,0)),"")</f>
        <v/>
      </c>
      <c r="J391" s="172"/>
    </row>
    <row r="392" spans="9:10" x14ac:dyDescent="0.3">
      <c r="I392" t="str">
        <f>_xlfn.IFNA(INDEX('[1]Sector list'!$A$2:$A$122,MATCH(H392,'[1]Sector list'!$B$2:$B$122,0)),"")</f>
        <v/>
      </c>
      <c r="J392" s="172"/>
    </row>
    <row r="393" spans="9:10" x14ac:dyDescent="0.3">
      <c r="I393" t="str">
        <f>_xlfn.IFNA(INDEX('[1]Sector list'!$A$2:$A$122,MATCH(H393,'[1]Sector list'!$B$2:$B$122,0)),"")</f>
        <v/>
      </c>
      <c r="J393" s="172"/>
    </row>
    <row r="394" spans="9:10" x14ac:dyDescent="0.3">
      <c r="I394" t="str">
        <f>_xlfn.IFNA(INDEX('[1]Sector list'!$A$2:$A$122,MATCH(H394,'[1]Sector list'!$B$2:$B$122,0)),"")</f>
        <v/>
      </c>
      <c r="J394" s="172"/>
    </row>
    <row r="395" spans="9:10" x14ac:dyDescent="0.3">
      <c r="I395" t="str">
        <f>_xlfn.IFNA(INDEX('[1]Sector list'!$A$2:$A$122,MATCH(H395,'[1]Sector list'!$B$2:$B$122,0)),"")</f>
        <v/>
      </c>
      <c r="J395" s="172"/>
    </row>
    <row r="396" spans="9:10" x14ac:dyDescent="0.3">
      <c r="I396" t="str">
        <f>_xlfn.IFNA(INDEX('[1]Sector list'!$A$2:$A$122,MATCH(H396,'[1]Sector list'!$B$2:$B$122,0)),"")</f>
        <v/>
      </c>
      <c r="J396" s="172"/>
    </row>
    <row r="397" spans="9:10" x14ac:dyDescent="0.3">
      <c r="I397" t="str">
        <f>_xlfn.IFNA(INDEX('[1]Sector list'!$A$2:$A$122,MATCH(H397,'[1]Sector list'!$B$2:$B$122,0)),"")</f>
        <v/>
      </c>
      <c r="J397" s="172"/>
    </row>
    <row r="398" spans="9:10" x14ac:dyDescent="0.3">
      <c r="I398" t="str">
        <f>_xlfn.IFNA(INDEX('[1]Sector list'!$A$2:$A$122,MATCH(H398,'[1]Sector list'!$B$2:$B$122,0)),"")</f>
        <v/>
      </c>
      <c r="J398" s="172"/>
    </row>
    <row r="399" spans="9:10" x14ac:dyDescent="0.3">
      <c r="I399" t="str">
        <f>_xlfn.IFNA(INDEX('[1]Sector list'!$A$2:$A$122,MATCH(H399,'[1]Sector list'!$B$2:$B$122,0)),"")</f>
        <v/>
      </c>
      <c r="J399" s="172"/>
    </row>
    <row r="400" spans="9:10" x14ac:dyDescent="0.3">
      <c r="I400" t="str">
        <f>_xlfn.IFNA(INDEX('[1]Sector list'!$A$2:$A$122,MATCH(H400,'[1]Sector list'!$B$2:$B$122,0)),"")</f>
        <v/>
      </c>
      <c r="J400" s="172"/>
    </row>
    <row r="401" spans="9:10" x14ac:dyDescent="0.3">
      <c r="I401" t="str">
        <f>_xlfn.IFNA(INDEX('[1]Sector list'!$A$2:$A$122,MATCH(H401,'[1]Sector list'!$B$2:$B$122,0)),"")</f>
        <v/>
      </c>
      <c r="J401" s="172"/>
    </row>
    <row r="402" spans="9:10" x14ac:dyDescent="0.3">
      <c r="I402" t="str">
        <f>_xlfn.IFNA(INDEX('[1]Sector list'!$A$2:$A$122,MATCH(H402,'[1]Sector list'!$B$2:$B$122,0)),"")</f>
        <v/>
      </c>
      <c r="J402" s="172"/>
    </row>
    <row r="403" spans="9:10" x14ac:dyDescent="0.3">
      <c r="I403" t="str">
        <f>_xlfn.IFNA(INDEX('[1]Sector list'!$A$2:$A$122,MATCH(H403,'[1]Sector list'!$B$2:$B$122,0)),"")</f>
        <v/>
      </c>
      <c r="J403" s="172"/>
    </row>
    <row r="404" spans="9:10" x14ac:dyDescent="0.3">
      <c r="I404" t="str">
        <f>_xlfn.IFNA(INDEX('[1]Sector list'!$A$2:$A$122,MATCH(H404,'[1]Sector list'!$B$2:$B$122,0)),"")</f>
        <v/>
      </c>
      <c r="J404" s="172"/>
    </row>
    <row r="405" spans="9:10" x14ac:dyDescent="0.3">
      <c r="I405" t="str">
        <f>_xlfn.IFNA(INDEX('[1]Sector list'!$A$2:$A$122,MATCH(H405,'[1]Sector list'!$B$2:$B$122,0)),"")</f>
        <v/>
      </c>
      <c r="J405" s="172"/>
    </row>
    <row r="406" spans="9:10" x14ac:dyDescent="0.3">
      <c r="I406" t="str">
        <f>_xlfn.IFNA(INDEX('[1]Sector list'!$A$2:$A$122,MATCH(H406,'[1]Sector list'!$B$2:$B$122,0)),"")</f>
        <v/>
      </c>
      <c r="J406" s="172"/>
    </row>
    <row r="407" spans="9:10" x14ac:dyDescent="0.3">
      <c r="I407" t="str">
        <f>_xlfn.IFNA(INDEX('[1]Sector list'!$A$2:$A$122,MATCH(H407,'[1]Sector list'!$B$2:$B$122,0)),"")</f>
        <v/>
      </c>
      <c r="J407" s="172"/>
    </row>
    <row r="408" spans="9:10" x14ac:dyDescent="0.3">
      <c r="I408" t="str">
        <f>_xlfn.IFNA(INDEX('[1]Sector list'!$A$2:$A$122,MATCH(H408,'[1]Sector list'!$B$2:$B$122,0)),"")</f>
        <v/>
      </c>
      <c r="J408" s="172"/>
    </row>
    <row r="409" spans="9:10" x14ac:dyDescent="0.3">
      <c r="I409" t="str">
        <f>_xlfn.IFNA(INDEX('[1]Sector list'!$A$2:$A$122,MATCH(H409,'[1]Sector list'!$B$2:$B$122,0)),"")</f>
        <v/>
      </c>
      <c r="J409" s="172"/>
    </row>
    <row r="410" spans="9:10" x14ac:dyDescent="0.3">
      <c r="I410" t="str">
        <f>_xlfn.IFNA(INDEX('[1]Sector list'!$A$2:$A$122,MATCH(H410,'[1]Sector list'!$B$2:$B$122,0)),"")</f>
        <v/>
      </c>
      <c r="J410" s="172"/>
    </row>
    <row r="411" spans="9:10" x14ac:dyDescent="0.3">
      <c r="I411" t="str">
        <f>_xlfn.IFNA(INDEX('[1]Sector list'!$A$2:$A$122,MATCH(H411,'[1]Sector list'!$B$2:$B$122,0)),"")</f>
        <v/>
      </c>
      <c r="J411" s="172"/>
    </row>
    <row r="412" spans="9:10" x14ac:dyDescent="0.3">
      <c r="I412" t="str">
        <f>_xlfn.IFNA(INDEX('[1]Sector list'!$A$2:$A$122,MATCH(H412,'[1]Sector list'!$B$2:$B$122,0)),"")</f>
        <v/>
      </c>
      <c r="J412" s="172"/>
    </row>
    <row r="413" spans="9:10" x14ac:dyDescent="0.3">
      <c r="I413" t="str">
        <f>_xlfn.IFNA(INDEX('[1]Sector list'!$A$2:$A$122,MATCH(H413,'[1]Sector list'!$B$2:$B$122,0)),"")</f>
        <v/>
      </c>
      <c r="J413" s="172"/>
    </row>
    <row r="414" spans="9:10" x14ac:dyDescent="0.3">
      <c r="I414" t="str">
        <f>_xlfn.IFNA(INDEX('[1]Sector list'!$A$2:$A$122,MATCH(H414,'[1]Sector list'!$B$2:$B$122,0)),"")</f>
        <v/>
      </c>
      <c r="J414" s="172"/>
    </row>
    <row r="415" spans="9:10" x14ac:dyDescent="0.3">
      <c r="I415" t="str">
        <f>_xlfn.IFNA(INDEX('[1]Sector list'!$A$2:$A$122,MATCH(H415,'[1]Sector list'!$B$2:$B$122,0)),"")</f>
        <v/>
      </c>
      <c r="J415" s="172"/>
    </row>
    <row r="416" spans="9:10" x14ac:dyDescent="0.3">
      <c r="I416" t="str">
        <f>_xlfn.IFNA(INDEX('[1]Sector list'!$A$2:$A$122,MATCH(H416,'[1]Sector list'!$B$2:$B$122,0)),"")</f>
        <v/>
      </c>
      <c r="J416" s="172"/>
    </row>
    <row r="417" spans="9:10" x14ac:dyDescent="0.3">
      <c r="I417" t="str">
        <f>_xlfn.IFNA(INDEX('[1]Sector list'!$A$2:$A$122,MATCH(H417,'[1]Sector list'!$B$2:$B$122,0)),"")</f>
        <v/>
      </c>
      <c r="J417" s="172"/>
    </row>
    <row r="418" spans="9:10" x14ac:dyDescent="0.3">
      <c r="I418" t="str">
        <f>_xlfn.IFNA(INDEX('[1]Sector list'!$A$2:$A$122,MATCH(H418,'[1]Sector list'!$B$2:$B$122,0)),"")</f>
        <v/>
      </c>
      <c r="J418" s="172"/>
    </row>
    <row r="419" spans="9:10" x14ac:dyDescent="0.3">
      <c r="I419" t="str">
        <f>_xlfn.IFNA(INDEX('[1]Sector list'!$A$2:$A$122,MATCH(H419,'[1]Sector list'!$B$2:$B$122,0)),"")</f>
        <v/>
      </c>
      <c r="J419" s="172"/>
    </row>
    <row r="420" spans="9:10" x14ac:dyDescent="0.3">
      <c r="I420" t="str">
        <f>_xlfn.IFNA(INDEX('[1]Sector list'!$A$2:$A$122,MATCH(H420,'[1]Sector list'!$B$2:$B$122,0)),"")</f>
        <v/>
      </c>
      <c r="J420" s="172"/>
    </row>
    <row r="421" spans="9:10" x14ac:dyDescent="0.3">
      <c r="I421" t="str">
        <f>_xlfn.IFNA(INDEX('[1]Sector list'!$A$2:$A$122,MATCH(H421,'[1]Sector list'!$B$2:$B$122,0)),"")</f>
        <v/>
      </c>
      <c r="J421" s="172"/>
    </row>
    <row r="422" spans="9:10" x14ac:dyDescent="0.3">
      <c r="I422" t="str">
        <f>_xlfn.IFNA(INDEX('[1]Sector list'!$A$2:$A$122,MATCH(H422,'[1]Sector list'!$B$2:$B$122,0)),"")</f>
        <v/>
      </c>
      <c r="J422" s="172"/>
    </row>
    <row r="423" spans="9:10" x14ac:dyDescent="0.3">
      <c r="I423" t="str">
        <f>_xlfn.IFNA(INDEX('[1]Sector list'!$A$2:$A$122,MATCH(H423,'[1]Sector list'!$B$2:$B$122,0)),"")</f>
        <v/>
      </c>
      <c r="J423" s="172"/>
    </row>
    <row r="424" spans="9:10" x14ac:dyDescent="0.3">
      <c r="I424" t="str">
        <f>_xlfn.IFNA(INDEX('[1]Sector list'!$A$2:$A$122,MATCH(H424,'[1]Sector list'!$B$2:$B$122,0)),"")</f>
        <v/>
      </c>
      <c r="J424" s="172"/>
    </row>
    <row r="425" spans="9:10" x14ac:dyDescent="0.3">
      <c r="I425" t="str">
        <f>_xlfn.IFNA(INDEX('[1]Sector list'!$A$2:$A$122,MATCH(H425,'[1]Sector list'!$B$2:$B$122,0)),"")</f>
        <v/>
      </c>
      <c r="J425" s="172"/>
    </row>
    <row r="426" spans="9:10" x14ac:dyDescent="0.3">
      <c r="I426" t="str">
        <f>_xlfn.IFNA(INDEX('[1]Sector list'!$A$2:$A$122,MATCH(H426,'[1]Sector list'!$B$2:$B$122,0)),"")</f>
        <v/>
      </c>
      <c r="J426" s="172"/>
    </row>
    <row r="427" spans="9:10" x14ac:dyDescent="0.3">
      <c r="I427" t="str">
        <f>_xlfn.IFNA(INDEX('[1]Sector list'!$A$2:$A$122,MATCH(H427,'[1]Sector list'!$B$2:$B$122,0)),"")</f>
        <v/>
      </c>
      <c r="J427" s="172"/>
    </row>
    <row r="428" spans="9:10" x14ac:dyDescent="0.3">
      <c r="I428" t="str">
        <f>_xlfn.IFNA(INDEX('[1]Sector list'!$A$2:$A$122,MATCH(H428,'[1]Sector list'!$B$2:$B$122,0)),"")</f>
        <v/>
      </c>
      <c r="J428" s="172"/>
    </row>
    <row r="429" spans="9:10" x14ac:dyDescent="0.3">
      <c r="I429" t="str">
        <f>_xlfn.IFNA(INDEX('[1]Sector list'!$A$2:$A$122,MATCH(H429,'[1]Sector list'!$B$2:$B$122,0)),"")</f>
        <v/>
      </c>
      <c r="J429" s="172"/>
    </row>
    <row r="430" spans="9:10" x14ac:dyDescent="0.3">
      <c r="I430" t="str">
        <f>_xlfn.IFNA(INDEX('[1]Sector list'!$A$2:$A$122,MATCH(H430,'[1]Sector list'!$B$2:$B$122,0)),"")</f>
        <v/>
      </c>
      <c r="J430" s="172"/>
    </row>
    <row r="431" spans="9:10" x14ac:dyDescent="0.3">
      <c r="I431" t="str">
        <f>_xlfn.IFNA(INDEX('[1]Sector list'!$A$2:$A$122,MATCH(H431,'[1]Sector list'!$B$2:$B$122,0)),"")</f>
        <v/>
      </c>
      <c r="J431" s="172"/>
    </row>
    <row r="432" spans="9:10" x14ac:dyDescent="0.3">
      <c r="I432" t="str">
        <f>_xlfn.IFNA(INDEX('[1]Sector list'!$A$2:$A$122,MATCH(H432,'[1]Sector list'!$B$2:$B$122,0)),"")</f>
        <v/>
      </c>
      <c r="J432" s="172"/>
    </row>
    <row r="433" spans="9:10" x14ac:dyDescent="0.3">
      <c r="I433" t="str">
        <f>_xlfn.IFNA(INDEX('[1]Sector list'!$A$2:$A$122,MATCH(H433,'[1]Sector list'!$B$2:$B$122,0)),"")</f>
        <v/>
      </c>
      <c r="J433" s="172"/>
    </row>
    <row r="434" spans="9:10" x14ac:dyDescent="0.3">
      <c r="I434" t="str">
        <f>_xlfn.IFNA(INDEX('[1]Sector list'!$A$2:$A$122,MATCH(H434,'[1]Sector list'!$B$2:$B$122,0)),"")</f>
        <v/>
      </c>
      <c r="J434" s="172"/>
    </row>
    <row r="435" spans="9:10" x14ac:dyDescent="0.3">
      <c r="I435" t="str">
        <f>_xlfn.IFNA(INDEX('[1]Sector list'!$A$2:$A$122,MATCH(H435,'[1]Sector list'!$B$2:$B$122,0)),"")</f>
        <v/>
      </c>
      <c r="J435" s="172"/>
    </row>
    <row r="436" spans="9:10" x14ac:dyDescent="0.3">
      <c r="I436" t="str">
        <f>_xlfn.IFNA(INDEX('[1]Sector list'!$A$2:$A$122,MATCH(H436,'[1]Sector list'!$B$2:$B$122,0)),"")</f>
        <v/>
      </c>
      <c r="J436" s="172"/>
    </row>
    <row r="437" spans="9:10" x14ac:dyDescent="0.3">
      <c r="I437" t="str">
        <f>_xlfn.IFNA(INDEX('[1]Sector list'!$A$2:$A$122,MATCH(H437,'[1]Sector list'!$B$2:$B$122,0)),"")</f>
        <v/>
      </c>
      <c r="J437" s="172"/>
    </row>
    <row r="438" spans="9:10" x14ac:dyDescent="0.3">
      <c r="I438" t="str">
        <f>_xlfn.IFNA(INDEX('[1]Sector list'!$A$2:$A$122,MATCH(H438,'[1]Sector list'!$B$2:$B$122,0)),"")</f>
        <v/>
      </c>
      <c r="J438" s="172"/>
    </row>
    <row r="439" spans="9:10" x14ac:dyDescent="0.3">
      <c r="I439" t="str">
        <f>_xlfn.IFNA(INDEX('[1]Sector list'!$A$2:$A$122,MATCH(H439,'[1]Sector list'!$B$2:$B$122,0)),"")</f>
        <v/>
      </c>
      <c r="J439" s="172"/>
    </row>
    <row r="440" spans="9:10" x14ac:dyDescent="0.3">
      <c r="I440" t="str">
        <f>_xlfn.IFNA(INDEX('[1]Sector list'!$A$2:$A$122,MATCH(H440,'[1]Sector list'!$B$2:$B$122,0)),"")</f>
        <v/>
      </c>
      <c r="J440" s="172"/>
    </row>
    <row r="441" spans="9:10" x14ac:dyDescent="0.3">
      <c r="I441" t="str">
        <f>_xlfn.IFNA(INDEX('[1]Sector list'!$A$2:$A$122,MATCH(H441,'[1]Sector list'!$B$2:$B$122,0)),"")</f>
        <v/>
      </c>
      <c r="J441" s="172"/>
    </row>
    <row r="442" spans="9:10" x14ac:dyDescent="0.3">
      <c r="I442" t="str">
        <f>_xlfn.IFNA(INDEX('[1]Sector list'!$A$2:$A$122,MATCH(H442,'[1]Sector list'!$B$2:$B$122,0)),"")</f>
        <v/>
      </c>
      <c r="J442" s="172"/>
    </row>
    <row r="443" spans="9:10" x14ac:dyDescent="0.3">
      <c r="I443" t="str">
        <f>_xlfn.IFNA(INDEX('[1]Sector list'!$A$2:$A$122,MATCH(H443,'[1]Sector list'!$B$2:$B$122,0)),"")</f>
        <v/>
      </c>
      <c r="J443" s="172"/>
    </row>
    <row r="444" spans="9:10" x14ac:dyDescent="0.3">
      <c r="I444" t="str">
        <f>_xlfn.IFNA(INDEX('[1]Sector list'!$A$2:$A$122,MATCH(H444,'[1]Sector list'!$B$2:$B$122,0)),"")</f>
        <v/>
      </c>
      <c r="J444" s="172"/>
    </row>
    <row r="445" spans="9:10" x14ac:dyDescent="0.3">
      <c r="I445" t="str">
        <f>_xlfn.IFNA(INDEX('[1]Sector list'!$A$2:$A$122,MATCH(H445,'[1]Sector list'!$B$2:$B$122,0)),"")</f>
        <v/>
      </c>
      <c r="J445" s="172"/>
    </row>
    <row r="446" spans="9:10" x14ac:dyDescent="0.3">
      <c r="I446" t="str">
        <f>_xlfn.IFNA(INDEX('[1]Sector list'!$A$2:$A$122,MATCH(H446,'[1]Sector list'!$B$2:$B$122,0)),"")</f>
        <v/>
      </c>
      <c r="J446" s="172"/>
    </row>
    <row r="447" spans="9:10" x14ac:dyDescent="0.3">
      <c r="I447" t="str">
        <f>_xlfn.IFNA(INDEX('[1]Sector list'!$A$2:$A$122,MATCH(H447,'[1]Sector list'!$B$2:$B$122,0)),"")</f>
        <v/>
      </c>
      <c r="J447" s="172"/>
    </row>
    <row r="448" spans="9:10" x14ac:dyDescent="0.3">
      <c r="I448" t="str">
        <f>_xlfn.IFNA(INDEX('[1]Sector list'!$A$2:$A$122,MATCH(H448,'[1]Sector list'!$B$2:$B$122,0)),"")</f>
        <v/>
      </c>
      <c r="J448" s="172"/>
    </row>
    <row r="449" spans="9:10" x14ac:dyDescent="0.3">
      <c r="I449" t="str">
        <f>_xlfn.IFNA(INDEX('[1]Sector list'!$A$2:$A$122,MATCH(H449,'[1]Sector list'!$B$2:$B$122,0)),"")</f>
        <v/>
      </c>
      <c r="J449" s="172"/>
    </row>
    <row r="450" spans="9:10" x14ac:dyDescent="0.3">
      <c r="I450" t="str">
        <f>_xlfn.IFNA(INDEX('[1]Sector list'!$A$2:$A$122,MATCH(H450,'[1]Sector list'!$B$2:$B$122,0)),"")</f>
        <v/>
      </c>
      <c r="J450" s="172"/>
    </row>
    <row r="451" spans="9:10" x14ac:dyDescent="0.3">
      <c r="I451" t="str">
        <f>_xlfn.IFNA(INDEX('[1]Sector list'!$A$2:$A$122,MATCH(H451,'[1]Sector list'!$B$2:$B$122,0)),"")</f>
        <v/>
      </c>
      <c r="J451" s="172"/>
    </row>
    <row r="452" spans="9:10" x14ac:dyDescent="0.3">
      <c r="I452" t="str">
        <f>_xlfn.IFNA(INDEX('[1]Sector list'!$A$2:$A$122,MATCH(H452,'[1]Sector list'!$B$2:$B$122,0)),"")</f>
        <v/>
      </c>
      <c r="J452" s="172"/>
    </row>
    <row r="453" spans="9:10" x14ac:dyDescent="0.3">
      <c r="I453" t="str">
        <f>_xlfn.IFNA(INDEX('[1]Sector list'!$A$2:$A$122,MATCH(H453,'[1]Sector list'!$B$2:$B$122,0)),"")</f>
        <v/>
      </c>
      <c r="J453" s="172"/>
    </row>
    <row r="454" spans="9:10" x14ac:dyDescent="0.3">
      <c r="I454" t="str">
        <f>_xlfn.IFNA(INDEX('[1]Sector list'!$A$2:$A$122,MATCH(H454,'[1]Sector list'!$B$2:$B$122,0)),"")</f>
        <v/>
      </c>
      <c r="J454" s="172"/>
    </row>
    <row r="455" spans="9:10" x14ac:dyDescent="0.3">
      <c r="I455" t="str">
        <f>_xlfn.IFNA(INDEX('[1]Sector list'!$A$2:$A$122,MATCH(H455,'[1]Sector list'!$B$2:$B$122,0)),"")</f>
        <v/>
      </c>
      <c r="J455" s="172"/>
    </row>
    <row r="456" spans="9:10" x14ac:dyDescent="0.3">
      <c r="I456" t="str">
        <f>_xlfn.IFNA(INDEX('[1]Sector list'!$A$2:$A$122,MATCH(H456,'[1]Sector list'!$B$2:$B$122,0)),"")</f>
        <v/>
      </c>
      <c r="J456" s="172"/>
    </row>
    <row r="457" spans="9:10" x14ac:dyDescent="0.3">
      <c r="I457" t="str">
        <f>_xlfn.IFNA(INDEX('[1]Sector list'!$A$2:$A$122,MATCH(H457,'[1]Sector list'!$B$2:$B$122,0)),"")</f>
        <v/>
      </c>
      <c r="J457" s="172"/>
    </row>
    <row r="458" spans="9:10" x14ac:dyDescent="0.3">
      <c r="I458" t="str">
        <f>_xlfn.IFNA(INDEX('[1]Sector list'!$A$2:$A$122,MATCH(H458,'[1]Sector list'!$B$2:$B$122,0)),"")</f>
        <v/>
      </c>
      <c r="J458" s="172"/>
    </row>
    <row r="459" spans="9:10" x14ac:dyDescent="0.3">
      <c r="I459" t="str">
        <f>_xlfn.IFNA(INDEX('[1]Sector list'!$A$2:$A$122,MATCH(H459,'[1]Sector list'!$B$2:$B$122,0)),"")</f>
        <v/>
      </c>
      <c r="J459" s="172"/>
    </row>
    <row r="460" spans="9:10" x14ac:dyDescent="0.3">
      <c r="I460" t="str">
        <f>_xlfn.IFNA(INDEX('[1]Sector list'!$A$2:$A$122,MATCH(H460,'[1]Sector list'!$B$2:$B$122,0)),"")</f>
        <v/>
      </c>
      <c r="J460" s="172"/>
    </row>
    <row r="461" spans="9:10" x14ac:dyDescent="0.3">
      <c r="I461" t="str">
        <f>_xlfn.IFNA(INDEX('[1]Sector list'!$A$2:$A$122,MATCH(H461,'[1]Sector list'!$B$2:$B$122,0)),"")</f>
        <v/>
      </c>
      <c r="J461" s="172"/>
    </row>
    <row r="462" spans="9:10" x14ac:dyDescent="0.3">
      <c r="I462" t="str">
        <f>_xlfn.IFNA(INDEX('[1]Sector list'!$A$2:$A$122,MATCH(H462,'[1]Sector list'!$B$2:$B$122,0)),"")</f>
        <v/>
      </c>
      <c r="J462" s="172"/>
    </row>
    <row r="463" spans="9:10" x14ac:dyDescent="0.3">
      <c r="I463" t="str">
        <f>_xlfn.IFNA(INDEX('[1]Sector list'!$A$2:$A$122,MATCH(H463,'[1]Sector list'!$B$2:$B$122,0)),"")</f>
        <v/>
      </c>
      <c r="J463" s="172"/>
    </row>
    <row r="464" spans="9:10" x14ac:dyDescent="0.3">
      <c r="I464" t="str">
        <f>_xlfn.IFNA(INDEX('[1]Sector list'!$A$2:$A$122,MATCH(H464,'[1]Sector list'!$B$2:$B$122,0)),"")</f>
        <v/>
      </c>
      <c r="J464" s="172"/>
    </row>
    <row r="465" spans="9:10" x14ac:dyDescent="0.3">
      <c r="I465" t="str">
        <f>_xlfn.IFNA(INDEX('[1]Sector list'!$A$2:$A$122,MATCH(H465,'[1]Sector list'!$B$2:$B$122,0)),"")</f>
        <v/>
      </c>
      <c r="J465" s="172"/>
    </row>
    <row r="466" spans="9:10" x14ac:dyDescent="0.3">
      <c r="I466" t="str">
        <f>_xlfn.IFNA(INDEX('[1]Sector list'!$A$2:$A$122,MATCH(H466,'[1]Sector list'!$B$2:$B$122,0)),"")</f>
        <v/>
      </c>
      <c r="J466" s="172"/>
    </row>
    <row r="467" spans="9:10" x14ac:dyDescent="0.3">
      <c r="I467" t="str">
        <f>_xlfn.IFNA(INDEX('[1]Sector list'!$A$2:$A$122,MATCH(H467,'[1]Sector list'!$B$2:$B$122,0)),"")</f>
        <v/>
      </c>
      <c r="J467" s="172"/>
    </row>
    <row r="468" spans="9:10" x14ac:dyDescent="0.3">
      <c r="I468" t="str">
        <f>_xlfn.IFNA(INDEX('[1]Sector list'!$A$2:$A$122,MATCH(H468,'[1]Sector list'!$B$2:$B$122,0)),"")</f>
        <v/>
      </c>
      <c r="J468" s="172"/>
    </row>
    <row r="469" spans="9:10" x14ac:dyDescent="0.3">
      <c r="I469" t="str">
        <f>_xlfn.IFNA(INDEX('[1]Sector list'!$A$2:$A$122,MATCH(H469,'[1]Sector list'!$B$2:$B$122,0)),"")</f>
        <v/>
      </c>
      <c r="J469" s="172"/>
    </row>
    <row r="470" spans="9:10" x14ac:dyDescent="0.3">
      <c r="I470" t="str">
        <f>_xlfn.IFNA(INDEX('[1]Sector list'!$A$2:$A$122,MATCH(H470,'[1]Sector list'!$B$2:$B$122,0)),"")</f>
        <v/>
      </c>
      <c r="J470" s="172"/>
    </row>
    <row r="471" spans="9:10" x14ac:dyDescent="0.3">
      <c r="I471" t="str">
        <f>_xlfn.IFNA(INDEX('[1]Sector list'!$A$2:$A$122,MATCH(H471,'[1]Sector list'!$B$2:$B$122,0)),"")</f>
        <v/>
      </c>
      <c r="J471" s="172"/>
    </row>
    <row r="472" spans="9:10" x14ac:dyDescent="0.3">
      <c r="I472" t="str">
        <f>_xlfn.IFNA(INDEX('[1]Sector list'!$A$2:$A$122,MATCH(H472,'[1]Sector list'!$B$2:$B$122,0)),"")</f>
        <v/>
      </c>
      <c r="J472" s="172"/>
    </row>
    <row r="473" spans="9:10" x14ac:dyDescent="0.3">
      <c r="I473" t="str">
        <f>_xlfn.IFNA(INDEX('[1]Sector list'!$A$2:$A$122,MATCH(H473,'[1]Sector list'!$B$2:$B$122,0)),"")</f>
        <v/>
      </c>
      <c r="J473" s="172"/>
    </row>
    <row r="474" spans="9:10" x14ac:dyDescent="0.3">
      <c r="I474" t="str">
        <f>_xlfn.IFNA(INDEX('[1]Sector list'!$A$2:$A$122,MATCH(H474,'[1]Sector list'!$B$2:$B$122,0)),"")</f>
        <v/>
      </c>
      <c r="J474" s="172"/>
    </row>
    <row r="475" spans="9:10" x14ac:dyDescent="0.3">
      <c r="I475" t="str">
        <f>_xlfn.IFNA(INDEX('[1]Sector list'!$A$2:$A$122,MATCH(H475,'[1]Sector list'!$B$2:$B$122,0)),"")</f>
        <v/>
      </c>
      <c r="J475" s="172"/>
    </row>
    <row r="476" spans="9:10" x14ac:dyDescent="0.3">
      <c r="I476" t="str">
        <f>_xlfn.IFNA(INDEX('[1]Sector list'!$A$2:$A$122,MATCH(H476,'[1]Sector list'!$B$2:$B$122,0)),"")</f>
        <v/>
      </c>
      <c r="J476" s="172"/>
    </row>
    <row r="477" spans="9:10" x14ac:dyDescent="0.3">
      <c r="I477" t="str">
        <f>_xlfn.IFNA(INDEX('[1]Sector list'!$A$2:$A$122,MATCH(H477,'[1]Sector list'!$B$2:$B$122,0)),"")</f>
        <v/>
      </c>
      <c r="J477" s="172"/>
    </row>
    <row r="478" spans="9:10" x14ac:dyDescent="0.3">
      <c r="I478" t="str">
        <f>_xlfn.IFNA(INDEX('[1]Sector list'!$A$2:$A$122,MATCH(H478,'[1]Sector list'!$B$2:$B$122,0)),"")</f>
        <v/>
      </c>
      <c r="J478" s="172"/>
    </row>
    <row r="479" spans="9:10" x14ac:dyDescent="0.3">
      <c r="I479" t="str">
        <f>_xlfn.IFNA(INDEX('[1]Sector list'!$A$2:$A$122,MATCH(H479,'[1]Sector list'!$B$2:$B$122,0)),"")</f>
        <v/>
      </c>
      <c r="J479" s="172"/>
    </row>
    <row r="480" spans="9:10" x14ac:dyDescent="0.3">
      <c r="I480" t="str">
        <f>_xlfn.IFNA(INDEX('[1]Sector list'!$A$2:$A$122,MATCH(H480,'[1]Sector list'!$B$2:$B$122,0)),"")</f>
        <v/>
      </c>
      <c r="J480" s="172"/>
    </row>
    <row r="481" spans="9:10" x14ac:dyDescent="0.3">
      <c r="I481" t="str">
        <f>_xlfn.IFNA(INDEX('[1]Sector list'!$A$2:$A$122,MATCH(H481,'[1]Sector list'!$B$2:$B$122,0)),"")</f>
        <v/>
      </c>
      <c r="J481" s="172"/>
    </row>
    <row r="482" spans="9:10" x14ac:dyDescent="0.3">
      <c r="I482" t="str">
        <f>_xlfn.IFNA(INDEX('[1]Sector list'!$A$2:$A$122,MATCH(H482,'[1]Sector list'!$B$2:$B$122,0)),"")</f>
        <v/>
      </c>
      <c r="J482" s="172"/>
    </row>
    <row r="483" spans="9:10" x14ac:dyDescent="0.3">
      <c r="I483" t="str">
        <f>_xlfn.IFNA(INDEX('[1]Sector list'!$A$2:$A$122,MATCH(H483,'[1]Sector list'!$B$2:$B$122,0)),"")</f>
        <v/>
      </c>
      <c r="J483" s="172"/>
    </row>
    <row r="484" spans="9:10" x14ac:dyDescent="0.3">
      <c r="I484" t="str">
        <f>_xlfn.IFNA(INDEX('[1]Sector list'!$A$2:$A$122,MATCH(H484,'[1]Sector list'!$B$2:$B$122,0)),"")</f>
        <v/>
      </c>
      <c r="J484" s="172"/>
    </row>
    <row r="485" spans="9:10" x14ac:dyDescent="0.3">
      <c r="I485" t="str">
        <f>_xlfn.IFNA(INDEX('[1]Sector list'!$A$2:$A$122,MATCH(H485,'[1]Sector list'!$B$2:$B$122,0)),"")</f>
        <v/>
      </c>
      <c r="J485" s="172"/>
    </row>
    <row r="486" spans="9:10" x14ac:dyDescent="0.3">
      <c r="I486" t="str">
        <f>_xlfn.IFNA(INDEX('[1]Sector list'!$A$2:$A$122,MATCH(H486,'[1]Sector list'!$B$2:$B$122,0)),"")</f>
        <v/>
      </c>
      <c r="J486" s="172"/>
    </row>
    <row r="487" spans="9:10" x14ac:dyDescent="0.3">
      <c r="I487" t="str">
        <f>_xlfn.IFNA(INDEX('[1]Sector list'!$A$2:$A$122,MATCH(H487,'[1]Sector list'!$B$2:$B$122,0)),"")</f>
        <v/>
      </c>
      <c r="J487" s="172"/>
    </row>
    <row r="488" spans="9:10" x14ac:dyDescent="0.3">
      <c r="I488" t="str">
        <f>_xlfn.IFNA(INDEX('[1]Sector list'!$A$2:$A$122,MATCH(H488,'[1]Sector list'!$B$2:$B$122,0)),"")</f>
        <v/>
      </c>
      <c r="J488" s="172"/>
    </row>
    <row r="489" spans="9:10" x14ac:dyDescent="0.3">
      <c r="I489" t="str">
        <f>_xlfn.IFNA(INDEX('[1]Sector list'!$A$2:$A$122,MATCH(H489,'[1]Sector list'!$B$2:$B$122,0)),"")</f>
        <v/>
      </c>
      <c r="J489" s="172"/>
    </row>
    <row r="490" spans="9:10" x14ac:dyDescent="0.3">
      <c r="I490" t="str">
        <f>_xlfn.IFNA(INDEX('[1]Sector list'!$A$2:$A$122,MATCH(H490,'[1]Sector list'!$B$2:$B$122,0)),"")</f>
        <v/>
      </c>
      <c r="J490" s="172"/>
    </row>
    <row r="491" spans="9:10" x14ac:dyDescent="0.3">
      <c r="I491" t="str">
        <f>_xlfn.IFNA(INDEX('[1]Sector list'!$A$2:$A$122,MATCH(H491,'[1]Sector list'!$B$2:$B$122,0)),"")</f>
        <v/>
      </c>
      <c r="J491" s="172"/>
    </row>
    <row r="492" spans="9:10" x14ac:dyDescent="0.3">
      <c r="I492" t="str">
        <f>_xlfn.IFNA(INDEX('[1]Sector list'!$A$2:$A$122,MATCH(H492,'[1]Sector list'!$B$2:$B$122,0)),"")</f>
        <v/>
      </c>
      <c r="J492" s="172"/>
    </row>
    <row r="493" spans="9:10" x14ac:dyDescent="0.3">
      <c r="I493" t="str">
        <f>_xlfn.IFNA(INDEX('[1]Sector list'!$A$2:$A$122,MATCH(H493,'[1]Sector list'!$B$2:$B$122,0)),"")</f>
        <v/>
      </c>
      <c r="J493" s="172"/>
    </row>
    <row r="494" spans="9:10" x14ac:dyDescent="0.3">
      <c r="I494" t="str">
        <f>_xlfn.IFNA(INDEX('[1]Sector list'!$A$2:$A$122,MATCH(H494,'[1]Sector list'!$B$2:$B$122,0)),"")</f>
        <v/>
      </c>
      <c r="J494" s="172"/>
    </row>
    <row r="495" spans="9:10" x14ac:dyDescent="0.3">
      <c r="I495" t="str">
        <f>_xlfn.IFNA(INDEX('[1]Sector list'!$A$2:$A$122,MATCH(H495,'[1]Sector list'!$B$2:$B$122,0)),"")</f>
        <v/>
      </c>
      <c r="J495" s="172"/>
    </row>
    <row r="496" spans="9:10" x14ac:dyDescent="0.3">
      <c r="I496" t="str">
        <f>_xlfn.IFNA(INDEX('[1]Sector list'!$A$2:$A$122,MATCH(H496,'[1]Sector list'!$B$2:$B$122,0)),"")</f>
        <v/>
      </c>
      <c r="J496" s="172"/>
    </row>
    <row r="497" spans="9:10" x14ac:dyDescent="0.3">
      <c r="I497" t="str">
        <f>_xlfn.IFNA(INDEX('[1]Sector list'!$A$2:$A$122,MATCH(H497,'[1]Sector list'!$B$2:$B$122,0)),"")</f>
        <v/>
      </c>
      <c r="J497" s="172"/>
    </row>
    <row r="498" spans="9:10" x14ac:dyDescent="0.3">
      <c r="I498" t="str">
        <f>_xlfn.IFNA(INDEX('[1]Sector list'!$A$2:$A$122,MATCH(H498,'[1]Sector list'!$B$2:$B$122,0)),"")</f>
        <v/>
      </c>
      <c r="J498" s="172"/>
    </row>
    <row r="499" spans="9:10" x14ac:dyDescent="0.3">
      <c r="I499" t="str">
        <f>_xlfn.IFNA(INDEX('[1]Sector list'!$A$2:$A$122,MATCH(H499,'[1]Sector list'!$B$2:$B$122,0)),"")</f>
        <v/>
      </c>
      <c r="J499" s="172"/>
    </row>
    <row r="500" spans="9:10" x14ac:dyDescent="0.3">
      <c r="I500" t="str">
        <f>_xlfn.IFNA(INDEX('[1]Sector list'!$A$2:$A$122,MATCH(H500,'[1]Sector list'!$B$2:$B$122,0)),"")</f>
        <v/>
      </c>
      <c r="J500" s="172"/>
    </row>
    <row r="501" spans="9:10" x14ac:dyDescent="0.3">
      <c r="I501" t="str">
        <f>_xlfn.IFNA(INDEX('[1]Sector list'!$A$2:$A$122,MATCH(H501,'[1]Sector list'!$B$2:$B$122,0)),"")</f>
        <v/>
      </c>
      <c r="J501" s="172"/>
    </row>
    <row r="502" spans="9:10" x14ac:dyDescent="0.3">
      <c r="I502" t="str">
        <f>_xlfn.IFNA(INDEX('[1]Sector list'!$A$2:$A$122,MATCH(H502,'[1]Sector list'!$B$2:$B$122,0)),"")</f>
        <v/>
      </c>
      <c r="J502" s="172"/>
    </row>
    <row r="503" spans="9:10" x14ac:dyDescent="0.3">
      <c r="I503" t="str">
        <f>_xlfn.IFNA(INDEX('[1]Sector list'!$A$2:$A$122,MATCH(H503,'[1]Sector list'!$B$2:$B$122,0)),"")</f>
        <v/>
      </c>
      <c r="J503" s="172"/>
    </row>
    <row r="504" spans="9:10" x14ac:dyDescent="0.3">
      <c r="I504" t="str">
        <f>_xlfn.IFNA(INDEX('[1]Sector list'!$A$2:$A$122,MATCH(H504,'[1]Sector list'!$B$2:$B$122,0)),"")</f>
        <v/>
      </c>
      <c r="J504" s="172"/>
    </row>
    <row r="505" spans="9:10" x14ac:dyDescent="0.3">
      <c r="I505" t="str">
        <f>_xlfn.IFNA(INDEX('[1]Sector list'!$A$2:$A$122,MATCH(H505,'[1]Sector list'!$B$2:$B$122,0)),"")</f>
        <v/>
      </c>
      <c r="J505" s="172"/>
    </row>
    <row r="506" spans="9:10" x14ac:dyDescent="0.3">
      <c r="I506" t="str">
        <f>_xlfn.IFNA(INDEX('[1]Sector list'!$A$2:$A$122,MATCH(H506,'[1]Sector list'!$B$2:$B$122,0)),"")</f>
        <v/>
      </c>
      <c r="J506" s="172"/>
    </row>
    <row r="507" spans="9:10" x14ac:dyDescent="0.3">
      <c r="I507" t="str">
        <f>_xlfn.IFNA(INDEX('[1]Sector list'!$A$2:$A$122,MATCH(H507,'[1]Sector list'!$B$2:$B$122,0)),"")</f>
        <v/>
      </c>
      <c r="J507" s="172"/>
    </row>
    <row r="508" spans="9:10" x14ac:dyDescent="0.3">
      <c r="I508" t="str">
        <f>_xlfn.IFNA(INDEX('[1]Sector list'!$A$2:$A$122,MATCH(H508,'[1]Sector list'!$B$2:$B$122,0)),"")</f>
        <v/>
      </c>
      <c r="J508" s="172"/>
    </row>
    <row r="509" spans="9:10" x14ac:dyDescent="0.3">
      <c r="I509" t="str">
        <f>_xlfn.IFNA(INDEX('[1]Sector list'!$A$2:$A$122,MATCH(H509,'[1]Sector list'!$B$2:$B$122,0)),"")</f>
        <v/>
      </c>
      <c r="J509" s="172"/>
    </row>
    <row r="510" spans="9:10" x14ac:dyDescent="0.3">
      <c r="I510" t="str">
        <f>_xlfn.IFNA(INDEX('[1]Sector list'!$A$2:$A$122,MATCH(H510,'[1]Sector list'!$B$2:$B$122,0)),"")</f>
        <v/>
      </c>
      <c r="J510" s="172"/>
    </row>
    <row r="511" spans="9:10" x14ac:dyDescent="0.3">
      <c r="I511" t="str">
        <f>_xlfn.IFNA(INDEX('[1]Sector list'!$A$2:$A$122,MATCH(H511,'[1]Sector list'!$B$2:$B$122,0)),"")</f>
        <v/>
      </c>
      <c r="J511" s="172"/>
    </row>
    <row r="512" spans="9:10" x14ac:dyDescent="0.3">
      <c r="I512" t="str">
        <f>_xlfn.IFNA(INDEX('[1]Sector list'!$A$2:$A$122,MATCH(H512,'[1]Sector list'!$B$2:$B$122,0)),"")</f>
        <v/>
      </c>
      <c r="J512" s="172"/>
    </row>
    <row r="513" spans="9:10" x14ac:dyDescent="0.3">
      <c r="I513" t="str">
        <f>_xlfn.IFNA(INDEX('[1]Sector list'!$A$2:$A$122,MATCH(H513,'[1]Sector list'!$B$2:$B$122,0)),"")</f>
        <v/>
      </c>
      <c r="J513" s="172"/>
    </row>
    <row r="514" spans="9:10" x14ac:dyDescent="0.3">
      <c r="I514" t="str">
        <f>_xlfn.IFNA(INDEX('[1]Sector list'!$A$2:$A$122,MATCH(H514,'[1]Sector list'!$B$2:$B$122,0)),"")</f>
        <v/>
      </c>
      <c r="J514" s="172"/>
    </row>
    <row r="515" spans="9:10" x14ac:dyDescent="0.3">
      <c r="I515" t="str">
        <f>_xlfn.IFNA(INDEX('[1]Sector list'!$A$2:$A$122,MATCH(H515,'[1]Sector list'!$B$2:$B$122,0)),"")</f>
        <v/>
      </c>
      <c r="J515" s="172"/>
    </row>
    <row r="516" spans="9:10" x14ac:dyDescent="0.3">
      <c r="I516" t="str">
        <f>_xlfn.IFNA(INDEX('[1]Sector list'!$A$2:$A$122,MATCH(H516,'[1]Sector list'!$B$2:$B$122,0)),"")</f>
        <v/>
      </c>
      <c r="J516" s="172"/>
    </row>
    <row r="517" spans="9:10" x14ac:dyDescent="0.3">
      <c r="I517" t="str">
        <f>_xlfn.IFNA(INDEX('[1]Sector list'!$A$2:$A$122,MATCH(H517,'[1]Sector list'!$B$2:$B$122,0)),"")</f>
        <v/>
      </c>
      <c r="J517" s="172"/>
    </row>
    <row r="518" spans="9:10" x14ac:dyDescent="0.3">
      <c r="I518" t="str">
        <f>_xlfn.IFNA(INDEX('[1]Sector list'!$A$2:$A$122,MATCH(H518,'[1]Sector list'!$B$2:$B$122,0)),"")</f>
        <v/>
      </c>
      <c r="J518" s="172"/>
    </row>
    <row r="519" spans="9:10" x14ac:dyDescent="0.3">
      <c r="I519" t="str">
        <f>_xlfn.IFNA(INDEX('[1]Sector list'!$A$2:$A$122,MATCH(H519,'[1]Sector list'!$B$2:$B$122,0)),"")</f>
        <v/>
      </c>
      <c r="J519" s="172"/>
    </row>
    <row r="520" spans="9:10" x14ac:dyDescent="0.3">
      <c r="I520" t="str">
        <f>_xlfn.IFNA(INDEX('[1]Sector list'!$A$2:$A$122,MATCH(H520,'[1]Sector list'!$B$2:$B$122,0)),"")</f>
        <v/>
      </c>
      <c r="J520" s="172"/>
    </row>
    <row r="521" spans="9:10" x14ac:dyDescent="0.3">
      <c r="I521" t="str">
        <f>_xlfn.IFNA(INDEX('[1]Sector list'!$A$2:$A$122,MATCH(H521,'[1]Sector list'!$B$2:$B$122,0)),"")</f>
        <v/>
      </c>
      <c r="J521" s="172"/>
    </row>
    <row r="522" spans="9:10" x14ac:dyDescent="0.3">
      <c r="I522" t="str">
        <f>_xlfn.IFNA(INDEX('[1]Sector list'!$A$2:$A$122,MATCH(H522,'[1]Sector list'!$B$2:$B$122,0)),"")</f>
        <v/>
      </c>
      <c r="J522" s="172"/>
    </row>
    <row r="523" spans="9:10" x14ac:dyDescent="0.3">
      <c r="I523" t="str">
        <f>_xlfn.IFNA(INDEX('[1]Sector list'!$A$2:$A$122,MATCH(H523,'[1]Sector list'!$B$2:$B$122,0)),"")</f>
        <v/>
      </c>
      <c r="J523" s="172"/>
    </row>
    <row r="524" spans="9:10" x14ac:dyDescent="0.3">
      <c r="I524" t="str">
        <f>_xlfn.IFNA(INDEX('[1]Sector list'!$A$2:$A$122,MATCH(H524,'[1]Sector list'!$B$2:$B$122,0)),"")</f>
        <v/>
      </c>
      <c r="J524" s="172"/>
    </row>
    <row r="525" spans="9:10" x14ac:dyDescent="0.3">
      <c r="I525" t="str">
        <f>_xlfn.IFNA(INDEX('[1]Sector list'!$A$2:$A$122,MATCH(H525,'[1]Sector list'!$B$2:$B$122,0)),"")</f>
        <v/>
      </c>
      <c r="J525" s="172"/>
    </row>
    <row r="526" spans="9:10" x14ac:dyDescent="0.3">
      <c r="I526" t="str">
        <f>_xlfn.IFNA(INDEX('[1]Sector list'!$A$2:$A$122,MATCH(H526,'[1]Sector list'!$B$2:$B$122,0)),"")</f>
        <v/>
      </c>
      <c r="J526" s="172"/>
    </row>
    <row r="527" spans="9:10" x14ac:dyDescent="0.3">
      <c r="I527" t="str">
        <f>_xlfn.IFNA(INDEX('[1]Sector list'!$A$2:$A$122,MATCH(H527,'[1]Sector list'!$B$2:$B$122,0)),"")</f>
        <v/>
      </c>
      <c r="J527" s="172"/>
    </row>
    <row r="528" spans="9:10" x14ac:dyDescent="0.3">
      <c r="I528" t="str">
        <f>_xlfn.IFNA(INDEX('[1]Sector list'!$A$2:$A$122,MATCH(H528,'[1]Sector list'!$B$2:$B$122,0)),"")</f>
        <v/>
      </c>
      <c r="J528" s="172"/>
    </row>
    <row r="529" spans="9:10" x14ac:dyDescent="0.3">
      <c r="I529" t="str">
        <f>_xlfn.IFNA(INDEX('[1]Sector list'!$A$2:$A$122,MATCH(H529,'[1]Sector list'!$B$2:$B$122,0)),"")</f>
        <v/>
      </c>
      <c r="J529" s="172"/>
    </row>
    <row r="530" spans="9:10" x14ac:dyDescent="0.3">
      <c r="I530" t="str">
        <f>_xlfn.IFNA(INDEX('[1]Sector list'!$A$2:$A$122,MATCH(H530,'[1]Sector list'!$B$2:$B$122,0)),"")</f>
        <v/>
      </c>
      <c r="J530" s="172"/>
    </row>
    <row r="531" spans="9:10" x14ac:dyDescent="0.3">
      <c r="I531" t="str">
        <f>_xlfn.IFNA(INDEX('[1]Sector list'!$A$2:$A$122,MATCH(H531,'[1]Sector list'!$B$2:$B$122,0)),"")</f>
        <v/>
      </c>
      <c r="J531" s="172"/>
    </row>
    <row r="532" spans="9:10" x14ac:dyDescent="0.3">
      <c r="I532" t="str">
        <f>_xlfn.IFNA(INDEX('[1]Sector list'!$A$2:$A$122,MATCH(H532,'[1]Sector list'!$B$2:$B$122,0)),"")</f>
        <v/>
      </c>
      <c r="J532" s="172"/>
    </row>
    <row r="533" spans="9:10" x14ac:dyDescent="0.3">
      <c r="I533" t="str">
        <f>_xlfn.IFNA(INDEX('[1]Sector list'!$A$2:$A$122,MATCH(H533,'[1]Sector list'!$B$2:$B$122,0)),"")</f>
        <v/>
      </c>
      <c r="J533" s="172"/>
    </row>
    <row r="534" spans="9:10" x14ac:dyDescent="0.3">
      <c r="I534" t="str">
        <f>_xlfn.IFNA(INDEX('[1]Sector list'!$A$2:$A$122,MATCH(H534,'[1]Sector list'!$B$2:$B$122,0)),"")</f>
        <v/>
      </c>
      <c r="J534" s="172"/>
    </row>
    <row r="535" spans="9:10" x14ac:dyDescent="0.3">
      <c r="I535" t="str">
        <f>_xlfn.IFNA(INDEX('[1]Sector list'!$A$2:$A$122,MATCH(H535,'[1]Sector list'!$B$2:$B$122,0)),"")</f>
        <v/>
      </c>
      <c r="J535" s="172"/>
    </row>
    <row r="536" spans="9:10" x14ac:dyDescent="0.3">
      <c r="I536" t="str">
        <f>_xlfn.IFNA(INDEX('[1]Sector list'!$A$2:$A$122,MATCH(H536,'[1]Sector list'!$B$2:$B$122,0)),"")</f>
        <v/>
      </c>
      <c r="J536" s="172"/>
    </row>
    <row r="537" spans="9:10" x14ac:dyDescent="0.3">
      <c r="I537" t="str">
        <f>_xlfn.IFNA(INDEX('[1]Sector list'!$A$2:$A$122,MATCH(H537,'[1]Sector list'!$B$2:$B$122,0)),"")</f>
        <v/>
      </c>
      <c r="J537" s="172"/>
    </row>
    <row r="538" spans="9:10" x14ac:dyDescent="0.3">
      <c r="I538" t="str">
        <f>_xlfn.IFNA(INDEX('[1]Sector list'!$A$2:$A$122,MATCH(H538,'[1]Sector list'!$B$2:$B$122,0)),"")</f>
        <v/>
      </c>
      <c r="J538" s="172"/>
    </row>
    <row r="539" spans="9:10" x14ac:dyDescent="0.3">
      <c r="I539" t="str">
        <f>_xlfn.IFNA(INDEX('[1]Sector list'!$A$2:$A$122,MATCH(H539,'[1]Sector list'!$B$2:$B$122,0)),"")</f>
        <v/>
      </c>
      <c r="J539" s="172"/>
    </row>
    <row r="540" spans="9:10" x14ac:dyDescent="0.3">
      <c r="I540" t="str">
        <f>_xlfn.IFNA(INDEX('[1]Sector list'!$A$2:$A$122,MATCH(H540,'[1]Sector list'!$B$2:$B$122,0)),"")</f>
        <v/>
      </c>
      <c r="J540" s="172"/>
    </row>
    <row r="541" spans="9:10" x14ac:dyDescent="0.3">
      <c r="I541" t="str">
        <f>_xlfn.IFNA(INDEX('[1]Sector list'!$A$2:$A$122,MATCH(H541,'[1]Sector list'!$B$2:$B$122,0)),"")</f>
        <v/>
      </c>
      <c r="J541" s="172"/>
    </row>
    <row r="542" spans="9:10" x14ac:dyDescent="0.3">
      <c r="I542" t="str">
        <f>_xlfn.IFNA(INDEX('[1]Sector list'!$A$2:$A$122,MATCH(H542,'[1]Sector list'!$B$2:$B$122,0)),"")</f>
        <v/>
      </c>
      <c r="J542" s="172"/>
    </row>
    <row r="543" spans="9:10" x14ac:dyDescent="0.3">
      <c r="I543" t="str">
        <f>_xlfn.IFNA(INDEX('[1]Sector list'!$A$2:$A$122,MATCH(H543,'[1]Sector list'!$B$2:$B$122,0)),"")</f>
        <v/>
      </c>
      <c r="J543" s="172"/>
    </row>
    <row r="544" spans="9:10" x14ac:dyDescent="0.3">
      <c r="I544" t="str">
        <f>_xlfn.IFNA(INDEX('[1]Sector list'!$A$2:$A$122,MATCH(H544,'[1]Sector list'!$B$2:$B$122,0)),"")</f>
        <v/>
      </c>
      <c r="J544" s="172"/>
    </row>
    <row r="545" spans="9:10" x14ac:dyDescent="0.3">
      <c r="I545" t="str">
        <f>_xlfn.IFNA(INDEX('[1]Sector list'!$A$2:$A$122,MATCH(H545,'[1]Sector list'!$B$2:$B$122,0)),"")</f>
        <v/>
      </c>
      <c r="J545" s="172"/>
    </row>
    <row r="546" spans="9:10" x14ac:dyDescent="0.3">
      <c r="I546" t="str">
        <f>_xlfn.IFNA(INDEX('[1]Sector list'!$A$2:$A$122,MATCH(H546,'[1]Sector list'!$B$2:$B$122,0)),"")</f>
        <v/>
      </c>
      <c r="J546" s="172"/>
    </row>
    <row r="547" spans="9:10" x14ac:dyDescent="0.3">
      <c r="I547" t="str">
        <f>_xlfn.IFNA(INDEX('[1]Sector list'!$A$2:$A$122,MATCH(H547,'[1]Sector list'!$B$2:$B$122,0)),"")</f>
        <v/>
      </c>
      <c r="J547" s="172"/>
    </row>
    <row r="548" spans="9:10" x14ac:dyDescent="0.3">
      <c r="I548" t="str">
        <f>_xlfn.IFNA(INDEX('[1]Sector list'!$A$2:$A$122,MATCH(H548,'[1]Sector list'!$B$2:$B$122,0)),"")</f>
        <v/>
      </c>
      <c r="J548" s="172"/>
    </row>
    <row r="549" spans="9:10" x14ac:dyDescent="0.3">
      <c r="I549" t="str">
        <f>_xlfn.IFNA(INDEX('[1]Sector list'!$A$2:$A$122,MATCH(H549,'[1]Sector list'!$B$2:$B$122,0)),"")</f>
        <v/>
      </c>
      <c r="J549" s="172"/>
    </row>
    <row r="550" spans="9:10" x14ac:dyDescent="0.3">
      <c r="I550" t="str">
        <f>_xlfn.IFNA(INDEX('[1]Sector list'!$A$2:$A$122,MATCH(H550,'[1]Sector list'!$B$2:$B$122,0)),"")</f>
        <v/>
      </c>
      <c r="J550" s="172"/>
    </row>
    <row r="551" spans="9:10" x14ac:dyDescent="0.3">
      <c r="I551" t="str">
        <f>_xlfn.IFNA(INDEX('[1]Sector list'!$A$2:$A$122,MATCH(H551,'[1]Sector list'!$B$2:$B$122,0)),"")</f>
        <v/>
      </c>
      <c r="J551" s="172"/>
    </row>
    <row r="552" spans="9:10" x14ac:dyDescent="0.3">
      <c r="I552" t="str">
        <f>_xlfn.IFNA(INDEX('[1]Sector list'!$A$2:$A$122,MATCH(H552,'[1]Sector list'!$B$2:$B$122,0)),"")</f>
        <v/>
      </c>
      <c r="J552" s="172"/>
    </row>
    <row r="553" spans="9:10" x14ac:dyDescent="0.3">
      <c r="I553" t="str">
        <f>_xlfn.IFNA(INDEX('[1]Sector list'!$A$2:$A$122,MATCH(H553,'[1]Sector list'!$B$2:$B$122,0)),"")</f>
        <v/>
      </c>
      <c r="J553" s="172"/>
    </row>
    <row r="554" spans="9:10" x14ac:dyDescent="0.3">
      <c r="I554" t="str">
        <f>_xlfn.IFNA(INDEX('[1]Sector list'!$A$2:$A$122,MATCH(H554,'[1]Sector list'!$B$2:$B$122,0)),"")</f>
        <v/>
      </c>
      <c r="J554" s="172"/>
    </row>
    <row r="555" spans="9:10" x14ac:dyDescent="0.3">
      <c r="I555" t="str">
        <f>_xlfn.IFNA(INDEX('[1]Sector list'!$A$2:$A$122,MATCH(H555,'[1]Sector list'!$B$2:$B$122,0)),"")</f>
        <v/>
      </c>
      <c r="J555" s="172"/>
    </row>
    <row r="556" spans="9:10" x14ac:dyDescent="0.3">
      <c r="I556" t="str">
        <f>_xlfn.IFNA(INDEX('[1]Sector list'!$A$2:$A$122,MATCH(H556,'[1]Sector list'!$B$2:$B$122,0)),"")</f>
        <v/>
      </c>
      <c r="J556" s="172"/>
    </row>
    <row r="557" spans="9:10" x14ac:dyDescent="0.3">
      <c r="I557" t="str">
        <f>_xlfn.IFNA(INDEX('[1]Sector list'!$A$2:$A$122,MATCH(H557,'[1]Sector list'!$B$2:$B$122,0)),"")</f>
        <v/>
      </c>
      <c r="J557" s="172"/>
    </row>
    <row r="558" spans="9:10" x14ac:dyDescent="0.3">
      <c r="I558" t="str">
        <f>_xlfn.IFNA(INDEX('[1]Sector list'!$A$2:$A$122,MATCH(H558,'[1]Sector list'!$B$2:$B$122,0)),"")</f>
        <v/>
      </c>
      <c r="J558" s="172"/>
    </row>
    <row r="559" spans="9:10" x14ac:dyDescent="0.3">
      <c r="I559" t="str">
        <f>_xlfn.IFNA(INDEX('[1]Sector list'!$A$2:$A$122,MATCH(H559,'[1]Sector list'!$B$2:$B$122,0)),"")</f>
        <v/>
      </c>
      <c r="J559" s="172"/>
    </row>
    <row r="560" spans="9:10" x14ac:dyDescent="0.3">
      <c r="I560" t="str">
        <f>_xlfn.IFNA(INDEX('[1]Sector list'!$A$2:$A$122,MATCH(H560,'[1]Sector list'!$B$2:$B$122,0)),"")</f>
        <v/>
      </c>
      <c r="J560" s="172"/>
    </row>
    <row r="561" spans="9:10" x14ac:dyDescent="0.3">
      <c r="I561" t="str">
        <f>_xlfn.IFNA(INDEX('[1]Sector list'!$A$2:$A$122,MATCH(H561,'[1]Sector list'!$B$2:$B$122,0)),"")</f>
        <v/>
      </c>
      <c r="J561" s="172"/>
    </row>
    <row r="562" spans="9:10" x14ac:dyDescent="0.3">
      <c r="I562" t="str">
        <f>_xlfn.IFNA(INDEX('[1]Sector list'!$A$2:$A$122,MATCH(H562,'[1]Sector list'!$B$2:$B$122,0)),"")</f>
        <v/>
      </c>
      <c r="J562" s="172"/>
    </row>
    <row r="563" spans="9:10" x14ac:dyDescent="0.3">
      <c r="I563" t="str">
        <f>_xlfn.IFNA(INDEX('[1]Sector list'!$A$2:$A$122,MATCH(H563,'[1]Sector list'!$B$2:$B$122,0)),"")</f>
        <v/>
      </c>
      <c r="J563" s="172"/>
    </row>
    <row r="564" spans="9:10" x14ac:dyDescent="0.3">
      <c r="I564" t="str">
        <f>_xlfn.IFNA(INDEX('[1]Sector list'!$A$2:$A$122,MATCH(H564,'[1]Sector list'!$B$2:$B$122,0)),"")</f>
        <v/>
      </c>
      <c r="J564" s="172"/>
    </row>
    <row r="565" spans="9:10" x14ac:dyDescent="0.3">
      <c r="I565" t="str">
        <f>_xlfn.IFNA(INDEX('[1]Sector list'!$A$2:$A$122,MATCH(H565,'[1]Sector list'!$B$2:$B$122,0)),"")</f>
        <v/>
      </c>
      <c r="J565" s="172"/>
    </row>
    <row r="566" spans="9:10" x14ac:dyDescent="0.3">
      <c r="I566" t="str">
        <f>_xlfn.IFNA(INDEX('[1]Sector list'!$A$2:$A$122,MATCH(H566,'[1]Sector list'!$B$2:$B$122,0)),"")</f>
        <v/>
      </c>
      <c r="J566" s="172"/>
    </row>
    <row r="567" spans="9:10" x14ac:dyDescent="0.3">
      <c r="I567" t="str">
        <f>_xlfn.IFNA(INDEX('[1]Sector list'!$A$2:$A$122,MATCH(H567,'[1]Sector list'!$B$2:$B$122,0)),"")</f>
        <v/>
      </c>
      <c r="J567" s="172"/>
    </row>
    <row r="568" spans="9:10" x14ac:dyDescent="0.3">
      <c r="I568" t="str">
        <f>_xlfn.IFNA(INDEX('[1]Sector list'!$A$2:$A$122,MATCH(H568,'[1]Sector list'!$B$2:$B$122,0)),"")</f>
        <v/>
      </c>
      <c r="J568" s="172"/>
    </row>
    <row r="569" spans="9:10" x14ac:dyDescent="0.3">
      <c r="I569" t="str">
        <f>_xlfn.IFNA(INDEX('[1]Sector list'!$A$2:$A$122,MATCH(H569,'[1]Sector list'!$B$2:$B$122,0)),"")</f>
        <v/>
      </c>
      <c r="J569" s="172"/>
    </row>
    <row r="570" spans="9:10" x14ac:dyDescent="0.3">
      <c r="I570" t="str">
        <f>_xlfn.IFNA(INDEX('[1]Sector list'!$A$2:$A$122,MATCH(H570,'[1]Sector list'!$B$2:$B$122,0)),"")</f>
        <v/>
      </c>
      <c r="J570" s="172"/>
    </row>
    <row r="571" spans="9:10" x14ac:dyDescent="0.3">
      <c r="I571" t="str">
        <f>_xlfn.IFNA(INDEX('[1]Sector list'!$A$2:$A$122,MATCH(H571,'[1]Sector list'!$B$2:$B$122,0)),"")</f>
        <v/>
      </c>
      <c r="J571" s="172"/>
    </row>
    <row r="572" spans="9:10" x14ac:dyDescent="0.3">
      <c r="I572" t="str">
        <f>_xlfn.IFNA(INDEX('[1]Sector list'!$A$2:$A$122,MATCH(H572,'[1]Sector list'!$B$2:$B$122,0)),"")</f>
        <v/>
      </c>
      <c r="J572" s="172"/>
    </row>
    <row r="573" spans="9:10" x14ac:dyDescent="0.3">
      <c r="I573" t="str">
        <f>_xlfn.IFNA(INDEX('[1]Sector list'!$A$2:$A$122,MATCH(H573,'[1]Sector list'!$B$2:$B$122,0)),"")</f>
        <v/>
      </c>
      <c r="J573" s="172"/>
    </row>
    <row r="574" spans="9:10" x14ac:dyDescent="0.3">
      <c r="I574" t="str">
        <f>_xlfn.IFNA(INDEX('[1]Sector list'!$A$2:$A$122,MATCH(H574,'[1]Sector list'!$B$2:$B$122,0)),"")</f>
        <v/>
      </c>
      <c r="J574" s="172"/>
    </row>
    <row r="575" spans="9:10" x14ac:dyDescent="0.3">
      <c r="I575" t="str">
        <f>_xlfn.IFNA(INDEX('[1]Sector list'!$A$2:$A$122,MATCH(H575,'[1]Sector list'!$B$2:$B$122,0)),"")</f>
        <v/>
      </c>
      <c r="J575" s="172"/>
    </row>
    <row r="576" spans="9:10" x14ac:dyDescent="0.3">
      <c r="I576" t="str">
        <f>_xlfn.IFNA(INDEX('[1]Sector list'!$A$2:$A$122,MATCH(H576,'[1]Sector list'!$B$2:$B$122,0)),"")</f>
        <v/>
      </c>
      <c r="J576" s="172"/>
    </row>
    <row r="577" spans="9:10" x14ac:dyDescent="0.3">
      <c r="I577" t="str">
        <f>_xlfn.IFNA(INDEX('[1]Sector list'!$A$2:$A$122,MATCH(H577,'[1]Sector list'!$B$2:$B$122,0)),"")</f>
        <v/>
      </c>
      <c r="J577" s="172"/>
    </row>
    <row r="578" spans="9:10" x14ac:dyDescent="0.3">
      <c r="I578" t="str">
        <f>_xlfn.IFNA(INDEX('[1]Sector list'!$A$2:$A$122,MATCH(H578,'[1]Sector list'!$B$2:$B$122,0)),"")</f>
        <v/>
      </c>
      <c r="J578" s="172"/>
    </row>
    <row r="579" spans="9:10" x14ac:dyDescent="0.3">
      <c r="I579" t="str">
        <f>_xlfn.IFNA(INDEX('[1]Sector list'!$A$2:$A$122,MATCH(H579,'[1]Sector list'!$B$2:$B$122,0)),"")</f>
        <v/>
      </c>
      <c r="J579" s="172"/>
    </row>
    <row r="580" spans="9:10" x14ac:dyDescent="0.3">
      <c r="I580" t="str">
        <f>_xlfn.IFNA(INDEX('[1]Sector list'!$A$2:$A$122,MATCH(H580,'[1]Sector list'!$B$2:$B$122,0)),"")</f>
        <v/>
      </c>
      <c r="J580" s="172"/>
    </row>
    <row r="581" spans="9:10" x14ac:dyDescent="0.3">
      <c r="I581" t="str">
        <f>_xlfn.IFNA(INDEX('[1]Sector list'!$A$2:$A$122,MATCH(H581,'[1]Sector list'!$B$2:$B$122,0)),"")</f>
        <v/>
      </c>
      <c r="J581" s="172"/>
    </row>
    <row r="582" spans="9:10" x14ac:dyDescent="0.3">
      <c r="I582" t="str">
        <f>_xlfn.IFNA(INDEX('[1]Sector list'!$A$2:$A$122,MATCH(H582,'[1]Sector list'!$B$2:$B$122,0)),"")</f>
        <v/>
      </c>
      <c r="J582" s="172"/>
    </row>
    <row r="583" spans="9:10" x14ac:dyDescent="0.3">
      <c r="I583" t="str">
        <f>_xlfn.IFNA(INDEX('[1]Sector list'!$A$2:$A$122,MATCH(H583,'[1]Sector list'!$B$2:$B$122,0)),"")</f>
        <v/>
      </c>
      <c r="J583" s="172"/>
    </row>
    <row r="584" spans="9:10" x14ac:dyDescent="0.3">
      <c r="I584" t="str">
        <f>_xlfn.IFNA(INDEX('[1]Sector list'!$A$2:$A$122,MATCH(H584,'[1]Sector list'!$B$2:$B$122,0)),"")</f>
        <v/>
      </c>
      <c r="J584" s="172"/>
    </row>
    <row r="585" spans="9:10" x14ac:dyDescent="0.3">
      <c r="I585" t="str">
        <f>_xlfn.IFNA(INDEX('[1]Sector list'!$A$2:$A$122,MATCH(H585,'[1]Sector list'!$B$2:$B$122,0)),"")</f>
        <v/>
      </c>
      <c r="J585" s="172"/>
    </row>
    <row r="586" spans="9:10" x14ac:dyDescent="0.3">
      <c r="I586" t="str">
        <f>_xlfn.IFNA(INDEX('[1]Sector list'!$A$2:$A$122,MATCH(H586,'[1]Sector list'!$B$2:$B$122,0)),"")</f>
        <v/>
      </c>
      <c r="J586" s="172"/>
    </row>
    <row r="587" spans="9:10" x14ac:dyDescent="0.3">
      <c r="I587" t="str">
        <f>_xlfn.IFNA(INDEX('[1]Sector list'!$A$2:$A$122,MATCH(H587,'[1]Sector list'!$B$2:$B$122,0)),"")</f>
        <v/>
      </c>
      <c r="J587" s="172"/>
    </row>
    <row r="588" spans="9:10" x14ac:dyDescent="0.3">
      <c r="I588" t="str">
        <f>_xlfn.IFNA(INDEX('[1]Sector list'!$A$2:$A$122,MATCH(H588,'[1]Sector list'!$B$2:$B$122,0)),"")</f>
        <v/>
      </c>
      <c r="J588" s="172"/>
    </row>
    <row r="589" spans="9:10" x14ac:dyDescent="0.3">
      <c r="I589" t="str">
        <f>_xlfn.IFNA(INDEX('[1]Sector list'!$A$2:$A$122,MATCH(H589,'[1]Sector list'!$B$2:$B$122,0)),"")</f>
        <v/>
      </c>
      <c r="J589" s="172"/>
    </row>
    <row r="590" spans="9:10" x14ac:dyDescent="0.3">
      <c r="I590" t="str">
        <f>_xlfn.IFNA(INDEX('[1]Sector list'!$A$2:$A$122,MATCH(H590,'[1]Sector list'!$B$2:$B$122,0)),"")</f>
        <v/>
      </c>
      <c r="J590" s="172"/>
    </row>
    <row r="591" spans="9:10" x14ac:dyDescent="0.3">
      <c r="I591" t="str">
        <f>_xlfn.IFNA(INDEX('[1]Sector list'!$A$2:$A$122,MATCH(H591,'[1]Sector list'!$B$2:$B$122,0)),"")</f>
        <v/>
      </c>
      <c r="J591" s="172"/>
    </row>
    <row r="592" spans="9:10" x14ac:dyDescent="0.3">
      <c r="I592" t="str">
        <f>_xlfn.IFNA(INDEX('[1]Sector list'!$A$2:$A$122,MATCH(H592,'[1]Sector list'!$B$2:$B$122,0)),"")</f>
        <v/>
      </c>
      <c r="J592" s="172"/>
    </row>
    <row r="593" spans="9:10" x14ac:dyDescent="0.3">
      <c r="I593" t="str">
        <f>_xlfn.IFNA(INDEX('[1]Sector list'!$A$2:$A$122,MATCH(H593,'[1]Sector list'!$B$2:$B$122,0)),"")</f>
        <v/>
      </c>
      <c r="J593" s="172"/>
    </row>
    <row r="594" spans="9:10" x14ac:dyDescent="0.3">
      <c r="I594" t="str">
        <f>_xlfn.IFNA(INDEX('[1]Sector list'!$A$2:$A$122,MATCH(H594,'[1]Sector list'!$B$2:$B$122,0)),"")</f>
        <v/>
      </c>
      <c r="J594" s="172"/>
    </row>
    <row r="595" spans="9:10" x14ac:dyDescent="0.3">
      <c r="I595" t="str">
        <f>_xlfn.IFNA(INDEX('[1]Sector list'!$A$2:$A$122,MATCH(H595,'[1]Sector list'!$B$2:$B$122,0)),"")</f>
        <v/>
      </c>
      <c r="J595" s="172"/>
    </row>
    <row r="596" spans="9:10" x14ac:dyDescent="0.3">
      <c r="I596" t="str">
        <f>_xlfn.IFNA(INDEX('[1]Sector list'!$A$2:$A$122,MATCH(H596,'[1]Sector list'!$B$2:$B$122,0)),"")</f>
        <v/>
      </c>
      <c r="J596" s="172"/>
    </row>
    <row r="597" spans="9:10" x14ac:dyDescent="0.3">
      <c r="I597" t="str">
        <f>_xlfn.IFNA(INDEX('[1]Sector list'!$A$2:$A$122,MATCH(H597,'[1]Sector list'!$B$2:$B$122,0)),"")</f>
        <v/>
      </c>
      <c r="J597" s="172"/>
    </row>
    <row r="598" spans="9:10" x14ac:dyDescent="0.3">
      <c r="I598" t="str">
        <f>_xlfn.IFNA(INDEX('[1]Sector list'!$A$2:$A$122,MATCH(H598,'[1]Sector list'!$B$2:$B$122,0)),"")</f>
        <v/>
      </c>
      <c r="J598" s="172"/>
    </row>
    <row r="599" spans="9:10" x14ac:dyDescent="0.3">
      <c r="I599" t="str">
        <f>_xlfn.IFNA(INDEX('[1]Sector list'!$A$2:$A$122,MATCH(H599,'[1]Sector list'!$B$2:$B$122,0)),"")</f>
        <v/>
      </c>
      <c r="J599" s="172"/>
    </row>
    <row r="600" spans="9:10" x14ac:dyDescent="0.3">
      <c r="I600" t="str">
        <f>_xlfn.IFNA(INDEX('[1]Sector list'!$A$2:$A$122,MATCH(H600,'[1]Sector list'!$B$2:$B$122,0)),"")</f>
        <v/>
      </c>
      <c r="J600" s="172"/>
    </row>
    <row r="601" spans="9:10" x14ac:dyDescent="0.3">
      <c r="I601" t="str">
        <f>_xlfn.IFNA(INDEX('[1]Sector list'!$A$2:$A$122,MATCH(H601,'[1]Sector list'!$B$2:$B$122,0)),"")</f>
        <v/>
      </c>
      <c r="J601" s="172"/>
    </row>
    <row r="602" spans="9:10" x14ac:dyDescent="0.3">
      <c r="I602" t="str">
        <f>_xlfn.IFNA(INDEX('[1]Sector list'!$A$2:$A$122,MATCH(H602,'[1]Sector list'!$B$2:$B$122,0)),"")</f>
        <v/>
      </c>
      <c r="J602" s="172"/>
    </row>
    <row r="603" spans="9:10" x14ac:dyDescent="0.3">
      <c r="I603" t="str">
        <f>_xlfn.IFNA(INDEX('[1]Sector list'!$A$2:$A$122,MATCH(H603,'[1]Sector list'!$B$2:$B$122,0)),"")</f>
        <v/>
      </c>
      <c r="J603" s="172"/>
    </row>
    <row r="604" spans="9:10" x14ac:dyDescent="0.3">
      <c r="I604" t="str">
        <f>_xlfn.IFNA(INDEX('[1]Sector list'!$A$2:$A$122,MATCH(H604,'[1]Sector list'!$B$2:$B$122,0)),"")</f>
        <v/>
      </c>
      <c r="J604" s="172"/>
    </row>
    <row r="605" spans="9:10" x14ac:dyDescent="0.3">
      <c r="I605" t="str">
        <f>_xlfn.IFNA(INDEX('[1]Sector list'!$A$2:$A$122,MATCH(H605,'[1]Sector list'!$B$2:$B$122,0)),"")</f>
        <v/>
      </c>
      <c r="J605" s="172"/>
    </row>
    <row r="606" spans="9:10" x14ac:dyDescent="0.3">
      <c r="I606" t="str">
        <f>_xlfn.IFNA(INDEX('[1]Sector list'!$A$2:$A$122,MATCH(H606,'[1]Sector list'!$B$2:$B$122,0)),"")</f>
        <v/>
      </c>
      <c r="J606" s="172"/>
    </row>
    <row r="607" spans="9:10" x14ac:dyDescent="0.3">
      <c r="I607" t="str">
        <f>_xlfn.IFNA(INDEX('[1]Sector list'!$A$2:$A$122,MATCH(H607,'[1]Sector list'!$B$2:$B$122,0)),"")</f>
        <v/>
      </c>
      <c r="J607" s="172"/>
    </row>
    <row r="608" spans="9:10" x14ac:dyDescent="0.3">
      <c r="I608" t="str">
        <f>_xlfn.IFNA(INDEX('[1]Sector list'!$A$2:$A$122,MATCH(H608,'[1]Sector list'!$B$2:$B$122,0)),"")</f>
        <v/>
      </c>
      <c r="J608" s="172"/>
    </row>
    <row r="609" spans="9:10" x14ac:dyDescent="0.3">
      <c r="I609" t="str">
        <f>_xlfn.IFNA(INDEX('[1]Sector list'!$A$2:$A$122,MATCH(H609,'[1]Sector list'!$B$2:$B$122,0)),"")</f>
        <v/>
      </c>
      <c r="J609" s="172"/>
    </row>
    <row r="610" spans="9:10" x14ac:dyDescent="0.3">
      <c r="I610" t="str">
        <f>_xlfn.IFNA(INDEX('[1]Sector list'!$A$2:$A$122,MATCH(H610,'[1]Sector list'!$B$2:$B$122,0)),"")</f>
        <v/>
      </c>
      <c r="J610" s="172"/>
    </row>
    <row r="611" spans="9:10" x14ac:dyDescent="0.3">
      <c r="I611" t="str">
        <f>_xlfn.IFNA(INDEX('[1]Sector list'!$A$2:$A$122,MATCH(H611,'[1]Sector list'!$B$2:$B$122,0)),"")</f>
        <v/>
      </c>
      <c r="J611" s="172"/>
    </row>
    <row r="612" spans="9:10" x14ac:dyDescent="0.3">
      <c r="I612" t="str">
        <f>_xlfn.IFNA(INDEX('[1]Sector list'!$A$2:$A$122,MATCH(H612,'[1]Sector list'!$B$2:$B$122,0)),"")</f>
        <v/>
      </c>
      <c r="J612" s="172"/>
    </row>
    <row r="613" spans="9:10" x14ac:dyDescent="0.3">
      <c r="I613" t="str">
        <f>_xlfn.IFNA(INDEX('[1]Sector list'!$A$2:$A$122,MATCH(H613,'[1]Sector list'!$B$2:$B$122,0)),"")</f>
        <v/>
      </c>
      <c r="J613" s="172"/>
    </row>
    <row r="614" spans="9:10" x14ac:dyDescent="0.3">
      <c r="I614" t="str">
        <f>_xlfn.IFNA(INDEX('[1]Sector list'!$A$2:$A$122,MATCH(H614,'[1]Sector list'!$B$2:$B$122,0)),"")</f>
        <v/>
      </c>
      <c r="J614" s="172"/>
    </row>
    <row r="615" spans="9:10" x14ac:dyDescent="0.3">
      <c r="I615" t="str">
        <f>_xlfn.IFNA(INDEX('[1]Sector list'!$A$2:$A$122,MATCH(H615,'[1]Sector list'!$B$2:$B$122,0)),"")</f>
        <v/>
      </c>
      <c r="J615" s="172"/>
    </row>
    <row r="616" spans="9:10" x14ac:dyDescent="0.3">
      <c r="I616" t="str">
        <f>_xlfn.IFNA(INDEX('[1]Sector list'!$A$2:$A$122,MATCH(H616,'[1]Sector list'!$B$2:$B$122,0)),"")</f>
        <v/>
      </c>
      <c r="J616" s="172"/>
    </row>
    <row r="617" spans="9:10" x14ac:dyDescent="0.3">
      <c r="I617" t="str">
        <f>_xlfn.IFNA(INDEX('[1]Sector list'!$A$2:$A$122,MATCH(H617,'[1]Sector list'!$B$2:$B$122,0)),"")</f>
        <v/>
      </c>
      <c r="J617" s="172"/>
    </row>
    <row r="618" spans="9:10" x14ac:dyDescent="0.3">
      <c r="I618" t="str">
        <f>_xlfn.IFNA(INDEX('[1]Sector list'!$A$2:$A$122,MATCH(H618,'[1]Sector list'!$B$2:$B$122,0)),"")</f>
        <v/>
      </c>
      <c r="J618" s="172"/>
    </row>
    <row r="619" spans="9:10" x14ac:dyDescent="0.3">
      <c r="I619" t="str">
        <f>_xlfn.IFNA(INDEX('[1]Sector list'!$A$2:$A$122,MATCH(H619,'[1]Sector list'!$B$2:$B$122,0)),"")</f>
        <v/>
      </c>
      <c r="J619" s="172"/>
    </row>
    <row r="620" spans="9:10" x14ac:dyDescent="0.3">
      <c r="I620" t="str">
        <f>_xlfn.IFNA(INDEX('[1]Sector list'!$A$2:$A$122,MATCH(H620,'[1]Sector list'!$B$2:$B$122,0)),"")</f>
        <v/>
      </c>
      <c r="J620" s="172"/>
    </row>
    <row r="621" spans="9:10" x14ac:dyDescent="0.3">
      <c r="I621" t="str">
        <f>_xlfn.IFNA(INDEX('[1]Sector list'!$A$2:$A$122,MATCH(H621,'[1]Sector list'!$B$2:$B$122,0)),"")</f>
        <v/>
      </c>
      <c r="J621" s="172"/>
    </row>
    <row r="622" spans="9:10" x14ac:dyDescent="0.3">
      <c r="I622" t="str">
        <f>_xlfn.IFNA(INDEX('[1]Sector list'!$A$2:$A$122,MATCH(H622,'[1]Sector list'!$B$2:$B$122,0)),"")</f>
        <v/>
      </c>
      <c r="J622" s="172"/>
    </row>
    <row r="623" spans="9:10" x14ac:dyDescent="0.3">
      <c r="I623" t="str">
        <f>_xlfn.IFNA(INDEX('[1]Sector list'!$A$2:$A$122,MATCH(H623,'[1]Sector list'!$B$2:$B$122,0)),"")</f>
        <v/>
      </c>
      <c r="J623" s="172"/>
    </row>
    <row r="624" spans="9:10" x14ac:dyDescent="0.3">
      <c r="I624" t="str">
        <f>_xlfn.IFNA(INDEX('[1]Sector list'!$A$2:$A$122,MATCH(H624,'[1]Sector list'!$B$2:$B$122,0)),"")</f>
        <v/>
      </c>
      <c r="J624" s="172"/>
    </row>
    <row r="625" spans="9:10" x14ac:dyDescent="0.3">
      <c r="I625" t="str">
        <f>_xlfn.IFNA(INDEX('[1]Sector list'!$A$2:$A$122,MATCH(H625,'[1]Sector list'!$B$2:$B$122,0)),"")</f>
        <v/>
      </c>
      <c r="J625" s="172"/>
    </row>
    <row r="626" spans="9:10" x14ac:dyDescent="0.3">
      <c r="I626" t="str">
        <f>_xlfn.IFNA(INDEX('[1]Sector list'!$A$2:$A$122,MATCH(H626,'[1]Sector list'!$B$2:$B$122,0)),"")</f>
        <v/>
      </c>
      <c r="J626" s="172"/>
    </row>
    <row r="627" spans="9:10" x14ac:dyDescent="0.3">
      <c r="I627" t="str">
        <f>_xlfn.IFNA(INDEX('[1]Sector list'!$A$2:$A$122,MATCH(H627,'[1]Sector list'!$B$2:$B$122,0)),"")</f>
        <v/>
      </c>
      <c r="J627" s="172"/>
    </row>
    <row r="628" spans="9:10" x14ac:dyDescent="0.3">
      <c r="I628" t="str">
        <f>_xlfn.IFNA(INDEX('[1]Sector list'!$A$2:$A$122,MATCH(H628,'[1]Sector list'!$B$2:$B$122,0)),"")</f>
        <v/>
      </c>
      <c r="J628" s="172"/>
    </row>
    <row r="629" spans="9:10" x14ac:dyDescent="0.3">
      <c r="I629" t="str">
        <f>_xlfn.IFNA(INDEX('[1]Sector list'!$A$2:$A$122,MATCH(H629,'[1]Sector list'!$B$2:$B$122,0)),"")</f>
        <v/>
      </c>
      <c r="J629" s="172"/>
    </row>
    <row r="630" spans="9:10" x14ac:dyDescent="0.3">
      <c r="I630" t="str">
        <f>_xlfn.IFNA(INDEX('[1]Sector list'!$A$2:$A$122,MATCH(H630,'[1]Sector list'!$B$2:$B$122,0)),"")</f>
        <v/>
      </c>
      <c r="J630" s="172"/>
    </row>
    <row r="631" spans="9:10" x14ac:dyDescent="0.3">
      <c r="I631" t="str">
        <f>_xlfn.IFNA(INDEX('[1]Sector list'!$A$2:$A$122,MATCH(H631,'[1]Sector list'!$B$2:$B$122,0)),"")</f>
        <v/>
      </c>
      <c r="J631" s="172"/>
    </row>
    <row r="632" spans="9:10" x14ac:dyDescent="0.3">
      <c r="I632" t="str">
        <f>_xlfn.IFNA(INDEX('[1]Sector list'!$A$2:$A$122,MATCH(H632,'[1]Sector list'!$B$2:$B$122,0)),"")</f>
        <v/>
      </c>
      <c r="J632" s="172"/>
    </row>
    <row r="633" spans="9:10" x14ac:dyDescent="0.3">
      <c r="I633" t="str">
        <f>_xlfn.IFNA(INDEX('[1]Sector list'!$A$2:$A$122,MATCH(H633,'[1]Sector list'!$B$2:$B$122,0)),"")</f>
        <v/>
      </c>
      <c r="J633" s="172"/>
    </row>
    <row r="634" spans="9:10" x14ac:dyDescent="0.3">
      <c r="I634" t="str">
        <f>_xlfn.IFNA(INDEX('[1]Sector list'!$A$2:$A$122,MATCH(H634,'[1]Sector list'!$B$2:$B$122,0)),"")</f>
        <v/>
      </c>
      <c r="J634" s="172"/>
    </row>
    <row r="635" spans="9:10" x14ac:dyDescent="0.3">
      <c r="I635" t="str">
        <f>_xlfn.IFNA(INDEX('[1]Sector list'!$A$2:$A$122,MATCH(H635,'[1]Sector list'!$B$2:$B$122,0)),"")</f>
        <v/>
      </c>
      <c r="J635" s="172"/>
    </row>
    <row r="636" spans="9:10" x14ac:dyDescent="0.3">
      <c r="I636" t="str">
        <f>_xlfn.IFNA(INDEX('[1]Sector list'!$A$2:$A$122,MATCH(H636,'[1]Sector list'!$B$2:$B$122,0)),"")</f>
        <v/>
      </c>
      <c r="J636" s="172"/>
    </row>
    <row r="637" spans="9:10" x14ac:dyDescent="0.3">
      <c r="I637" t="str">
        <f>_xlfn.IFNA(INDEX('[1]Sector list'!$A$2:$A$122,MATCH(H637,'[1]Sector list'!$B$2:$B$122,0)),"")</f>
        <v/>
      </c>
      <c r="J637" s="172"/>
    </row>
    <row r="638" spans="9:10" x14ac:dyDescent="0.3">
      <c r="I638" t="str">
        <f>_xlfn.IFNA(INDEX('[1]Sector list'!$A$2:$A$122,MATCH(H638,'[1]Sector list'!$B$2:$B$122,0)),"")</f>
        <v/>
      </c>
      <c r="J638" s="172"/>
    </row>
    <row r="639" spans="9:10" x14ac:dyDescent="0.3">
      <c r="I639" t="str">
        <f>_xlfn.IFNA(INDEX('[1]Sector list'!$A$2:$A$122,MATCH(H639,'[1]Sector list'!$B$2:$B$122,0)),"")</f>
        <v/>
      </c>
      <c r="J639" s="172"/>
    </row>
    <row r="640" spans="9:10" x14ac:dyDescent="0.3">
      <c r="I640" t="str">
        <f>_xlfn.IFNA(INDEX('[1]Sector list'!$A$2:$A$122,MATCH(H640,'[1]Sector list'!$B$2:$B$122,0)),"")</f>
        <v/>
      </c>
      <c r="J640" s="172"/>
    </row>
    <row r="641" spans="9:10" x14ac:dyDescent="0.3">
      <c r="I641" t="str">
        <f>_xlfn.IFNA(INDEX('[1]Sector list'!$A$2:$A$122,MATCH(H641,'[1]Sector list'!$B$2:$B$122,0)),"")</f>
        <v/>
      </c>
      <c r="J641" s="172"/>
    </row>
    <row r="642" spans="9:10" x14ac:dyDescent="0.3">
      <c r="I642" t="str">
        <f>_xlfn.IFNA(INDEX('[1]Sector list'!$A$2:$A$122,MATCH(H642,'[1]Sector list'!$B$2:$B$122,0)),"")</f>
        <v/>
      </c>
      <c r="J642" s="172"/>
    </row>
    <row r="643" spans="9:10" x14ac:dyDescent="0.3">
      <c r="I643" t="str">
        <f>_xlfn.IFNA(INDEX('[1]Sector list'!$A$2:$A$122,MATCH(H643,'[1]Sector list'!$B$2:$B$122,0)),"")</f>
        <v/>
      </c>
      <c r="J643" s="172"/>
    </row>
    <row r="644" spans="9:10" x14ac:dyDescent="0.3">
      <c r="I644" t="str">
        <f>_xlfn.IFNA(INDEX('[1]Sector list'!$A$2:$A$122,MATCH(H644,'[1]Sector list'!$B$2:$B$122,0)),"")</f>
        <v/>
      </c>
      <c r="J644" s="172"/>
    </row>
    <row r="645" spans="9:10" x14ac:dyDescent="0.3">
      <c r="I645" t="str">
        <f>_xlfn.IFNA(INDEX('[1]Sector list'!$A$2:$A$122,MATCH(H645,'[1]Sector list'!$B$2:$B$122,0)),"")</f>
        <v/>
      </c>
      <c r="J645" s="172"/>
    </row>
    <row r="646" spans="9:10" x14ac:dyDescent="0.3">
      <c r="I646" t="str">
        <f>_xlfn.IFNA(INDEX('[1]Sector list'!$A$2:$A$122,MATCH(H646,'[1]Sector list'!$B$2:$B$122,0)),"")</f>
        <v/>
      </c>
      <c r="J646" s="172"/>
    </row>
    <row r="647" spans="9:10" x14ac:dyDescent="0.3">
      <c r="I647" t="str">
        <f>_xlfn.IFNA(INDEX('[1]Sector list'!$A$2:$A$122,MATCH(H647,'[1]Sector list'!$B$2:$B$122,0)),"")</f>
        <v/>
      </c>
      <c r="J647" s="172"/>
    </row>
    <row r="648" spans="9:10" x14ac:dyDescent="0.3">
      <c r="I648" t="str">
        <f>_xlfn.IFNA(INDEX('[1]Sector list'!$A$2:$A$122,MATCH(H648,'[1]Sector list'!$B$2:$B$122,0)),"")</f>
        <v/>
      </c>
      <c r="J648" s="172"/>
    </row>
    <row r="649" spans="9:10" x14ac:dyDescent="0.3">
      <c r="I649" t="str">
        <f>_xlfn.IFNA(INDEX('[1]Sector list'!$A$2:$A$122,MATCH(H649,'[1]Sector list'!$B$2:$B$122,0)),"")</f>
        <v/>
      </c>
      <c r="J649" s="172"/>
    </row>
    <row r="650" spans="9:10" x14ac:dyDescent="0.3">
      <c r="I650" t="str">
        <f>_xlfn.IFNA(INDEX('[1]Sector list'!$A$2:$A$122,MATCH(H650,'[1]Sector list'!$B$2:$B$122,0)),"")</f>
        <v/>
      </c>
      <c r="J650" s="172"/>
    </row>
    <row r="651" spans="9:10" x14ac:dyDescent="0.3">
      <c r="I651" t="str">
        <f>_xlfn.IFNA(INDEX('[1]Sector list'!$A$2:$A$122,MATCH(H651,'[1]Sector list'!$B$2:$B$122,0)),"")</f>
        <v/>
      </c>
      <c r="J651" s="172"/>
    </row>
    <row r="652" spans="9:10" x14ac:dyDescent="0.3">
      <c r="I652" t="str">
        <f>_xlfn.IFNA(INDEX('[1]Sector list'!$A$2:$A$122,MATCH(H652,'[1]Sector list'!$B$2:$B$122,0)),"")</f>
        <v/>
      </c>
      <c r="J652" s="172"/>
    </row>
    <row r="653" spans="9:10" x14ac:dyDescent="0.3">
      <c r="I653" t="str">
        <f>_xlfn.IFNA(INDEX('[1]Sector list'!$A$2:$A$122,MATCH(H653,'[1]Sector list'!$B$2:$B$122,0)),"")</f>
        <v/>
      </c>
      <c r="J653" s="172"/>
    </row>
    <row r="654" spans="9:10" x14ac:dyDescent="0.3">
      <c r="I654" t="str">
        <f>_xlfn.IFNA(INDEX('[1]Sector list'!$A$2:$A$122,MATCH(H654,'[1]Sector list'!$B$2:$B$122,0)),"")</f>
        <v/>
      </c>
      <c r="J654" s="172"/>
    </row>
    <row r="655" spans="9:10" x14ac:dyDescent="0.3">
      <c r="I655" t="str">
        <f>_xlfn.IFNA(INDEX('[1]Sector list'!$A$2:$A$122,MATCH(H655,'[1]Sector list'!$B$2:$B$122,0)),"")</f>
        <v/>
      </c>
      <c r="J655" s="172"/>
    </row>
    <row r="656" spans="9:10" x14ac:dyDescent="0.3">
      <c r="I656" t="str">
        <f>_xlfn.IFNA(INDEX('[1]Sector list'!$A$2:$A$122,MATCH(H656,'[1]Sector list'!$B$2:$B$122,0)),"")</f>
        <v/>
      </c>
      <c r="J656" s="172"/>
    </row>
    <row r="657" spans="9:10" x14ac:dyDescent="0.3">
      <c r="I657" t="str">
        <f>_xlfn.IFNA(INDEX('[1]Sector list'!$A$2:$A$122,MATCH(H657,'[1]Sector list'!$B$2:$B$122,0)),"")</f>
        <v/>
      </c>
      <c r="J657" s="172"/>
    </row>
    <row r="658" spans="9:10" x14ac:dyDescent="0.3">
      <c r="I658" t="str">
        <f>_xlfn.IFNA(INDEX('[1]Sector list'!$A$2:$A$122,MATCH(H658,'[1]Sector list'!$B$2:$B$122,0)),"")</f>
        <v/>
      </c>
      <c r="J658" s="172"/>
    </row>
    <row r="659" spans="9:10" x14ac:dyDescent="0.3">
      <c r="I659" t="str">
        <f>_xlfn.IFNA(INDEX('[1]Sector list'!$A$2:$A$122,MATCH(H659,'[1]Sector list'!$B$2:$B$122,0)),"")</f>
        <v/>
      </c>
      <c r="J659" s="172"/>
    </row>
    <row r="660" spans="9:10" x14ac:dyDescent="0.3">
      <c r="I660" t="str">
        <f>_xlfn.IFNA(INDEX('[1]Sector list'!$A$2:$A$122,MATCH(H660,'[1]Sector list'!$B$2:$B$122,0)),"")</f>
        <v/>
      </c>
      <c r="J660" s="172"/>
    </row>
    <row r="661" spans="9:10" x14ac:dyDescent="0.3">
      <c r="I661" t="str">
        <f>_xlfn.IFNA(INDEX('[1]Sector list'!$A$2:$A$122,MATCH(H661,'[1]Sector list'!$B$2:$B$122,0)),"")</f>
        <v/>
      </c>
      <c r="J661" s="172"/>
    </row>
    <row r="662" spans="9:10" x14ac:dyDescent="0.3">
      <c r="I662" t="str">
        <f>_xlfn.IFNA(INDEX('[1]Sector list'!$A$2:$A$122,MATCH(H662,'[1]Sector list'!$B$2:$B$122,0)),"")</f>
        <v/>
      </c>
      <c r="J662" s="172"/>
    </row>
    <row r="663" spans="9:10" x14ac:dyDescent="0.3">
      <c r="I663" t="str">
        <f>_xlfn.IFNA(INDEX('[1]Sector list'!$A$2:$A$122,MATCH(H663,'[1]Sector list'!$B$2:$B$122,0)),"")</f>
        <v/>
      </c>
      <c r="J663" s="172"/>
    </row>
    <row r="664" spans="9:10" x14ac:dyDescent="0.3">
      <c r="I664" t="str">
        <f>_xlfn.IFNA(INDEX('[1]Sector list'!$A$2:$A$122,MATCH(H664,'[1]Sector list'!$B$2:$B$122,0)),"")</f>
        <v/>
      </c>
      <c r="J664" s="172"/>
    </row>
    <row r="665" spans="9:10" x14ac:dyDescent="0.3">
      <c r="I665" t="str">
        <f>_xlfn.IFNA(INDEX('[1]Sector list'!$A$2:$A$122,MATCH(H665,'[1]Sector list'!$B$2:$B$122,0)),"")</f>
        <v/>
      </c>
      <c r="J665" s="172"/>
    </row>
    <row r="666" spans="9:10" x14ac:dyDescent="0.3">
      <c r="I666" t="str">
        <f>_xlfn.IFNA(INDEX('[1]Sector list'!$A$2:$A$122,MATCH(H666,'[1]Sector list'!$B$2:$B$122,0)),"")</f>
        <v/>
      </c>
      <c r="J666" s="172"/>
    </row>
    <row r="667" spans="9:10" x14ac:dyDescent="0.3">
      <c r="I667" t="str">
        <f>_xlfn.IFNA(INDEX('[1]Sector list'!$A$2:$A$122,MATCH(H667,'[1]Sector list'!$B$2:$B$122,0)),"")</f>
        <v/>
      </c>
      <c r="J667" s="172"/>
    </row>
    <row r="668" spans="9:10" x14ac:dyDescent="0.3">
      <c r="I668" t="str">
        <f>_xlfn.IFNA(INDEX('[1]Sector list'!$A$2:$A$122,MATCH(H668,'[1]Sector list'!$B$2:$B$122,0)),"")</f>
        <v/>
      </c>
      <c r="J668" s="172"/>
    </row>
    <row r="669" spans="9:10" x14ac:dyDescent="0.3">
      <c r="I669" t="str">
        <f>_xlfn.IFNA(INDEX('[1]Sector list'!$A$2:$A$122,MATCH(H669,'[1]Sector list'!$B$2:$B$122,0)),"")</f>
        <v/>
      </c>
      <c r="J669" s="172"/>
    </row>
    <row r="670" spans="9:10" x14ac:dyDescent="0.3">
      <c r="I670" t="str">
        <f>_xlfn.IFNA(INDEX('[1]Sector list'!$A$2:$A$122,MATCH(H670,'[1]Sector list'!$B$2:$B$122,0)),"")</f>
        <v/>
      </c>
      <c r="J670" s="172"/>
    </row>
    <row r="671" spans="9:10" x14ac:dyDescent="0.3">
      <c r="I671" t="str">
        <f>_xlfn.IFNA(INDEX('[1]Sector list'!$A$2:$A$122,MATCH(H671,'[1]Sector list'!$B$2:$B$122,0)),"")</f>
        <v/>
      </c>
      <c r="J671" s="172"/>
    </row>
    <row r="672" spans="9:10" x14ac:dyDescent="0.3">
      <c r="I672" t="str">
        <f>_xlfn.IFNA(INDEX('[1]Sector list'!$A$2:$A$122,MATCH(H672,'[1]Sector list'!$B$2:$B$122,0)),"")</f>
        <v/>
      </c>
      <c r="J672" s="172"/>
    </row>
    <row r="673" spans="9:10" x14ac:dyDescent="0.3">
      <c r="I673" t="str">
        <f>_xlfn.IFNA(INDEX('[1]Sector list'!$A$2:$A$122,MATCH(H673,'[1]Sector list'!$B$2:$B$122,0)),"")</f>
        <v/>
      </c>
      <c r="J673" s="172"/>
    </row>
    <row r="674" spans="9:10" x14ac:dyDescent="0.3">
      <c r="I674" t="str">
        <f>_xlfn.IFNA(INDEX('[1]Sector list'!$A$2:$A$122,MATCH(H674,'[1]Sector list'!$B$2:$B$122,0)),"")</f>
        <v/>
      </c>
      <c r="J674" s="172"/>
    </row>
    <row r="675" spans="9:10" x14ac:dyDescent="0.3">
      <c r="I675" t="str">
        <f>_xlfn.IFNA(INDEX('[1]Sector list'!$A$2:$A$122,MATCH(H675,'[1]Sector list'!$B$2:$B$122,0)),"")</f>
        <v/>
      </c>
      <c r="J675" s="172"/>
    </row>
    <row r="676" spans="9:10" x14ac:dyDescent="0.3">
      <c r="I676" t="str">
        <f>_xlfn.IFNA(INDEX('[1]Sector list'!$A$2:$A$122,MATCH(H676,'[1]Sector list'!$B$2:$B$122,0)),"")</f>
        <v/>
      </c>
      <c r="J676" s="172"/>
    </row>
    <row r="677" spans="9:10" x14ac:dyDescent="0.3">
      <c r="I677" t="str">
        <f>_xlfn.IFNA(INDEX('[1]Sector list'!$A$2:$A$122,MATCH(H677,'[1]Sector list'!$B$2:$B$122,0)),"")</f>
        <v/>
      </c>
      <c r="J677" s="172"/>
    </row>
    <row r="678" spans="9:10" x14ac:dyDescent="0.3">
      <c r="I678" t="str">
        <f>_xlfn.IFNA(INDEX('[1]Sector list'!$A$2:$A$122,MATCH(H678,'[1]Sector list'!$B$2:$B$122,0)),"")</f>
        <v/>
      </c>
      <c r="J678" s="172"/>
    </row>
    <row r="679" spans="9:10" x14ac:dyDescent="0.3">
      <c r="I679" t="str">
        <f>_xlfn.IFNA(INDEX('[1]Sector list'!$A$2:$A$122,MATCH(H679,'[1]Sector list'!$B$2:$B$122,0)),"")</f>
        <v/>
      </c>
      <c r="J679" s="172"/>
    </row>
    <row r="680" spans="9:10" x14ac:dyDescent="0.3">
      <c r="I680" t="str">
        <f>_xlfn.IFNA(INDEX('[1]Sector list'!$A$2:$A$122,MATCH(H680,'[1]Sector list'!$B$2:$B$122,0)),"")</f>
        <v/>
      </c>
      <c r="J680" s="172"/>
    </row>
    <row r="681" spans="9:10" x14ac:dyDescent="0.3">
      <c r="I681" t="str">
        <f>_xlfn.IFNA(INDEX('[1]Sector list'!$A$2:$A$122,MATCH(H681,'[1]Sector list'!$B$2:$B$122,0)),"")</f>
        <v/>
      </c>
      <c r="J681" s="172"/>
    </row>
    <row r="682" spans="9:10" x14ac:dyDescent="0.3">
      <c r="I682" t="str">
        <f>_xlfn.IFNA(INDEX('[1]Sector list'!$A$2:$A$122,MATCH(H682,'[1]Sector list'!$B$2:$B$122,0)),"")</f>
        <v/>
      </c>
      <c r="J682" s="172"/>
    </row>
    <row r="683" spans="9:10" x14ac:dyDescent="0.3">
      <c r="I683" t="str">
        <f>_xlfn.IFNA(INDEX('[1]Sector list'!$A$2:$A$122,MATCH(H683,'[1]Sector list'!$B$2:$B$122,0)),"")</f>
        <v/>
      </c>
      <c r="J683" s="172"/>
    </row>
    <row r="684" spans="9:10" x14ac:dyDescent="0.3">
      <c r="I684" t="str">
        <f>_xlfn.IFNA(INDEX('[1]Sector list'!$A$2:$A$122,MATCH(H684,'[1]Sector list'!$B$2:$B$122,0)),"")</f>
        <v/>
      </c>
      <c r="J684" s="172"/>
    </row>
    <row r="685" spans="9:10" x14ac:dyDescent="0.3">
      <c r="I685" t="str">
        <f>_xlfn.IFNA(INDEX('[1]Sector list'!$A$2:$A$122,MATCH(H685,'[1]Sector list'!$B$2:$B$122,0)),"")</f>
        <v/>
      </c>
      <c r="J685" s="172"/>
    </row>
    <row r="686" spans="9:10" x14ac:dyDescent="0.3">
      <c r="I686" t="str">
        <f>_xlfn.IFNA(INDEX('[1]Sector list'!$A$2:$A$122,MATCH(H686,'[1]Sector list'!$B$2:$B$122,0)),"")</f>
        <v/>
      </c>
      <c r="J686" s="172"/>
    </row>
    <row r="687" spans="9:10" x14ac:dyDescent="0.3">
      <c r="I687" t="str">
        <f>_xlfn.IFNA(INDEX('[1]Sector list'!$A$2:$A$122,MATCH(H687,'[1]Sector list'!$B$2:$B$122,0)),"")</f>
        <v/>
      </c>
      <c r="J687" s="172"/>
    </row>
    <row r="688" spans="9:10" x14ac:dyDescent="0.3">
      <c r="I688" t="str">
        <f>_xlfn.IFNA(INDEX('[1]Sector list'!$A$2:$A$122,MATCH(H688,'[1]Sector list'!$B$2:$B$122,0)),"")</f>
        <v/>
      </c>
      <c r="J688" s="172"/>
    </row>
    <row r="689" spans="9:10" x14ac:dyDescent="0.3">
      <c r="I689" t="str">
        <f>_xlfn.IFNA(INDEX('[1]Sector list'!$A$2:$A$122,MATCH(H689,'[1]Sector list'!$B$2:$B$122,0)),"")</f>
        <v/>
      </c>
      <c r="J689" s="172"/>
    </row>
    <row r="690" spans="9:10" x14ac:dyDescent="0.3">
      <c r="I690" t="str">
        <f>_xlfn.IFNA(INDEX('[1]Sector list'!$A$2:$A$122,MATCH(H690,'[1]Sector list'!$B$2:$B$122,0)),"")</f>
        <v/>
      </c>
      <c r="J690" s="172"/>
    </row>
    <row r="691" spans="9:10" x14ac:dyDescent="0.3">
      <c r="I691" t="str">
        <f>_xlfn.IFNA(INDEX('[1]Sector list'!$A$2:$A$122,MATCH(H691,'[1]Sector list'!$B$2:$B$122,0)),"")</f>
        <v/>
      </c>
      <c r="J691" s="172"/>
    </row>
    <row r="692" spans="9:10" x14ac:dyDescent="0.3">
      <c r="I692" t="str">
        <f>_xlfn.IFNA(INDEX('[1]Sector list'!$A$2:$A$122,MATCH(H692,'[1]Sector list'!$B$2:$B$122,0)),"")</f>
        <v/>
      </c>
      <c r="J692" s="172"/>
    </row>
    <row r="693" spans="9:10" x14ac:dyDescent="0.3">
      <c r="I693" t="str">
        <f>_xlfn.IFNA(INDEX('[1]Sector list'!$A$2:$A$122,MATCH(H693,'[1]Sector list'!$B$2:$B$122,0)),"")</f>
        <v/>
      </c>
      <c r="J693" s="172"/>
    </row>
    <row r="694" spans="9:10" x14ac:dyDescent="0.3">
      <c r="I694" t="str">
        <f>_xlfn.IFNA(INDEX('[1]Sector list'!$A$2:$A$122,MATCH(H694,'[1]Sector list'!$B$2:$B$122,0)),"")</f>
        <v/>
      </c>
      <c r="J694" s="172"/>
    </row>
    <row r="695" spans="9:10" x14ac:dyDescent="0.3">
      <c r="I695" t="str">
        <f>_xlfn.IFNA(INDEX('[1]Sector list'!$A$2:$A$122,MATCH(H695,'[1]Sector list'!$B$2:$B$122,0)),"")</f>
        <v/>
      </c>
      <c r="J695" s="172"/>
    </row>
    <row r="696" spans="9:10" x14ac:dyDescent="0.3">
      <c r="I696" t="str">
        <f>_xlfn.IFNA(INDEX('[1]Sector list'!$A$2:$A$122,MATCH(H696,'[1]Sector list'!$B$2:$B$122,0)),"")</f>
        <v/>
      </c>
      <c r="J696" s="172"/>
    </row>
    <row r="697" spans="9:10" x14ac:dyDescent="0.3">
      <c r="I697" t="str">
        <f>_xlfn.IFNA(INDEX('[1]Sector list'!$A$2:$A$122,MATCH(H697,'[1]Sector list'!$B$2:$B$122,0)),"")</f>
        <v/>
      </c>
      <c r="J697" s="172"/>
    </row>
    <row r="698" spans="9:10" x14ac:dyDescent="0.3">
      <c r="I698" t="str">
        <f>_xlfn.IFNA(INDEX('[1]Sector list'!$A$2:$A$122,MATCH(H698,'[1]Sector list'!$B$2:$B$122,0)),"")</f>
        <v/>
      </c>
      <c r="J698" s="172"/>
    </row>
    <row r="699" spans="9:10" x14ac:dyDescent="0.3">
      <c r="I699" t="str">
        <f>_xlfn.IFNA(INDEX('[1]Sector list'!$A$2:$A$122,MATCH(H699,'[1]Sector list'!$B$2:$B$122,0)),"")</f>
        <v/>
      </c>
      <c r="J699" s="172"/>
    </row>
    <row r="700" spans="9:10" x14ac:dyDescent="0.3">
      <c r="I700" t="str">
        <f>_xlfn.IFNA(INDEX('[1]Sector list'!$A$2:$A$122,MATCH(H700,'[1]Sector list'!$B$2:$B$122,0)),"")</f>
        <v/>
      </c>
      <c r="J700" s="172"/>
    </row>
    <row r="701" spans="9:10" x14ac:dyDescent="0.3">
      <c r="I701" t="str">
        <f>_xlfn.IFNA(INDEX('[1]Sector list'!$A$2:$A$122,MATCH(H701,'[1]Sector list'!$B$2:$B$122,0)),"")</f>
        <v/>
      </c>
      <c r="J701" s="172"/>
    </row>
    <row r="702" spans="9:10" x14ac:dyDescent="0.3">
      <c r="I702" t="str">
        <f>_xlfn.IFNA(INDEX('[1]Sector list'!$A$2:$A$122,MATCH(H702,'[1]Sector list'!$B$2:$B$122,0)),"")</f>
        <v/>
      </c>
      <c r="J702" s="172"/>
    </row>
    <row r="703" spans="9:10" x14ac:dyDescent="0.3">
      <c r="I703" t="str">
        <f>_xlfn.IFNA(INDEX('[1]Sector list'!$A$2:$A$122,MATCH(H703,'[1]Sector list'!$B$2:$B$122,0)),"")</f>
        <v/>
      </c>
      <c r="J703" s="172"/>
    </row>
    <row r="704" spans="9:10" x14ac:dyDescent="0.3">
      <c r="I704" t="str">
        <f>_xlfn.IFNA(INDEX('[1]Sector list'!$A$2:$A$122,MATCH(H704,'[1]Sector list'!$B$2:$B$122,0)),"")</f>
        <v/>
      </c>
      <c r="J704" s="172"/>
    </row>
    <row r="705" spans="9:10" x14ac:dyDescent="0.3">
      <c r="I705" t="str">
        <f>_xlfn.IFNA(INDEX('[1]Sector list'!$A$2:$A$122,MATCH(H705,'[1]Sector list'!$B$2:$B$122,0)),"")</f>
        <v/>
      </c>
      <c r="J705" s="172"/>
    </row>
    <row r="706" spans="9:10" x14ac:dyDescent="0.3">
      <c r="I706" t="str">
        <f>_xlfn.IFNA(INDEX('[1]Sector list'!$A$2:$A$122,MATCH(H706,'[1]Sector list'!$B$2:$B$122,0)),"")</f>
        <v/>
      </c>
      <c r="J706" s="172"/>
    </row>
    <row r="707" spans="9:10" x14ac:dyDescent="0.3">
      <c r="I707" t="str">
        <f>_xlfn.IFNA(INDEX('[1]Sector list'!$A$2:$A$122,MATCH(H707,'[1]Sector list'!$B$2:$B$122,0)),"")</f>
        <v/>
      </c>
      <c r="J707" s="172"/>
    </row>
    <row r="708" spans="9:10" x14ac:dyDescent="0.3">
      <c r="I708" t="str">
        <f>_xlfn.IFNA(INDEX('[1]Sector list'!$A$2:$A$122,MATCH(H708,'[1]Sector list'!$B$2:$B$122,0)),"")</f>
        <v/>
      </c>
      <c r="J708" s="172"/>
    </row>
    <row r="709" spans="9:10" x14ac:dyDescent="0.3">
      <c r="I709" t="str">
        <f>_xlfn.IFNA(INDEX('[1]Sector list'!$A$2:$A$122,MATCH(H709,'[1]Sector list'!$B$2:$B$122,0)),"")</f>
        <v/>
      </c>
      <c r="J709" s="172"/>
    </row>
    <row r="710" spans="9:10" x14ac:dyDescent="0.3">
      <c r="I710" t="str">
        <f>_xlfn.IFNA(INDEX('[1]Sector list'!$A$2:$A$122,MATCH(H710,'[1]Sector list'!$B$2:$B$122,0)),"")</f>
        <v/>
      </c>
      <c r="J710" s="172"/>
    </row>
    <row r="711" spans="9:10" x14ac:dyDescent="0.3">
      <c r="I711" t="str">
        <f>_xlfn.IFNA(INDEX('[1]Sector list'!$A$2:$A$122,MATCH(H711,'[1]Sector list'!$B$2:$B$122,0)),"")</f>
        <v/>
      </c>
      <c r="J711" s="172"/>
    </row>
    <row r="712" spans="9:10" x14ac:dyDescent="0.3">
      <c r="I712" t="str">
        <f>_xlfn.IFNA(INDEX('[1]Sector list'!$A$2:$A$122,MATCH(H712,'[1]Sector list'!$B$2:$B$122,0)),"")</f>
        <v/>
      </c>
      <c r="J712" s="172"/>
    </row>
    <row r="713" spans="9:10" x14ac:dyDescent="0.3">
      <c r="I713" t="str">
        <f>_xlfn.IFNA(INDEX('[1]Sector list'!$A$2:$A$122,MATCH(H713,'[1]Sector list'!$B$2:$B$122,0)),"")</f>
        <v/>
      </c>
      <c r="J713" s="172"/>
    </row>
    <row r="714" spans="9:10" x14ac:dyDescent="0.3">
      <c r="I714" t="str">
        <f>_xlfn.IFNA(INDEX('[1]Sector list'!$A$2:$A$122,MATCH(H714,'[1]Sector list'!$B$2:$B$122,0)),"")</f>
        <v/>
      </c>
      <c r="J714" s="172"/>
    </row>
    <row r="715" spans="9:10" x14ac:dyDescent="0.3">
      <c r="I715" t="str">
        <f>_xlfn.IFNA(INDEX('[1]Sector list'!$A$2:$A$122,MATCH(H715,'[1]Sector list'!$B$2:$B$122,0)),"")</f>
        <v/>
      </c>
      <c r="J715" s="172"/>
    </row>
    <row r="716" spans="9:10" x14ac:dyDescent="0.3">
      <c r="I716" t="str">
        <f>_xlfn.IFNA(INDEX('[1]Sector list'!$A$2:$A$122,MATCH(H716,'[1]Sector list'!$B$2:$B$122,0)),"")</f>
        <v/>
      </c>
      <c r="J716" s="172"/>
    </row>
    <row r="717" spans="9:10" x14ac:dyDescent="0.3">
      <c r="I717" t="str">
        <f>_xlfn.IFNA(INDEX('[1]Sector list'!$A$2:$A$122,MATCH(H717,'[1]Sector list'!$B$2:$B$122,0)),"")</f>
        <v/>
      </c>
      <c r="J717" s="172"/>
    </row>
    <row r="718" spans="9:10" x14ac:dyDescent="0.3">
      <c r="I718" t="str">
        <f>_xlfn.IFNA(INDEX('[1]Sector list'!$A$2:$A$122,MATCH(H718,'[1]Sector list'!$B$2:$B$122,0)),"")</f>
        <v/>
      </c>
      <c r="J718" s="172"/>
    </row>
    <row r="719" spans="9:10" x14ac:dyDescent="0.3">
      <c r="I719" t="str">
        <f>_xlfn.IFNA(INDEX('[1]Sector list'!$A$2:$A$122,MATCH(H719,'[1]Sector list'!$B$2:$B$122,0)),"")</f>
        <v/>
      </c>
      <c r="J719" s="172"/>
    </row>
    <row r="720" spans="9:10" x14ac:dyDescent="0.3">
      <c r="I720" t="str">
        <f>_xlfn.IFNA(INDEX('[1]Sector list'!$A$2:$A$122,MATCH(H720,'[1]Sector list'!$B$2:$B$122,0)),"")</f>
        <v/>
      </c>
      <c r="J720" s="172"/>
    </row>
    <row r="721" spans="9:10" x14ac:dyDescent="0.3">
      <c r="I721" t="str">
        <f>_xlfn.IFNA(INDEX('[1]Sector list'!$A$2:$A$122,MATCH(H721,'[1]Sector list'!$B$2:$B$122,0)),"")</f>
        <v/>
      </c>
      <c r="J721" s="172"/>
    </row>
    <row r="722" spans="9:10" x14ac:dyDescent="0.3">
      <c r="I722" t="str">
        <f>_xlfn.IFNA(INDEX('[1]Sector list'!$A$2:$A$122,MATCH(H722,'[1]Sector list'!$B$2:$B$122,0)),"")</f>
        <v/>
      </c>
      <c r="J722" s="172"/>
    </row>
    <row r="723" spans="9:10" x14ac:dyDescent="0.3">
      <c r="I723" t="str">
        <f>_xlfn.IFNA(INDEX('[1]Sector list'!$A$2:$A$122,MATCH(H723,'[1]Sector list'!$B$2:$B$122,0)),"")</f>
        <v/>
      </c>
      <c r="J723" s="172"/>
    </row>
    <row r="724" spans="9:10" x14ac:dyDescent="0.3">
      <c r="I724" t="str">
        <f>_xlfn.IFNA(INDEX('[1]Sector list'!$A$2:$A$122,MATCH(H724,'[1]Sector list'!$B$2:$B$122,0)),"")</f>
        <v/>
      </c>
      <c r="J724" s="172"/>
    </row>
    <row r="725" spans="9:10" x14ac:dyDescent="0.3">
      <c r="I725" t="str">
        <f>_xlfn.IFNA(INDEX('[1]Sector list'!$A$2:$A$122,MATCH(H725,'[1]Sector list'!$B$2:$B$122,0)),"")</f>
        <v/>
      </c>
      <c r="J725" s="172"/>
    </row>
    <row r="726" spans="9:10" x14ac:dyDescent="0.3">
      <c r="I726" t="str">
        <f>_xlfn.IFNA(INDEX('[1]Sector list'!$A$2:$A$122,MATCH(H726,'[1]Sector list'!$B$2:$B$122,0)),"")</f>
        <v/>
      </c>
      <c r="J726" s="172"/>
    </row>
    <row r="727" spans="9:10" x14ac:dyDescent="0.3">
      <c r="I727" t="str">
        <f>_xlfn.IFNA(INDEX('[1]Sector list'!$A$2:$A$122,MATCH(H727,'[1]Sector list'!$B$2:$B$122,0)),"")</f>
        <v/>
      </c>
      <c r="J727" s="172"/>
    </row>
    <row r="728" spans="9:10" x14ac:dyDescent="0.3">
      <c r="I728" t="str">
        <f>_xlfn.IFNA(INDEX('[1]Sector list'!$A$2:$A$122,MATCH(H728,'[1]Sector list'!$B$2:$B$122,0)),"")</f>
        <v/>
      </c>
      <c r="J728" s="172"/>
    </row>
    <row r="729" spans="9:10" x14ac:dyDescent="0.3">
      <c r="I729" t="str">
        <f>_xlfn.IFNA(INDEX('[1]Sector list'!$A$2:$A$122,MATCH(H729,'[1]Sector list'!$B$2:$B$122,0)),"")</f>
        <v/>
      </c>
      <c r="J729" s="172"/>
    </row>
    <row r="730" spans="9:10" x14ac:dyDescent="0.3">
      <c r="I730" t="str">
        <f>_xlfn.IFNA(INDEX('[1]Sector list'!$A$2:$A$122,MATCH(H730,'[1]Sector list'!$B$2:$B$122,0)),"")</f>
        <v/>
      </c>
      <c r="J730" s="172"/>
    </row>
    <row r="731" spans="9:10" x14ac:dyDescent="0.3">
      <c r="I731" t="str">
        <f>_xlfn.IFNA(INDEX('[1]Sector list'!$A$2:$A$122,MATCH(H731,'[1]Sector list'!$B$2:$B$122,0)),"")</f>
        <v/>
      </c>
      <c r="J731" s="172"/>
    </row>
    <row r="732" spans="9:10" x14ac:dyDescent="0.3">
      <c r="I732" t="str">
        <f>_xlfn.IFNA(INDEX('[1]Sector list'!$A$2:$A$122,MATCH(H732,'[1]Sector list'!$B$2:$B$122,0)),"")</f>
        <v/>
      </c>
      <c r="J732" s="172"/>
    </row>
    <row r="733" spans="9:10" x14ac:dyDescent="0.3">
      <c r="I733" t="str">
        <f>_xlfn.IFNA(INDEX('[1]Sector list'!$A$2:$A$122,MATCH(H733,'[1]Sector list'!$B$2:$B$122,0)),"")</f>
        <v/>
      </c>
      <c r="J733" s="172"/>
    </row>
    <row r="734" spans="9:10" x14ac:dyDescent="0.3">
      <c r="I734" t="str">
        <f>_xlfn.IFNA(INDEX('[1]Sector list'!$A$2:$A$122,MATCH(H734,'[1]Sector list'!$B$2:$B$122,0)),"")</f>
        <v/>
      </c>
      <c r="J734" s="172"/>
    </row>
    <row r="735" spans="9:10" x14ac:dyDescent="0.3">
      <c r="I735" t="str">
        <f>_xlfn.IFNA(INDEX('[1]Sector list'!$A$2:$A$122,MATCH(H735,'[1]Sector list'!$B$2:$B$122,0)),"")</f>
        <v/>
      </c>
      <c r="J735" s="172"/>
    </row>
    <row r="736" spans="9:10" x14ac:dyDescent="0.3">
      <c r="I736" t="str">
        <f>_xlfn.IFNA(INDEX('[1]Sector list'!$A$2:$A$122,MATCH(H736,'[1]Sector list'!$B$2:$B$122,0)),"")</f>
        <v/>
      </c>
      <c r="J736" s="172"/>
    </row>
    <row r="737" spans="9:10" x14ac:dyDescent="0.3">
      <c r="I737" t="str">
        <f>_xlfn.IFNA(INDEX('[1]Sector list'!$A$2:$A$122,MATCH(H737,'[1]Sector list'!$B$2:$B$122,0)),"")</f>
        <v/>
      </c>
      <c r="J737" s="172"/>
    </row>
    <row r="738" spans="9:10" x14ac:dyDescent="0.3">
      <c r="I738" t="str">
        <f>_xlfn.IFNA(INDEX('[1]Sector list'!$A$2:$A$122,MATCH(H738,'[1]Sector list'!$B$2:$B$122,0)),"")</f>
        <v/>
      </c>
      <c r="J738" s="172"/>
    </row>
    <row r="739" spans="9:10" x14ac:dyDescent="0.3">
      <c r="I739" t="str">
        <f>_xlfn.IFNA(INDEX('[1]Sector list'!$A$2:$A$122,MATCH(H739,'[1]Sector list'!$B$2:$B$122,0)),"")</f>
        <v/>
      </c>
      <c r="J739" s="172"/>
    </row>
    <row r="740" spans="9:10" x14ac:dyDescent="0.3">
      <c r="I740" t="str">
        <f>_xlfn.IFNA(INDEX('[1]Sector list'!$A$2:$A$122,MATCH(H740,'[1]Sector list'!$B$2:$B$122,0)),"")</f>
        <v/>
      </c>
      <c r="J740" s="172"/>
    </row>
    <row r="741" spans="9:10" x14ac:dyDescent="0.3">
      <c r="I741" t="str">
        <f>_xlfn.IFNA(INDEX('[1]Sector list'!$A$2:$A$122,MATCH(H741,'[1]Sector list'!$B$2:$B$122,0)),"")</f>
        <v/>
      </c>
      <c r="J741" s="172"/>
    </row>
    <row r="742" spans="9:10" x14ac:dyDescent="0.3">
      <c r="I742" t="str">
        <f>_xlfn.IFNA(INDEX('[1]Sector list'!$A$2:$A$122,MATCH(H742,'[1]Sector list'!$B$2:$B$122,0)),"")</f>
        <v/>
      </c>
      <c r="J742" s="172"/>
    </row>
    <row r="743" spans="9:10" x14ac:dyDescent="0.3">
      <c r="I743" t="str">
        <f>_xlfn.IFNA(INDEX('[1]Sector list'!$A$2:$A$122,MATCH(H743,'[1]Sector list'!$B$2:$B$122,0)),"")</f>
        <v/>
      </c>
      <c r="J743" s="172"/>
    </row>
    <row r="744" spans="9:10" x14ac:dyDescent="0.3">
      <c r="I744" t="str">
        <f>_xlfn.IFNA(INDEX('[1]Sector list'!$A$2:$A$122,MATCH(H744,'[1]Sector list'!$B$2:$B$122,0)),"")</f>
        <v/>
      </c>
      <c r="J744" s="172"/>
    </row>
    <row r="745" spans="9:10" x14ac:dyDescent="0.3">
      <c r="I745" t="str">
        <f>_xlfn.IFNA(INDEX('[1]Sector list'!$A$2:$A$122,MATCH(H745,'[1]Sector list'!$B$2:$B$122,0)),"")</f>
        <v/>
      </c>
      <c r="J745" s="172"/>
    </row>
    <row r="746" spans="9:10" x14ac:dyDescent="0.3">
      <c r="I746" t="str">
        <f>_xlfn.IFNA(INDEX('[1]Sector list'!$A$2:$A$122,MATCH(H746,'[1]Sector list'!$B$2:$B$122,0)),"")</f>
        <v/>
      </c>
      <c r="J746" s="172"/>
    </row>
    <row r="747" spans="9:10" x14ac:dyDescent="0.3">
      <c r="I747" t="str">
        <f>_xlfn.IFNA(INDEX('[1]Sector list'!$A$2:$A$122,MATCH(H747,'[1]Sector list'!$B$2:$B$122,0)),"")</f>
        <v/>
      </c>
      <c r="J747" s="172"/>
    </row>
    <row r="748" spans="9:10" x14ac:dyDescent="0.3">
      <c r="I748" t="str">
        <f>_xlfn.IFNA(INDEX('[1]Sector list'!$A$2:$A$122,MATCH(H748,'[1]Sector list'!$B$2:$B$122,0)),"")</f>
        <v/>
      </c>
      <c r="J748" s="172"/>
    </row>
    <row r="749" spans="9:10" x14ac:dyDescent="0.3">
      <c r="I749" t="str">
        <f>_xlfn.IFNA(INDEX('[1]Sector list'!$A$2:$A$122,MATCH(H749,'[1]Sector list'!$B$2:$B$122,0)),"")</f>
        <v/>
      </c>
      <c r="J749" s="172"/>
    </row>
    <row r="750" spans="9:10" x14ac:dyDescent="0.3">
      <c r="I750" t="str">
        <f>_xlfn.IFNA(INDEX('[1]Sector list'!$A$2:$A$122,MATCH(H750,'[1]Sector list'!$B$2:$B$122,0)),"")</f>
        <v/>
      </c>
      <c r="J750" s="172"/>
    </row>
    <row r="751" spans="9:10" x14ac:dyDescent="0.3">
      <c r="I751" t="str">
        <f>_xlfn.IFNA(INDEX('[1]Sector list'!$A$2:$A$122,MATCH(H751,'[1]Sector list'!$B$2:$B$122,0)),"")</f>
        <v/>
      </c>
      <c r="J751" s="172"/>
    </row>
    <row r="752" spans="9:10" x14ac:dyDescent="0.3">
      <c r="I752" t="str">
        <f>_xlfn.IFNA(INDEX('[1]Sector list'!$A$2:$A$122,MATCH(H752,'[1]Sector list'!$B$2:$B$122,0)),"")</f>
        <v/>
      </c>
      <c r="J752" s="172"/>
    </row>
    <row r="753" spans="9:10" x14ac:dyDescent="0.3">
      <c r="I753" t="str">
        <f>_xlfn.IFNA(INDEX('[1]Sector list'!$A$2:$A$122,MATCH(H753,'[1]Sector list'!$B$2:$B$122,0)),"")</f>
        <v/>
      </c>
      <c r="J753" s="172"/>
    </row>
    <row r="754" spans="9:10" x14ac:dyDescent="0.3">
      <c r="I754" t="str">
        <f>_xlfn.IFNA(INDEX('[1]Sector list'!$A$2:$A$122,MATCH(H754,'[1]Sector list'!$B$2:$B$122,0)),"")</f>
        <v/>
      </c>
      <c r="J754" s="172"/>
    </row>
    <row r="755" spans="9:10" x14ac:dyDescent="0.3">
      <c r="I755" t="str">
        <f>_xlfn.IFNA(INDEX('[1]Sector list'!$A$2:$A$122,MATCH(H755,'[1]Sector list'!$B$2:$B$122,0)),"")</f>
        <v/>
      </c>
      <c r="J755" s="172"/>
    </row>
    <row r="756" spans="9:10" x14ac:dyDescent="0.3">
      <c r="I756" t="str">
        <f>_xlfn.IFNA(INDEX('[1]Sector list'!$A$2:$A$122,MATCH(H756,'[1]Sector list'!$B$2:$B$122,0)),"")</f>
        <v/>
      </c>
      <c r="J756" s="172"/>
    </row>
    <row r="757" spans="9:10" x14ac:dyDescent="0.3">
      <c r="I757" t="str">
        <f>_xlfn.IFNA(INDEX('[1]Sector list'!$A$2:$A$122,MATCH(H757,'[1]Sector list'!$B$2:$B$122,0)),"")</f>
        <v/>
      </c>
      <c r="J757" s="172"/>
    </row>
    <row r="758" spans="9:10" x14ac:dyDescent="0.3">
      <c r="I758" t="str">
        <f>_xlfn.IFNA(INDEX('[1]Sector list'!$A$2:$A$122,MATCH(H758,'[1]Sector list'!$B$2:$B$122,0)),"")</f>
        <v/>
      </c>
      <c r="J758" s="172"/>
    </row>
    <row r="759" spans="9:10" x14ac:dyDescent="0.3">
      <c r="I759" t="str">
        <f>_xlfn.IFNA(INDEX('[1]Sector list'!$A$2:$A$122,MATCH(H759,'[1]Sector list'!$B$2:$B$122,0)),"")</f>
        <v/>
      </c>
      <c r="J759" s="172"/>
    </row>
    <row r="760" spans="9:10" x14ac:dyDescent="0.3">
      <c r="I760" t="str">
        <f>_xlfn.IFNA(INDEX('[1]Sector list'!$A$2:$A$122,MATCH(H760,'[1]Sector list'!$B$2:$B$122,0)),"")</f>
        <v/>
      </c>
      <c r="J760" s="172"/>
    </row>
    <row r="761" spans="9:10" x14ac:dyDescent="0.3">
      <c r="I761" t="str">
        <f>_xlfn.IFNA(INDEX('[1]Sector list'!$A$2:$A$122,MATCH(H761,'[1]Sector list'!$B$2:$B$122,0)),"")</f>
        <v/>
      </c>
      <c r="J761" s="172"/>
    </row>
    <row r="762" spans="9:10" x14ac:dyDescent="0.3">
      <c r="I762" t="str">
        <f>_xlfn.IFNA(INDEX('[1]Sector list'!$A$2:$A$122,MATCH(H762,'[1]Sector list'!$B$2:$B$122,0)),"")</f>
        <v/>
      </c>
      <c r="J762" s="172"/>
    </row>
    <row r="763" spans="9:10" x14ac:dyDescent="0.3">
      <c r="I763" t="str">
        <f>_xlfn.IFNA(INDEX('[1]Sector list'!$A$2:$A$122,MATCH(H763,'[1]Sector list'!$B$2:$B$122,0)),"")</f>
        <v/>
      </c>
      <c r="J763" s="172"/>
    </row>
    <row r="764" spans="9:10" x14ac:dyDescent="0.3">
      <c r="I764" t="str">
        <f>_xlfn.IFNA(INDEX('[1]Sector list'!$A$2:$A$122,MATCH(H764,'[1]Sector list'!$B$2:$B$122,0)),"")</f>
        <v/>
      </c>
      <c r="J764" s="172"/>
    </row>
    <row r="765" spans="9:10" x14ac:dyDescent="0.3">
      <c r="I765" t="str">
        <f>_xlfn.IFNA(INDEX('[1]Sector list'!$A$2:$A$122,MATCH(H765,'[1]Sector list'!$B$2:$B$122,0)),"")</f>
        <v/>
      </c>
      <c r="J765" s="172"/>
    </row>
    <row r="766" spans="9:10" x14ac:dyDescent="0.3">
      <c r="I766" t="str">
        <f>_xlfn.IFNA(INDEX('[1]Sector list'!$A$2:$A$122,MATCH(H766,'[1]Sector list'!$B$2:$B$122,0)),"")</f>
        <v/>
      </c>
      <c r="J766" s="172"/>
    </row>
    <row r="767" spans="9:10" x14ac:dyDescent="0.3">
      <c r="I767" t="str">
        <f>_xlfn.IFNA(INDEX('[1]Sector list'!$A$2:$A$122,MATCH(H767,'[1]Sector list'!$B$2:$B$122,0)),"")</f>
        <v/>
      </c>
      <c r="J767" s="172"/>
    </row>
    <row r="768" spans="9:10" x14ac:dyDescent="0.3">
      <c r="I768" t="str">
        <f>_xlfn.IFNA(INDEX('[1]Sector list'!$A$2:$A$122,MATCH(H768,'[1]Sector list'!$B$2:$B$122,0)),"")</f>
        <v/>
      </c>
      <c r="J768" s="172"/>
    </row>
    <row r="769" spans="9:10" x14ac:dyDescent="0.3">
      <c r="I769" t="str">
        <f>_xlfn.IFNA(INDEX('[1]Sector list'!$A$2:$A$122,MATCH(H769,'[1]Sector list'!$B$2:$B$122,0)),"")</f>
        <v/>
      </c>
      <c r="J769" s="172"/>
    </row>
    <row r="770" spans="9:10" x14ac:dyDescent="0.3">
      <c r="I770" t="str">
        <f>_xlfn.IFNA(INDEX('[1]Sector list'!$A$2:$A$122,MATCH(H770,'[1]Sector list'!$B$2:$B$122,0)),"")</f>
        <v/>
      </c>
      <c r="J770" s="172"/>
    </row>
    <row r="771" spans="9:10" x14ac:dyDescent="0.3">
      <c r="I771" t="str">
        <f>_xlfn.IFNA(INDEX('[1]Sector list'!$A$2:$A$122,MATCH(H771,'[1]Sector list'!$B$2:$B$122,0)),"")</f>
        <v/>
      </c>
      <c r="J771" s="172"/>
    </row>
    <row r="772" spans="9:10" x14ac:dyDescent="0.3">
      <c r="I772" t="str">
        <f>_xlfn.IFNA(INDEX('[1]Sector list'!$A$2:$A$122,MATCH(H772,'[1]Sector list'!$B$2:$B$122,0)),"")</f>
        <v/>
      </c>
      <c r="J772" s="172"/>
    </row>
    <row r="773" spans="9:10" x14ac:dyDescent="0.3">
      <c r="I773" t="str">
        <f>_xlfn.IFNA(INDEX('[1]Sector list'!$A$2:$A$122,MATCH(H773,'[1]Sector list'!$B$2:$B$122,0)),"")</f>
        <v/>
      </c>
      <c r="J773" s="172"/>
    </row>
    <row r="774" spans="9:10" x14ac:dyDescent="0.3">
      <c r="I774" t="str">
        <f>_xlfn.IFNA(INDEX('[1]Sector list'!$A$2:$A$122,MATCH(H774,'[1]Sector list'!$B$2:$B$122,0)),"")</f>
        <v/>
      </c>
      <c r="J774" s="172"/>
    </row>
    <row r="775" spans="9:10" x14ac:dyDescent="0.3">
      <c r="I775" t="str">
        <f>_xlfn.IFNA(INDEX('[1]Sector list'!$A$2:$A$122,MATCH(H775,'[1]Sector list'!$B$2:$B$122,0)),"")</f>
        <v/>
      </c>
      <c r="J775" s="172"/>
    </row>
    <row r="776" spans="9:10" x14ac:dyDescent="0.3">
      <c r="I776" t="str">
        <f>_xlfn.IFNA(INDEX('[1]Sector list'!$A$2:$A$122,MATCH(H776,'[1]Sector list'!$B$2:$B$122,0)),"")</f>
        <v/>
      </c>
      <c r="J776" s="172"/>
    </row>
    <row r="777" spans="9:10" x14ac:dyDescent="0.3">
      <c r="I777" t="str">
        <f>_xlfn.IFNA(INDEX('[1]Sector list'!$A$2:$A$122,MATCH(H777,'[1]Sector list'!$B$2:$B$122,0)),"")</f>
        <v/>
      </c>
      <c r="J777" s="172"/>
    </row>
    <row r="778" spans="9:10" x14ac:dyDescent="0.3">
      <c r="I778" t="str">
        <f>_xlfn.IFNA(INDEX('[1]Sector list'!$A$2:$A$122,MATCH(H778,'[1]Sector list'!$B$2:$B$122,0)),"")</f>
        <v/>
      </c>
      <c r="J778" s="172"/>
    </row>
    <row r="779" spans="9:10" x14ac:dyDescent="0.3">
      <c r="I779" t="str">
        <f>_xlfn.IFNA(INDEX('[1]Sector list'!$A$2:$A$122,MATCH(H779,'[1]Sector list'!$B$2:$B$122,0)),"")</f>
        <v/>
      </c>
      <c r="J779" s="172"/>
    </row>
    <row r="780" spans="9:10" x14ac:dyDescent="0.3">
      <c r="I780" t="str">
        <f>_xlfn.IFNA(INDEX('[1]Sector list'!$A$2:$A$122,MATCH(H780,'[1]Sector list'!$B$2:$B$122,0)),"")</f>
        <v/>
      </c>
      <c r="J780" s="172"/>
    </row>
    <row r="781" spans="9:10" x14ac:dyDescent="0.3">
      <c r="I781" t="str">
        <f>_xlfn.IFNA(INDEX('[1]Sector list'!$A$2:$A$122,MATCH(H781,'[1]Sector list'!$B$2:$B$122,0)),"")</f>
        <v/>
      </c>
      <c r="J781" s="172"/>
    </row>
    <row r="782" spans="9:10" x14ac:dyDescent="0.3">
      <c r="I782" t="str">
        <f>_xlfn.IFNA(INDEX('[1]Sector list'!$A$2:$A$122,MATCH(H782,'[1]Sector list'!$B$2:$B$122,0)),"")</f>
        <v/>
      </c>
      <c r="J782" s="172"/>
    </row>
    <row r="783" spans="9:10" x14ac:dyDescent="0.3">
      <c r="I783" t="str">
        <f>_xlfn.IFNA(INDEX('[1]Sector list'!$A$2:$A$122,MATCH(H783,'[1]Sector list'!$B$2:$B$122,0)),"")</f>
        <v/>
      </c>
      <c r="J783" s="172"/>
    </row>
    <row r="784" spans="9:10" x14ac:dyDescent="0.3">
      <c r="I784" t="str">
        <f>_xlfn.IFNA(INDEX('[1]Sector list'!$A$2:$A$122,MATCH(H784,'[1]Sector list'!$B$2:$B$122,0)),"")</f>
        <v/>
      </c>
      <c r="J784" s="172"/>
    </row>
    <row r="785" spans="9:10" x14ac:dyDescent="0.3">
      <c r="I785" t="str">
        <f>_xlfn.IFNA(INDEX('[1]Sector list'!$A$2:$A$122,MATCH(H785,'[1]Sector list'!$B$2:$B$122,0)),"")</f>
        <v/>
      </c>
      <c r="J785" s="172"/>
    </row>
    <row r="786" spans="9:10" x14ac:dyDescent="0.3">
      <c r="I786" t="str">
        <f>_xlfn.IFNA(INDEX('[1]Sector list'!$A$2:$A$122,MATCH(H786,'[1]Sector list'!$B$2:$B$122,0)),"")</f>
        <v/>
      </c>
      <c r="J786" s="172"/>
    </row>
    <row r="787" spans="9:10" x14ac:dyDescent="0.3">
      <c r="I787" t="str">
        <f>_xlfn.IFNA(INDEX('[1]Sector list'!$A$2:$A$122,MATCH(H787,'[1]Sector list'!$B$2:$B$122,0)),"")</f>
        <v/>
      </c>
      <c r="J787" s="172"/>
    </row>
    <row r="788" spans="9:10" x14ac:dyDescent="0.3">
      <c r="I788" t="str">
        <f>_xlfn.IFNA(INDEX('[1]Sector list'!$A$2:$A$122,MATCH(H788,'[1]Sector list'!$B$2:$B$122,0)),"")</f>
        <v/>
      </c>
      <c r="J788" s="172"/>
    </row>
    <row r="789" spans="9:10" x14ac:dyDescent="0.3">
      <c r="I789" t="str">
        <f>_xlfn.IFNA(INDEX('[1]Sector list'!$A$2:$A$122,MATCH(H789,'[1]Sector list'!$B$2:$B$122,0)),"")</f>
        <v/>
      </c>
      <c r="J789" s="172"/>
    </row>
    <row r="790" spans="9:10" x14ac:dyDescent="0.3">
      <c r="I790" t="str">
        <f>_xlfn.IFNA(INDEX('[1]Sector list'!$A$2:$A$122,MATCH(H790,'[1]Sector list'!$B$2:$B$122,0)),"")</f>
        <v/>
      </c>
      <c r="J790" s="172"/>
    </row>
    <row r="791" spans="9:10" x14ac:dyDescent="0.3">
      <c r="I791" t="str">
        <f>_xlfn.IFNA(INDEX('[1]Sector list'!$A$2:$A$122,MATCH(H791,'[1]Sector list'!$B$2:$B$122,0)),"")</f>
        <v/>
      </c>
      <c r="J791" s="172"/>
    </row>
    <row r="792" spans="9:10" x14ac:dyDescent="0.3">
      <c r="I792" t="str">
        <f>_xlfn.IFNA(INDEX('[1]Sector list'!$A$2:$A$122,MATCH(H792,'[1]Sector list'!$B$2:$B$122,0)),"")</f>
        <v/>
      </c>
      <c r="J792" s="172"/>
    </row>
    <row r="793" spans="9:10" x14ac:dyDescent="0.3">
      <c r="I793" t="str">
        <f>_xlfn.IFNA(INDEX('[1]Sector list'!$A$2:$A$122,MATCH(H793,'[1]Sector list'!$B$2:$B$122,0)),"")</f>
        <v/>
      </c>
      <c r="J793" s="172"/>
    </row>
    <row r="794" spans="9:10" x14ac:dyDescent="0.3">
      <c r="I794" t="str">
        <f>_xlfn.IFNA(INDEX('[1]Sector list'!$A$2:$A$122,MATCH(H794,'[1]Sector list'!$B$2:$B$122,0)),"")</f>
        <v/>
      </c>
      <c r="J794" s="172"/>
    </row>
    <row r="795" spans="9:10" x14ac:dyDescent="0.3">
      <c r="I795" t="str">
        <f>_xlfn.IFNA(INDEX('[1]Sector list'!$A$2:$A$122,MATCH(H795,'[1]Sector list'!$B$2:$B$122,0)),"")</f>
        <v/>
      </c>
      <c r="J795" s="172"/>
    </row>
    <row r="796" spans="9:10" x14ac:dyDescent="0.3">
      <c r="I796" t="str">
        <f>_xlfn.IFNA(INDEX('[1]Sector list'!$A$2:$A$122,MATCH(H796,'[1]Sector list'!$B$2:$B$122,0)),"")</f>
        <v/>
      </c>
      <c r="J796" s="172"/>
    </row>
    <row r="797" spans="9:10" x14ac:dyDescent="0.3">
      <c r="I797" t="str">
        <f>_xlfn.IFNA(INDEX('[1]Sector list'!$A$2:$A$122,MATCH(H797,'[1]Sector list'!$B$2:$B$122,0)),"")</f>
        <v/>
      </c>
      <c r="J797" s="172"/>
    </row>
    <row r="798" spans="9:10" x14ac:dyDescent="0.3">
      <c r="I798" t="str">
        <f>_xlfn.IFNA(INDEX('[1]Sector list'!$A$2:$A$122,MATCH(H798,'[1]Sector list'!$B$2:$B$122,0)),"")</f>
        <v/>
      </c>
      <c r="J798" s="172"/>
    </row>
    <row r="799" spans="9:10" x14ac:dyDescent="0.3">
      <c r="I799" t="str">
        <f>_xlfn.IFNA(INDEX('[1]Sector list'!$A$2:$A$122,MATCH(H799,'[1]Sector list'!$B$2:$B$122,0)),"")</f>
        <v/>
      </c>
      <c r="J799" s="172"/>
    </row>
    <row r="800" spans="9:10" x14ac:dyDescent="0.3">
      <c r="I800" t="str">
        <f>_xlfn.IFNA(INDEX('[1]Sector list'!$A$2:$A$122,MATCH(H800,'[1]Sector list'!$B$2:$B$122,0)),"")</f>
        <v/>
      </c>
      <c r="J800" s="172"/>
    </row>
    <row r="801" spans="9:10" x14ac:dyDescent="0.3">
      <c r="I801" t="str">
        <f>_xlfn.IFNA(INDEX('[1]Sector list'!$A$2:$A$122,MATCH(H801,'[1]Sector list'!$B$2:$B$122,0)),"")</f>
        <v/>
      </c>
      <c r="J801" s="172"/>
    </row>
    <row r="802" spans="9:10" x14ac:dyDescent="0.3">
      <c r="I802" t="str">
        <f>_xlfn.IFNA(INDEX('[1]Sector list'!$A$2:$A$122,MATCH(H802,'[1]Sector list'!$B$2:$B$122,0)),"")</f>
        <v/>
      </c>
      <c r="J802" s="172"/>
    </row>
    <row r="803" spans="9:10" x14ac:dyDescent="0.3">
      <c r="I803" t="str">
        <f>_xlfn.IFNA(INDEX('[1]Sector list'!$A$2:$A$122,MATCH(H803,'[1]Sector list'!$B$2:$B$122,0)),"")</f>
        <v/>
      </c>
      <c r="J803" s="172"/>
    </row>
    <row r="804" spans="9:10" x14ac:dyDescent="0.3">
      <c r="I804" t="str">
        <f>_xlfn.IFNA(INDEX('[1]Sector list'!$A$2:$A$122,MATCH(H804,'[1]Sector list'!$B$2:$B$122,0)),"")</f>
        <v/>
      </c>
      <c r="J804" s="172"/>
    </row>
    <row r="805" spans="9:10" x14ac:dyDescent="0.3">
      <c r="I805" t="str">
        <f>_xlfn.IFNA(INDEX('[1]Sector list'!$A$2:$A$122,MATCH(H805,'[1]Sector list'!$B$2:$B$122,0)),"")</f>
        <v/>
      </c>
      <c r="J805" s="172"/>
    </row>
    <row r="806" spans="9:10" x14ac:dyDescent="0.3">
      <c r="I806" t="str">
        <f>_xlfn.IFNA(INDEX('[1]Sector list'!$A$2:$A$122,MATCH(H806,'[1]Sector list'!$B$2:$B$122,0)),"")</f>
        <v/>
      </c>
      <c r="J806" s="172"/>
    </row>
    <row r="807" spans="9:10" x14ac:dyDescent="0.3">
      <c r="I807" t="str">
        <f>_xlfn.IFNA(INDEX('[1]Sector list'!$A$2:$A$122,MATCH(H807,'[1]Sector list'!$B$2:$B$122,0)),"")</f>
        <v/>
      </c>
      <c r="J807" s="172"/>
    </row>
    <row r="808" spans="9:10" x14ac:dyDescent="0.3">
      <c r="I808" t="str">
        <f>_xlfn.IFNA(INDEX('[1]Sector list'!$A$2:$A$122,MATCH(H808,'[1]Sector list'!$B$2:$B$122,0)),"")</f>
        <v/>
      </c>
      <c r="J808" s="172"/>
    </row>
    <row r="809" spans="9:10" x14ac:dyDescent="0.3">
      <c r="I809" t="str">
        <f>_xlfn.IFNA(INDEX('[1]Sector list'!$A$2:$A$122,MATCH(H809,'[1]Sector list'!$B$2:$B$122,0)),"")</f>
        <v/>
      </c>
      <c r="J809" s="172"/>
    </row>
    <row r="810" spans="9:10" x14ac:dyDescent="0.3">
      <c r="I810" t="str">
        <f>_xlfn.IFNA(INDEX('[1]Sector list'!$A$2:$A$122,MATCH(H810,'[1]Sector list'!$B$2:$B$122,0)),"")</f>
        <v/>
      </c>
      <c r="J810" s="172"/>
    </row>
    <row r="811" spans="9:10" x14ac:dyDescent="0.3">
      <c r="I811" t="str">
        <f>_xlfn.IFNA(INDEX('[1]Sector list'!$A$2:$A$122,MATCH(H811,'[1]Sector list'!$B$2:$B$122,0)),"")</f>
        <v/>
      </c>
      <c r="J811" s="172"/>
    </row>
    <row r="812" spans="9:10" x14ac:dyDescent="0.3">
      <c r="I812" t="str">
        <f>_xlfn.IFNA(INDEX('[1]Sector list'!$A$2:$A$122,MATCH(H812,'[1]Sector list'!$B$2:$B$122,0)),"")</f>
        <v/>
      </c>
      <c r="J812" s="172"/>
    </row>
    <row r="813" spans="9:10" x14ac:dyDescent="0.3">
      <c r="I813" t="str">
        <f>_xlfn.IFNA(INDEX('[1]Sector list'!$A$2:$A$122,MATCH(H813,'[1]Sector list'!$B$2:$B$122,0)),"")</f>
        <v/>
      </c>
      <c r="J813" s="172"/>
    </row>
    <row r="814" spans="9:10" x14ac:dyDescent="0.3">
      <c r="I814" t="str">
        <f>_xlfn.IFNA(INDEX('[1]Sector list'!$A$2:$A$122,MATCH(H814,'[1]Sector list'!$B$2:$B$122,0)),"")</f>
        <v/>
      </c>
      <c r="J814" s="172"/>
    </row>
    <row r="815" spans="9:10" x14ac:dyDescent="0.3">
      <c r="I815" t="str">
        <f>_xlfn.IFNA(INDEX('[1]Sector list'!$A$2:$A$122,MATCH(H815,'[1]Sector list'!$B$2:$B$122,0)),"")</f>
        <v/>
      </c>
      <c r="J815" s="172"/>
    </row>
    <row r="816" spans="9:10" x14ac:dyDescent="0.3">
      <c r="I816" t="str">
        <f>_xlfn.IFNA(INDEX('[1]Sector list'!$A$2:$A$122,MATCH(H816,'[1]Sector list'!$B$2:$B$122,0)),"")</f>
        <v/>
      </c>
      <c r="J816" s="172"/>
    </row>
    <row r="817" spans="9:10" x14ac:dyDescent="0.3">
      <c r="I817" t="str">
        <f>_xlfn.IFNA(INDEX('[1]Sector list'!$A$2:$A$122,MATCH(H817,'[1]Sector list'!$B$2:$B$122,0)),"")</f>
        <v/>
      </c>
      <c r="J817" s="172"/>
    </row>
    <row r="818" spans="9:10" x14ac:dyDescent="0.3">
      <c r="I818" t="str">
        <f>_xlfn.IFNA(INDEX('[1]Sector list'!$A$2:$A$122,MATCH(H818,'[1]Sector list'!$B$2:$B$122,0)),"")</f>
        <v/>
      </c>
      <c r="J818" s="172"/>
    </row>
    <row r="819" spans="9:10" x14ac:dyDescent="0.3">
      <c r="I819" t="str">
        <f>_xlfn.IFNA(INDEX('[1]Sector list'!$A$2:$A$122,MATCH(H819,'[1]Sector list'!$B$2:$B$122,0)),"")</f>
        <v/>
      </c>
      <c r="J819" s="172"/>
    </row>
    <row r="820" spans="9:10" x14ac:dyDescent="0.3">
      <c r="I820" t="str">
        <f>_xlfn.IFNA(INDEX('[1]Sector list'!$A$2:$A$122,MATCH(H820,'[1]Sector list'!$B$2:$B$122,0)),"")</f>
        <v/>
      </c>
      <c r="J820" s="172"/>
    </row>
    <row r="821" spans="9:10" x14ac:dyDescent="0.3">
      <c r="I821" t="str">
        <f>_xlfn.IFNA(INDEX('[1]Sector list'!$A$2:$A$122,MATCH(H821,'[1]Sector list'!$B$2:$B$122,0)),"")</f>
        <v/>
      </c>
      <c r="J821" s="172"/>
    </row>
    <row r="822" spans="9:10" x14ac:dyDescent="0.3">
      <c r="I822" t="str">
        <f>_xlfn.IFNA(INDEX('[1]Sector list'!$A$2:$A$122,MATCH(H822,'[1]Sector list'!$B$2:$B$122,0)),"")</f>
        <v/>
      </c>
      <c r="J822" s="172"/>
    </row>
    <row r="823" spans="9:10" x14ac:dyDescent="0.3">
      <c r="I823" t="str">
        <f>_xlfn.IFNA(INDEX('[1]Sector list'!$A$2:$A$122,MATCH(H823,'[1]Sector list'!$B$2:$B$122,0)),"")</f>
        <v/>
      </c>
      <c r="J823" s="172"/>
    </row>
    <row r="824" spans="9:10" x14ac:dyDescent="0.3">
      <c r="I824" t="str">
        <f>_xlfn.IFNA(INDEX('[1]Sector list'!$A$2:$A$122,MATCH(H824,'[1]Sector list'!$B$2:$B$122,0)),"")</f>
        <v/>
      </c>
      <c r="J824" s="172"/>
    </row>
    <row r="825" spans="9:10" x14ac:dyDescent="0.3">
      <c r="I825" t="str">
        <f>_xlfn.IFNA(INDEX('[1]Sector list'!$A$2:$A$122,MATCH(H825,'[1]Sector list'!$B$2:$B$122,0)),"")</f>
        <v/>
      </c>
      <c r="J825" s="172"/>
    </row>
    <row r="826" spans="9:10" x14ac:dyDescent="0.3">
      <c r="I826" t="str">
        <f>_xlfn.IFNA(INDEX('[1]Sector list'!$A$2:$A$122,MATCH(H826,'[1]Sector list'!$B$2:$B$122,0)),"")</f>
        <v/>
      </c>
      <c r="J826" s="172"/>
    </row>
    <row r="827" spans="9:10" x14ac:dyDescent="0.3">
      <c r="I827" t="str">
        <f>_xlfn.IFNA(INDEX('[1]Sector list'!$A$2:$A$122,MATCH(H827,'[1]Sector list'!$B$2:$B$122,0)),"")</f>
        <v/>
      </c>
      <c r="J827" s="172"/>
    </row>
    <row r="828" spans="9:10" x14ac:dyDescent="0.3">
      <c r="I828" t="str">
        <f>_xlfn.IFNA(INDEX('[1]Sector list'!$A$2:$A$122,MATCH(H828,'[1]Sector list'!$B$2:$B$122,0)),"")</f>
        <v/>
      </c>
      <c r="J828" s="172"/>
    </row>
    <row r="829" spans="9:10" x14ac:dyDescent="0.3">
      <c r="I829" t="str">
        <f>_xlfn.IFNA(INDEX('[1]Sector list'!$A$2:$A$122,MATCH(H829,'[1]Sector list'!$B$2:$B$122,0)),"")</f>
        <v/>
      </c>
      <c r="J829" s="172"/>
    </row>
    <row r="830" spans="9:10" x14ac:dyDescent="0.3">
      <c r="I830" t="str">
        <f>_xlfn.IFNA(INDEX('[1]Sector list'!$A$2:$A$122,MATCH(H830,'[1]Sector list'!$B$2:$B$122,0)),"")</f>
        <v/>
      </c>
      <c r="J830" s="172"/>
    </row>
    <row r="831" spans="9:10" x14ac:dyDescent="0.3">
      <c r="I831" t="str">
        <f>_xlfn.IFNA(INDEX('[1]Sector list'!$A$2:$A$122,MATCH(H831,'[1]Sector list'!$B$2:$B$122,0)),"")</f>
        <v/>
      </c>
      <c r="J831" s="172"/>
    </row>
    <row r="832" spans="9:10" x14ac:dyDescent="0.3">
      <c r="I832" t="str">
        <f>_xlfn.IFNA(INDEX('[1]Sector list'!$A$2:$A$122,MATCH(H832,'[1]Sector list'!$B$2:$B$122,0)),"")</f>
        <v/>
      </c>
      <c r="J832" s="172"/>
    </row>
    <row r="833" spans="9:10" x14ac:dyDescent="0.3">
      <c r="I833" t="str">
        <f>_xlfn.IFNA(INDEX('[1]Sector list'!$A$2:$A$122,MATCH(H833,'[1]Sector list'!$B$2:$B$122,0)),"")</f>
        <v/>
      </c>
      <c r="J833" s="172"/>
    </row>
    <row r="834" spans="9:10" x14ac:dyDescent="0.3">
      <c r="I834" t="str">
        <f>_xlfn.IFNA(INDEX('[1]Sector list'!$A$2:$A$122,MATCH(H834,'[1]Sector list'!$B$2:$B$122,0)),"")</f>
        <v/>
      </c>
      <c r="J834" s="172"/>
    </row>
    <row r="835" spans="9:10" x14ac:dyDescent="0.3">
      <c r="I835" t="str">
        <f>_xlfn.IFNA(INDEX('[1]Sector list'!$A$2:$A$122,MATCH(H835,'[1]Sector list'!$B$2:$B$122,0)),"")</f>
        <v/>
      </c>
      <c r="J835" s="172"/>
    </row>
    <row r="836" spans="9:10" x14ac:dyDescent="0.3">
      <c r="I836" t="str">
        <f>_xlfn.IFNA(INDEX('[1]Sector list'!$A$2:$A$122,MATCH(H836,'[1]Sector list'!$B$2:$B$122,0)),"")</f>
        <v/>
      </c>
      <c r="J836" s="172"/>
    </row>
    <row r="837" spans="9:10" x14ac:dyDescent="0.3">
      <c r="I837" t="str">
        <f>_xlfn.IFNA(INDEX('[1]Sector list'!$A$2:$A$122,MATCH(H837,'[1]Sector list'!$B$2:$B$122,0)),"")</f>
        <v/>
      </c>
      <c r="J837" s="172"/>
    </row>
    <row r="838" spans="9:10" x14ac:dyDescent="0.3">
      <c r="I838" t="str">
        <f>_xlfn.IFNA(INDEX('[1]Sector list'!$A$2:$A$122,MATCH(H838,'[1]Sector list'!$B$2:$B$122,0)),"")</f>
        <v/>
      </c>
      <c r="J838" s="172"/>
    </row>
    <row r="839" spans="9:10" x14ac:dyDescent="0.3">
      <c r="I839" t="str">
        <f>_xlfn.IFNA(INDEX('[1]Sector list'!$A$2:$A$122,MATCH(H839,'[1]Sector list'!$B$2:$B$122,0)),"")</f>
        <v/>
      </c>
      <c r="J839" s="172"/>
    </row>
    <row r="840" spans="9:10" x14ac:dyDescent="0.3">
      <c r="I840" t="str">
        <f>_xlfn.IFNA(INDEX('[1]Sector list'!$A$2:$A$122,MATCH(H840,'[1]Sector list'!$B$2:$B$122,0)),"")</f>
        <v/>
      </c>
      <c r="J840" s="172"/>
    </row>
    <row r="841" spans="9:10" x14ac:dyDescent="0.3">
      <c r="I841" t="str">
        <f>_xlfn.IFNA(INDEX('[1]Sector list'!$A$2:$A$122,MATCH(H841,'[1]Sector list'!$B$2:$B$122,0)),"")</f>
        <v/>
      </c>
      <c r="J841" s="172"/>
    </row>
    <row r="842" spans="9:10" x14ac:dyDescent="0.3">
      <c r="I842" t="str">
        <f>_xlfn.IFNA(INDEX('[1]Sector list'!$A$2:$A$122,MATCH(H842,'[1]Sector list'!$B$2:$B$122,0)),"")</f>
        <v/>
      </c>
      <c r="J842" s="172"/>
    </row>
    <row r="843" spans="9:10" x14ac:dyDescent="0.3">
      <c r="I843" t="str">
        <f>_xlfn.IFNA(INDEX('[1]Sector list'!$A$2:$A$122,MATCH(H843,'[1]Sector list'!$B$2:$B$122,0)),"")</f>
        <v/>
      </c>
      <c r="J843" s="172"/>
    </row>
    <row r="844" spans="9:10" x14ac:dyDescent="0.3">
      <c r="I844" t="str">
        <f>_xlfn.IFNA(INDEX('[1]Sector list'!$A$2:$A$122,MATCH(H844,'[1]Sector list'!$B$2:$B$122,0)),"")</f>
        <v/>
      </c>
      <c r="J844" s="172"/>
    </row>
    <row r="845" spans="9:10" x14ac:dyDescent="0.3">
      <c r="I845" t="str">
        <f>_xlfn.IFNA(INDEX('[1]Sector list'!$A$2:$A$122,MATCH(H845,'[1]Sector list'!$B$2:$B$122,0)),"")</f>
        <v/>
      </c>
      <c r="J845" s="172"/>
    </row>
    <row r="846" spans="9:10" x14ac:dyDescent="0.3">
      <c r="I846" t="str">
        <f>_xlfn.IFNA(INDEX('[1]Sector list'!$A$2:$A$122,MATCH(H846,'[1]Sector list'!$B$2:$B$122,0)),"")</f>
        <v/>
      </c>
      <c r="J846" s="172"/>
    </row>
    <row r="847" spans="9:10" x14ac:dyDescent="0.3">
      <c r="I847" t="str">
        <f>_xlfn.IFNA(INDEX('[1]Sector list'!$A$2:$A$122,MATCH(H847,'[1]Sector list'!$B$2:$B$122,0)),"")</f>
        <v/>
      </c>
      <c r="J847" s="172"/>
    </row>
    <row r="848" spans="9:10" x14ac:dyDescent="0.3">
      <c r="I848" t="str">
        <f>_xlfn.IFNA(INDEX('[1]Sector list'!$A$2:$A$122,MATCH(H848,'[1]Sector list'!$B$2:$B$122,0)),"")</f>
        <v/>
      </c>
      <c r="J848" s="172"/>
    </row>
    <row r="849" spans="9:10" x14ac:dyDescent="0.3">
      <c r="I849" t="str">
        <f>_xlfn.IFNA(INDEX('[1]Sector list'!$A$2:$A$122,MATCH(H849,'[1]Sector list'!$B$2:$B$122,0)),"")</f>
        <v/>
      </c>
      <c r="J849" s="172"/>
    </row>
    <row r="850" spans="9:10" x14ac:dyDescent="0.3">
      <c r="I850" t="str">
        <f>_xlfn.IFNA(INDEX('[1]Sector list'!$A$2:$A$122,MATCH(H850,'[1]Sector list'!$B$2:$B$122,0)),"")</f>
        <v/>
      </c>
      <c r="J850" s="172"/>
    </row>
    <row r="851" spans="9:10" x14ac:dyDescent="0.3">
      <c r="I851" t="str">
        <f>_xlfn.IFNA(INDEX('[1]Sector list'!$A$2:$A$122,MATCH(H851,'[1]Sector list'!$B$2:$B$122,0)),"")</f>
        <v/>
      </c>
      <c r="J851" s="172"/>
    </row>
    <row r="852" spans="9:10" x14ac:dyDescent="0.3">
      <c r="I852" t="str">
        <f>_xlfn.IFNA(INDEX('[1]Sector list'!$A$2:$A$122,MATCH(H852,'[1]Sector list'!$B$2:$B$122,0)),"")</f>
        <v/>
      </c>
      <c r="J852" s="172"/>
    </row>
    <row r="853" spans="9:10" x14ac:dyDescent="0.3">
      <c r="I853" t="str">
        <f>_xlfn.IFNA(INDEX('[1]Sector list'!$A$2:$A$122,MATCH(H853,'[1]Sector list'!$B$2:$B$122,0)),"")</f>
        <v/>
      </c>
      <c r="J853" s="172"/>
    </row>
    <row r="854" spans="9:10" x14ac:dyDescent="0.3">
      <c r="I854" t="str">
        <f>_xlfn.IFNA(INDEX('[1]Sector list'!$A$2:$A$122,MATCH(H854,'[1]Sector list'!$B$2:$B$122,0)),"")</f>
        <v/>
      </c>
      <c r="J854" s="172"/>
    </row>
    <row r="855" spans="9:10" x14ac:dyDescent="0.3">
      <c r="I855" t="str">
        <f>_xlfn.IFNA(INDEX('[1]Sector list'!$A$2:$A$122,MATCH(H855,'[1]Sector list'!$B$2:$B$122,0)),"")</f>
        <v/>
      </c>
      <c r="J855" s="172"/>
    </row>
    <row r="856" spans="9:10" x14ac:dyDescent="0.3">
      <c r="I856" t="str">
        <f>_xlfn.IFNA(INDEX('[1]Sector list'!$A$2:$A$122,MATCH(H856,'[1]Sector list'!$B$2:$B$122,0)),"")</f>
        <v/>
      </c>
      <c r="J856" s="172"/>
    </row>
    <row r="857" spans="9:10" x14ac:dyDescent="0.3">
      <c r="I857" t="str">
        <f>_xlfn.IFNA(INDEX('[1]Sector list'!$A$2:$A$122,MATCH(H857,'[1]Sector list'!$B$2:$B$122,0)),"")</f>
        <v/>
      </c>
      <c r="J857" s="172"/>
    </row>
    <row r="858" spans="9:10" x14ac:dyDescent="0.3">
      <c r="I858" t="str">
        <f>_xlfn.IFNA(INDEX('[1]Sector list'!$A$2:$A$122,MATCH(H858,'[1]Sector list'!$B$2:$B$122,0)),"")</f>
        <v/>
      </c>
      <c r="J858" s="172"/>
    </row>
    <row r="859" spans="9:10" x14ac:dyDescent="0.3">
      <c r="I859" t="str">
        <f>_xlfn.IFNA(INDEX('[1]Sector list'!$A$2:$A$122,MATCH(H859,'[1]Sector list'!$B$2:$B$122,0)),"")</f>
        <v/>
      </c>
      <c r="J859" s="172"/>
    </row>
    <row r="860" spans="9:10" x14ac:dyDescent="0.3">
      <c r="I860" t="str">
        <f>_xlfn.IFNA(INDEX('[1]Sector list'!$A$2:$A$122,MATCH(H860,'[1]Sector list'!$B$2:$B$122,0)),"")</f>
        <v/>
      </c>
      <c r="J860" s="172"/>
    </row>
    <row r="861" spans="9:10" x14ac:dyDescent="0.3">
      <c r="I861" t="str">
        <f>_xlfn.IFNA(INDEX('[1]Sector list'!$A$2:$A$122,MATCH(H861,'[1]Sector list'!$B$2:$B$122,0)),"")</f>
        <v/>
      </c>
      <c r="J861" s="172"/>
    </row>
    <row r="862" spans="9:10" x14ac:dyDescent="0.3">
      <c r="I862" t="str">
        <f>_xlfn.IFNA(INDEX('[1]Sector list'!$A$2:$A$122,MATCH(H862,'[1]Sector list'!$B$2:$B$122,0)),"")</f>
        <v/>
      </c>
      <c r="J862" s="172"/>
    </row>
    <row r="863" spans="9:10" x14ac:dyDescent="0.3">
      <c r="I863" t="str">
        <f>_xlfn.IFNA(INDEX('[1]Sector list'!$A$2:$A$122,MATCH(H863,'[1]Sector list'!$B$2:$B$122,0)),"")</f>
        <v/>
      </c>
      <c r="J863" s="172"/>
    </row>
    <row r="864" spans="9:10" x14ac:dyDescent="0.3">
      <c r="I864" t="str">
        <f>_xlfn.IFNA(INDEX('[1]Sector list'!$A$2:$A$122,MATCH(H864,'[1]Sector list'!$B$2:$B$122,0)),"")</f>
        <v/>
      </c>
      <c r="J864" s="172"/>
    </row>
    <row r="865" spans="9:10" x14ac:dyDescent="0.3">
      <c r="I865" t="str">
        <f>_xlfn.IFNA(INDEX('[1]Sector list'!$A$2:$A$122,MATCH(H865,'[1]Sector list'!$B$2:$B$122,0)),"")</f>
        <v/>
      </c>
      <c r="J865" s="172"/>
    </row>
    <row r="866" spans="9:10" x14ac:dyDescent="0.3">
      <c r="I866" t="str">
        <f>_xlfn.IFNA(INDEX('[1]Sector list'!$A$2:$A$122,MATCH(H866,'[1]Sector list'!$B$2:$B$122,0)),"")</f>
        <v/>
      </c>
      <c r="J866" s="172"/>
    </row>
    <row r="867" spans="9:10" x14ac:dyDescent="0.3">
      <c r="I867" t="str">
        <f>_xlfn.IFNA(INDEX('[1]Sector list'!$A$2:$A$122,MATCH(H867,'[1]Sector list'!$B$2:$B$122,0)),"")</f>
        <v/>
      </c>
      <c r="J867" s="172"/>
    </row>
    <row r="868" spans="9:10" x14ac:dyDescent="0.3">
      <c r="I868" t="str">
        <f>_xlfn.IFNA(INDEX('[1]Sector list'!$A$2:$A$122,MATCH(H868,'[1]Sector list'!$B$2:$B$122,0)),"")</f>
        <v/>
      </c>
      <c r="J868" s="172"/>
    </row>
    <row r="869" spans="9:10" x14ac:dyDescent="0.3">
      <c r="I869" t="str">
        <f>_xlfn.IFNA(INDEX('[1]Sector list'!$A$2:$A$122,MATCH(H869,'[1]Sector list'!$B$2:$B$122,0)),"")</f>
        <v/>
      </c>
      <c r="J869" s="172"/>
    </row>
    <row r="870" spans="9:10" x14ac:dyDescent="0.3">
      <c r="I870" t="str">
        <f>_xlfn.IFNA(INDEX('[1]Sector list'!$A$2:$A$122,MATCH(H870,'[1]Sector list'!$B$2:$B$122,0)),"")</f>
        <v/>
      </c>
      <c r="J870" s="172"/>
    </row>
    <row r="871" spans="9:10" x14ac:dyDescent="0.3">
      <c r="I871" t="str">
        <f>_xlfn.IFNA(INDEX('[1]Sector list'!$A$2:$A$122,MATCH(H871,'[1]Sector list'!$B$2:$B$122,0)),"")</f>
        <v/>
      </c>
      <c r="J871" s="172"/>
    </row>
    <row r="872" spans="9:10" x14ac:dyDescent="0.3">
      <c r="I872" t="str">
        <f>_xlfn.IFNA(INDEX('[1]Sector list'!$A$2:$A$122,MATCH(H872,'[1]Sector list'!$B$2:$B$122,0)),"")</f>
        <v/>
      </c>
      <c r="J872" s="172"/>
    </row>
    <row r="873" spans="9:10" x14ac:dyDescent="0.3">
      <c r="I873" t="str">
        <f>_xlfn.IFNA(INDEX('[1]Sector list'!$A$2:$A$122,MATCH(H873,'[1]Sector list'!$B$2:$B$122,0)),"")</f>
        <v/>
      </c>
      <c r="J873" s="172"/>
    </row>
    <row r="874" spans="9:10" x14ac:dyDescent="0.3">
      <c r="I874" t="str">
        <f>_xlfn.IFNA(INDEX('[1]Sector list'!$A$2:$A$122,MATCH(H874,'[1]Sector list'!$B$2:$B$122,0)),"")</f>
        <v/>
      </c>
      <c r="J874" s="172"/>
    </row>
    <row r="875" spans="9:10" x14ac:dyDescent="0.3">
      <c r="I875" t="str">
        <f>_xlfn.IFNA(INDEX('[1]Sector list'!$A$2:$A$122,MATCH(H875,'[1]Sector list'!$B$2:$B$122,0)),"")</f>
        <v/>
      </c>
      <c r="J875" s="172"/>
    </row>
    <row r="876" spans="9:10" x14ac:dyDescent="0.3">
      <c r="I876" t="str">
        <f>_xlfn.IFNA(INDEX('[1]Sector list'!$A$2:$A$122,MATCH(H876,'[1]Sector list'!$B$2:$B$122,0)),"")</f>
        <v/>
      </c>
      <c r="J876" s="172"/>
    </row>
    <row r="877" spans="9:10" x14ac:dyDescent="0.3">
      <c r="I877" t="str">
        <f>_xlfn.IFNA(INDEX('[1]Sector list'!$A$2:$A$122,MATCH(H877,'[1]Sector list'!$B$2:$B$122,0)),"")</f>
        <v/>
      </c>
      <c r="J877" s="172"/>
    </row>
    <row r="878" spans="9:10" x14ac:dyDescent="0.3">
      <c r="I878" t="str">
        <f>_xlfn.IFNA(INDEX('[1]Sector list'!$A$2:$A$122,MATCH(H878,'[1]Sector list'!$B$2:$B$122,0)),"")</f>
        <v/>
      </c>
      <c r="J878" s="172"/>
    </row>
    <row r="879" spans="9:10" x14ac:dyDescent="0.3">
      <c r="I879" t="str">
        <f>_xlfn.IFNA(INDEX('[1]Sector list'!$A$2:$A$122,MATCH(H879,'[1]Sector list'!$B$2:$B$122,0)),"")</f>
        <v/>
      </c>
      <c r="J879" s="172"/>
    </row>
    <row r="880" spans="9:10" x14ac:dyDescent="0.3">
      <c r="I880" t="str">
        <f>_xlfn.IFNA(INDEX('[1]Sector list'!$A$2:$A$122,MATCH(H880,'[1]Sector list'!$B$2:$B$122,0)),"")</f>
        <v/>
      </c>
      <c r="J880" s="172"/>
    </row>
    <row r="881" spans="9:10" x14ac:dyDescent="0.3">
      <c r="I881" t="str">
        <f>_xlfn.IFNA(INDEX('[1]Sector list'!$A$2:$A$122,MATCH(H881,'[1]Sector list'!$B$2:$B$122,0)),"")</f>
        <v/>
      </c>
      <c r="J881" s="172"/>
    </row>
    <row r="882" spans="9:10" x14ac:dyDescent="0.3">
      <c r="I882" t="str">
        <f>_xlfn.IFNA(INDEX('[1]Sector list'!$A$2:$A$122,MATCH(H882,'[1]Sector list'!$B$2:$B$122,0)),"")</f>
        <v/>
      </c>
      <c r="J882" s="172"/>
    </row>
    <row r="883" spans="9:10" x14ac:dyDescent="0.3">
      <c r="I883" t="str">
        <f>_xlfn.IFNA(INDEX('[1]Sector list'!$A$2:$A$122,MATCH(H883,'[1]Sector list'!$B$2:$B$122,0)),"")</f>
        <v/>
      </c>
      <c r="J883" s="172"/>
    </row>
    <row r="884" spans="9:10" x14ac:dyDescent="0.3">
      <c r="I884" t="str">
        <f>_xlfn.IFNA(INDEX('[1]Sector list'!$A$2:$A$122,MATCH(H884,'[1]Sector list'!$B$2:$B$122,0)),"")</f>
        <v/>
      </c>
      <c r="J884" s="172"/>
    </row>
    <row r="885" spans="9:10" x14ac:dyDescent="0.3">
      <c r="I885" t="str">
        <f>_xlfn.IFNA(INDEX('[1]Sector list'!$A$2:$A$122,MATCH(H885,'[1]Sector list'!$B$2:$B$122,0)),"")</f>
        <v/>
      </c>
      <c r="J885" s="172"/>
    </row>
    <row r="886" spans="9:10" x14ac:dyDescent="0.3">
      <c r="I886" t="str">
        <f>_xlfn.IFNA(INDEX('[1]Sector list'!$A$2:$A$122,MATCH(H886,'[1]Sector list'!$B$2:$B$122,0)),"")</f>
        <v/>
      </c>
      <c r="J886" s="172"/>
    </row>
    <row r="887" spans="9:10" x14ac:dyDescent="0.3">
      <c r="I887" t="str">
        <f>_xlfn.IFNA(INDEX('[1]Sector list'!$A$2:$A$122,MATCH(H887,'[1]Sector list'!$B$2:$B$122,0)),"")</f>
        <v/>
      </c>
      <c r="J887" s="172"/>
    </row>
    <row r="888" spans="9:10" x14ac:dyDescent="0.3">
      <c r="I888" t="str">
        <f>_xlfn.IFNA(INDEX('[1]Sector list'!$A$2:$A$122,MATCH(H888,'[1]Sector list'!$B$2:$B$122,0)),"")</f>
        <v/>
      </c>
      <c r="J888" s="172"/>
    </row>
    <row r="889" spans="9:10" x14ac:dyDescent="0.3">
      <c r="I889" t="str">
        <f>_xlfn.IFNA(INDEX('[1]Sector list'!$A$2:$A$122,MATCH(H889,'[1]Sector list'!$B$2:$B$122,0)),"")</f>
        <v/>
      </c>
      <c r="J889" s="172"/>
    </row>
    <row r="890" spans="9:10" x14ac:dyDescent="0.3">
      <c r="I890" t="str">
        <f>_xlfn.IFNA(INDEX('[1]Sector list'!$A$2:$A$122,MATCH(H890,'[1]Sector list'!$B$2:$B$122,0)),"")</f>
        <v/>
      </c>
      <c r="J890" s="172"/>
    </row>
    <row r="891" spans="9:10" x14ac:dyDescent="0.3">
      <c r="I891" t="str">
        <f>_xlfn.IFNA(INDEX('[1]Sector list'!$A$2:$A$122,MATCH(H891,'[1]Sector list'!$B$2:$B$122,0)),"")</f>
        <v/>
      </c>
      <c r="J891" s="172"/>
    </row>
    <row r="892" spans="9:10" x14ac:dyDescent="0.3">
      <c r="I892" t="str">
        <f>_xlfn.IFNA(INDEX('[1]Sector list'!$A$2:$A$122,MATCH(H892,'[1]Sector list'!$B$2:$B$122,0)),"")</f>
        <v/>
      </c>
      <c r="J892" s="172"/>
    </row>
    <row r="893" spans="9:10" x14ac:dyDescent="0.3">
      <c r="I893" t="str">
        <f>_xlfn.IFNA(INDEX('[1]Sector list'!$A$2:$A$122,MATCH(H893,'[1]Sector list'!$B$2:$B$122,0)),"")</f>
        <v/>
      </c>
      <c r="J893" s="172"/>
    </row>
    <row r="894" spans="9:10" x14ac:dyDescent="0.3">
      <c r="I894" t="str">
        <f>_xlfn.IFNA(INDEX('[1]Sector list'!$A$2:$A$122,MATCH(H894,'[1]Sector list'!$B$2:$B$122,0)),"")</f>
        <v/>
      </c>
      <c r="J894" s="172"/>
    </row>
    <row r="895" spans="9:10" x14ac:dyDescent="0.3">
      <c r="I895" t="str">
        <f>_xlfn.IFNA(INDEX('[1]Sector list'!$A$2:$A$122,MATCH(H895,'[1]Sector list'!$B$2:$B$122,0)),"")</f>
        <v/>
      </c>
      <c r="J895" s="172"/>
    </row>
    <row r="896" spans="9:10" x14ac:dyDescent="0.3">
      <c r="I896" t="str">
        <f>_xlfn.IFNA(INDEX('[1]Sector list'!$A$2:$A$122,MATCH(H896,'[1]Sector list'!$B$2:$B$122,0)),"")</f>
        <v/>
      </c>
      <c r="J896" s="172"/>
    </row>
    <row r="897" spans="9:10" x14ac:dyDescent="0.3">
      <c r="I897" t="str">
        <f>_xlfn.IFNA(INDEX('[1]Sector list'!$A$2:$A$122,MATCH(H897,'[1]Sector list'!$B$2:$B$122,0)),"")</f>
        <v/>
      </c>
      <c r="J897" s="172"/>
    </row>
    <row r="898" spans="9:10" x14ac:dyDescent="0.3">
      <c r="I898" t="str">
        <f>_xlfn.IFNA(INDEX('[1]Sector list'!$A$2:$A$122,MATCH(H898,'[1]Sector list'!$B$2:$B$122,0)),"")</f>
        <v/>
      </c>
      <c r="J898" s="172"/>
    </row>
    <row r="899" spans="9:10" x14ac:dyDescent="0.3">
      <c r="I899" t="str">
        <f>_xlfn.IFNA(INDEX('[1]Sector list'!$A$2:$A$122,MATCH(H899,'[1]Sector list'!$B$2:$B$122,0)),"")</f>
        <v/>
      </c>
      <c r="J899" s="172"/>
    </row>
    <row r="900" spans="9:10" x14ac:dyDescent="0.3">
      <c r="I900" t="str">
        <f>_xlfn.IFNA(INDEX('[1]Sector list'!$A$2:$A$122,MATCH(H900,'[1]Sector list'!$B$2:$B$122,0)),"")</f>
        <v/>
      </c>
      <c r="J900" s="172"/>
    </row>
    <row r="901" spans="9:10" x14ac:dyDescent="0.3">
      <c r="I901" t="str">
        <f>_xlfn.IFNA(INDEX('[1]Sector list'!$A$2:$A$122,MATCH(H901,'[1]Sector list'!$B$2:$B$122,0)),"")</f>
        <v/>
      </c>
      <c r="J901" s="172"/>
    </row>
    <row r="902" spans="9:10" x14ac:dyDescent="0.3">
      <c r="I902" t="str">
        <f>_xlfn.IFNA(INDEX('[1]Sector list'!$A$2:$A$122,MATCH(H902,'[1]Sector list'!$B$2:$B$122,0)),"")</f>
        <v/>
      </c>
      <c r="J902" s="172"/>
    </row>
    <row r="903" spans="9:10" x14ac:dyDescent="0.3">
      <c r="I903" t="str">
        <f>_xlfn.IFNA(INDEX('[1]Sector list'!$A$2:$A$122,MATCH(H903,'[1]Sector list'!$B$2:$B$122,0)),"")</f>
        <v/>
      </c>
      <c r="J903" s="172"/>
    </row>
    <row r="904" spans="9:10" x14ac:dyDescent="0.3">
      <c r="I904" t="str">
        <f>_xlfn.IFNA(INDEX('[1]Sector list'!$A$2:$A$122,MATCH(H904,'[1]Sector list'!$B$2:$B$122,0)),"")</f>
        <v/>
      </c>
      <c r="J904" s="172"/>
    </row>
    <row r="905" spans="9:10" x14ac:dyDescent="0.3">
      <c r="I905" t="str">
        <f>_xlfn.IFNA(INDEX('[1]Sector list'!$A$2:$A$122,MATCH(H905,'[1]Sector list'!$B$2:$B$122,0)),"")</f>
        <v/>
      </c>
      <c r="J905" s="172"/>
    </row>
    <row r="906" spans="9:10" x14ac:dyDescent="0.3">
      <c r="J906" s="172"/>
    </row>
    <row r="907" spans="9:10" x14ac:dyDescent="0.3">
      <c r="J907" s="172"/>
    </row>
    <row r="908" spans="9:10" x14ac:dyDescent="0.3">
      <c r="J908" s="172"/>
    </row>
    <row r="909" spans="9:10" x14ac:dyDescent="0.3">
      <c r="J909" s="172"/>
    </row>
    <row r="910" spans="9:10" x14ac:dyDescent="0.3">
      <c r="J910" s="172"/>
    </row>
    <row r="911" spans="9:10" x14ac:dyDescent="0.3">
      <c r="J911" s="172"/>
    </row>
    <row r="912" spans="9:10" x14ac:dyDescent="0.3">
      <c r="J912" s="172"/>
    </row>
    <row r="913" spans="10:10" x14ac:dyDescent="0.3">
      <c r="J913" s="172"/>
    </row>
    <row r="914" spans="10:10" x14ac:dyDescent="0.3">
      <c r="J914" s="172"/>
    </row>
    <row r="915" spans="10:10" x14ac:dyDescent="0.3">
      <c r="J915" s="172"/>
    </row>
    <row r="916" spans="10:10" x14ac:dyDescent="0.3">
      <c r="J916" s="172"/>
    </row>
    <row r="917" spans="10:10" x14ac:dyDescent="0.3">
      <c r="J917" s="172"/>
    </row>
    <row r="918" spans="10:10" x14ac:dyDescent="0.3">
      <c r="J918" s="172"/>
    </row>
    <row r="919" spans="10:10" x14ac:dyDescent="0.3">
      <c r="J919" s="172"/>
    </row>
    <row r="920" spans="10:10" x14ac:dyDescent="0.3">
      <c r="J920" s="172"/>
    </row>
    <row r="921" spans="10:10" x14ac:dyDescent="0.3">
      <c r="J921" s="172"/>
    </row>
    <row r="922" spans="10:10" x14ac:dyDescent="0.3">
      <c r="J922" s="172"/>
    </row>
    <row r="923" spans="10:10" x14ac:dyDescent="0.3">
      <c r="J923" s="172"/>
    </row>
    <row r="924" spans="10:10" x14ac:dyDescent="0.3">
      <c r="J924" s="172"/>
    </row>
    <row r="925" spans="10:10" x14ac:dyDescent="0.3">
      <c r="J925" s="172"/>
    </row>
    <row r="926" spans="10:10" x14ac:dyDescent="0.3">
      <c r="J926" s="172"/>
    </row>
    <row r="927" spans="10:10" x14ac:dyDescent="0.3">
      <c r="J927" s="172"/>
    </row>
    <row r="928" spans="10:10" x14ac:dyDescent="0.3">
      <c r="J928" s="172"/>
    </row>
    <row r="929" spans="10:10" x14ac:dyDescent="0.3">
      <c r="J929" s="172"/>
    </row>
    <row r="930" spans="10:10" x14ac:dyDescent="0.3">
      <c r="J930" s="172"/>
    </row>
    <row r="931" spans="10:10" x14ac:dyDescent="0.3">
      <c r="J931" s="172"/>
    </row>
    <row r="932" spans="10:10" x14ac:dyDescent="0.3">
      <c r="J932" s="172"/>
    </row>
    <row r="933" spans="10:10" x14ac:dyDescent="0.3">
      <c r="J933" s="172"/>
    </row>
    <row r="934" spans="10:10" x14ac:dyDescent="0.3">
      <c r="J934" s="172"/>
    </row>
    <row r="935" spans="10:10" x14ac:dyDescent="0.3">
      <c r="J935" s="172"/>
    </row>
    <row r="936" spans="10:10" x14ac:dyDescent="0.3">
      <c r="J936" s="172"/>
    </row>
    <row r="937" spans="10:10" x14ac:dyDescent="0.3">
      <c r="J937" s="172"/>
    </row>
    <row r="938" spans="10:10" x14ac:dyDescent="0.3">
      <c r="J938" s="172"/>
    </row>
    <row r="939" spans="10:10" x14ac:dyDescent="0.3">
      <c r="J939" s="172"/>
    </row>
    <row r="940" spans="10:10" x14ac:dyDescent="0.3">
      <c r="J940" s="172"/>
    </row>
    <row r="941" spans="10:10" x14ac:dyDescent="0.3">
      <c r="J941" s="172"/>
    </row>
    <row r="942" spans="10:10" x14ac:dyDescent="0.3">
      <c r="J942" s="172"/>
    </row>
    <row r="943" spans="10:10" x14ac:dyDescent="0.3">
      <c r="J943" s="172"/>
    </row>
    <row r="944" spans="10:10" x14ac:dyDescent="0.3">
      <c r="J944" s="172"/>
    </row>
    <row r="945" spans="10:10" x14ac:dyDescent="0.3">
      <c r="J945" s="172"/>
    </row>
    <row r="946" spans="10:10" x14ac:dyDescent="0.3">
      <c r="J946" s="172"/>
    </row>
    <row r="947" spans="10:10" x14ac:dyDescent="0.3">
      <c r="J947" s="172"/>
    </row>
    <row r="948" spans="10:10" x14ac:dyDescent="0.3">
      <c r="J948" s="172"/>
    </row>
    <row r="949" spans="10:10" x14ac:dyDescent="0.3">
      <c r="J949" s="172"/>
    </row>
    <row r="950" spans="10:10" x14ac:dyDescent="0.3">
      <c r="J950" s="172"/>
    </row>
    <row r="951" spans="10:10" x14ac:dyDescent="0.3">
      <c r="J951" s="172"/>
    </row>
    <row r="952" spans="10:10" x14ac:dyDescent="0.3">
      <c r="J952" s="172"/>
    </row>
    <row r="953" spans="10:10" x14ac:dyDescent="0.3">
      <c r="J953" s="172"/>
    </row>
    <row r="954" spans="10:10" x14ac:dyDescent="0.3">
      <c r="J954" s="172"/>
    </row>
    <row r="955" spans="10:10" x14ac:dyDescent="0.3">
      <c r="J955" s="172"/>
    </row>
    <row r="956" spans="10:10" x14ac:dyDescent="0.3">
      <c r="J956" s="172"/>
    </row>
    <row r="957" spans="10:10" x14ac:dyDescent="0.3">
      <c r="J957" s="172"/>
    </row>
    <row r="958" spans="10:10" x14ac:dyDescent="0.3">
      <c r="J958" s="172"/>
    </row>
    <row r="959" spans="10:10" x14ac:dyDescent="0.3">
      <c r="J959" s="172"/>
    </row>
    <row r="960" spans="10:10" x14ac:dyDescent="0.3">
      <c r="J960" s="172"/>
    </row>
    <row r="961" spans="10:10" x14ac:dyDescent="0.3">
      <c r="J961" s="172"/>
    </row>
    <row r="962" spans="10:10" x14ac:dyDescent="0.3">
      <c r="J962" s="172"/>
    </row>
    <row r="963" spans="10:10" x14ac:dyDescent="0.3">
      <c r="J963" s="172"/>
    </row>
    <row r="964" spans="10:10" x14ac:dyDescent="0.3">
      <c r="J964" s="172"/>
    </row>
    <row r="965" spans="10:10" x14ac:dyDescent="0.3">
      <c r="J965" s="172"/>
    </row>
    <row r="966" spans="10:10" x14ac:dyDescent="0.3">
      <c r="J966" s="172"/>
    </row>
    <row r="967" spans="10:10" x14ac:dyDescent="0.3">
      <c r="J967" s="172"/>
    </row>
    <row r="968" spans="10:10" x14ac:dyDescent="0.3">
      <c r="J968" s="172"/>
    </row>
    <row r="969" spans="10:10" x14ac:dyDescent="0.3">
      <c r="J969" s="172"/>
    </row>
    <row r="970" spans="10:10" x14ac:dyDescent="0.3">
      <c r="J970" s="172"/>
    </row>
    <row r="971" spans="10:10" x14ac:dyDescent="0.3">
      <c r="J971" s="172"/>
    </row>
    <row r="972" spans="10:10" x14ac:dyDescent="0.3">
      <c r="J972" s="172"/>
    </row>
    <row r="973" spans="10:10" x14ac:dyDescent="0.3">
      <c r="J973" s="172"/>
    </row>
    <row r="974" spans="10:10" x14ac:dyDescent="0.3">
      <c r="J974" s="172"/>
    </row>
    <row r="975" spans="10:10" x14ac:dyDescent="0.3">
      <c r="J975" s="172"/>
    </row>
    <row r="976" spans="10:10" x14ac:dyDescent="0.3">
      <c r="J976" s="172"/>
    </row>
    <row r="977" spans="10:10" x14ac:dyDescent="0.3">
      <c r="J977" s="172"/>
    </row>
    <row r="978" spans="10:10" x14ac:dyDescent="0.3">
      <c r="J978" s="172"/>
    </row>
    <row r="979" spans="10:10" x14ac:dyDescent="0.3">
      <c r="J979" s="172"/>
    </row>
    <row r="980" spans="10:10" x14ac:dyDescent="0.3">
      <c r="J980" s="172"/>
    </row>
    <row r="981" spans="10:10" x14ac:dyDescent="0.3">
      <c r="J981" s="172"/>
    </row>
    <row r="982" spans="10:10" x14ac:dyDescent="0.3">
      <c r="J982" s="172"/>
    </row>
    <row r="983" spans="10:10" x14ac:dyDescent="0.3">
      <c r="J983" s="172"/>
    </row>
    <row r="984" spans="10:10" x14ac:dyDescent="0.3">
      <c r="J984" s="172"/>
    </row>
    <row r="985" spans="10:10" x14ac:dyDescent="0.3">
      <c r="J985" s="172"/>
    </row>
    <row r="986" spans="10:10" x14ac:dyDescent="0.3">
      <c r="J986" s="172"/>
    </row>
    <row r="987" spans="10:10" x14ac:dyDescent="0.3">
      <c r="J987" s="172"/>
    </row>
    <row r="988" spans="10:10" x14ac:dyDescent="0.3">
      <c r="J988" s="172"/>
    </row>
    <row r="989" spans="10:10" x14ac:dyDescent="0.3">
      <c r="J989" s="172"/>
    </row>
    <row r="990" spans="10:10" x14ac:dyDescent="0.3">
      <c r="J990" s="172"/>
    </row>
    <row r="991" spans="10:10" x14ac:dyDescent="0.3">
      <c r="J991" s="172"/>
    </row>
    <row r="992" spans="10:10" x14ac:dyDescent="0.3">
      <c r="J992" s="172"/>
    </row>
    <row r="993" spans="10:10" x14ac:dyDescent="0.3">
      <c r="J993" s="172"/>
    </row>
    <row r="994" spans="10:10" x14ac:dyDescent="0.3">
      <c r="J994" s="172"/>
    </row>
    <row r="995" spans="10:10" x14ac:dyDescent="0.3">
      <c r="J995" s="172"/>
    </row>
    <row r="996" spans="10:10" x14ac:dyDescent="0.3">
      <c r="J996" s="172"/>
    </row>
    <row r="997" spans="10:10" x14ac:dyDescent="0.3">
      <c r="J997" s="172"/>
    </row>
    <row r="998" spans="10:10" x14ac:dyDescent="0.3">
      <c r="J998" s="172"/>
    </row>
    <row r="999" spans="10:10" x14ac:dyDescent="0.3">
      <c r="J999" s="172"/>
    </row>
    <row r="1000" spans="10:10" x14ac:dyDescent="0.3">
      <c r="J1000" s="172"/>
    </row>
    <row r="1001" spans="10:10" x14ac:dyDescent="0.3">
      <c r="J1001" s="172"/>
    </row>
    <row r="1002" spans="10:10" x14ac:dyDescent="0.3">
      <c r="J1002" s="172"/>
    </row>
    <row r="1003" spans="10:10" x14ac:dyDescent="0.3">
      <c r="J1003" s="172"/>
    </row>
    <row r="1004" spans="10:10" x14ac:dyDescent="0.3">
      <c r="J1004" s="172"/>
    </row>
    <row r="1005" spans="10:10" x14ac:dyDescent="0.3">
      <c r="J1005" s="172"/>
    </row>
    <row r="1006" spans="10:10" x14ac:dyDescent="0.3">
      <c r="J1006" s="172"/>
    </row>
    <row r="1007" spans="10:10" x14ac:dyDescent="0.3">
      <c r="J1007" s="172"/>
    </row>
    <row r="1008" spans="10:10" x14ac:dyDescent="0.3">
      <c r="J1008" s="172"/>
    </row>
    <row r="1009" spans="10:10" x14ac:dyDescent="0.3">
      <c r="J1009" s="172"/>
    </row>
    <row r="1010" spans="10:10" x14ac:dyDescent="0.3">
      <c r="J1010" s="172"/>
    </row>
    <row r="1011" spans="10:10" x14ac:dyDescent="0.3">
      <c r="J1011" s="172"/>
    </row>
    <row r="1012" spans="10:10" x14ac:dyDescent="0.3">
      <c r="J1012" s="172"/>
    </row>
    <row r="1013" spans="10:10" x14ac:dyDescent="0.3">
      <c r="J1013" s="172"/>
    </row>
    <row r="1014" spans="10:10" x14ac:dyDescent="0.3">
      <c r="J1014" s="172"/>
    </row>
    <row r="1015" spans="10:10" x14ac:dyDescent="0.3">
      <c r="J1015" s="172"/>
    </row>
    <row r="1016" spans="10:10" x14ac:dyDescent="0.3">
      <c r="J1016" s="172"/>
    </row>
    <row r="1017" spans="10:10" x14ac:dyDescent="0.3">
      <c r="J1017" s="172"/>
    </row>
    <row r="1018" spans="10:10" x14ac:dyDescent="0.3">
      <c r="J1018" s="172"/>
    </row>
    <row r="1019" spans="10:10" x14ac:dyDescent="0.3">
      <c r="J1019" s="172"/>
    </row>
    <row r="1020" spans="10:10" x14ac:dyDescent="0.3">
      <c r="J1020" s="172"/>
    </row>
    <row r="1021" spans="10:10" x14ac:dyDescent="0.3">
      <c r="J1021" s="172"/>
    </row>
    <row r="1022" spans="10:10" x14ac:dyDescent="0.3">
      <c r="J1022" s="172"/>
    </row>
    <row r="1023" spans="10:10" x14ac:dyDescent="0.3">
      <c r="J1023" s="172"/>
    </row>
    <row r="1024" spans="10:10" x14ac:dyDescent="0.3">
      <c r="J1024" s="172"/>
    </row>
    <row r="1025" spans="10:10" x14ac:dyDescent="0.3">
      <c r="J1025" s="172"/>
    </row>
    <row r="1026" spans="10:10" x14ac:dyDescent="0.3">
      <c r="J1026" s="172"/>
    </row>
    <row r="1027" spans="10:10" x14ac:dyDescent="0.3">
      <c r="J1027" s="172"/>
    </row>
    <row r="1028" spans="10:10" x14ac:dyDescent="0.3">
      <c r="J1028" s="172"/>
    </row>
    <row r="1029" spans="10:10" x14ac:dyDescent="0.3">
      <c r="J1029" s="172"/>
    </row>
    <row r="1030" spans="10:10" x14ac:dyDescent="0.3">
      <c r="J1030" s="172"/>
    </row>
    <row r="1031" spans="10:10" x14ac:dyDescent="0.3">
      <c r="J1031" s="172"/>
    </row>
    <row r="1032" spans="10:10" x14ac:dyDescent="0.3">
      <c r="J1032" s="172"/>
    </row>
    <row r="1033" spans="10:10" x14ac:dyDescent="0.3">
      <c r="J1033" s="172"/>
    </row>
    <row r="1034" spans="10:10" x14ac:dyDescent="0.3">
      <c r="J1034" s="172"/>
    </row>
    <row r="1035" spans="10:10" x14ac:dyDescent="0.3">
      <c r="J1035" s="172"/>
    </row>
    <row r="1036" spans="10:10" x14ac:dyDescent="0.3">
      <c r="J1036" s="172"/>
    </row>
    <row r="1037" spans="10:10" x14ac:dyDescent="0.3">
      <c r="J1037" s="172"/>
    </row>
    <row r="1038" spans="10:10" x14ac:dyDescent="0.3">
      <c r="J1038" s="172"/>
    </row>
    <row r="1039" spans="10:10" x14ac:dyDescent="0.3">
      <c r="J1039" s="17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84F0-1FC5-4214-8B04-4C9E59248FC4}">
  <sheetPr>
    <tabColor theme="1" tint="0.249977111117893"/>
  </sheetPr>
  <dimension ref="A1:AM1028"/>
  <sheetViews>
    <sheetView topLeftCell="H1" zoomScale="70" zoomScaleNormal="70" workbookViewId="0">
      <selection activeCell="C16" sqref="C16:AH21"/>
    </sheetView>
  </sheetViews>
  <sheetFormatPr defaultRowHeight="14.4" x14ac:dyDescent="0.3"/>
  <cols>
    <col min="1" max="1" width="4.33203125" style="16" customWidth="1"/>
    <col min="2" max="4" width="15.6640625" customWidth="1"/>
    <col min="5" max="5" width="20.109375" customWidth="1"/>
    <col min="6" max="6" width="19.5546875" customWidth="1"/>
    <col min="7" max="7" width="24.33203125" customWidth="1"/>
    <col min="9" max="18" width="2.6640625" customWidth="1"/>
    <col min="19" max="19" width="12.6640625" bestFit="1" customWidth="1"/>
    <col min="20" max="20" width="12.5546875" customWidth="1"/>
    <col min="21" max="27" width="12.6640625" bestFit="1" customWidth="1"/>
    <col min="28" max="28" width="13.109375" customWidth="1"/>
    <col min="29" max="29" width="12.6640625" customWidth="1"/>
    <col min="30" max="34" width="12.6640625" bestFit="1" customWidth="1"/>
  </cols>
  <sheetData>
    <row r="1" spans="2:39" s="166" customFormat="1" ht="5.0999999999999996" customHeight="1" x14ac:dyDescent="0.3"/>
    <row r="2" spans="2:39" s="166" customFormat="1" x14ac:dyDescent="0.3">
      <c r="B2" s="167" t="s">
        <v>1313</v>
      </c>
      <c r="G2" s="167" t="str">
        <f>'Final demand(5)'!H2</f>
        <v>G77+C_lower</v>
      </c>
      <c r="H2" s="166">
        <f>'Final demand(5)'!H3</f>
        <v>5</v>
      </c>
    </row>
    <row r="3" spans="2:39" s="166" customFormat="1" x14ac:dyDescent="0.3">
      <c r="B3" s="168" t="s">
        <v>1223</v>
      </c>
    </row>
    <row r="4" spans="2:39" s="170" customFormat="1" ht="5.0999999999999996" customHeight="1" thickBot="1" x14ac:dyDescent="0.35">
      <c r="B4" s="169"/>
    </row>
    <row r="5" spans="2:39" s="166" customFormat="1" x14ac:dyDescent="0.3">
      <c r="B5" s="171" t="s">
        <v>1224</v>
      </c>
      <c r="C5" s="171" t="s">
        <v>1225</v>
      </c>
      <c r="D5" s="171" t="s">
        <v>1314</v>
      </c>
      <c r="E5" s="171" t="s">
        <v>1315</v>
      </c>
      <c r="F5" s="171" t="s">
        <v>1230</v>
      </c>
      <c r="G5" s="171" t="s">
        <v>1231</v>
      </c>
    </row>
    <row r="6" spans="2:39" x14ac:dyDescent="0.3">
      <c r="F6" s="205"/>
      <c r="G6" s="37">
        <f>1/3</f>
        <v>0.33333333333333331</v>
      </c>
      <c r="H6" t="s">
        <v>1316</v>
      </c>
    </row>
    <row r="7" spans="2:39" x14ac:dyDescent="0.3">
      <c r="F7" s="205"/>
    </row>
    <row r="8" spans="2:39" x14ac:dyDescent="0.3">
      <c r="B8" t="s">
        <v>579</v>
      </c>
      <c r="C8" t="str">
        <f>_xlfn.IFNA(INDEX('[2]Country list'!$A$2:$A$166,MATCH(B8,'[2]Country list'!$B$2:$B$166,0)),"")</f>
        <v>DEU</v>
      </c>
      <c r="E8" s="4" t="s">
        <v>1238</v>
      </c>
      <c r="F8" t="s">
        <v>1317</v>
      </c>
      <c r="G8" t="s">
        <v>1318</v>
      </c>
    </row>
    <row r="9" spans="2:39" x14ac:dyDescent="0.3">
      <c r="E9" s="4"/>
    </row>
    <row r="10" spans="2:39" x14ac:dyDescent="0.3">
      <c r="E10" s="4"/>
    </row>
    <row r="11" spans="2:39" x14ac:dyDescent="0.3">
      <c r="E11" s="4"/>
    </row>
    <row r="12" spans="2:39" x14ac:dyDescent="0.3">
      <c r="E12" s="4"/>
      <c r="G12" t="s">
        <v>1319</v>
      </c>
    </row>
    <row r="13" spans="2:39" x14ac:dyDescent="0.3">
      <c r="C13" s="174" t="s">
        <v>1246</v>
      </c>
      <c r="D13" s="174"/>
      <c r="E13" s="206" t="s">
        <v>1320</v>
      </c>
      <c r="G13" s="205" t="s">
        <v>1321</v>
      </c>
    </row>
    <row r="14" spans="2:39" s="176" customFormat="1" ht="15" thickBot="1" x14ac:dyDescent="0.35">
      <c r="B14" s="175" t="s">
        <v>1250</v>
      </c>
      <c r="F14" s="207"/>
    </row>
    <row r="15" spans="2:39" s="166" customFormat="1" x14ac:dyDescent="0.3">
      <c r="B15" s="171" t="s">
        <v>1224</v>
      </c>
      <c r="C15" s="171" t="s">
        <v>1225</v>
      </c>
      <c r="D15" s="171" t="s">
        <v>1314</v>
      </c>
      <c r="E15" s="171" t="s">
        <v>1315</v>
      </c>
      <c r="F15" s="171" t="s">
        <v>1230</v>
      </c>
      <c r="G15" s="171" t="s">
        <v>1231</v>
      </c>
      <c r="H15" s="166">
        <v>2019</v>
      </c>
      <c r="I15" s="166">
        <v>2020</v>
      </c>
      <c r="J15" s="166">
        <v>2021</v>
      </c>
      <c r="K15" s="166">
        <v>2022</v>
      </c>
      <c r="L15" s="166">
        <v>2023</v>
      </c>
      <c r="M15" s="166">
        <v>2024</v>
      </c>
      <c r="N15" s="166">
        <v>2025</v>
      </c>
      <c r="O15" s="166">
        <v>2026</v>
      </c>
      <c r="P15" s="166">
        <v>2027</v>
      </c>
      <c r="Q15" s="166">
        <v>2028</v>
      </c>
      <c r="R15" s="166">
        <v>2029</v>
      </c>
      <c r="S15" s="166">
        <v>2030</v>
      </c>
      <c r="T15" s="166">
        <v>2031</v>
      </c>
      <c r="U15" s="166">
        <v>2032</v>
      </c>
      <c r="V15" s="166">
        <v>2033</v>
      </c>
      <c r="W15" s="166">
        <v>2034</v>
      </c>
      <c r="X15" s="166">
        <v>2035</v>
      </c>
      <c r="Y15" s="166">
        <v>2036</v>
      </c>
      <c r="Z15" s="166">
        <v>2037</v>
      </c>
      <c r="AA15" s="166">
        <v>2038</v>
      </c>
      <c r="AB15" s="166">
        <v>2039</v>
      </c>
      <c r="AC15" s="166">
        <v>2040</v>
      </c>
      <c r="AD15" s="166">
        <v>2041</v>
      </c>
      <c r="AE15" s="166">
        <v>2042</v>
      </c>
      <c r="AF15" s="166">
        <v>2043</v>
      </c>
      <c r="AG15" s="166">
        <v>2044</v>
      </c>
      <c r="AH15" s="166">
        <v>2045</v>
      </c>
      <c r="AI15" s="166">
        <v>2046</v>
      </c>
      <c r="AJ15" s="166">
        <v>2047</v>
      </c>
      <c r="AK15" s="166">
        <v>2048</v>
      </c>
      <c r="AL15" s="166">
        <v>2049</v>
      </c>
      <c r="AM15" s="166">
        <v>2050</v>
      </c>
    </row>
    <row r="16" spans="2:39" x14ac:dyDescent="0.3">
      <c r="C16" s="161" t="s">
        <v>1058</v>
      </c>
      <c r="E16" t="s">
        <v>1232</v>
      </c>
      <c r="F16" t="s">
        <v>1240</v>
      </c>
      <c r="G16" s="266">
        <f>SUM(T16:AH16)/1000000</f>
        <v>1.2914527461594423</v>
      </c>
      <c r="H16" s="208"/>
      <c r="I16" s="208"/>
      <c r="J16" s="208"/>
      <c r="K16" s="208"/>
      <c r="L16" s="208"/>
      <c r="M16" s="208"/>
      <c r="N16" s="208"/>
      <c r="O16" s="208"/>
      <c r="P16" s="208"/>
      <c r="Q16" s="208"/>
      <c r="R16" s="208"/>
      <c r="T16" s="208">
        <f>VLOOKUP($C16,'MSET pivots'!$B$4:$H$14,$H$2,FALSE)*1000000*$G$6*'MSET pivots'!E$65</f>
        <v>43049.070595125871</v>
      </c>
      <c r="U16" s="208">
        <f>VLOOKUP($C16,'MSET pivots'!$B$4:$H$14,$H$2,FALSE)*1000000*$G$6*'MSET pivots'!F$65</f>
        <v>49198.753330674008</v>
      </c>
      <c r="V16" s="208">
        <f>VLOOKUP($C16,'MSET pivots'!$B$4:$H$14,$H$2,FALSE)*1000000*$G$6*'MSET pivots'!G$65</f>
        <v>55348.436066222144</v>
      </c>
      <c r="W16" s="208">
        <f>VLOOKUP($C16,'MSET pivots'!$B$4:$H$14,$H$2,FALSE)*1000000*$G$6*'MSET pivots'!H$65</f>
        <v>61498.118801770281</v>
      </c>
      <c r="X16" s="208">
        <f>VLOOKUP($C16,'MSET pivots'!$B$4:$H$14,$H$2,FALSE)*1000000*$G$6*'MSET pivots'!I$65</f>
        <v>67647.801537318417</v>
      </c>
      <c r="Y16" s="208">
        <f>VLOOKUP($C16,'MSET pivots'!$B$4:$H$14,$H$2,FALSE)*1000000*$G$6*'MSET pivots'!J$65</f>
        <v>73797.484272866554</v>
      </c>
      <c r="Z16" s="208">
        <f>VLOOKUP($C16,'MSET pivots'!$B$4:$H$14,$H$2,FALSE)*1000000*$G$6*'MSET pivots'!K$65</f>
        <v>79947.16700841469</v>
      </c>
      <c r="AA16" s="208">
        <f>VLOOKUP($C16,'MSET pivots'!$B$4:$H$14,$H$2,FALSE)*1000000*$G$6*'MSET pivots'!L$65</f>
        <v>86096.849743962812</v>
      </c>
      <c r="AB16" s="208">
        <f>VLOOKUP($C16,'MSET pivots'!$B$4:$H$14,$H$2,FALSE)*1000000*$G$6*'MSET pivots'!M$65</f>
        <v>92246.532479510934</v>
      </c>
      <c r="AC16" s="208">
        <f>VLOOKUP($C16,'MSET pivots'!$B$4:$H$14,$H$2,FALSE)*1000000*$G$6*'MSET pivots'!N$65</f>
        <v>98396.21521505907</v>
      </c>
      <c r="AD16" s="208">
        <f>VLOOKUP($C16,'MSET pivots'!$B$4:$H$14,$H$2,FALSE)*1000000*$G$6*'MSET pivots'!O$65</f>
        <v>104545.89795060719</v>
      </c>
      <c r="AE16" s="208">
        <f>VLOOKUP($C16,'MSET pivots'!$B$4:$H$14,$H$2,FALSE)*1000000*$G$6*'MSET pivots'!P$65</f>
        <v>110695.58068615531</v>
      </c>
      <c r="AF16" s="208">
        <f>VLOOKUP($C16,'MSET pivots'!$B$4:$H$14,$H$2,FALSE)*1000000*$G$6*'MSET pivots'!Q$65</f>
        <v>116845.26342170345</v>
      </c>
      <c r="AG16" s="208">
        <f>VLOOKUP($C16,'MSET pivots'!$B$4:$H$14,$H$2,FALSE)*1000000*$G$6*'MSET pivots'!R$65</f>
        <v>122994.94615725157</v>
      </c>
      <c r="AH16" s="208">
        <f>VLOOKUP($C16,'MSET pivots'!$B$4:$H$14,$H$2,FALSE)*1000000*$G$6*'MSET pivots'!S$65</f>
        <v>129144.62889279975</v>
      </c>
    </row>
    <row r="17" spans="3:34" x14ac:dyDescent="0.3">
      <c r="C17" t="s">
        <v>1048</v>
      </c>
      <c r="E17" t="s">
        <v>1232</v>
      </c>
      <c r="F17" t="s">
        <v>1240</v>
      </c>
      <c r="G17" s="266">
        <f t="shared" ref="G17:G20" si="0">SUM(T17:AH17)/1000000</f>
        <v>0.94167139452939153</v>
      </c>
      <c r="H17" s="208"/>
      <c r="I17" s="208"/>
      <c r="J17" s="208"/>
      <c r="K17" s="208"/>
      <c r="L17" s="208"/>
      <c r="M17" s="208"/>
      <c r="N17" s="208"/>
      <c r="O17" s="208"/>
      <c r="P17" s="208"/>
      <c r="Q17" s="208"/>
      <c r="R17" s="208"/>
      <c r="S17" s="208"/>
      <c r="T17" s="208">
        <f>VLOOKUP($C17,'MSET pivots'!$B$4:$H$14,$H$2,FALSE)*1000000*$G$6*'MSET pivots'!E$65</f>
        <v>31389.517317656151</v>
      </c>
      <c r="U17" s="208">
        <f>VLOOKUP($C17,'MSET pivots'!$B$4:$H$14,$H$2,FALSE)*1000000*$G$6*'MSET pivots'!F$65</f>
        <v>35873.599553509004</v>
      </c>
      <c r="V17" s="208">
        <f>VLOOKUP($C17,'MSET pivots'!$B$4:$H$14,$H$2,FALSE)*1000000*$G$6*'MSET pivots'!G$65</f>
        <v>40357.68178936185</v>
      </c>
      <c r="W17" s="208">
        <f>VLOOKUP($C17,'MSET pivots'!$B$4:$H$14,$H$2,FALSE)*1000000*$G$6*'MSET pivots'!H$65</f>
        <v>44841.764025214703</v>
      </c>
      <c r="X17" s="208">
        <f>VLOOKUP($C17,'MSET pivots'!$B$4:$H$14,$H$2,FALSE)*1000000*$G$6*'MSET pivots'!I$65</f>
        <v>49325.846261067556</v>
      </c>
      <c r="Y17" s="208">
        <f>VLOOKUP($C17,'MSET pivots'!$B$4:$H$14,$H$2,FALSE)*1000000*$G$6*'MSET pivots'!J$65</f>
        <v>53809.928496920409</v>
      </c>
      <c r="Z17" s="208">
        <f>VLOOKUP($C17,'MSET pivots'!$B$4:$H$14,$H$2,FALSE)*1000000*$G$6*'MSET pivots'!K$65</f>
        <v>58294.010732773255</v>
      </c>
      <c r="AA17" s="208">
        <f>VLOOKUP($C17,'MSET pivots'!$B$4:$H$14,$H$2,FALSE)*1000000*$G$6*'MSET pivots'!L$65</f>
        <v>62778.092968626101</v>
      </c>
      <c r="AB17" s="208">
        <f>VLOOKUP($C17,'MSET pivots'!$B$4:$H$14,$H$2,FALSE)*1000000*$G$6*'MSET pivots'!M$65</f>
        <v>67262.175204478946</v>
      </c>
      <c r="AC17" s="208">
        <f>VLOOKUP($C17,'MSET pivots'!$B$4:$H$14,$H$2,FALSE)*1000000*$G$6*'MSET pivots'!N$65</f>
        <v>71746.257440331785</v>
      </c>
      <c r="AD17" s="208">
        <f>VLOOKUP($C17,'MSET pivots'!$B$4:$H$14,$H$2,FALSE)*1000000*$G$6*'MSET pivots'!O$65</f>
        <v>76230.339676184638</v>
      </c>
      <c r="AE17" s="208">
        <f>VLOOKUP($C17,'MSET pivots'!$B$4:$H$14,$H$2,FALSE)*1000000*$G$6*'MSET pivots'!P$65</f>
        <v>80714.421912037476</v>
      </c>
      <c r="AF17" s="208">
        <f>VLOOKUP($C17,'MSET pivots'!$B$4:$H$14,$H$2,FALSE)*1000000*$G$6*'MSET pivots'!Q$65</f>
        <v>85198.504147890329</v>
      </c>
      <c r="AG17" s="208">
        <f>VLOOKUP($C17,'MSET pivots'!$B$4:$H$14,$H$2,FALSE)*1000000*$G$6*'MSET pivots'!R$65</f>
        <v>89682.586383743168</v>
      </c>
      <c r="AH17" s="208">
        <f>VLOOKUP($C17,'MSET pivots'!$B$4:$H$14,$H$2,FALSE)*1000000*$G$6*'MSET pivots'!S$65</f>
        <v>94166.66861959605</v>
      </c>
    </row>
    <row r="18" spans="3:34" x14ac:dyDescent="0.3">
      <c r="C18" t="s">
        <v>1011</v>
      </c>
      <c r="E18" t="s">
        <v>1232</v>
      </c>
      <c r="F18" t="s">
        <v>1240</v>
      </c>
      <c r="G18" s="266">
        <f t="shared" ref="G18" si="1">SUM(T18:AH18)/1000000</f>
        <v>4.8842778871055774</v>
      </c>
      <c r="H18" s="208"/>
      <c r="I18" s="208"/>
      <c r="J18" s="208"/>
      <c r="K18" s="208"/>
      <c r="L18" s="208"/>
      <c r="M18" s="208"/>
      <c r="N18" s="208"/>
      <c r="O18" s="208"/>
      <c r="P18" s="208"/>
      <c r="Q18" s="208"/>
      <c r="R18" s="208"/>
      <c r="S18" s="208"/>
      <c r="T18" s="208">
        <f>VLOOKUP($C18,'MSET pivots'!$B$4:$H$14,$H$2,FALSE)*1000000*$G$6*'MSET pivots'!E$65</f>
        <v>162811.7050302522</v>
      </c>
      <c r="U18" s="208">
        <f>VLOOKUP($C18,'MSET pivots'!$B$4:$H$14,$H$2,FALSE)*1000000*$G$6*'MSET pivots'!F$65</f>
        <v>186069.82228407884</v>
      </c>
      <c r="V18" s="208">
        <f>VLOOKUP($C18,'MSET pivots'!$B$4:$H$14,$H$2,FALSE)*1000000*$G$6*'MSET pivots'!G$65</f>
        <v>209327.93953790545</v>
      </c>
      <c r="W18" s="208">
        <f>VLOOKUP($C18,'MSET pivots'!$B$4:$H$14,$H$2,FALSE)*1000000*$G$6*'MSET pivots'!H$65</f>
        <v>232586.05679173209</v>
      </c>
      <c r="X18" s="208">
        <f>VLOOKUP($C18,'MSET pivots'!$B$4:$H$14,$H$2,FALSE)*1000000*$G$6*'MSET pivots'!I$65</f>
        <v>255844.1740455587</v>
      </c>
      <c r="Y18" s="208">
        <f>VLOOKUP($C18,'MSET pivots'!$B$4:$H$14,$H$2,FALSE)*1000000*$G$6*'MSET pivots'!J$65</f>
        <v>279102.29129938531</v>
      </c>
      <c r="Z18" s="208">
        <f>VLOOKUP($C18,'MSET pivots'!$B$4:$H$14,$H$2,FALSE)*1000000*$G$6*'MSET pivots'!K$65</f>
        <v>302360.40855321195</v>
      </c>
      <c r="AA18" s="208">
        <f>VLOOKUP($C18,'MSET pivots'!$B$4:$H$14,$H$2,FALSE)*1000000*$G$6*'MSET pivots'!L$65</f>
        <v>325618.52580703853</v>
      </c>
      <c r="AB18" s="208">
        <f>VLOOKUP($C18,'MSET pivots'!$B$4:$H$14,$H$2,FALSE)*1000000*$G$6*'MSET pivots'!M$65</f>
        <v>348876.64306086517</v>
      </c>
      <c r="AC18" s="208">
        <f>VLOOKUP($C18,'MSET pivots'!$B$4:$H$14,$H$2,FALSE)*1000000*$G$6*'MSET pivots'!N$65</f>
        <v>372134.76031469175</v>
      </c>
      <c r="AD18" s="208">
        <f>VLOOKUP($C18,'MSET pivots'!$B$4:$H$14,$H$2,FALSE)*1000000*$G$6*'MSET pivots'!O$65</f>
        <v>395392.87756851834</v>
      </c>
      <c r="AE18" s="208">
        <f>VLOOKUP($C18,'MSET pivots'!$B$4:$H$14,$H$2,FALSE)*1000000*$G$6*'MSET pivots'!P$65</f>
        <v>418650.99482234492</v>
      </c>
      <c r="AF18" s="208">
        <f>VLOOKUP($C18,'MSET pivots'!$B$4:$H$14,$H$2,FALSE)*1000000*$G$6*'MSET pivots'!Q$65</f>
        <v>441909.1120761715</v>
      </c>
      <c r="AG18" s="208">
        <f>VLOOKUP($C18,'MSET pivots'!$B$4:$H$14,$H$2,FALSE)*1000000*$G$6*'MSET pivots'!R$65</f>
        <v>465167.22932999814</v>
      </c>
      <c r="AH18" s="208">
        <f>VLOOKUP($C18,'MSET pivots'!$B$4:$H$14,$H$2,FALSE)*1000000*$G$6*'MSET pivots'!S$65</f>
        <v>488425.3465838249</v>
      </c>
    </row>
    <row r="19" spans="3:34" x14ac:dyDescent="0.3">
      <c r="C19" s="161" t="s">
        <v>1052</v>
      </c>
      <c r="E19" t="s">
        <v>1232</v>
      </c>
      <c r="F19" t="s">
        <v>1240</v>
      </c>
      <c r="G19" s="266">
        <f t="shared" si="0"/>
        <v>1.1857456723865323</v>
      </c>
      <c r="H19" s="208"/>
      <c r="I19" s="208"/>
      <c r="J19" s="208"/>
      <c r="K19" s="208"/>
      <c r="L19" s="208"/>
      <c r="M19" s="208"/>
      <c r="N19" s="208"/>
      <c r="O19" s="208"/>
      <c r="P19" s="208"/>
      <c r="Q19" s="208"/>
      <c r="R19" s="208"/>
      <c r="S19" s="208"/>
      <c r="T19" s="208">
        <f>VLOOKUP($C19,'MSET pivots'!$B$4:$H$14,$H$2,FALSE)*1000000*$G$6*'MSET pivots'!E$65</f>
        <v>39525.44861608959</v>
      </c>
      <c r="U19" s="208">
        <f>VLOOKUP($C19,'MSET pivots'!$B$4:$H$14,$H$2,FALSE)*1000000*$G$6*'MSET pivots'!F$65</f>
        <v>45171.771884139009</v>
      </c>
      <c r="V19" s="208">
        <f>VLOOKUP($C19,'MSET pivots'!$B$4:$H$14,$H$2,FALSE)*1000000*$G$6*'MSET pivots'!G$65</f>
        <v>50818.09515218842</v>
      </c>
      <c r="W19" s="208">
        <f>VLOOKUP($C19,'MSET pivots'!$B$4:$H$14,$H$2,FALSE)*1000000*$G$6*'MSET pivots'!H$65</f>
        <v>56464.418420237838</v>
      </c>
      <c r="X19" s="208">
        <f>VLOOKUP($C19,'MSET pivots'!$B$4:$H$14,$H$2,FALSE)*1000000*$G$6*'MSET pivots'!I$65</f>
        <v>62110.741688287257</v>
      </c>
      <c r="Y19" s="208">
        <f>VLOOKUP($C19,'MSET pivots'!$B$4:$H$14,$H$2,FALSE)*1000000*$G$6*'MSET pivots'!J$65</f>
        <v>67757.064956336675</v>
      </c>
      <c r="Z19" s="208">
        <f>VLOOKUP($C19,'MSET pivots'!$B$4:$H$14,$H$2,FALSE)*1000000*$G$6*'MSET pivots'!K$65</f>
        <v>73403.388224386086</v>
      </c>
      <c r="AA19" s="208">
        <f>VLOOKUP($C19,'MSET pivots'!$B$4:$H$14,$H$2,FALSE)*1000000*$G$6*'MSET pivots'!L$65</f>
        <v>79049.711492435497</v>
      </c>
      <c r="AB19" s="208">
        <f>VLOOKUP($C19,'MSET pivots'!$B$4:$H$14,$H$2,FALSE)*1000000*$G$6*'MSET pivots'!M$65</f>
        <v>84696.034760484894</v>
      </c>
      <c r="AC19" s="208">
        <f>VLOOKUP($C19,'MSET pivots'!$B$4:$H$14,$H$2,FALSE)*1000000*$G$6*'MSET pivots'!N$65</f>
        <v>90342.358028534305</v>
      </c>
      <c r="AD19" s="208">
        <f>VLOOKUP($C19,'MSET pivots'!$B$4:$H$14,$H$2,FALSE)*1000000*$G$6*'MSET pivots'!O$65</f>
        <v>95988.681296583716</v>
      </c>
      <c r="AE19" s="208">
        <f>VLOOKUP($C19,'MSET pivots'!$B$4:$H$14,$H$2,FALSE)*1000000*$G$6*'MSET pivots'!P$65</f>
        <v>101635.00456463313</v>
      </c>
      <c r="AF19" s="208">
        <f>VLOOKUP($C19,'MSET pivots'!$B$4:$H$14,$H$2,FALSE)*1000000*$G$6*'MSET pivots'!Q$65</f>
        <v>107281.32783268252</v>
      </c>
      <c r="AG19" s="208">
        <f>VLOOKUP($C19,'MSET pivots'!$B$4:$H$14,$H$2,FALSE)*1000000*$G$6*'MSET pivots'!R$65</f>
        <v>112927.65110073194</v>
      </c>
      <c r="AH19" s="208">
        <f>VLOOKUP($C19,'MSET pivots'!$B$4:$H$14,$H$2,FALSE)*1000000*$G$6*'MSET pivots'!S$65</f>
        <v>118573.97436878139</v>
      </c>
    </row>
    <row r="20" spans="3:34" x14ac:dyDescent="0.3">
      <c r="C20" t="s">
        <v>1021</v>
      </c>
      <c r="E20" t="s">
        <v>1232</v>
      </c>
      <c r="F20" t="s">
        <v>1240</v>
      </c>
      <c r="G20" s="266">
        <f t="shared" si="0"/>
        <v>1.5848337914080988</v>
      </c>
      <c r="H20" s="208"/>
      <c r="I20" s="208"/>
      <c r="J20" s="208"/>
      <c r="K20" s="208"/>
      <c r="L20" s="208"/>
      <c r="M20" s="208"/>
      <c r="N20" s="208"/>
      <c r="O20" s="208"/>
      <c r="P20" s="208"/>
      <c r="Q20" s="208"/>
      <c r="R20" s="208"/>
      <c r="S20" s="208">
        <f>'Preliminary results'!$C$31*1000000*G6</f>
        <v>902060.73048874759</v>
      </c>
      <c r="T20" s="208">
        <f>VLOOKUP($C20,'MSET pivots'!$B$4:$H$14,$H$2,FALSE)*1000000*$G$6*'MSET pivots'!E$65</f>
        <v>52828.585459870264</v>
      </c>
      <c r="U20" s="208">
        <f>VLOOKUP($C20,'MSET pivots'!$B$4:$H$14,$H$2,FALSE)*1000000*$G$6*'MSET pivots'!F$65</f>
        <v>60375.299836156402</v>
      </c>
      <c r="V20" s="208">
        <f>VLOOKUP($C20,'MSET pivots'!$B$4:$H$14,$H$2,FALSE)*1000000*$G$6*'MSET pivots'!G$65</f>
        <v>67922.014212442547</v>
      </c>
      <c r="W20" s="208">
        <f>VLOOKUP($C20,'MSET pivots'!$B$4:$H$14,$H$2,FALSE)*1000000*$G$6*'MSET pivots'!H$65</f>
        <v>75468.728588728685</v>
      </c>
      <c r="X20" s="208">
        <f>VLOOKUP($C20,'MSET pivots'!$B$4:$H$14,$H$2,FALSE)*1000000*$G$6*'MSET pivots'!I$65</f>
        <v>83015.442965014823</v>
      </c>
      <c r="Y20" s="208">
        <f>VLOOKUP($C20,'MSET pivots'!$B$4:$H$14,$H$2,FALSE)*1000000*$G$6*'MSET pivots'!J$65</f>
        <v>90562.157341300976</v>
      </c>
      <c r="Z20" s="208">
        <f>VLOOKUP($C20,'MSET pivots'!$B$4:$H$14,$H$2,FALSE)*1000000*$G$6*'MSET pivots'!K$65</f>
        <v>98108.871717587113</v>
      </c>
      <c r="AA20" s="208">
        <f>VLOOKUP($C20,'MSET pivots'!$B$4:$H$14,$H$2,FALSE)*1000000*$G$6*'MSET pivots'!L$65</f>
        <v>105655.58609387324</v>
      </c>
      <c r="AB20" s="208">
        <f>VLOOKUP($C20,'MSET pivots'!$B$4:$H$14,$H$2,FALSE)*1000000*$G$6*'MSET pivots'!M$65</f>
        <v>113202.30047015937</v>
      </c>
      <c r="AC20" s="208">
        <f>VLOOKUP($C20,'MSET pivots'!$B$4:$H$14,$H$2,FALSE)*1000000*$G$6*'MSET pivots'!N$65</f>
        <v>120749.0148464455</v>
      </c>
      <c r="AD20" s="208">
        <f>VLOOKUP($C20,'MSET pivots'!$B$4:$H$14,$H$2,FALSE)*1000000*$G$6*'MSET pivots'!O$65</f>
        <v>128295.72922273164</v>
      </c>
      <c r="AE20" s="208">
        <f>VLOOKUP($C20,'MSET pivots'!$B$4:$H$14,$H$2,FALSE)*1000000*$G$6*'MSET pivots'!P$65</f>
        <v>135842.44359901777</v>
      </c>
      <c r="AF20" s="208">
        <f>VLOOKUP($C20,'MSET pivots'!$B$4:$H$14,$H$2,FALSE)*1000000*$G$6*'MSET pivots'!Q$65</f>
        <v>143389.15797530391</v>
      </c>
      <c r="AG20" s="208">
        <f>VLOOKUP($C20,'MSET pivots'!$B$4:$H$14,$H$2,FALSE)*1000000*$G$6*'MSET pivots'!R$65</f>
        <v>150935.87235159002</v>
      </c>
      <c r="AH20" s="208">
        <f>VLOOKUP($C20,'MSET pivots'!$B$4:$H$14,$H$2,FALSE)*1000000*$G$6*'MSET pivots'!S$65</f>
        <v>158482.58672787622</v>
      </c>
    </row>
    <row r="21" spans="3:34" x14ac:dyDescent="0.3">
      <c r="C21" t="s">
        <v>1056</v>
      </c>
      <c r="E21" t="s">
        <v>1232</v>
      </c>
      <c r="F21" t="s">
        <v>1240</v>
      </c>
      <c r="G21" s="266">
        <f t="shared" ref="G21" si="2">SUM(T21:AH21)/1000000</f>
        <v>0.5883881285689273</v>
      </c>
      <c r="H21" s="208"/>
      <c r="I21" s="208"/>
      <c r="J21" s="208"/>
      <c r="K21" s="208"/>
      <c r="L21" s="208"/>
      <c r="M21" s="208"/>
      <c r="N21" s="208"/>
      <c r="O21" s="208"/>
      <c r="P21" s="208"/>
      <c r="Q21" s="208"/>
      <c r="R21" s="208"/>
      <c r="S21" s="208"/>
      <c r="T21" s="208">
        <f>VLOOKUP($C21,'MSET pivots'!$B$4:$H$14,$H$2,FALSE)*1000000*$G$6*'MSET pivots'!E$65</f>
        <v>19613.231811557573</v>
      </c>
      <c r="U21" s="208">
        <f>VLOOKUP($C21,'MSET pivots'!$B$4:$H$14,$H$2,FALSE)*1000000*$G$6*'MSET pivots'!F$65</f>
        <v>22415.038015324848</v>
      </c>
      <c r="V21" s="208">
        <f>VLOOKUP($C21,'MSET pivots'!$B$4:$H$14,$H$2,FALSE)*1000000*$G$6*'MSET pivots'!G$65</f>
        <v>25216.844219092127</v>
      </c>
      <c r="W21" s="208">
        <f>VLOOKUP($C21,'MSET pivots'!$B$4:$H$14,$H$2,FALSE)*1000000*$G$6*'MSET pivots'!H$65</f>
        <v>28018.650422859402</v>
      </c>
      <c r="X21" s="208">
        <f>VLOOKUP($C21,'MSET pivots'!$B$4:$H$14,$H$2,FALSE)*1000000*$G$6*'MSET pivots'!I$65</f>
        <v>30820.456626626677</v>
      </c>
      <c r="Y21" s="208">
        <f>VLOOKUP($C21,'MSET pivots'!$B$4:$H$14,$H$2,FALSE)*1000000*$G$6*'MSET pivots'!J$65</f>
        <v>33622.262830393956</v>
      </c>
      <c r="Z21" s="208">
        <f>VLOOKUP($C21,'MSET pivots'!$B$4:$H$14,$H$2,FALSE)*1000000*$G$6*'MSET pivots'!K$65</f>
        <v>36424.069034161228</v>
      </c>
      <c r="AA21" s="208">
        <f>VLOOKUP($C21,'MSET pivots'!$B$4:$H$14,$H$2,FALSE)*1000000*$G$6*'MSET pivots'!L$65</f>
        <v>39225.8752379285</v>
      </c>
      <c r="AB21" s="208">
        <f>VLOOKUP($C21,'MSET pivots'!$B$4:$H$14,$H$2,FALSE)*1000000*$G$6*'MSET pivots'!M$65</f>
        <v>42027.681441695771</v>
      </c>
      <c r="AC21" s="208">
        <f>VLOOKUP($C21,'MSET pivots'!$B$4:$H$14,$H$2,FALSE)*1000000*$G$6*'MSET pivots'!N$65</f>
        <v>44829.48764546305</v>
      </c>
      <c r="AD21" s="208">
        <f>VLOOKUP($C21,'MSET pivots'!$B$4:$H$14,$H$2,FALSE)*1000000*$G$6*'MSET pivots'!O$65</f>
        <v>47631.293849230322</v>
      </c>
      <c r="AE21" s="208">
        <f>VLOOKUP($C21,'MSET pivots'!$B$4:$H$14,$H$2,FALSE)*1000000*$G$6*'MSET pivots'!P$65</f>
        <v>50433.100052997594</v>
      </c>
      <c r="AF21" s="208">
        <f>VLOOKUP($C21,'MSET pivots'!$B$4:$H$14,$H$2,FALSE)*1000000*$G$6*'MSET pivots'!Q$65</f>
        <v>53234.906256764865</v>
      </c>
      <c r="AG21" s="208">
        <f>VLOOKUP($C21,'MSET pivots'!$B$4:$H$14,$H$2,FALSE)*1000000*$G$6*'MSET pivots'!R$65</f>
        <v>56036.712460532137</v>
      </c>
      <c r="AH21" s="208">
        <f>VLOOKUP($C21,'MSET pivots'!$B$4:$H$14,$H$2,FALSE)*1000000*$G$6*'MSET pivots'!S$65</f>
        <v>58838.51866429943</v>
      </c>
    </row>
    <row r="22" spans="3:34" x14ac:dyDescent="0.3">
      <c r="F22" s="205"/>
      <c r="H22" s="208"/>
      <c r="I22" s="208"/>
      <c r="J22" s="208"/>
      <c r="K22" s="208"/>
      <c r="L22" s="208"/>
      <c r="M22" s="208"/>
      <c r="N22" s="208"/>
      <c r="O22" s="208"/>
      <c r="P22" s="208"/>
      <c r="Q22" s="208"/>
      <c r="R22" s="208"/>
      <c r="S22" s="208"/>
      <c r="T22" s="208"/>
      <c r="U22" s="208"/>
      <c r="V22" s="208"/>
      <c r="W22" s="208"/>
      <c r="X22" s="208"/>
      <c r="Y22" s="208"/>
      <c r="Z22" s="208"/>
      <c r="AA22" s="208"/>
      <c r="AB22" s="208"/>
      <c r="AC22" s="208"/>
    </row>
    <row r="23" spans="3:34" x14ac:dyDescent="0.3">
      <c r="F23" s="205"/>
      <c r="H23" s="208"/>
      <c r="I23" s="208"/>
      <c r="J23" s="208"/>
      <c r="K23" s="208"/>
      <c r="L23" s="208"/>
      <c r="M23" s="208"/>
      <c r="N23" s="208"/>
      <c r="O23" s="208"/>
      <c r="P23" s="208"/>
      <c r="Q23" s="208"/>
      <c r="R23" s="208"/>
      <c r="S23" s="208"/>
      <c r="T23" s="208"/>
      <c r="U23" s="208"/>
      <c r="V23" s="208"/>
      <c r="W23" s="208"/>
      <c r="X23" s="208"/>
      <c r="Y23" s="208"/>
      <c r="Z23" s="208"/>
      <c r="AA23" s="208"/>
      <c r="AB23" s="208"/>
      <c r="AC23" s="208"/>
    </row>
    <row r="24" spans="3:34" x14ac:dyDescent="0.3">
      <c r="F24" s="205"/>
      <c r="G24" s="182"/>
      <c r="H24" s="208"/>
      <c r="I24" s="208"/>
      <c r="J24" s="208"/>
      <c r="K24" s="208"/>
      <c r="L24" s="208"/>
      <c r="M24" s="208"/>
      <c r="N24" s="208"/>
      <c r="O24" s="208"/>
      <c r="P24" s="208"/>
      <c r="Q24" s="208"/>
      <c r="R24" s="208"/>
      <c r="S24" s="208"/>
      <c r="T24" s="208"/>
      <c r="U24" s="208"/>
      <c r="V24" s="208"/>
      <c r="W24" s="208"/>
      <c r="X24" s="208"/>
      <c r="Y24" s="208"/>
      <c r="Z24" s="208"/>
      <c r="AA24" s="208"/>
      <c r="AB24" s="208"/>
      <c r="AC24" s="208"/>
    </row>
    <row r="25" spans="3:34" x14ac:dyDescent="0.3">
      <c r="F25" s="205"/>
      <c r="H25" s="208"/>
      <c r="I25" s="208"/>
      <c r="J25" s="208"/>
      <c r="K25" s="208"/>
      <c r="L25" s="208"/>
      <c r="M25" s="208"/>
      <c r="N25" s="208"/>
      <c r="O25" s="208"/>
      <c r="P25" s="208"/>
      <c r="Q25" s="208"/>
      <c r="R25" s="208"/>
      <c r="S25" s="208"/>
      <c r="T25" s="208"/>
      <c r="U25" s="208"/>
      <c r="V25" s="208"/>
      <c r="W25" s="208"/>
      <c r="X25" s="208"/>
      <c r="Y25" s="208"/>
      <c r="Z25" s="208"/>
      <c r="AA25" s="208"/>
      <c r="AB25" s="208"/>
      <c r="AC25" s="208"/>
    </row>
    <row r="26" spans="3:34" x14ac:dyDescent="0.3">
      <c r="F26" s="205"/>
      <c r="H26" s="208"/>
      <c r="I26" s="208"/>
      <c r="J26" s="208"/>
      <c r="K26" s="208"/>
      <c r="L26" s="208"/>
      <c r="M26" s="208"/>
      <c r="N26" s="208"/>
      <c r="O26" s="208"/>
      <c r="P26" s="208"/>
      <c r="Q26" s="208"/>
      <c r="R26" s="208"/>
      <c r="S26" s="208"/>
      <c r="T26" s="208"/>
      <c r="U26" s="208"/>
      <c r="V26" s="208"/>
      <c r="W26" s="208"/>
      <c r="X26" s="208"/>
      <c r="Y26" s="208"/>
      <c r="Z26" s="208"/>
      <c r="AA26" s="208"/>
      <c r="AB26" s="208"/>
      <c r="AC26" s="208"/>
    </row>
    <row r="27" spans="3:34" x14ac:dyDescent="0.3">
      <c r="F27" s="205"/>
      <c r="H27" s="208"/>
      <c r="I27" s="208"/>
      <c r="J27" s="208"/>
      <c r="K27" s="208"/>
      <c r="L27" s="208"/>
      <c r="M27" s="208"/>
      <c r="N27" s="208"/>
      <c r="O27" s="208"/>
      <c r="P27" s="208"/>
      <c r="Q27" s="208"/>
      <c r="R27" s="208"/>
      <c r="S27" s="208"/>
      <c r="T27" s="208"/>
      <c r="U27" s="208"/>
      <c r="V27" s="208"/>
      <c r="W27" s="208"/>
      <c r="X27" s="208"/>
      <c r="Y27" s="208"/>
      <c r="Z27" s="208"/>
      <c r="AA27" s="208"/>
      <c r="AB27" s="208"/>
      <c r="AC27" s="208"/>
    </row>
    <row r="28" spans="3:34" x14ac:dyDescent="0.3">
      <c r="F28" s="205"/>
      <c r="H28" s="208"/>
      <c r="I28" s="208"/>
      <c r="J28" s="208"/>
      <c r="K28" s="208"/>
      <c r="L28" s="208"/>
      <c r="M28" s="208"/>
      <c r="N28" s="208"/>
      <c r="O28" s="208"/>
      <c r="P28" s="208"/>
      <c r="Q28" s="208"/>
      <c r="R28" s="208"/>
      <c r="S28" s="208"/>
      <c r="T28" s="208"/>
      <c r="U28" s="208"/>
      <c r="V28" s="208"/>
      <c r="W28" s="208"/>
      <c r="X28" s="208"/>
      <c r="Y28" s="208"/>
      <c r="Z28" s="208"/>
      <c r="AA28" s="208"/>
      <c r="AB28" s="208"/>
      <c r="AC28" s="208"/>
    </row>
    <row r="29" spans="3:34" x14ac:dyDescent="0.3">
      <c r="F29" s="205"/>
      <c r="H29" s="208"/>
      <c r="I29" s="208"/>
      <c r="J29" s="208"/>
      <c r="K29" s="208"/>
      <c r="L29" s="208"/>
      <c r="M29" s="208"/>
      <c r="N29" s="208"/>
      <c r="O29" s="208"/>
      <c r="P29" s="208"/>
      <c r="Q29" s="208"/>
      <c r="R29" s="208"/>
      <c r="S29" s="208"/>
      <c r="T29" s="208"/>
      <c r="U29" s="208"/>
      <c r="V29" s="208"/>
      <c r="W29" s="208"/>
      <c r="X29" s="208"/>
      <c r="Y29" s="208"/>
      <c r="Z29" s="208"/>
      <c r="AA29" s="208"/>
      <c r="AB29" s="208"/>
      <c r="AC29" s="208"/>
    </row>
    <row r="30" spans="3:34" x14ac:dyDescent="0.3">
      <c r="F30" s="205"/>
      <c r="H30" s="209"/>
      <c r="I30" s="209"/>
      <c r="J30" s="209"/>
      <c r="K30" s="209"/>
      <c r="L30" s="209"/>
      <c r="M30" s="209"/>
      <c r="N30" s="209"/>
      <c r="O30" s="209"/>
      <c r="P30" s="209"/>
      <c r="Q30" s="209"/>
      <c r="R30" s="209"/>
      <c r="S30" s="209"/>
      <c r="T30" s="209"/>
      <c r="U30" s="209"/>
      <c r="V30" s="209"/>
      <c r="W30" s="209"/>
      <c r="X30" s="209"/>
      <c r="Y30" s="209"/>
      <c r="Z30" s="209"/>
      <c r="AA30" s="209"/>
      <c r="AB30" s="209"/>
      <c r="AC30" s="209"/>
    </row>
    <row r="31" spans="3:34" x14ac:dyDescent="0.3">
      <c r="F31" s="205"/>
    </row>
    <row r="32" spans="3:34" x14ac:dyDescent="0.3">
      <c r="F32" s="205"/>
    </row>
    <row r="33" spans="6:6" x14ac:dyDescent="0.3">
      <c r="F33" s="205"/>
    </row>
    <row r="34" spans="6:6" x14ac:dyDescent="0.3">
      <c r="F34" s="205"/>
    </row>
    <row r="35" spans="6:6" x14ac:dyDescent="0.3">
      <c r="F35" s="205"/>
    </row>
    <row r="36" spans="6:6" x14ac:dyDescent="0.3">
      <c r="F36" s="205"/>
    </row>
    <row r="37" spans="6:6" x14ac:dyDescent="0.3">
      <c r="F37" s="205"/>
    </row>
    <row r="38" spans="6:6" x14ac:dyDescent="0.3">
      <c r="F38" s="205"/>
    </row>
    <row r="39" spans="6:6" x14ac:dyDescent="0.3">
      <c r="F39" s="205"/>
    </row>
    <row r="40" spans="6:6" x14ac:dyDescent="0.3">
      <c r="F40" s="205"/>
    </row>
    <row r="41" spans="6:6" x14ac:dyDescent="0.3">
      <c r="F41" s="205"/>
    </row>
    <row r="42" spans="6:6" x14ac:dyDescent="0.3">
      <c r="F42" s="205"/>
    </row>
    <row r="43" spans="6:6" x14ac:dyDescent="0.3">
      <c r="F43" s="205"/>
    </row>
    <row r="44" spans="6:6" x14ac:dyDescent="0.3">
      <c r="F44" s="205"/>
    </row>
    <row r="45" spans="6:6" x14ac:dyDescent="0.3">
      <c r="F45" s="205"/>
    </row>
    <row r="46" spans="6:6" x14ac:dyDescent="0.3">
      <c r="F46" s="205"/>
    </row>
    <row r="47" spans="6:6" x14ac:dyDescent="0.3">
      <c r="F47" s="205"/>
    </row>
    <row r="48" spans="6:6" x14ac:dyDescent="0.3">
      <c r="F48" s="205"/>
    </row>
    <row r="49" spans="6:6" x14ac:dyDescent="0.3">
      <c r="F49" s="205"/>
    </row>
    <row r="50" spans="6:6" x14ac:dyDescent="0.3">
      <c r="F50" s="205"/>
    </row>
    <row r="51" spans="6:6" x14ac:dyDescent="0.3">
      <c r="F51" s="205"/>
    </row>
    <row r="52" spans="6:6" x14ac:dyDescent="0.3">
      <c r="F52" s="205"/>
    </row>
    <row r="53" spans="6:6" x14ac:dyDescent="0.3">
      <c r="F53" s="205"/>
    </row>
    <row r="54" spans="6:6" x14ac:dyDescent="0.3">
      <c r="F54" s="205"/>
    </row>
    <row r="55" spans="6:6" x14ac:dyDescent="0.3">
      <c r="F55" s="205"/>
    </row>
    <row r="56" spans="6:6" x14ac:dyDescent="0.3">
      <c r="F56" s="205"/>
    </row>
    <row r="57" spans="6:6" x14ac:dyDescent="0.3">
      <c r="F57" s="205"/>
    </row>
    <row r="58" spans="6:6" x14ac:dyDescent="0.3">
      <c r="F58" s="205"/>
    </row>
    <row r="59" spans="6:6" x14ac:dyDescent="0.3">
      <c r="F59" s="205"/>
    </row>
    <row r="60" spans="6:6" x14ac:dyDescent="0.3">
      <c r="F60" s="205"/>
    </row>
    <row r="61" spans="6:6" x14ac:dyDescent="0.3">
      <c r="F61" s="205"/>
    </row>
    <row r="62" spans="6:6" x14ac:dyDescent="0.3">
      <c r="F62" s="205"/>
    </row>
    <row r="63" spans="6:6" x14ac:dyDescent="0.3">
      <c r="F63" s="205"/>
    </row>
    <row r="64" spans="6:6" x14ac:dyDescent="0.3">
      <c r="F64" s="205"/>
    </row>
    <row r="65" spans="6:6" x14ac:dyDescent="0.3">
      <c r="F65" s="205"/>
    </row>
    <row r="66" spans="6:6" x14ac:dyDescent="0.3">
      <c r="F66" s="205"/>
    </row>
    <row r="67" spans="6:6" x14ac:dyDescent="0.3">
      <c r="F67" s="205"/>
    </row>
    <row r="68" spans="6:6" x14ac:dyDescent="0.3">
      <c r="F68" s="205"/>
    </row>
    <row r="69" spans="6:6" x14ac:dyDescent="0.3">
      <c r="F69" s="205"/>
    </row>
    <row r="70" spans="6:6" x14ac:dyDescent="0.3">
      <c r="F70" s="205"/>
    </row>
    <row r="71" spans="6:6" x14ac:dyDescent="0.3">
      <c r="F71" s="205"/>
    </row>
    <row r="72" spans="6:6" x14ac:dyDescent="0.3">
      <c r="F72" s="205"/>
    </row>
    <row r="73" spans="6:6" x14ac:dyDescent="0.3">
      <c r="F73" s="205"/>
    </row>
    <row r="74" spans="6:6" x14ac:dyDescent="0.3">
      <c r="F74" s="205"/>
    </row>
    <row r="75" spans="6:6" x14ac:dyDescent="0.3">
      <c r="F75" s="205"/>
    </row>
    <row r="76" spans="6:6" x14ac:dyDescent="0.3">
      <c r="F76" s="205"/>
    </row>
    <row r="77" spans="6:6" x14ac:dyDescent="0.3">
      <c r="F77" s="205"/>
    </row>
    <row r="78" spans="6:6" x14ac:dyDescent="0.3">
      <c r="F78" s="205"/>
    </row>
    <row r="79" spans="6:6" x14ac:dyDescent="0.3">
      <c r="F79" s="205"/>
    </row>
    <row r="80" spans="6:6" x14ac:dyDescent="0.3">
      <c r="F80" s="205"/>
    </row>
    <row r="81" spans="6:6" x14ac:dyDescent="0.3">
      <c r="F81" s="205"/>
    </row>
    <row r="82" spans="6:6" x14ac:dyDescent="0.3">
      <c r="F82" s="205"/>
    </row>
    <row r="83" spans="6:6" x14ac:dyDescent="0.3">
      <c r="F83" s="205"/>
    </row>
    <row r="84" spans="6:6" x14ac:dyDescent="0.3">
      <c r="F84" s="205"/>
    </row>
    <row r="85" spans="6:6" x14ac:dyDescent="0.3">
      <c r="F85" s="205"/>
    </row>
    <row r="86" spans="6:6" x14ac:dyDescent="0.3">
      <c r="F86" s="205"/>
    </row>
    <row r="87" spans="6:6" x14ac:dyDescent="0.3">
      <c r="F87" s="205"/>
    </row>
    <row r="88" spans="6:6" x14ac:dyDescent="0.3">
      <c r="F88" s="205"/>
    </row>
    <row r="89" spans="6:6" x14ac:dyDescent="0.3">
      <c r="F89" s="205"/>
    </row>
    <row r="90" spans="6:6" x14ac:dyDescent="0.3">
      <c r="F90" s="205"/>
    </row>
    <row r="91" spans="6:6" x14ac:dyDescent="0.3">
      <c r="F91" s="205"/>
    </row>
    <row r="92" spans="6:6" x14ac:dyDescent="0.3">
      <c r="F92" s="205"/>
    </row>
    <row r="93" spans="6:6" x14ac:dyDescent="0.3">
      <c r="F93" s="205"/>
    </row>
    <row r="94" spans="6:6" x14ac:dyDescent="0.3">
      <c r="F94" s="205"/>
    </row>
    <row r="95" spans="6:6" x14ac:dyDescent="0.3">
      <c r="F95" s="205"/>
    </row>
    <row r="96" spans="6:6" x14ac:dyDescent="0.3">
      <c r="F96" s="205"/>
    </row>
    <row r="97" spans="6:6" x14ac:dyDescent="0.3">
      <c r="F97" s="205"/>
    </row>
    <row r="98" spans="6:6" x14ac:dyDescent="0.3">
      <c r="F98" s="205"/>
    </row>
    <row r="99" spans="6:6" x14ac:dyDescent="0.3">
      <c r="F99" s="205"/>
    </row>
    <row r="100" spans="6:6" x14ac:dyDescent="0.3">
      <c r="F100" s="205"/>
    </row>
    <row r="101" spans="6:6" x14ac:dyDescent="0.3">
      <c r="F101" s="205"/>
    </row>
    <row r="102" spans="6:6" x14ac:dyDescent="0.3">
      <c r="F102" s="205"/>
    </row>
    <row r="103" spans="6:6" x14ac:dyDescent="0.3">
      <c r="F103" s="205"/>
    </row>
    <row r="104" spans="6:6" x14ac:dyDescent="0.3">
      <c r="F104" s="205"/>
    </row>
    <row r="105" spans="6:6" x14ac:dyDescent="0.3">
      <c r="F105" s="205"/>
    </row>
    <row r="106" spans="6:6" x14ac:dyDescent="0.3">
      <c r="F106" s="205"/>
    </row>
    <row r="107" spans="6:6" x14ac:dyDescent="0.3">
      <c r="F107" s="205"/>
    </row>
    <row r="108" spans="6:6" x14ac:dyDescent="0.3">
      <c r="F108" s="205"/>
    </row>
    <row r="109" spans="6:6" x14ac:dyDescent="0.3">
      <c r="F109" s="205"/>
    </row>
    <row r="110" spans="6:6" x14ac:dyDescent="0.3">
      <c r="F110" s="205"/>
    </row>
    <row r="111" spans="6:6" x14ac:dyDescent="0.3">
      <c r="F111" s="205"/>
    </row>
    <row r="112" spans="6:6" x14ac:dyDescent="0.3">
      <c r="F112" s="205"/>
    </row>
    <row r="113" spans="6:6" x14ac:dyDescent="0.3">
      <c r="F113" s="205"/>
    </row>
    <row r="114" spans="6:6" x14ac:dyDescent="0.3">
      <c r="F114" s="205"/>
    </row>
    <row r="115" spans="6:6" x14ac:dyDescent="0.3">
      <c r="F115" s="205"/>
    </row>
    <row r="116" spans="6:6" x14ac:dyDescent="0.3">
      <c r="F116" s="205"/>
    </row>
    <row r="117" spans="6:6" x14ac:dyDescent="0.3">
      <c r="F117" s="205"/>
    </row>
    <row r="118" spans="6:6" x14ac:dyDescent="0.3">
      <c r="F118" s="205"/>
    </row>
    <row r="119" spans="6:6" x14ac:dyDescent="0.3">
      <c r="F119" s="205"/>
    </row>
    <row r="120" spans="6:6" x14ac:dyDescent="0.3">
      <c r="F120" s="205"/>
    </row>
    <row r="121" spans="6:6" x14ac:dyDescent="0.3">
      <c r="F121" s="205"/>
    </row>
    <row r="122" spans="6:6" x14ac:dyDescent="0.3">
      <c r="F122" s="205"/>
    </row>
    <row r="123" spans="6:6" x14ac:dyDescent="0.3">
      <c r="F123" s="205"/>
    </row>
    <row r="124" spans="6:6" x14ac:dyDescent="0.3">
      <c r="F124" s="205"/>
    </row>
    <row r="125" spans="6:6" x14ac:dyDescent="0.3">
      <c r="F125" s="205"/>
    </row>
    <row r="126" spans="6:6" x14ac:dyDescent="0.3">
      <c r="F126" s="205"/>
    </row>
    <row r="127" spans="6:6" x14ac:dyDescent="0.3">
      <c r="F127" s="205"/>
    </row>
    <row r="128" spans="6:6" x14ac:dyDescent="0.3">
      <c r="F128" s="205"/>
    </row>
    <row r="129" spans="6:6" x14ac:dyDescent="0.3">
      <c r="F129" s="205"/>
    </row>
    <row r="130" spans="6:6" x14ac:dyDescent="0.3">
      <c r="F130" s="205"/>
    </row>
    <row r="131" spans="6:6" x14ac:dyDescent="0.3">
      <c r="F131" s="205"/>
    </row>
    <row r="132" spans="6:6" x14ac:dyDescent="0.3">
      <c r="F132" s="205"/>
    </row>
    <row r="133" spans="6:6" x14ac:dyDescent="0.3">
      <c r="F133" s="205"/>
    </row>
    <row r="134" spans="6:6" x14ac:dyDescent="0.3">
      <c r="F134" s="205"/>
    </row>
    <row r="135" spans="6:6" x14ac:dyDescent="0.3">
      <c r="F135" s="205"/>
    </row>
    <row r="136" spans="6:6" x14ac:dyDescent="0.3">
      <c r="F136" s="205"/>
    </row>
    <row r="137" spans="6:6" x14ac:dyDescent="0.3">
      <c r="F137" s="205"/>
    </row>
    <row r="138" spans="6:6" x14ac:dyDescent="0.3">
      <c r="F138" s="205"/>
    </row>
    <row r="139" spans="6:6" x14ac:dyDescent="0.3">
      <c r="F139" s="205"/>
    </row>
    <row r="140" spans="6:6" x14ac:dyDescent="0.3">
      <c r="F140" s="205"/>
    </row>
    <row r="141" spans="6:6" x14ac:dyDescent="0.3">
      <c r="F141" s="205"/>
    </row>
    <row r="142" spans="6:6" x14ac:dyDescent="0.3">
      <c r="F142" s="205"/>
    </row>
    <row r="143" spans="6:6" x14ac:dyDescent="0.3">
      <c r="F143" s="205"/>
    </row>
    <row r="144" spans="6:6" x14ac:dyDescent="0.3">
      <c r="F144" s="205"/>
    </row>
    <row r="145" spans="6:6" x14ac:dyDescent="0.3">
      <c r="F145" s="205"/>
    </row>
    <row r="146" spans="6:6" x14ac:dyDescent="0.3">
      <c r="F146" s="205"/>
    </row>
    <row r="147" spans="6:6" x14ac:dyDescent="0.3">
      <c r="F147" s="205"/>
    </row>
    <row r="148" spans="6:6" x14ac:dyDescent="0.3">
      <c r="F148" s="205"/>
    </row>
    <row r="149" spans="6:6" x14ac:dyDescent="0.3">
      <c r="F149" s="205"/>
    </row>
    <row r="150" spans="6:6" x14ac:dyDescent="0.3">
      <c r="F150" s="205"/>
    </row>
    <row r="151" spans="6:6" x14ac:dyDescent="0.3">
      <c r="F151" s="205"/>
    </row>
    <row r="152" spans="6:6" x14ac:dyDescent="0.3">
      <c r="F152" s="205"/>
    </row>
    <row r="153" spans="6:6" x14ac:dyDescent="0.3">
      <c r="F153" s="205"/>
    </row>
    <row r="154" spans="6:6" x14ac:dyDescent="0.3">
      <c r="F154" s="205"/>
    </row>
    <row r="155" spans="6:6" x14ac:dyDescent="0.3">
      <c r="F155" s="205"/>
    </row>
    <row r="156" spans="6:6" x14ac:dyDescent="0.3">
      <c r="F156" s="205"/>
    </row>
    <row r="157" spans="6:6" x14ac:dyDescent="0.3">
      <c r="F157" s="205"/>
    </row>
    <row r="158" spans="6:6" x14ac:dyDescent="0.3">
      <c r="F158" s="205"/>
    </row>
    <row r="159" spans="6:6" x14ac:dyDescent="0.3">
      <c r="F159" s="205"/>
    </row>
    <row r="160" spans="6:6" x14ac:dyDescent="0.3">
      <c r="F160" s="205"/>
    </row>
    <row r="161" spans="6:6" x14ac:dyDescent="0.3">
      <c r="F161" s="205"/>
    </row>
    <row r="162" spans="6:6" x14ac:dyDescent="0.3">
      <c r="F162" s="205"/>
    </row>
    <row r="163" spans="6:6" x14ac:dyDescent="0.3">
      <c r="F163" s="205"/>
    </row>
    <row r="164" spans="6:6" x14ac:dyDescent="0.3">
      <c r="F164" s="205"/>
    </row>
    <row r="165" spans="6:6" x14ac:dyDescent="0.3">
      <c r="F165" s="205"/>
    </row>
    <row r="166" spans="6:6" x14ac:dyDescent="0.3">
      <c r="F166" s="205"/>
    </row>
    <row r="167" spans="6:6" x14ac:dyDescent="0.3">
      <c r="F167" s="205"/>
    </row>
    <row r="168" spans="6:6" x14ac:dyDescent="0.3">
      <c r="F168" s="205"/>
    </row>
    <row r="169" spans="6:6" x14ac:dyDescent="0.3">
      <c r="F169" s="205"/>
    </row>
    <row r="170" spans="6:6" x14ac:dyDescent="0.3">
      <c r="F170" s="205"/>
    </row>
    <row r="171" spans="6:6" x14ac:dyDescent="0.3">
      <c r="F171" s="205"/>
    </row>
    <row r="172" spans="6:6" x14ac:dyDescent="0.3">
      <c r="F172" s="205"/>
    </row>
    <row r="173" spans="6:6" x14ac:dyDescent="0.3">
      <c r="F173" s="205"/>
    </row>
    <row r="174" spans="6:6" x14ac:dyDescent="0.3">
      <c r="F174" s="205"/>
    </row>
    <row r="175" spans="6:6" x14ac:dyDescent="0.3">
      <c r="F175" s="205"/>
    </row>
    <row r="176" spans="6:6" x14ac:dyDescent="0.3">
      <c r="F176" s="205"/>
    </row>
    <row r="177" spans="6:6" x14ac:dyDescent="0.3">
      <c r="F177" s="205"/>
    </row>
    <row r="178" spans="6:6" x14ac:dyDescent="0.3">
      <c r="F178" s="205"/>
    </row>
    <row r="179" spans="6:6" x14ac:dyDescent="0.3">
      <c r="F179" s="205"/>
    </row>
    <row r="180" spans="6:6" x14ac:dyDescent="0.3">
      <c r="F180" s="205"/>
    </row>
    <row r="181" spans="6:6" x14ac:dyDescent="0.3">
      <c r="F181" s="205"/>
    </row>
    <row r="182" spans="6:6" x14ac:dyDescent="0.3">
      <c r="F182" s="205"/>
    </row>
    <row r="183" spans="6:6" x14ac:dyDescent="0.3">
      <c r="F183" s="205"/>
    </row>
    <row r="184" spans="6:6" x14ac:dyDescent="0.3">
      <c r="F184" s="205"/>
    </row>
    <row r="185" spans="6:6" x14ac:dyDescent="0.3">
      <c r="F185" s="205"/>
    </row>
    <row r="186" spans="6:6" x14ac:dyDescent="0.3">
      <c r="F186" s="205"/>
    </row>
    <row r="187" spans="6:6" x14ac:dyDescent="0.3">
      <c r="F187" s="205"/>
    </row>
    <row r="188" spans="6:6" x14ac:dyDescent="0.3">
      <c r="F188" s="205"/>
    </row>
    <row r="189" spans="6:6" x14ac:dyDescent="0.3">
      <c r="F189" s="205"/>
    </row>
    <row r="190" spans="6:6" x14ac:dyDescent="0.3">
      <c r="F190" s="205"/>
    </row>
    <row r="191" spans="6:6" x14ac:dyDescent="0.3">
      <c r="F191" s="205"/>
    </row>
    <row r="192" spans="6:6" x14ac:dyDescent="0.3">
      <c r="F192" s="205"/>
    </row>
    <row r="193" spans="6:6" x14ac:dyDescent="0.3">
      <c r="F193" s="205"/>
    </row>
    <row r="194" spans="6:6" x14ac:dyDescent="0.3">
      <c r="F194" s="205"/>
    </row>
    <row r="195" spans="6:6" x14ac:dyDescent="0.3">
      <c r="F195" s="205"/>
    </row>
    <row r="196" spans="6:6" x14ac:dyDescent="0.3">
      <c r="F196" s="205"/>
    </row>
    <row r="197" spans="6:6" x14ac:dyDescent="0.3">
      <c r="F197" s="205"/>
    </row>
    <row r="198" spans="6:6" x14ac:dyDescent="0.3">
      <c r="F198" s="205"/>
    </row>
    <row r="199" spans="6:6" x14ac:dyDescent="0.3">
      <c r="F199" s="205"/>
    </row>
    <row r="200" spans="6:6" x14ac:dyDescent="0.3">
      <c r="F200" s="205"/>
    </row>
    <row r="201" spans="6:6" x14ac:dyDescent="0.3">
      <c r="F201" s="205"/>
    </row>
    <row r="202" spans="6:6" x14ac:dyDescent="0.3">
      <c r="F202" s="205"/>
    </row>
    <row r="203" spans="6:6" x14ac:dyDescent="0.3">
      <c r="F203" s="205"/>
    </row>
    <row r="204" spans="6:6" x14ac:dyDescent="0.3">
      <c r="F204" s="205"/>
    </row>
    <row r="205" spans="6:6" x14ac:dyDescent="0.3">
      <c r="F205" s="205"/>
    </row>
    <row r="206" spans="6:6" x14ac:dyDescent="0.3">
      <c r="F206" s="205"/>
    </row>
    <row r="207" spans="6:6" x14ac:dyDescent="0.3">
      <c r="F207" s="205"/>
    </row>
    <row r="208" spans="6:6" x14ac:dyDescent="0.3">
      <c r="F208" s="205"/>
    </row>
    <row r="209" spans="6:6" x14ac:dyDescent="0.3">
      <c r="F209" s="205"/>
    </row>
    <row r="210" spans="6:6" x14ac:dyDescent="0.3">
      <c r="F210" s="205"/>
    </row>
    <row r="211" spans="6:6" x14ac:dyDescent="0.3">
      <c r="F211" s="205"/>
    </row>
    <row r="212" spans="6:6" x14ac:dyDescent="0.3">
      <c r="F212" s="205"/>
    </row>
    <row r="213" spans="6:6" x14ac:dyDescent="0.3">
      <c r="F213" s="205"/>
    </row>
    <row r="214" spans="6:6" x14ac:dyDescent="0.3">
      <c r="F214" s="205"/>
    </row>
    <row r="215" spans="6:6" x14ac:dyDescent="0.3">
      <c r="F215" s="205"/>
    </row>
    <row r="216" spans="6:6" x14ac:dyDescent="0.3">
      <c r="F216" s="205"/>
    </row>
    <row r="217" spans="6:6" x14ac:dyDescent="0.3">
      <c r="F217" s="205"/>
    </row>
    <row r="218" spans="6:6" x14ac:dyDescent="0.3">
      <c r="F218" s="205"/>
    </row>
    <row r="219" spans="6:6" x14ac:dyDescent="0.3">
      <c r="F219" s="205"/>
    </row>
    <row r="220" spans="6:6" x14ac:dyDescent="0.3">
      <c r="F220" s="205"/>
    </row>
    <row r="221" spans="6:6" x14ac:dyDescent="0.3">
      <c r="F221" s="205"/>
    </row>
    <row r="222" spans="6:6" x14ac:dyDescent="0.3">
      <c r="F222" s="205"/>
    </row>
    <row r="223" spans="6:6" x14ac:dyDescent="0.3">
      <c r="F223" s="205"/>
    </row>
    <row r="224" spans="6:6" x14ac:dyDescent="0.3">
      <c r="F224" s="205"/>
    </row>
    <row r="225" spans="6:6" x14ac:dyDescent="0.3">
      <c r="F225" s="205"/>
    </row>
    <row r="226" spans="6:6" x14ac:dyDescent="0.3">
      <c r="F226" s="205"/>
    </row>
    <row r="227" spans="6:6" x14ac:dyDescent="0.3">
      <c r="F227" s="205"/>
    </row>
    <row r="228" spans="6:6" x14ac:dyDescent="0.3">
      <c r="F228" s="205"/>
    </row>
    <row r="229" spans="6:6" x14ac:dyDescent="0.3">
      <c r="F229" s="205"/>
    </row>
    <row r="230" spans="6:6" x14ac:dyDescent="0.3">
      <c r="F230" s="205"/>
    </row>
    <row r="231" spans="6:6" x14ac:dyDescent="0.3">
      <c r="F231" s="205"/>
    </row>
    <row r="232" spans="6:6" x14ac:dyDescent="0.3">
      <c r="F232" s="205"/>
    </row>
    <row r="233" spans="6:6" x14ac:dyDescent="0.3">
      <c r="F233" s="205"/>
    </row>
    <row r="234" spans="6:6" x14ac:dyDescent="0.3">
      <c r="F234" s="205"/>
    </row>
    <row r="235" spans="6:6" x14ac:dyDescent="0.3">
      <c r="F235" s="205"/>
    </row>
    <row r="236" spans="6:6" x14ac:dyDescent="0.3">
      <c r="F236" s="205"/>
    </row>
    <row r="237" spans="6:6" x14ac:dyDescent="0.3">
      <c r="F237" s="205"/>
    </row>
    <row r="238" spans="6:6" x14ac:dyDescent="0.3">
      <c r="F238" s="205"/>
    </row>
    <row r="239" spans="6:6" x14ac:dyDescent="0.3">
      <c r="F239" s="205"/>
    </row>
    <row r="240" spans="6:6" x14ac:dyDescent="0.3">
      <c r="F240" s="205"/>
    </row>
    <row r="241" spans="6:6" x14ac:dyDescent="0.3">
      <c r="F241" s="205"/>
    </row>
    <row r="242" spans="6:6" x14ac:dyDescent="0.3">
      <c r="F242" s="205"/>
    </row>
    <row r="243" spans="6:6" x14ac:dyDescent="0.3">
      <c r="F243" s="205"/>
    </row>
    <row r="244" spans="6:6" x14ac:dyDescent="0.3">
      <c r="F244" s="205"/>
    </row>
    <row r="245" spans="6:6" x14ac:dyDescent="0.3">
      <c r="F245" s="205"/>
    </row>
    <row r="246" spans="6:6" x14ac:dyDescent="0.3">
      <c r="F246" s="205"/>
    </row>
    <row r="247" spans="6:6" x14ac:dyDescent="0.3">
      <c r="F247" s="205"/>
    </row>
    <row r="248" spans="6:6" x14ac:dyDescent="0.3">
      <c r="F248" s="205"/>
    </row>
    <row r="249" spans="6:6" x14ac:dyDescent="0.3">
      <c r="F249" s="205"/>
    </row>
    <row r="250" spans="6:6" x14ac:dyDescent="0.3">
      <c r="F250" s="205"/>
    </row>
    <row r="251" spans="6:6" x14ac:dyDescent="0.3">
      <c r="F251" s="205"/>
    </row>
    <row r="252" spans="6:6" x14ac:dyDescent="0.3">
      <c r="F252" s="205"/>
    </row>
    <row r="253" spans="6:6" x14ac:dyDescent="0.3">
      <c r="F253" s="205"/>
    </row>
    <row r="254" spans="6:6" x14ac:dyDescent="0.3">
      <c r="F254" s="205"/>
    </row>
    <row r="255" spans="6:6" x14ac:dyDescent="0.3">
      <c r="F255" s="205"/>
    </row>
    <row r="256" spans="6:6" x14ac:dyDescent="0.3">
      <c r="F256" s="205"/>
    </row>
    <row r="257" spans="6:6" x14ac:dyDescent="0.3">
      <c r="F257" s="205"/>
    </row>
    <row r="258" spans="6:6" x14ac:dyDescent="0.3">
      <c r="F258" s="205"/>
    </row>
    <row r="259" spans="6:6" x14ac:dyDescent="0.3">
      <c r="F259" s="205"/>
    </row>
    <row r="260" spans="6:6" x14ac:dyDescent="0.3">
      <c r="F260" s="205"/>
    </row>
    <row r="261" spans="6:6" x14ac:dyDescent="0.3">
      <c r="F261" s="205"/>
    </row>
    <row r="262" spans="6:6" x14ac:dyDescent="0.3">
      <c r="F262" s="205"/>
    </row>
    <row r="263" spans="6:6" x14ac:dyDescent="0.3">
      <c r="F263" s="205"/>
    </row>
    <row r="264" spans="6:6" x14ac:dyDescent="0.3">
      <c r="F264" s="205"/>
    </row>
    <row r="265" spans="6:6" x14ac:dyDescent="0.3">
      <c r="F265" s="205"/>
    </row>
    <row r="266" spans="6:6" x14ac:dyDescent="0.3">
      <c r="F266" s="205"/>
    </row>
    <row r="267" spans="6:6" x14ac:dyDescent="0.3">
      <c r="F267" s="205"/>
    </row>
    <row r="268" spans="6:6" x14ac:dyDescent="0.3">
      <c r="F268" s="205"/>
    </row>
    <row r="269" spans="6:6" x14ac:dyDescent="0.3">
      <c r="F269" s="205"/>
    </row>
    <row r="270" spans="6:6" x14ac:dyDescent="0.3">
      <c r="F270" s="205"/>
    </row>
    <row r="271" spans="6:6" x14ac:dyDescent="0.3">
      <c r="F271" s="205"/>
    </row>
    <row r="272" spans="6:6" x14ac:dyDescent="0.3">
      <c r="F272" s="205"/>
    </row>
    <row r="273" spans="6:6" x14ac:dyDescent="0.3">
      <c r="F273" s="205"/>
    </row>
    <row r="274" spans="6:6" x14ac:dyDescent="0.3">
      <c r="F274" s="205"/>
    </row>
    <row r="275" spans="6:6" x14ac:dyDescent="0.3">
      <c r="F275" s="205"/>
    </row>
    <row r="276" spans="6:6" x14ac:dyDescent="0.3">
      <c r="F276" s="205"/>
    </row>
    <row r="277" spans="6:6" x14ac:dyDescent="0.3">
      <c r="F277" s="205"/>
    </row>
    <row r="278" spans="6:6" x14ac:dyDescent="0.3">
      <c r="F278" s="205"/>
    </row>
    <row r="279" spans="6:6" x14ac:dyDescent="0.3">
      <c r="F279" s="205"/>
    </row>
    <row r="280" spans="6:6" x14ac:dyDescent="0.3">
      <c r="F280" s="205"/>
    </row>
    <row r="281" spans="6:6" x14ac:dyDescent="0.3">
      <c r="F281" s="205"/>
    </row>
    <row r="282" spans="6:6" x14ac:dyDescent="0.3">
      <c r="F282" s="205"/>
    </row>
    <row r="283" spans="6:6" x14ac:dyDescent="0.3">
      <c r="F283" s="205"/>
    </row>
    <row r="284" spans="6:6" x14ac:dyDescent="0.3">
      <c r="F284" s="205"/>
    </row>
    <row r="285" spans="6:6" x14ac:dyDescent="0.3">
      <c r="F285" s="205"/>
    </row>
    <row r="286" spans="6:6" x14ac:dyDescent="0.3">
      <c r="F286" s="205"/>
    </row>
    <row r="287" spans="6:6" x14ac:dyDescent="0.3">
      <c r="F287" s="205"/>
    </row>
    <row r="288" spans="6:6" x14ac:dyDescent="0.3">
      <c r="F288" s="205"/>
    </row>
    <row r="289" spans="6:6" x14ac:dyDescent="0.3">
      <c r="F289" s="205"/>
    </row>
    <row r="290" spans="6:6" x14ac:dyDescent="0.3">
      <c r="F290" s="205"/>
    </row>
    <row r="291" spans="6:6" x14ac:dyDescent="0.3">
      <c r="F291" s="205"/>
    </row>
    <row r="292" spans="6:6" x14ac:dyDescent="0.3">
      <c r="F292" s="205"/>
    </row>
    <row r="293" spans="6:6" x14ac:dyDescent="0.3">
      <c r="F293" s="205"/>
    </row>
    <row r="294" spans="6:6" x14ac:dyDescent="0.3">
      <c r="F294" s="205"/>
    </row>
    <row r="295" spans="6:6" x14ac:dyDescent="0.3">
      <c r="F295" s="205"/>
    </row>
    <row r="296" spans="6:6" x14ac:dyDescent="0.3">
      <c r="F296" s="205"/>
    </row>
    <row r="297" spans="6:6" x14ac:dyDescent="0.3">
      <c r="F297" s="205"/>
    </row>
    <row r="298" spans="6:6" x14ac:dyDescent="0.3">
      <c r="F298" s="205"/>
    </row>
    <row r="299" spans="6:6" x14ac:dyDescent="0.3">
      <c r="F299" s="205"/>
    </row>
    <row r="300" spans="6:6" x14ac:dyDescent="0.3">
      <c r="F300" s="205"/>
    </row>
    <row r="301" spans="6:6" x14ac:dyDescent="0.3">
      <c r="F301" s="205"/>
    </row>
    <row r="302" spans="6:6" x14ac:dyDescent="0.3">
      <c r="F302" s="205"/>
    </row>
    <row r="303" spans="6:6" x14ac:dyDescent="0.3">
      <c r="F303" s="205"/>
    </row>
    <row r="304" spans="6:6" x14ac:dyDescent="0.3">
      <c r="F304" s="205"/>
    </row>
    <row r="305" spans="6:6" x14ac:dyDescent="0.3">
      <c r="F305" s="205"/>
    </row>
    <row r="306" spans="6:6" x14ac:dyDescent="0.3">
      <c r="F306" s="205"/>
    </row>
    <row r="307" spans="6:6" x14ac:dyDescent="0.3">
      <c r="F307" s="205"/>
    </row>
    <row r="308" spans="6:6" x14ac:dyDescent="0.3">
      <c r="F308" s="205"/>
    </row>
    <row r="309" spans="6:6" x14ac:dyDescent="0.3">
      <c r="F309" s="205"/>
    </row>
    <row r="310" spans="6:6" x14ac:dyDescent="0.3">
      <c r="F310" s="205"/>
    </row>
    <row r="311" spans="6:6" x14ac:dyDescent="0.3">
      <c r="F311" s="205"/>
    </row>
    <row r="312" spans="6:6" x14ac:dyDescent="0.3">
      <c r="F312" s="205"/>
    </row>
    <row r="313" spans="6:6" x14ac:dyDescent="0.3">
      <c r="F313" s="205"/>
    </row>
    <row r="314" spans="6:6" x14ac:dyDescent="0.3">
      <c r="F314" s="205"/>
    </row>
    <row r="315" spans="6:6" x14ac:dyDescent="0.3">
      <c r="F315" s="205"/>
    </row>
    <row r="316" spans="6:6" x14ac:dyDescent="0.3">
      <c r="F316" s="205"/>
    </row>
    <row r="317" spans="6:6" x14ac:dyDescent="0.3">
      <c r="F317" s="205"/>
    </row>
    <row r="318" spans="6:6" x14ac:dyDescent="0.3">
      <c r="F318" s="205"/>
    </row>
    <row r="319" spans="6:6" x14ac:dyDescent="0.3">
      <c r="F319" s="205"/>
    </row>
    <row r="320" spans="6:6" x14ac:dyDescent="0.3">
      <c r="F320" s="205"/>
    </row>
    <row r="321" spans="6:6" x14ac:dyDescent="0.3">
      <c r="F321" s="205"/>
    </row>
    <row r="322" spans="6:6" x14ac:dyDescent="0.3">
      <c r="F322" s="205"/>
    </row>
    <row r="323" spans="6:6" x14ac:dyDescent="0.3">
      <c r="F323" s="205"/>
    </row>
    <row r="324" spans="6:6" x14ac:dyDescent="0.3">
      <c r="F324" s="205"/>
    </row>
    <row r="325" spans="6:6" x14ac:dyDescent="0.3">
      <c r="F325" s="205"/>
    </row>
    <row r="326" spans="6:6" x14ac:dyDescent="0.3">
      <c r="F326" s="205"/>
    </row>
    <row r="327" spans="6:6" x14ac:dyDescent="0.3">
      <c r="F327" s="205"/>
    </row>
    <row r="328" spans="6:6" x14ac:dyDescent="0.3">
      <c r="F328" s="205"/>
    </row>
    <row r="329" spans="6:6" x14ac:dyDescent="0.3">
      <c r="F329" s="205"/>
    </row>
    <row r="330" spans="6:6" x14ac:dyDescent="0.3">
      <c r="F330" s="205"/>
    </row>
    <row r="331" spans="6:6" x14ac:dyDescent="0.3">
      <c r="F331" s="205"/>
    </row>
    <row r="332" spans="6:6" x14ac:dyDescent="0.3">
      <c r="F332" s="205"/>
    </row>
    <row r="333" spans="6:6" x14ac:dyDescent="0.3">
      <c r="F333" s="205"/>
    </row>
    <row r="334" spans="6:6" x14ac:dyDescent="0.3">
      <c r="F334" s="205"/>
    </row>
    <row r="335" spans="6:6" x14ac:dyDescent="0.3">
      <c r="F335" s="205"/>
    </row>
    <row r="336" spans="6:6" x14ac:dyDescent="0.3">
      <c r="F336" s="205"/>
    </row>
    <row r="337" spans="6:6" x14ac:dyDescent="0.3">
      <c r="F337" s="205"/>
    </row>
    <row r="338" spans="6:6" x14ac:dyDescent="0.3">
      <c r="F338" s="205"/>
    </row>
    <row r="339" spans="6:6" x14ac:dyDescent="0.3">
      <c r="F339" s="205"/>
    </row>
    <row r="340" spans="6:6" x14ac:dyDescent="0.3">
      <c r="F340" s="205"/>
    </row>
    <row r="341" spans="6:6" x14ac:dyDescent="0.3">
      <c r="F341" s="205"/>
    </row>
    <row r="342" spans="6:6" x14ac:dyDescent="0.3">
      <c r="F342" s="205"/>
    </row>
    <row r="343" spans="6:6" x14ac:dyDescent="0.3">
      <c r="F343" s="205"/>
    </row>
    <row r="344" spans="6:6" x14ac:dyDescent="0.3">
      <c r="F344" s="205"/>
    </row>
    <row r="345" spans="6:6" x14ac:dyDescent="0.3">
      <c r="F345" s="205"/>
    </row>
    <row r="346" spans="6:6" x14ac:dyDescent="0.3">
      <c r="F346" s="205"/>
    </row>
    <row r="347" spans="6:6" x14ac:dyDescent="0.3">
      <c r="F347" s="205"/>
    </row>
    <row r="348" spans="6:6" x14ac:dyDescent="0.3">
      <c r="F348" s="205"/>
    </row>
    <row r="349" spans="6:6" x14ac:dyDescent="0.3">
      <c r="F349" s="205"/>
    </row>
    <row r="350" spans="6:6" x14ac:dyDescent="0.3">
      <c r="F350" s="205"/>
    </row>
    <row r="351" spans="6:6" x14ac:dyDescent="0.3">
      <c r="F351" s="205"/>
    </row>
    <row r="352" spans="6:6" x14ac:dyDescent="0.3">
      <c r="F352" s="205"/>
    </row>
    <row r="353" spans="6:6" x14ac:dyDescent="0.3">
      <c r="F353" s="205"/>
    </row>
    <row r="354" spans="6:6" x14ac:dyDescent="0.3">
      <c r="F354" s="205"/>
    </row>
    <row r="355" spans="6:6" x14ac:dyDescent="0.3">
      <c r="F355" s="205"/>
    </row>
    <row r="356" spans="6:6" x14ac:dyDescent="0.3">
      <c r="F356" s="205"/>
    </row>
    <row r="357" spans="6:6" x14ac:dyDescent="0.3">
      <c r="F357" s="205"/>
    </row>
    <row r="358" spans="6:6" x14ac:dyDescent="0.3">
      <c r="F358" s="205"/>
    </row>
    <row r="359" spans="6:6" x14ac:dyDescent="0.3">
      <c r="F359" s="205"/>
    </row>
    <row r="360" spans="6:6" x14ac:dyDescent="0.3">
      <c r="F360" s="205"/>
    </row>
    <row r="361" spans="6:6" x14ac:dyDescent="0.3">
      <c r="F361" s="205"/>
    </row>
    <row r="362" spans="6:6" x14ac:dyDescent="0.3">
      <c r="F362" s="205"/>
    </row>
    <row r="363" spans="6:6" x14ac:dyDescent="0.3">
      <c r="F363" s="205"/>
    </row>
    <row r="364" spans="6:6" x14ac:dyDescent="0.3">
      <c r="F364" s="205"/>
    </row>
    <row r="365" spans="6:6" x14ac:dyDescent="0.3">
      <c r="F365" s="205"/>
    </row>
    <row r="366" spans="6:6" x14ac:dyDescent="0.3">
      <c r="F366" s="205"/>
    </row>
    <row r="367" spans="6:6" x14ac:dyDescent="0.3">
      <c r="F367" s="205"/>
    </row>
    <row r="368" spans="6:6" x14ac:dyDescent="0.3">
      <c r="F368" s="205"/>
    </row>
    <row r="369" spans="6:6" x14ac:dyDescent="0.3">
      <c r="F369" s="205"/>
    </row>
    <row r="370" spans="6:6" x14ac:dyDescent="0.3">
      <c r="F370" s="205"/>
    </row>
    <row r="371" spans="6:6" x14ac:dyDescent="0.3">
      <c r="F371" s="205"/>
    </row>
    <row r="372" spans="6:6" x14ac:dyDescent="0.3">
      <c r="F372" s="205"/>
    </row>
    <row r="373" spans="6:6" x14ac:dyDescent="0.3">
      <c r="F373" s="205"/>
    </row>
    <row r="374" spans="6:6" x14ac:dyDescent="0.3">
      <c r="F374" s="205"/>
    </row>
    <row r="375" spans="6:6" x14ac:dyDescent="0.3">
      <c r="F375" s="205"/>
    </row>
    <row r="376" spans="6:6" x14ac:dyDescent="0.3">
      <c r="F376" s="205"/>
    </row>
    <row r="377" spans="6:6" x14ac:dyDescent="0.3">
      <c r="F377" s="205"/>
    </row>
    <row r="378" spans="6:6" x14ac:dyDescent="0.3">
      <c r="F378" s="205"/>
    </row>
    <row r="379" spans="6:6" x14ac:dyDescent="0.3">
      <c r="F379" s="205"/>
    </row>
    <row r="380" spans="6:6" x14ac:dyDescent="0.3">
      <c r="F380" s="205"/>
    </row>
    <row r="381" spans="6:6" x14ac:dyDescent="0.3">
      <c r="F381" s="205"/>
    </row>
    <row r="382" spans="6:6" x14ac:dyDescent="0.3">
      <c r="F382" s="205"/>
    </row>
    <row r="383" spans="6:6" x14ac:dyDescent="0.3">
      <c r="F383" s="205"/>
    </row>
    <row r="384" spans="6:6" x14ac:dyDescent="0.3">
      <c r="F384" s="205"/>
    </row>
    <row r="385" spans="6:6" x14ac:dyDescent="0.3">
      <c r="F385" s="205"/>
    </row>
    <row r="386" spans="6:6" x14ac:dyDescent="0.3">
      <c r="F386" s="205"/>
    </row>
    <row r="387" spans="6:6" x14ac:dyDescent="0.3">
      <c r="F387" s="205"/>
    </row>
    <row r="388" spans="6:6" x14ac:dyDescent="0.3">
      <c r="F388" s="205"/>
    </row>
    <row r="389" spans="6:6" x14ac:dyDescent="0.3">
      <c r="F389" s="205"/>
    </row>
    <row r="390" spans="6:6" x14ac:dyDescent="0.3">
      <c r="F390" s="205"/>
    </row>
    <row r="391" spans="6:6" x14ac:dyDescent="0.3">
      <c r="F391" s="205"/>
    </row>
    <row r="392" spans="6:6" x14ac:dyDescent="0.3">
      <c r="F392" s="205"/>
    </row>
    <row r="393" spans="6:6" x14ac:dyDescent="0.3">
      <c r="F393" s="205"/>
    </row>
    <row r="394" spans="6:6" x14ac:dyDescent="0.3">
      <c r="F394" s="205"/>
    </row>
    <row r="395" spans="6:6" x14ac:dyDescent="0.3">
      <c r="F395" s="205"/>
    </row>
    <row r="396" spans="6:6" x14ac:dyDescent="0.3">
      <c r="F396" s="205"/>
    </row>
    <row r="397" spans="6:6" x14ac:dyDescent="0.3">
      <c r="F397" s="205"/>
    </row>
    <row r="398" spans="6:6" x14ac:dyDescent="0.3">
      <c r="F398" s="205"/>
    </row>
    <row r="399" spans="6:6" x14ac:dyDescent="0.3">
      <c r="F399" s="205"/>
    </row>
    <row r="400" spans="6:6" x14ac:dyDescent="0.3">
      <c r="F400" s="205"/>
    </row>
    <row r="401" spans="6:6" x14ac:dyDescent="0.3">
      <c r="F401" s="205"/>
    </row>
    <row r="402" spans="6:6" x14ac:dyDescent="0.3">
      <c r="F402" s="205"/>
    </row>
    <row r="403" spans="6:6" x14ac:dyDescent="0.3">
      <c r="F403" s="205"/>
    </row>
    <row r="404" spans="6:6" x14ac:dyDescent="0.3">
      <c r="F404" s="205"/>
    </row>
    <row r="405" spans="6:6" x14ac:dyDescent="0.3">
      <c r="F405" s="205"/>
    </row>
    <row r="406" spans="6:6" x14ac:dyDescent="0.3">
      <c r="F406" s="205"/>
    </row>
    <row r="407" spans="6:6" x14ac:dyDescent="0.3">
      <c r="F407" s="205"/>
    </row>
    <row r="408" spans="6:6" x14ac:dyDescent="0.3">
      <c r="F408" s="205"/>
    </row>
    <row r="409" spans="6:6" x14ac:dyDescent="0.3">
      <c r="F409" s="205"/>
    </row>
    <row r="410" spans="6:6" x14ac:dyDescent="0.3">
      <c r="F410" s="205"/>
    </row>
    <row r="411" spans="6:6" x14ac:dyDescent="0.3">
      <c r="F411" s="205"/>
    </row>
    <row r="412" spans="6:6" x14ac:dyDescent="0.3">
      <c r="F412" s="205"/>
    </row>
    <row r="413" spans="6:6" x14ac:dyDescent="0.3">
      <c r="F413" s="205"/>
    </row>
    <row r="414" spans="6:6" x14ac:dyDescent="0.3">
      <c r="F414" s="205"/>
    </row>
    <row r="415" spans="6:6" x14ac:dyDescent="0.3">
      <c r="F415" s="205"/>
    </row>
    <row r="416" spans="6:6" x14ac:dyDescent="0.3">
      <c r="F416" s="205"/>
    </row>
    <row r="417" spans="6:6" x14ac:dyDescent="0.3">
      <c r="F417" s="205"/>
    </row>
    <row r="418" spans="6:6" x14ac:dyDescent="0.3">
      <c r="F418" s="205"/>
    </row>
    <row r="419" spans="6:6" x14ac:dyDescent="0.3">
      <c r="F419" s="205"/>
    </row>
    <row r="420" spans="6:6" x14ac:dyDescent="0.3">
      <c r="F420" s="205"/>
    </row>
    <row r="421" spans="6:6" x14ac:dyDescent="0.3">
      <c r="F421" s="205"/>
    </row>
    <row r="422" spans="6:6" x14ac:dyDescent="0.3">
      <c r="F422" s="205"/>
    </row>
    <row r="423" spans="6:6" x14ac:dyDescent="0.3">
      <c r="F423" s="205"/>
    </row>
    <row r="424" spans="6:6" x14ac:dyDescent="0.3">
      <c r="F424" s="205"/>
    </row>
    <row r="425" spans="6:6" x14ac:dyDescent="0.3">
      <c r="F425" s="205"/>
    </row>
    <row r="426" spans="6:6" x14ac:dyDescent="0.3">
      <c r="F426" s="205"/>
    </row>
    <row r="427" spans="6:6" x14ac:dyDescent="0.3">
      <c r="F427" s="205"/>
    </row>
    <row r="428" spans="6:6" x14ac:dyDescent="0.3">
      <c r="F428" s="205"/>
    </row>
    <row r="429" spans="6:6" x14ac:dyDescent="0.3">
      <c r="F429" s="205"/>
    </row>
    <row r="430" spans="6:6" x14ac:dyDescent="0.3">
      <c r="F430" s="205"/>
    </row>
    <row r="431" spans="6:6" x14ac:dyDescent="0.3">
      <c r="F431" s="205"/>
    </row>
    <row r="432" spans="6:6" x14ac:dyDescent="0.3">
      <c r="F432" s="205"/>
    </row>
    <row r="433" spans="6:6" x14ac:dyDescent="0.3">
      <c r="F433" s="205"/>
    </row>
    <row r="434" spans="6:6" x14ac:dyDescent="0.3">
      <c r="F434" s="205"/>
    </row>
    <row r="435" spans="6:6" x14ac:dyDescent="0.3">
      <c r="F435" s="205"/>
    </row>
    <row r="436" spans="6:6" x14ac:dyDescent="0.3">
      <c r="F436" s="205"/>
    </row>
    <row r="437" spans="6:6" x14ac:dyDescent="0.3">
      <c r="F437" s="205"/>
    </row>
    <row r="438" spans="6:6" x14ac:dyDescent="0.3">
      <c r="F438" s="205"/>
    </row>
    <row r="439" spans="6:6" x14ac:dyDescent="0.3">
      <c r="F439" s="205"/>
    </row>
    <row r="440" spans="6:6" x14ac:dyDescent="0.3">
      <c r="F440" s="205"/>
    </row>
    <row r="441" spans="6:6" x14ac:dyDescent="0.3">
      <c r="F441" s="205"/>
    </row>
    <row r="442" spans="6:6" x14ac:dyDescent="0.3">
      <c r="F442" s="205"/>
    </row>
    <row r="443" spans="6:6" x14ac:dyDescent="0.3">
      <c r="F443" s="205"/>
    </row>
    <row r="444" spans="6:6" x14ac:dyDescent="0.3">
      <c r="F444" s="205"/>
    </row>
    <row r="445" spans="6:6" x14ac:dyDescent="0.3">
      <c r="F445" s="205"/>
    </row>
    <row r="446" spans="6:6" x14ac:dyDescent="0.3">
      <c r="F446" s="205"/>
    </row>
    <row r="447" spans="6:6" x14ac:dyDescent="0.3">
      <c r="F447" s="205"/>
    </row>
    <row r="448" spans="6:6" x14ac:dyDescent="0.3">
      <c r="F448" s="205"/>
    </row>
    <row r="449" spans="6:6" x14ac:dyDescent="0.3">
      <c r="F449" s="205"/>
    </row>
    <row r="450" spans="6:6" x14ac:dyDescent="0.3">
      <c r="F450" s="205"/>
    </row>
    <row r="451" spans="6:6" x14ac:dyDescent="0.3">
      <c r="F451" s="205"/>
    </row>
    <row r="452" spans="6:6" x14ac:dyDescent="0.3">
      <c r="F452" s="205"/>
    </row>
    <row r="453" spans="6:6" x14ac:dyDescent="0.3">
      <c r="F453" s="205"/>
    </row>
    <row r="454" spans="6:6" x14ac:dyDescent="0.3">
      <c r="F454" s="205"/>
    </row>
    <row r="455" spans="6:6" x14ac:dyDescent="0.3">
      <c r="F455" s="205"/>
    </row>
    <row r="456" spans="6:6" x14ac:dyDescent="0.3">
      <c r="F456" s="205"/>
    </row>
    <row r="457" spans="6:6" x14ac:dyDescent="0.3">
      <c r="F457" s="205"/>
    </row>
    <row r="458" spans="6:6" x14ac:dyDescent="0.3">
      <c r="F458" s="205"/>
    </row>
    <row r="459" spans="6:6" x14ac:dyDescent="0.3">
      <c r="F459" s="205"/>
    </row>
    <row r="460" spans="6:6" x14ac:dyDescent="0.3">
      <c r="F460" s="205"/>
    </row>
    <row r="461" spans="6:6" x14ac:dyDescent="0.3">
      <c r="F461" s="205"/>
    </row>
    <row r="462" spans="6:6" x14ac:dyDescent="0.3">
      <c r="F462" s="205"/>
    </row>
    <row r="463" spans="6:6" x14ac:dyDescent="0.3">
      <c r="F463" s="205"/>
    </row>
    <row r="464" spans="6:6" x14ac:dyDescent="0.3">
      <c r="F464" s="205"/>
    </row>
    <row r="465" spans="6:6" x14ac:dyDescent="0.3">
      <c r="F465" s="205"/>
    </row>
    <row r="466" spans="6:6" x14ac:dyDescent="0.3">
      <c r="F466" s="205"/>
    </row>
    <row r="467" spans="6:6" x14ac:dyDescent="0.3">
      <c r="F467" s="205"/>
    </row>
    <row r="468" spans="6:6" x14ac:dyDescent="0.3">
      <c r="F468" s="205"/>
    </row>
    <row r="469" spans="6:6" x14ac:dyDescent="0.3">
      <c r="F469" s="205"/>
    </row>
    <row r="470" spans="6:6" x14ac:dyDescent="0.3">
      <c r="F470" s="205"/>
    </row>
    <row r="471" spans="6:6" x14ac:dyDescent="0.3">
      <c r="F471" s="205"/>
    </row>
    <row r="472" spans="6:6" x14ac:dyDescent="0.3">
      <c r="F472" s="205"/>
    </row>
    <row r="473" spans="6:6" x14ac:dyDescent="0.3">
      <c r="F473" s="205"/>
    </row>
    <row r="474" spans="6:6" x14ac:dyDescent="0.3">
      <c r="F474" s="205"/>
    </row>
    <row r="475" spans="6:6" x14ac:dyDescent="0.3">
      <c r="F475" s="205"/>
    </row>
    <row r="476" spans="6:6" x14ac:dyDescent="0.3">
      <c r="F476" s="205"/>
    </row>
    <row r="477" spans="6:6" x14ac:dyDescent="0.3">
      <c r="F477" s="205"/>
    </row>
    <row r="478" spans="6:6" x14ac:dyDescent="0.3">
      <c r="F478" s="205"/>
    </row>
    <row r="479" spans="6:6" x14ac:dyDescent="0.3">
      <c r="F479" s="205"/>
    </row>
    <row r="480" spans="6:6" x14ac:dyDescent="0.3">
      <c r="F480" s="205"/>
    </row>
    <row r="481" spans="6:6" x14ac:dyDescent="0.3">
      <c r="F481" s="205"/>
    </row>
    <row r="482" spans="6:6" x14ac:dyDescent="0.3">
      <c r="F482" s="205"/>
    </row>
    <row r="483" spans="6:6" x14ac:dyDescent="0.3">
      <c r="F483" s="205"/>
    </row>
    <row r="484" spans="6:6" x14ac:dyDescent="0.3">
      <c r="F484" s="205"/>
    </row>
    <row r="485" spans="6:6" x14ac:dyDescent="0.3">
      <c r="F485" s="205"/>
    </row>
    <row r="486" spans="6:6" x14ac:dyDescent="0.3">
      <c r="F486" s="205"/>
    </row>
    <row r="487" spans="6:6" x14ac:dyDescent="0.3">
      <c r="F487" s="205"/>
    </row>
    <row r="488" spans="6:6" x14ac:dyDescent="0.3">
      <c r="F488" s="205"/>
    </row>
    <row r="489" spans="6:6" x14ac:dyDescent="0.3">
      <c r="F489" s="205"/>
    </row>
    <row r="490" spans="6:6" x14ac:dyDescent="0.3">
      <c r="F490" s="205"/>
    </row>
    <row r="491" spans="6:6" x14ac:dyDescent="0.3">
      <c r="F491" s="205"/>
    </row>
    <row r="492" spans="6:6" x14ac:dyDescent="0.3">
      <c r="F492" s="205"/>
    </row>
    <row r="493" spans="6:6" x14ac:dyDescent="0.3">
      <c r="F493" s="205"/>
    </row>
    <row r="494" spans="6:6" x14ac:dyDescent="0.3">
      <c r="F494" s="205"/>
    </row>
    <row r="495" spans="6:6" x14ac:dyDescent="0.3">
      <c r="F495" s="205"/>
    </row>
    <row r="496" spans="6:6" x14ac:dyDescent="0.3">
      <c r="F496" s="205"/>
    </row>
    <row r="497" spans="6:6" x14ac:dyDescent="0.3">
      <c r="F497" s="205"/>
    </row>
    <row r="498" spans="6:6" x14ac:dyDescent="0.3">
      <c r="F498" s="205"/>
    </row>
    <row r="499" spans="6:6" x14ac:dyDescent="0.3">
      <c r="F499" s="205"/>
    </row>
    <row r="500" spans="6:6" x14ac:dyDescent="0.3">
      <c r="F500" s="205"/>
    </row>
    <row r="501" spans="6:6" x14ac:dyDescent="0.3">
      <c r="F501" s="205"/>
    </row>
    <row r="502" spans="6:6" x14ac:dyDescent="0.3">
      <c r="F502" s="205"/>
    </row>
    <row r="503" spans="6:6" x14ac:dyDescent="0.3">
      <c r="F503" s="205"/>
    </row>
    <row r="504" spans="6:6" x14ac:dyDescent="0.3">
      <c r="F504" s="205"/>
    </row>
    <row r="505" spans="6:6" x14ac:dyDescent="0.3">
      <c r="F505" s="205"/>
    </row>
    <row r="506" spans="6:6" x14ac:dyDescent="0.3">
      <c r="F506" s="205"/>
    </row>
    <row r="507" spans="6:6" x14ac:dyDescent="0.3">
      <c r="F507" s="205"/>
    </row>
    <row r="508" spans="6:6" x14ac:dyDescent="0.3">
      <c r="F508" s="205"/>
    </row>
    <row r="509" spans="6:6" x14ac:dyDescent="0.3">
      <c r="F509" s="205"/>
    </row>
    <row r="510" spans="6:6" x14ac:dyDescent="0.3">
      <c r="F510" s="205"/>
    </row>
    <row r="511" spans="6:6" x14ac:dyDescent="0.3">
      <c r="F511" s="205"/>
    </row>
    <row r="512" spans="6:6" x14ac:dyDescent="0.3">
      <c r="F512" s="205"/>
    </row>
    <row r="513" spans="6:6" x14ac:dyDescent="0.3">
      <c r="F513" s="205"/>
    </row>
    <row r="514" spans="6:6" x14ac:dyDescent="0.3">
      <c r="F514" s="205"/>
    </row>
    <row r="515" spans="6:6" x14ac:dyDescent="0.3">
      <c r="F515" s="205"/>
    </row>
    <row r="516" spans="6:6" x14ac:dyDescent="0.3">
      <c r="F516" s="205"/>
    </row>
    <row r="517" spans="6:6" x14ac:dyDescent="0.3">
      <c r="F517" s="205"/>
    </row>
    <row r="518" spans="6:6" x14ac:dyDescent="0.3">
      <c r="F518" s="205"/>
    </row>
    <row r="519" spans="6:6" x14ac:dyDescent="0.3">
      <c r="F519" s="205"/>
    </row>
    <row r="520" spans="6:6" x14ac:dyDescent="0.3">
      <c r="F520" s="205"/>
    </row>
    <row r="521" spans="6:6" x14ac:dyDescent="0.3">
      <c r="F521" s="205"/>
    </row>
    <row r="522" spans="6:6" x14ac:dyDescent="0.3">
      <c r="F522" s="205"/>
    </row>
    <row r="523" spans="6:6" x14ac:dyDescent="0.3">
      <c r="F523" s="205"/>
    </row>
    <row r="524" spans="6:6" x14ac:dyDescent="0.3">
      <c r="F524" s="205"/>
    </row>
    <row r="525" spans="6:6" x14ac:dyDescent="0.3">
      <c r="F525" s="205"/>
    </row>
    <row r="526" spans="6:6" x14ac:dyDescent="0.3">
      <c r="F526" s="205"/>
    </row>
    <row r="527" spans="6:6" x14ac:dyDescent="0.3">
      <c r="F527" s="205"/>
    </row>
    <row r="528" spans="6:6" x14ac:dyDescent="0.3">
      <c r="F528" s="205"/>
    </row>
    <row r="529" spans="6:6" x14ac:dyDescent="0.3">
      <c r="F529" s="205"/>
    </row>
    <row r="530" spans="6:6" x14ac:dyDescent="0.3">
      <c r="F530" s="205"/>
    </row>
    <row r="531" spans="6:6" x14ac:dyDescent="0.3">
      <c r="F531" s="205"/>
    </row>
    <row r="532" spans="6:6" x14ac:dyDescent="0.3">
      <c r="F532" s="205"/>
    </row>
    <row r="533" spans="6:6" x14ac:dyDescent="0.3">
      <c r="F533" s="205"/>
    </row>
    <row r="534" spans="6:6" x14ac:dyDescent="0.3">
      <c r="F534" s="205"/>
    </row>
    <row r="535" spans="6:6" x14ac:dyDescent="0.3">
      <c r="F535" s="205"/>
    </row>
    <row r="536" spans="6:6" x14ac:dyDescent="0.3">
      <c r="F536" s="205"/>
    </row>
    <row r="537" spans="6:6" x14ac:dyDescent="0.3">
      <c r="F537" s="205"/>
    </row>
    <row r="538" spans="6:6" x14ac:dyDescent="0.3">
      <c r="F538" s="205"/>
    </row>
    <row r="539" spans="6:6" x14ac:dyDescent="0.3">
      <c r="F539" s="205"/>
    </row>
    <row r="540" spans="6:6" x14ac:dyDescent="0.3">
      <c r="F540" s="205"/>
    </row>
    <row r="541" spans="6:6" x14ac:dyDescent="0.3">
      <c r="F541" s="205"/>
    </row>
    <row r="542" spans="6:6" x14ac:dyDescent="0.3">
      <c r="F542" s="205"/>
    </row>
    <row r="543" spans="6:6" x14ac:dyDescent="0.3">
      <c r="F543" s="205"/>
    </row>
    <row r="544" spans="6:6" x14ac:dyDescent="0.3">
      <c r="F544" s="205"/>
    </row>
    <row r="545" spans="6:6" x14ac:dyDescent="0.3">
      <c r="F545" s="205"/>
    </row>
    <row r="546" spans="6:6" x14ac:dyDescent="0.3">
      <c r="F546" s="205"/>
    </row>
    <row r="547" spans="6:6" x14ac:dyDescent="0.3">
      <c r="F547" s="205"/>
    </row>
    <row r="548" spans="6:6" x14ac:dyDescent="0.3">
      <c r="F548" s="205"/>
    </row>
    <row r="549" spans="6:6" x14ac:dyDescent="0.3">
      <c r="F549" s="205"/>
    </row>
    <row r="550" spans="6:6" x14ac:dyDescent="0.3">
      <c r="F550" s="205"/>
    </row>
    <row r="551" spans="6:6" x14ac:dyDescent="0.3">
      <c r="F551" s="205"/>
    </row>
    <row r="552" spans="6:6" x14ac:dyDescent="0.3">
      <c r="F552" s="205"/>
    </row>
    <row r="553" spans="6:6" x14ac:dyDescent="0.3">
      <c r="F553" s="205"/>
    </row>
    <row r="554" spans="6:6" x14ac:dyDescent="0.3">
      <c r="F554" s="205"/>
    </row>
    <row r="555" spans="6:6" x14ac:dyDescent="0.3">
      <c r="F555" s="205"/>
    </row>
    <row r="556" spans="6:6" x14ac:dyDescent="0.3">
      <c r="F556" s="205"/>
    </row>
    <row r="557" spans="6:6" x14ac:dyDescent="0.3">
      <c r="F557" s="205"/>
    </row>
    <row r="558" spans="6:6" x14ac:dyDescent="0.3">
      <c r="F558" s="205"/>
    </row>
    <row r="559" spans="6:6" x14ac:dyDescent="0.3">
      <c r="F559" s="205"/>
    </row>
    <row r="560" spans="6:6" x14ac:dyDescent="0.3">
      <c r="F560" s="205"/>
    </row>
    <row r="561" spans="6:6" x14ac:dyDescent="0.3">
      <c r="F561" s="205"/>
    </row>
    <row r="562" spans="6:6" x14ac:dyDescent="0.3">
      <c r="F562" s="205"/>
    </row>
    <row r="563" spans="6:6" x14ac:dyDescent="0.3">
      <c r="F563" s="205"/>
    </row>
    <row r="564" spans="6:6" x14ac:dyDescent="0.3">
      <c r="F564" s="205"/>
    </row>
    <row r="565" spans="6:6" x14ac:dyDescent="0.3">
      <c r="F565" s="205"/>
    </row>
    <row r="566" spans="6:6" x14ac:dyDescent="0.3">
      <c r="F566" s="205"/>
    </row>
    <row r="567" spans="6:6" x14ac:dyDescent="0.3">
      <c r="F567" s="205"/>
    </row>
    <row r="568" spans="6:6" x14ac:dyDescent="0.3">
      <c r="F568" s="205"/>
    </row>
    <row r="569" spans="6:6" x14ac:dyDescent="0.3">
      <c r="F569" s="205"/>
    </row>
    <row r="570" spans="6:6" x14ac:dyDescent="0.3">
      <c r="F570" s="205"/>
    </row>
    <row r="571" spans="6:6" x14ac:dyDescent="0.3">
      <c r="F571" s="205"/>
    </row>
    <row r="572" spans="6:6" x14ac:dyDescent="0.3">
      <c r="F572" s="205"/>
    </row>
    <row r="573" spans="6:6" x14ac:dyDescent="0.3">
      <c r="F573" s="205"/>
    </row>
    <row r="574" spans="6:6" x14ac:dyDescent="0.3">
      <c r="F574" s="205"/>
    </row>
    <row r="575" spans="6:6" x14ac:dyDescent="0.3">
      <c r="F575" s="205"/>
    </row>
    <row r="576" spans="6:6" x14ac:dyDescent="0.3">
      <c r="F576" s="205"/>
    </row>
    <row r="577" spans="6:6" x14ac:dyDescent="0.3">
      <c r="F577" s="205"/>
    </row>
    <row r="578" spans="6:6" x14ac:dyDescent="0.3">
      <c r="F578" s="205"/>
    </row>
    <row r="579" spans="6:6" x14ac:dyDescent="0.3">
      <c r="F579" s="205"/>
    </row>
    <row r="580" spans="6:6" x14ac:dyDescent="0.3">
      <c r="F580" s="205"/>
    </row>
    <row r="581" spans="6:6" x14ac:dyDescent="0.3">
      <c r="F581" s="205"/>
    </row>
    <row r="582" spans="6:6" x14ac:dyDescent="0.3">
      <c r="F582" s="205"/>
    </row>
    <row r="583" spans="6:6" x14ac:dyDescent="0.3">
      <c r="F583" s="205"/>
    </row>
    <row r="584" spans="6:6" x14ac:dyDescent="0.3">
      <c r="F584" s="205"/>
    </row>
    <row r="585" spans="6:6" x14ac:dyDescent="0.3">
      <c r="F585" s="205"/>
    </row>
    <row r="586" spans="6:6" x14ac:dyDescent="0.3">
      <c r="F586" s="205"/>
    </row>
    <row r="587" spans="6:6" x14ac:dyDescent="0.3">
      <c r="F587" s="205"/>
    </row>
    <row r="588" spans="6:6" x14ac:dyDescent="0.3">
      <c r="F588" s="205"/>
    </row>
    <row r="589" spans="6:6" x14ac:dyDescent="0.3">
      <c r="F589" s="205"/>
    </row>
    <row r="590" spans="6:6" x14ac:dyDescent="0.3">
      <c r="F590" s="205"/>
    </row>
    <row r="591" spans="6:6" x14ac:dyDescent="0.3">
      <c r="F591" s="205"/>
    </row>
    <row r="592" spans="6:6" x14ac:dyDescent="0.3">
      <c r="F592" s="205"/>
    </row>
    <row r="593" spans="6:6" x14ac:dyDescent="0.3">
      <c r="F593" s="205"/>
    </row>
    <row r="594" spans="6:6" x14ac:dyDescent="0.3">
      <c r="F594" s="205"/>
    </row>
    <row r="595" spans="6:6" x14ac:dyDescent="0.3">
      <c r="F595" s="205"/>
    </row>
    <row r="596" spans="6:6" x14ac:dyDescent="0.3">
      <c r="F596" s="205"/>
    </row>
    <row r="597" spans="6:6" x14ac:dyDescent="0.3">
      <c r="F597" s="205"/>
    </row>
    <row r="598" spans="6:6" x14ac:dyDescent="0.3">
      <c r="F598" s="205"/>
    </row>
    <row r="599" spans="6:6" x14ac:dyDescent="0.3">
      <c r="F599" s="205"/>
    </row>
    <row r="600" spans="6:6" x14ac:dyDescent="0.3">
      <c r="F600" s="205"/>
    </row>
    <row r="601" spans="6:6" x14ac:dyDescent="0.3">
      <c r="F601" s="205"/>
    </row>
    <row r="602" spans="6:6" x14ac:dyDescent="0.3">
      <c r="F602" s="205"/>
    </row>
    <row r="603" spans="6:6" x14ac:dyDescent="0.3">
      <c r="F603" s="205"/>
    </row>
    <row r="604" spans="6:6" x14ac:dyDescent="0.3">
      <c r="F604" s="205"/>
    </row>
    <row r="605" spans="6:6" x14ac:dyDescent="0.3">
      <c r="F605" s="205"/>
    </row>
    <row r="606" spans="6:6" x14ac:dyDescent="0.3">
      <c r="F606" s="205"/>
    </row>
    <row r="607" spans="6:6" x14ac:dyDescent="0.3">
      <c r="F607" s="205"/>
    </row>
    <row r="608" spans="6:6" x14ac:dyDescent="0.3">
      <c r="F608" s="205"/>
    </row>
    <row r="609" spans="6:6" x14ac:dyDescent="0.3">
      <c r="F609" s="205"/>
    </row>
    <row r="610" spans="6:6" x14ac:dyDescent="0.3">
      <c r="F610" s="205"/>
    </row>
    <row r="611" spans="6:6" x14ac:dyDescent="0.3">
      <c r="F611" s="205"/>
    </row>
    <row r="612" spans="6:6" x14ac:dyDescent="0.3">
      <c r="F612" s="205"/>
    </row>
    <row r="613" spans="6:6" x14ac:dyDescent="0.3">
      <c r="F613" s="205"/>
    </row>
    <row r="614" spans="6:6" x14ac:dyDescent="0.3">
      <c r="F614" s="205"/>
    </row>
    <row r="615" spans="6:6" x14ac:dyDescent="0.3">
      <c r="F615" s="205"/>
    </row>
    <row r="616" spans="6:6" x14ac:dyDescent="0.3">
      <c r="F616" s="205"/>
    </row>
    <row r="617" spans="6:6" x14ac:dyDescent="0.3">
      <c r="F617" s="205"/>
    </row>
    <row r="618" spans="6:6" x14ac:dyDescent="0.3">
      <c r="F618" s="205"/>
    </row>
    <row r="619" spans="6:6" x14ac:dyDescent="0.3">
      <c r="F619" s="205"/>
    </row>
    <row r="620" spans="6:6" x14ac:dyDescent="0.3">
      <c r="F620" s="205"/>
    </row>
    <row r="621" spans="6:6" x14ac:dyDescent="0.3">
      <c r="F621" s="205"/>
    </row>
    <row r="622" spans="6:6" x14ac:dyDescent="0.3">
      <c r="F622" s="205"/>
    </row>
    <row r="623" spans="6:6" x14ac:dyDescent="0.3">
      <c r="F623" s="205"/>
    </row>
    <row r="624" spans="6:6" x14ac:dyDescent="0.3">
      <c r="F624" s="205"/>
    </row>
    <row r="625" spans="6:6" x14ac:dyDescent="0.3">
      <c r="F625" s="205"/>
    </row>
    <row r="626" spans="6:6" x14ac:dyDescent="0.3">
      <c r="F626" s="205"/>
    </row>
    <row r="627" spans="6:6" x14ac:dyDescent="0.3">
      <c r="F627" s="205"/>
    </row>
    <row r="628" spans="6:6" x14ac:dyDescent="0.3">
      <c r="F628" s="205"/>
    </row>
    <row r="629" spans="6:6" x14ac:dyDescent="0.3">
      <c r="F629" s="205"/>
    </row>
    <row r="630" spans="6:6" x14ac:dyDescent="0.3">
      <c r="F630" s="205"/>
    </row>
    <row r="631" spans="6:6" x14ac:dyDescent="0.3">
      <c r="F631" s="205"/>
    </row>
    <row r="632" spans="6:6" x14ac:dyDescent="0.3">
      <c r="F632" s="205"/>
    </row>
    <row r="633" spans="6:6" x14ac:dyDescent="0.3">
      <c r="F633" s="205"/>
    </row>
    <row r="634" spans="6:6" x14ac:dyDescent="0.3">
      <c r="F634" s="205"/>
    </row>
    <row r="635" spans="6:6" x14ac:dyDescent="0.3">
      <c r="F635" s="205"/>
    </row>
    <row r="636" spans="6:6" x14ac:dyDescent="0.3">
      <c r="F636" s="205"/>
    </row>
    <row r="637" spans="6:6" x14ac:dyDescent="0.3">
      <c r="F637" s="205"/>
    </row>
    <row r="638" spans="6:6" x14ac:dyDescent="0.3">
      <c r="F638" s="205"/>
    </row>
    <row r="639" spans="6:6" x14ac:dyDescent="0.3">
      <c r="F639" s="205"/>
    </row>
    <row r="640" spans="6:6" x14ac:dyDescent="0.3">
      <c r="F640" s="205"/>
    </row>
    <row r="641" spans="6:6" x14ac:dyDescent="0.3">
      <c r="F641" s="205"/>
    </row>
    <row r="642" spans="6:6" x14ac:dyDescent="0.3">
      <c r="F642" s="205"/>
    </row>
    <row r="643" spans="6:6" x14ac:dyDescent="0.3">
      <c r="F643" s="205"/>
    </row>
    <row r="644" spans="6:6" x14ac:dyDescent="0.3">
      <c r="F644" s="205"/>
    </row>
    <row r="645" spans="6:6" x14ac:dyDescent="0.3">
      <c r="F645" s="205"/>
    </row>
    <row r="646" spans="6:6" x14ac:dyDescent="0.3">
      <c r="F646" s="205"/>
    </row>
    <row r="647" spans="6:6" x14ac:dyDescent="0.3">
      <c r="F647" s="205"/>
    </row>
    <row r="648" spans="6:6" x14ac:dyDescent="0.3">
      <c r="F648" s="205"/>
    </row>
    <row r="649" spans="6:6" x14ac:dyDescent="0.3">
      <c r="F649" s="205"/>
    </row>
    <row r="650" spans="6:6" x14ac:dyDescent="0.3">
      <c r="F650" s="205"/>
    </row>
    <row r="651" spans="6:6" x14ac:dyDescent="0.3">
      <c r="F651" s="205"/>
    </row>
    <row r="652" spans="6:6" x14ac:dyDescent="0.3">
      <c r="F652" s="205"/>
    </row>
    <row r="653" spans="6:6" x14ac:dyDescent="0.3">
      <c r="F653" s="205"/>
    </row>
    <row r="654" spans="6:6" x14ac:dyDescent="0.3">
      <c r="F654" s="205"/>
    </row>
    <row r="655" spans="6:6" x14ac:dyDescent="0.3">
      <c r="F655" s="205"/>
    </row>
    <row r="656" spans="6:6" x14ac:dyDescent="0.3">
      <c r="F656" s="205"/>
    </row>
    <row r="657" spans="6:6" x14ac:dyDescent="0.3">
      <c r="F657" s="205"/>
    </row>
    <row r="658" spans="6:6" x14ac:dyDescent="0.3">
      <c r="F658" s="205"/>
    </row>
    <row r="659" spans="6:6" x14ac:dyDescent="0.3">
      <c r="F659" s="205"/>
    </row>
    <row r="660" spans="6:6" x14ac:dyDescent="0.3">
      <c r="F660" s="205"/>
    </row>
    <row r="661" spans="6:6" x14ac:dyDescent="0.3">
      <c r="F661" s="205"/>
    </row>
    <row r="662" spans="6:6" x14ac:dyDescent="0.3">
      <c r="F662" s="205"/>
    </row>
    <row r="663" spans="6:6" x14ac:dyDescent="0.3">
      <c r="F663" s="205"/>
    </row>
    <row r="664" spans="6:6" x14ac:dyDescent="0.3">
      <c r="F664" s="205"/>
    </row>
    <row r="665" spans="6:6" x14ac:dyDescent="0.3">
      <c r="F665" s="205"/>
    </row>
    <row r="666" spans="6:6" x14ac:dyDescent="0.3">
      <c r="F666" s="205"/>
    </row>
    <row r="667" spans="6:6" x14ac:dyDescent="0.3">
      <c r="F667" s="205"/>
    </row>
    <row r="668" spans="6:6" x14ac:dyDescent="0.3">
      <c r="F668" s="205"/>
    </row>
    <row r="669" spans="6:6" x14ac:dyDescent="0.3">
      <c r="F669" s="205"/>
    </row>
    <row r="670" spans="6:6" x14ac:dyDescent="0.3">
      <c r="F670" s="205"/>
    </row>
    <row r="671" spans="6:6" x14ac:dyDescent="0.3">
      <c r="F671" s="205"/>
    </row>
    <row r="672" spans="6:6" x14ac:dyDescent="0.3">
      <c r="F672" s="205"/>
    </row>
    <row r="673" spans="6:6" x14ac:dyDescent="0.3">
      <c r="F673" s="205"/>
    </row>
    <row r="674" spans="6:6" x14ac:dyDescent="0.3">
      <c r="F674" s="205"/>
    </row>
    <row r="675" spans="6:6" x14ac:dyDescent="0.3">
      <c r="F675" s="205"/>
    </row>
    <row r="676" spans="6:6" x14ac:dyDescent="0.3">
      <c r="F676" s="205"/>
    </row>
    <row r="677" spans="6:6" x14ac:dyDescent="0.3">
      <c r="F677" s="205"/>
    </row>
    <row r="678" spans="6:6" x14ac:dyDescent="0.3">
      <c r="F678" s="205"/>
    </row>
    <row r="679" spans="6:6" x14ac:dyDescent="0.3">
      <c r="F679" s="205"/>
    </row>
    <row r="680" spans="6:6" x14ac:dyDescent="0.3">
      <c r="F680" s="205"/>
    </row>
    <row r="681" spans="6:6" x14ac:dyDescent="0.3">
      <c r="F681" s="205"/>
    </row>
    <row r="682" spans="6:6" x14ac:dyDescent="0.3">
      <c r="F682" s="205"/>
    </row>
    <row r="683" spans="6:6" x14ac:dyDescent="0.3">
      <c r="F683" s="205"/>
    </row>
    <row r="684" spans="6:6" x14ac:dyDescent="0.3">
      <c r="F684" s="205"/>
    </row>
    <row r="685" spans="6:6" x14ac:dyDescent="0.3">
      <c r="F685" s="205"/>
    </row>
    <row r="686" spans="6:6" x14ac:dyDescent="0.3">
      <c r="F686" s="205"/>
    </row>
    <row r="687" spans="6:6" x14ac:dyDescent="0.3">
      <c r="F687" s="205"/>
    </row>
    <row r="688" spans="6:6" x14ac:dyDescent="0.3">
      <c r="F688" s="205"/>
    </row>
    <row r="689" spans="6:6" x14ac:dyDescent="0.3">
      <c r="F689" s="205"/>
    </row>
    <row r="690" spans="6:6" x14ac:dyDescent="0.3">
      <c r="F690" s="205"/>
    </row>
    <row r="691" spans="6:6" x14ac:dyDescent="0.3">
      <c r="F691" s="205"/>
    </row>
    <row r="692" spans="6:6" x14ac:dyDescent="0.3">
      <c r="F692" s="205"/>
    </row>
    <row r="693" spans="6:6" x14ac:dyDescent="0.3">
      <c r="F693" s="205"/>
    </row>
    <row r="694" spans="6:6" x14ac:dyDescent="0.3">
      <c r="F694" s="205"/>
    </row>
    <row r="695" spans="6:6" x14ac:dyDescent="0.3">
      <c r="F695" s="205"/>
    </row>
    <row r="696" spans="6:6" x14ac:dyDescent="0.3">
      <c r="F696" s="205"/>
    </row>
    <row r="697" spans="6:6" x14ac:dyDescent="0.3">
      <c r="F697" s="205"/>
    </row>
    <row r="698" spans="6:6" x14ac:dyDescent="0.3">
      <c r="F698" s="205"/>
    </row>
    <row r="699" spans="6:6" x14ac:dyDescent="0.3">
      <c r="F699" s="205"/>
    </row>
    <row r="700" spans="6:6" x14ac:dyDescent="0.3">
      <c r="F700" s="205"/>
    </row>
    <row r="701" spans="6:6" x14ac:dyDescent="0.3">
      <c r="F701" s="205"/>
    </row>
    <row r="702" spans="6:6" x14ac:dyDescent="0.3">
      <c r="F702" s="205"/>
    </row>
    <row r="703" spans="6:6" x14ac:dyDescent="0.3">
      <c r="F703" s="205"/>
    </row>
    <row r="704" spans="6:6" x14ac:dyDescent="0.3">
      <c r="F704" s="205"/>
    </row>
    <row r="705" spans="6:6" x14ac:dyDescent="0.3">
      <c r="F705" s="205"/>
    </row>
    <row r="706" spans="6:6" x14ac:dyDescent="0.3">
      <c r="F706" s="205"/>
    </row>
    <row r="707" spans="6:6" x14ac:dyDescent="0.3">
      <c r="F707" s="205"/>
    </row>
    <row r="708" spans="6:6" x14ac:dyDescent="0.3">
      <c r="F708" s="205"/>
    </row>
    <row r="709" spans="6:6" x14ac:dyDescent="0.3">
      <c r="F709" s="205"/>
    </row>
    <row r="710" spans="6:6" x14ac:dyDescent="0.3">
      <c r="F710" s="205"/>
    </row>
    <row r="711" spans="6:6" x14ac:dyDescent="0.3">
      <c r="F711" s="205"/>
    </row>
    <row r="712" spans="6:6" x14ac:dyDescent="0.3">
      <c r="F712" s="205"/>
    </row>
    <row r="713" spans="6:6" x14ac:dyDescent="0.3">
      <c r="F713" s="205"/>
    </row>
    <row r="714" spans="6:6" x14ac:dyDescent="0.3">
      <c r="F714" s="205"/>
    </row>
    <row r="715" spans="6:6" x14ac:dyDescent="0.3">
      <c r="F715" s="205"/>
    </row>
    <row r="716" spans="6:6" x14ac:dyDescent="0.3">
      <c r="F716" s="205"/>
    </row>
    <row r="717" spans="6:6" x14ac:dyDescent="0.3">
      <c r="F717" s="205"/>
    </row>
    <row r="718" spans="6:6" x14ac:dyDescent="0.3">
      <c r="F718" s="205"/>
    </row>
    <row r="719" spans="6:6" x14ac:dyDescent="0.3">
      <c r="F719" s="205"/>
    </row>
    <row r="720" spans="6:6" x14ac:dyDescent="0.3">
      <c r="F720" s="205"/>
    </row>
    <row r="721" spans="6:6" x14ac:dyDescent="0.3">
      <c r="F721" s="205"/>
    </row>
    <row r="722" spans="6:6" x14ac:dyDescent="0.3">
      <c r="F722" s="205"/>
    </row>
    <row r="723" spans="6:6" x14ac:dyDescent="0.3">
      <c r="F723" s="205"/>
    </row>
    <row r="724" spans="6:6" x14ac:dyDescent="0.3">
      <c r="F724" s="205"/>
    </row>
    <row r="725" spans="6:6" x14ac:dyDescent="0.3">
      <c r="F725" s="205"/>
    </row>
    <row r="726" spans="6:6" x14ac:dyDescent="0.3">
      <c r="F726" s="205"/>
    </row>
    <row r="727" spans="6:6" x14ac:dyDescent="0.3">
      <c r="F727" s="205"/>
    </row>
    <row r="728" spans="6:6" x14ac:dyDescent="0.3">
      <c r="F728" s="205"/>
    </row>
    <row r="729" spans="6:6" x14ac:dyDescent="0.3">
      <c r="F729" s="205"/>
    </row>
    <row r="730" spans="6:6" x14ac:dyDescent="0.3">
      <c r="F730" s="205"/>
    </row>
    <row r="731" spans="6:6" x14ac:dyDescent="0.3">
      <c r="F731" s="205"/>
    </row>
    <row r="732" spans="6:6" x14ac:dyDescent="0.3">
      <c r="F732" s="205"/>
    </row>
    <row r="733" spans="6:6" x14ac:dyDescent="0.3">
      <c r="F733" s="205"/>
    </row>
    <row r="734" spans="6:6" x14ac:dyDescent="0.3">
      <c r="F734" s="205"/>
    </row>
    <row r="735" spans="6:6" x14ac:dyDescent="0.3">
      <c r="F735" s="205"/>
    </row>
    <row r="736" spans="6:6" x14ac:dyDescent="0.3">
      <c r="F736" s="205"/>
    </row>
    <row r="737" spans="6:6" x14ac:dyDescent="0.3">
      <c r="F737" s="205"/>
    </row>
    <row r="738" spans="6:6" x14ac:dyDescent="0.3">
      <c r="F738" s="205"/>
    </row>
    <row r="739" spans="6:6" x14ac:dyDescent="0.3">
      <c r="F739" s="205"/>
    </row>
    <row r="740" spans="6:6" x14ac:dyDescent="0.3">
      <c r="F740" s="205"/>
    </row>
    <row r="741" spans="6:6" x14ac:dyDescent="0.3">
      <c r="F741" s="205"/>
    </row>
    <row r="742" spans="6:6" x14ac:dyDescent="0.3">
      <c r="F742" s="205"/>
    </row>
    <row r="743" spans="6:6" x14ac:dyDescent="0.3">
      <c r="F743" s="205"/>
    </row>
    <row r="744" spans="6:6" x14ac:dyDescent="0.3">
      <c r="F744" s="205"/>
    </row>
    <row r="745" spans="6:6" x14ac:dyDescent="0.3">
      <c r="F745" s="205"/>
    </row>
    <row r="746" spans="6:6" x14ac:dyDescent="0.3">
      <c r="F746" s="205"/>
    </row>
    <row r="747" spans="6:6" x14ac:dyDescent="0.3">
      <c r="F747" s="205"/>
    </row>
    <row r="748" spans="6:6" x14ac:dyDescent="0.3">
      <c r="F748" s="205"/>
    </row>
    <row r="749" spans="6:6" x14ac:dyDescent="0.3">
      <c r="F749" s="205"/>
    </row>
    <row r="750" spans="6:6" x14ac:dyDescent="0.3">
      <c r="F750" s="205"/>
    </row>
    <row r="751" spans="6:6" x14ac:dyDescent="0.3">
      <c r="F751" s="205"/>
    </row>
    <row r="752" spans="6:6" x14ac:dyDescent="0.3">
      <c r="F752" s="205"/>
    </row>
    <row r="753" spans="6:6" x14ac:dyDescent="0.3">
      <c r="F753" s="205"/>
    </row>
    <row r="754" spans="6:6" x14ac:dyDescent="0.3">
      <c r="F754" s="205"/>
    </row>
    <row r="755" spans="6:6" x14ac:dyDescent="0.3">
      <c r="F755" s="205"/>
    </row>
    <row r="756" spans="6:6" x14ac:dyDescent="0.3">
      <c r="F756" s="205"/>
    </row>
    <row r="757" spans="6:6" x14ac:dyDescent="0.3">
      <c r="F757" s="205"/>
    </row>
    <row r="758" spans="6:6" x14ac:dyDescent="0.3">
      <c r="F758" s="205"/>
    </row>
    <row r="759" spans="6:6" x14ac:dyDescent="0.3">
      <c r="F759" s="205"/>
    </row>
    <row r="760" spans="6:6" x14ac:dyDescent="0.3">
      <c r="F760" s="205"/>
    </row>
    <row r="761" spans="6:6" x14ac:dyDescent="0.3">
      <c r="F761" s="205"/>
    </row>
    <row r="762" spans="6:6" x14ac:dyDescent="0.3">
      <c r="F762" s="205"/>
    </row>
    <row r="763" spans="6:6" x14ac:dyDescent="0.3">
      <c r="F763" s="205"/>
    </row>
    <row r="764" spans="6:6" x14ac:dyDescent="0.3">
      <c r="F764" s="205"/>
    </row>
    <row r="765" spans="6:6" x14ac:dyDescent="0.3">
      <c r="F765" s="205"/>
    </row>
    <row r="766" spans="6:6" x14ac:dyDescent="0.3">
      <c r="F766" s="205"/>
    </row>
    <row r="767" spans="6:6" x14ac:dyDescent="0.3">
      <c r="F767" s="205"/>
    </row>
    <row r="768" spans="6:6" x14ac:dyDescent="0.3">
      <c r="F768" s="205"/>
    </row>
    <row r="769" spans="6:6" x14ac:dyDescent="0.3">
      <c r="F769" s="205"/>
    </row>
    <row r="770" spans="6:6" x14ac:dyDescent="0.3">
      <c r="F770" s="205"/>
    </row>
    <row r="771" spans="6:6" x14ac:dyDescent="0.3">
      <c r="F771" s="205"/>
    </row>
    <row r="772" spans="6:6" x14ac:dyDescent="0.3">
      <c r="F772" s="205"/>
    </row>
    <row r="773" spans="6:6" x14ac:dyDescent="0.3">
      <c r="F773" s="205"/>
    </row>
    <row r="774" spans="6:6" x14ac:dyDescent="0.3">
      <c r="F774" s="205"/>
    </row>
    <row r="775" spans="6:6" x14ac:dyDescent="0.3">
      <c r="F775" s="205"/>
    </row>
    <row r="776" spans="6:6" x14ac:dyDescent="0.3">
      <c r="F776" s="205"/>
    </row>
    <row r="777" spans="6:6" x14ac:dyDescent="0.3">
      <c r="F777" s="205"/>
    </row>
    <row r="778" spans="6:6" x14ac:dyDescent="0.3">
      <c r="F778" s="205"/>
    </row>
    <row r="779" spans="6:6" x14ac:dyDescent="0.3">
      <c r="F779" s="205"/>
    </row>
    <row r="780" spans="6:6" x14ac:dyDescent="0.3">
      <c r="F780" s="205"/>
    </row>
    <row r="781" spans="6:6" x14ac:dyDescent="0.3">
      <c r="F781" s="205"/>
    </row>
    <row r="782" spans="6:6" x14ac:dyDescent="0.3">
      <c r="F782" s="205"/>
    </row>
    <row r="783" spans="6:6" x14ac:dyDescent="0.3">
      <c r="F783" s="205"/>
    </row>
    <row r="784" spans="6:6" x14ac:dyDescent="0.3">
      <c r="F784" s="205"/>
    </row>
    <row r="785" spans="6:6" x14ac:dyDescent="0.3">
      <c r="F785" s="205"/>
    </row>
    <row r="786" spans="6:6" x14ac:dyDescent="0.3">
      <c r="F786" s="205"/>
    </row>
    <row r="787" spans="6:6" x14ac:dyDescent="0.3">
      <c r="F787" s="205"/>
    </row>
    <row r="788" spans="6:6" x14ac:dyDescent="0.3">
      <c r="F788" s="205"/>
    </row>
    <row r="789" spans="6:6" x14ac:dyDescent="0.3">
      <c r="F789" s="205"/>
    </row>
    <row r="790" spans="6:6" x14ac:dyDescent="0.3">
      <c r="F790" s="205"/>
    </row>
    <row r="791" spans="6:6" x14ac:dyDescent="0.3">
      <c r="F791" s="205"/>
    </row>
    <row r="792" spans="6:6" x14ac:dyDescent="0.3">
      <c r="F792" s="205"/>
    </row>
    <row r="793" spans="6:6" x14ac:dyDescent="0.3">
      <c r="F793" s="205"/>
    </row>
    <row r="794" spans="6:6" x14ac:dyDescent="0.3">
      <c r="F794" s="205"/>
    </row>
    <row r="795" spans="6:6" x14ac:dyDescent="0.3">
      <c r="F795" s="205"/>
    </row>
    <row r="796" spans="6:6" x14ac:dyDescent="0.3">
      <c r="F796" s="205"/>
    </row>
    <row r="797" spans="6:6" x14ac:dyDescent="0.3">
      <c r="F797" s="205"/>
    </row>
    <row r="798" spans="6:6" x14ac:dyDescent="0.3">
      <c r="F798" s="205"/>
    </row>
    <row r="799" spans="6:6" x14ac:dyDescent="0.3">
      <c r="F799" s="205"/>
    </row>
    <row r="800" spans="6:6" x14ac:dyDescent="0.3">
      <c r="F800" s="205"/>
    </row>
    <row r="801" spans="6:6" x14ac:dyDescent="0.3">
      <c r="F801" s="205"/>
    </row>
    <row r="802" spans="6:6" x14ac:dyDescent="0.3">
      <c r="F802" s="205"/>
    </row>
    <row r="803" spans="6:6" x14ac:dyDescent="0.3">
      <c r="F803" s="205"/>
    </row>
    <row r="804" spans="6:6" x14ac:dyDescent="0.3">
      <c r="F804" s="205"/>
    </row>
    <row r="805" spans="6:6" x14ac:dyDescent="0.3">
      <c r="F805" s="205"/>
    </row>
    <row r="806" spans="6:6" x14ac:dyDescent="0.3">
      <c r="F806" s="205"/>
    </row>
    <row r="807" spans="6:6" x14ac:dyDescent="0.3">
      <c r="F807" s="205"/>
    </row>
    <row r="808" spans="6:6" x14ac:dyDescent="0.3">
      <c r="F808" s="205"/>
    </row>
    <row r="809" spans="6:6" x14ac:dyDescent="0.3">
      <c r="F809" s="205"/>
    </row>
    <row r="810" spans="6:6" x14ac:dyDescent="0.3">
      <c r="F810" s="205"/>
    </row>
    <row r="811" spans="6:6" x14ac:dyDescent="0.3">
      <c r="F811" s="205"/>
    </row>
    <row r="812" spans="6:6" x14ac:dyDescent="0.3">
      <c r="F812" s="205"/>
    </row>
    <row r="813" spans="6:6" x14ac:dyDescent="0.3">
      <c r="F813" s="205"/>
    </row>
    <row r="814" spans="6:6" x14ac:dyDescent="0.3">
      <c r="F814" s="205"/>
    </row>
    <row r="815" spans="6:6" x14ac:dyDescent="0.3">
      <c r="F815" s="205"/>
    </row>
    <row r="816" spans="6:6" x14ac:dyDescent="0.3">
      <c r="F816" s="205"/>
    </row>
    <row r="817" spans="6:6" x14ac:dyDescent="0.3">
      <c r="F817" s="205"/>
    </row>
    <row r="818" spans="6:6" x14ac:dyDescent="0.3">
      <c r="F818" s="205"/>
    </row>
    <row r="819" spans="6:6" x14ac:dyDescent="0.3">
      <c r="F819" s="205"/>
    </row>
    <row r="820" spans="6:6" x14ac:dyDescent="0.3">
      <c r="F820" s="205"/>
    </row>
    <row r="821" spans="6:6" x14ac:dyDescent="0.3">
      <c r="F821" s="205"/>
    </row>
    <row r="822" spans="6:6" x14ac:dyDescent="0.3">
      <c r="F822" s="205"/>
    </row>
    <row r="823" spans="6:6" x14ac:dyDescent="0.3">
      <c r="F823" s="205"/>
    </row>
    <row r="824" spans="6:6" x14ac:dyDescent="0.3">
      <c r="F824" s="205"/>
    </row>
    <row r="825" spans="6:6" x14ac:dyDescent="0.3">
      <c r="F825" s="205"/>
    </row>
    <row r="826" spans="6:6" x14ac:dyDescent="0.3">
      <c r="F826" s="205"/>
    </row>
    <row r="827" spans="6:6" x14ac:dyDescent="0.3">
      <c r="F827" s="205"/>
    </row>
    <row r="828" spans="6:6" x14ac:dyDescent="0.3">
      <c r="F828" s="205"/>
    </row>
    <row r="829" spans="6:6" x14ac:dyDescent="0.3">
      <c r="F829" s="205"/>
    </row>
    <row r="830" spans="6:6" x14ac:dyDescent="0.3">
      <c r="F830" s="205"/>
    </row>
    <row r="831" spans="6:6" x14ac:dyDescent="0.3">
      <c r="F831" s="205"/>
    </row>
    <row r="832" spans="6:6" x14ac:dyDescent="0.3">
      <c r="F832" s="205"/>
    </row>
    <row r="833" spans="6:6" x14ac:dyDescent="0.3">
      <c r="F833" s="205"/>
    </row>
    <row r="834" spans="6:6" x14ac:dyDescent="0.3">
      <c r="F834" s="205"/>
    </row>
    <row r="835" spans="6:6" x14ac:dyDescent="0.3">
      <c r="F835" s="205"/>
    </row>
    <row r="836" spans="6:6" x14ac:dyDescent="0.3">
      <c r="F836" s="205"/>
    </row>
    <row r="837" spans="6:6" x14ac:dyDescent="0.3">
      <c r="F837" s="205"/>
    </row>
    <row r="838" spans="6:6" x14ac:dyDescent="0.3">
      <c r="F838" s="205"/>
    </row>
    <row r="839" spans="6:6" x14ac:dyDescent="0.3">
      <c r="F839" s="205"/>
    </row>
    <row r="840" spans="6:6" x14ac:dyDescent="0.3">
      <c r="F840" s="205"/>
    </row>
    <row r="841" spans="6:6" x14ac:dyDescent="0.3">
      <c r="F841" s="205"/>
    </row>
    <row r="842" spans="6:6" x14ac:dyDescent="0.3">
      <c r="F842" s="205"/>
    </row>
    <row r="843" spans="6:6" x14ac:dyDescent="0.3">
      <c r="F843" s="205"/>
    </row>
    <row r="844" spans="6:6" x14ac:dyDescent="0.3">
      <c r="F844" s="205"/>
    </row>
    <row r="845" spans="6:6" x14ac:dyDescent="0.3">
      <c r="F845" s="205"/>
    </row>
    <row r="846" spans="6:6" x14ac:dyDescent="0.3">
      <c r="F846" s="205"/>
    </row>
    <row r="847" spans="6:6" x14ac:dyDescent="0.3">
      <c r="F847" s="205"/>
    </row>
    <row r="848" spans="6:6" x14ac:dyDescent="0.3">
      <c r="F848" s="205"/>
    </row>
    <row r="849" spans="6:6" x14ac:dyDescent="0.3">
      <c r="F849" s="205"/>
    </row>
    <row r="850" spans="6:6" x14ac:dyDescent="0.3">
      <c r="F850" s="205"/>
    </row>
    <row r="851" spans="6:6" x14ac:dyDescent="0.3">
      <c r="F851" s="205"/>
    </row>
    <row r="852" spans="6:6" x14ac:dyDescent="0.3">
      <c r="F852" s="205"/>
    </row>
    <row r="853" spans="6:6" x14ac:dyDescent="0.3">
      <c r="F853" s="205"/>
    </row>
    <row r="854" spans="6:6" x14ac:dyDescent="0.3">
      <c r="F854" s="205"/>
    </row>
    <row r="855" spans="6:6" x14ac:dyDescent="0.3">
      <c r="F855" s="205"/>
    </row>
    <row r="856" spans="6:6" x14ac:dyDescent="0.3">
      <c r="F856" s="205"/>
    </row>
    <row r="857" spans="6:6" x14ac:dyDescent="0.3">
      <c r="F857" s="205"/>
    </row>
    <row r="858" spans="6:6" x14ac:dyDescent="0.3">
      <c r="F858" s="205"/>
    </row>
    <row r="859" spans="6:6" x14ac:dyDescent="0.3">
      <c r="F859" s="205"/>
    </row>
    <row r="860" spans="6:6" x14ac:dyDescent="0.3">
      <c r="F860" s="205"/>
    </row>
    <row r="861" spans="6:6" x14ac:dyDescent="0.3">
      <c r="F861" s="205"/>
    </row>
    <row r="862" spans="6:6" x14ac:dyDescent="0.3">
      <c r="F862" s="205"/>
    </row>
    <row r="863" spans="6:6" x14ac:dyDescent="0.3">
      <c r="F863" s="205"/>
    </row>
    <row r="864" spans="6:6" x14ac:dyDescent="0.3">
      <c r="F864" s="205"/>
    </row>
    <row r="865" spans="6:6" x14ac:dyDescent="0.3">
      <c r="F865" s="205"/>
    </row>
    <row r="866" spans="6:6" x14ac:dyDescent="0.3">
      <c r="F866" s="205"/>
    </row>
    <row r="867" spans="6:6" x14ac:dyDescent="0.3">
      <c r="F867" s="205"/>
    </row>
    <row r="868" spans="6:6" x14ac:dyDescent="0.3">
      <c r="F868" s="205"/>
    </row>
    <row r="869" spans="6:6" x14ac:dyDescent="0.3">
      <c r="F869" s="205"/>
    </row>
    <row r="870" spans="6:6" x14ac:dyDescent="0.3">
      <c r="F870" s="205"/>
    </row>
    <row r="871" spans="6:6" x14ac:dyDescent="0.3">
      <c r="F871" s="205"/>
    </row>
    <row r="872" spans="6:6" x14ac:dyDescent="0.3">
      <c r="F872" s="205"/>
    </row>
    <row r="873" spans="6:6" x14ac:dyDescent="0.3">
      <c r="F873" s="205"/>
    </row>
    <row r="874" spans="6:6" x14ac:dyDescent="0.3">
      <c r="F874" s="205"/>
    </row>
    <row r="875" spans="6:6" x14ac:dyDescent="0.3">
      <c r="F875" s="205"/>
    </row>
    <row r="876" spans="6:6" x14ac:dyDescent="0.3">
      <c r="F876" s="205"/>
    </row>
    <row r="877" spans="6:6" x14ac:dyDescent="0.3">
      <c r="F877" s="205"/>
    </row>
    <row r="878" spans="6:6" x14ac:dyDescent="0.3">
      <c r="F878" s="205"/>
    </row>
    <row r="879" spans="6:6" x14ac:dyDescent="0.3">
      <c r="F879" s="205"/>
    </row>
    <row r="880" spans="6:6" x14ac:dyDescent="0.3">
      <c r="F880" s="205"/>
    </row>
    <row r="881" spans="6:6" x14ac:dyDescent="0.3">
      <c r="F881" s="205"/>
    </row>
    <row r="882" spans="6:6" x14ac:dyDescent="0.3">
      <c r="F882" s="205"/>
    </row>
    <row r="883" spans="6:6" x14ac:dyDescent="0.3">
      <c r="F883" s="205"/>
    </row>
    <row r="884" spans="6:6" x14ac:dyDescent="0.3">
      <c r="F884" s="205"/>
    </row>
    <row r="885" spans="6:6" x14ac:dyDescent="0.3">
      <c r="F885" s="205"/>
    </row>
    <row r="886" spans="6:6" x14ac:dyDescent="0.3">
      <c r="F886" s="205"/>
    </row>
    <row r="887" spans="6:6" x14ac:dyDescent="0.3">
      <c r="F887" s="205"/>
    </row>
    <row r="888" spans="6:6" x14ac:dyDescent="0.3">
      <c r="F888" s="205"/>
    </row>
    <row r="889" spans="6:6" x14ac:dyDescent="0.3">
      <c r="F889" s="205"/>
    </row>
    <row r="890" spans="6:6" x14ac:dyDescent="0.3">
      <c r="F890" s="205"/>
    </row>
    <row r="891" spans="6:6" x14ac:dyDescent="0.3">
      <c r="F891" s="205"/>
    </row>
    <row r="892" spans="6:6" x14ac:dyDescent="0.3">
      <c r="F892" s="205"/>
    </row>
    <row r="893" spans="6:6" x14ac:dyDescent="0.3">
      <c r="F893" s="205"/>
    </row>
    <row r="894" spans="6:6" x14ac:dyDescent="0.3">
      <c r="F894" s="205"/>
    </row>
    <row r="895" spans="6:6" x14ac:dyDescent="0.3">
      <c r="F895" s="205"/>
    </row>
    <row r="896" spans="6:6" x14ac:dyDescent="0.3">
      <c r="F896" s="205"/>
    </row>
    <row r="897" spans="6:6" x14ac:dyDescent="0.3">
      <c r="F897" s="205"/>
    </row>
    <row r="898" spans="6:6" x14ac:dyDescent="0.3">
      <c r="F898" s="205"/>
    </row>
    <row r="899" spans="6:6" x14ac:dyDescent="0.3">
      <c r="F899" s="205"/>
    </row>
    <row r="900" spans="6:6" x14ac:dyDescent="0.3">
      <c r="F900" s="205"/>
    </row>
    <row r="901" spans="6:6" x14ac:dyDescent="0.3">
      <c r="F901" s="205"/>
    </row>
    <row r="902" spans="6:6" x14ac:dyDescent="0.3">
      <c r="F902" s="205"/>
    </row>
    <row r="903" spans="6:6" x14ac:dyDescent="0.3">
      <c r="F903" s="205"/>
    </row>
    <row r="904" spans="6:6" x14ac:dyDescent="0.3">
      <c r="F904" s="205"/>
    </row>
    <row r="905" spans="6:6" x14ac:dyDescent="0.3">
      <c r="F905" s="205"/>
    </row>
    <row r="906" spans="6:6" x14ac:dyDescent="0.3">
      <c r="F906" s="205"/>
    </row>
    <row r="907" spans="6:6" x14ac:dyDescent="0.3">
      <c r="F907" s="205"/>
    </row>
    <row r="908" spans="6:6" x14ac:dyDescent="0.3">
      <c r="F908" s="205"/>
    </row>
    <row r="909" spans="6:6" x14ac:dyDescent="0.3">
      <c r="F909" s="205"/>
    </row>
    <row r="910" spans="6:6" x14ac:dyDescent="0.3">
      <c r="F910" s="205"/>
    </row>
    <row r="911" spans="6:6" x14ac:dyDescent="0.3">
      <c r="F911" s="205"/>
    </row>
    <row r="912" spans="6:6" x14ac:dyDescent="0.3">
      <c r="F912" s="205"/>
    </row>
    <row r="913" spans="6:6" x14ac:dyDescent="0.3">
      <c r="F913" s="205"/>
    </row>
    <row r="914" spans="6:6" x14ac:dyDescent="0.3">
      <c r="F914" s="205"/>
    </row>
    <row r="915" spans="6:6" x14ac:dyDescent="0.3">
      <c r="F915" s="205"/>
    </row>
    <row r="916" spans="6:6" x14ac:dyDescent="0.3">
      <c r="F916" s="205"/>
    </row>
    <row r="917" spans="6:6" x14ac:dyDescent="0.3">
      <c r="F917" s="205"/>
    </row>
    <row r="918" spans="6:6" x14ac:dyDescent="0.3">
      <c r="F918" s="205"/>
    </row>
    <row r="919" spans="6:6" x14ac:dyDescent="0.3">
      <c r="F919" s="205"/>
    </row>
    <row r="920" spans="6:6" x14ac:dyDescent="0.3">
      <c r="F920" s="205"/>
    </row>
    <row r="921" spans="6:6" x14ac:dyDescent="0.3">
      <c r="F921" s="205"/>
    </row>
    <row r="922" spans="6:6" x14ac:dyDescent="0.3">
      <c r="F922" s="205"/>
    </row>
    <row r="923" spans="6:6" x14ac:dyDescent="0.3">
      <c r="F923" s="205"/>
    </row>
    <row r="924" spans="6:6" x14ac:dyDescent="0.3">
      <c r="F924" s="205"/>
    </row>
    <row r="925" spans="6:6" x14ac:dyDescent="0.3">
      <c r="F925" s="205"/>
    </row>
    <row r="926" spans="6:6" x14ac:dyDescent="0.3">
      <c r="F926" s="205"/>
    </row>
    <row r="927" spans="6:6" x14ac:dyDescent="0.3">
      <c r="F927" s="205"/>
    </row>
    <row r="928" spans="6:6" x14ac:dyDescent="0.3">
      <c r="F928" s="205"/>
    </row>
    <row r="929" spans="6:6" x14ac:dyDescent="0.3">
      <c r="F929" s="205"/>
    </row>
    <row r="930" spans="6:6" x14ac:dyDescent="0.3">
      <c r="F930" s="205"/>
    </row>
    <row r="931" spans="6:6" x14ac:dyDescent="0.3">
      <c r="F931" s="205"/>
    </row>
    <row r="932" spans="6:6" x14ac:dyDescent="0.3">
      <c r="F932" s="205"/>
    </row>
    <row r="933" spans="6:6" x14ac:dyDescent="0.3">
      <c r="F933" s="205"/>
    </row>
    <row r="934" spans="6:6" x14ac:dyDescent="0.3">
      <c r="F934" s="205"/>
    </row>
    <row r="935" spans="6:6" x14ac:dyDescent="0.3">
      <c r="F935" s="205"/>
    </row>
    <row r="936" spans="6:6" x14ac:dyDescent="0.3">
      <c r="F936" s="205"/>
    </row>
    <row r="937" spans="6:6" x14ac:dyDescent="0.3">
      <c r="F937" s="205"/>
    </row>
    <row r="938" spans="6:6" x14ac:dyDescent="0.3">
      <c r="F938" s="205"/>
    </row>
    <row r="939" spans="6:6" x14ac:dyDescent="0.3">
      <c r="F939" s="205"/>
    </row>
    <row r="940" spans="6:6" x14ac:dyDescent="0.3">
      <c r="F940" s="205"/>
    </row>
    <row r="941" spans="6:6" x14ac:dyDescent="0.3">
      <c r="F941" s="205"/>
    </row>
    <row r="942" spans="6:6" x14ac:dyDescent="0.3">
      <c r="F942" s="205"/>
    </row>
    <row r="943" spans="6:6" x14ac:dyDescent="0.3">
      <c r="F943" s="205"/>
    </row>
    <row r="944" spans="6:6" x14ac:dyDescent="0.3">
      <c r="F944" s="205"/>
    </row>
    <row r="945" spans="6:6" x14ac:dyDescent="0.3">
      <c r="F945" s="205"/>
    </row>
    <row r="946" spans="6:6" x14ac:dyDescent="0.3">
      <c r="F946" s="205"/>
    </row>
    <row r="947" spans="6:6" x14ac:dyDescent="0.3">
      <c r="F947" s="205"/>
    </row>
    <row r="948" spans="6:6" x14ac:dyDescent="0.3">
      <c r="F948" s="205"/>
    </row>
    <row r="949" spans="6:6" x14ac:dyDescent="0.3">
      <c r="F949" s="205"/>
    </row>
    <row r="950" spans="6:6" x14ac:dyDescent="0.3">
      <c r="F950" s="205"/>
    </row>
    <row r="951" spans="6:6" x14ac:dyDescent="0.3">
      <c r="F951" s="205"/>
    </row>
    <row r="952" spans="6:6" x14ac:dyDescent="0.3">
      <c r="F952" s="205"/>
    </row>
    <row r="953" spans="6:6" x14ac:dyDescent="0.3">
      <c r="F953" s="205"/>
    </row>
    <row r="954" spans="6:6" x14ac:dyDescent="0.3">
      <c r="F954" s="205"/>
    </row>
    <row r="955" spans="6:6" x14ac:dyDescent="0.3">
      <c r="F955" s="205"/>
    </row>
    <row r="956" spans="6:6" x14ac:dyDescent="0.3">
      <c r="F956" s="205"/>
    </row>
    <row r="957" spans="6:6" x14ac:dyDescent="0.3">
      <c r="F957" s="205"/>
    </row>
    <row r="958" spans="6:6" x14ac:dyDescent="0.3">
      <c r="F958" s="205"/>
    </row>
    <row r="959" spans="6:6" x14ac:dyDescent="0.3">
      <c r="F959" s="205"/>
    </row>
    <row r="960" spans="6:6" x14ac:dyDescent="0.3">
      <c r="F960" s="205"/>
    </row>
    <row r="961" spans="6:6" x14ac:dyDescent="0.3">
      <c r="F961" s="205"/>
    </row>
    <row r="962" spans="6:6" x14ac:dyDescent="0.3">
      <c r="F962" s="205"/>
    </row>
    <row r="963" spans="6:6" x14ac:dyDescent="0.3">
      <c r="F963" s="205"/>
    </row>
    <row r="964" spans="6:6" x14ac:dyDescent="0.3">
      <c r="F964" s="205"/>
    </row>
    <row r="965" spans="6:6" x14ac:dyDescent="0.3">
      <c r="F965" s="205"/>
    </row>
    <row r="966" spans="6:6" x14ac:dyDescent="0.3">
      <c r="F966" s="205"/>
    </row>
    <row r="967" spans="6:6" x14ac:dyDescent="0.3">
      <c r="F967" s="205"/>
    </row>
    <row r="968" spans="6:6" x14ac:dyDescent="0.3">
      <c r="F968" s="205"/>
    </row>
    <row r="969" spans="6:6" x14ac:dyDescent="0.3">
      <c r="F969" s="205"/>
    </row>
    <row r="970" spans="6:6" x14ac:dyDescent="0.3">
      <c r="F970" s="205"/>
    </row>
    <row r="971" spans="6:6" x14ac:dyDescent="0.3">
      <c r="F971" s="205"/>
    </row>
    <row r="972" spans="6:6" x14ac:dyDescent="0.3">
      <c r="F972" s="205"/>
    </row>
    <row r="973" spans="6:6" x14ac:dyDescent="0.3">
      <c r="F973" s="205"/>
    </row>
    <row r="974" spans="6:6" x14ac:dyDescent="0.3">
      <c r="F974" s="205"/>
    </row>
    <row r="975" spans="6:6" x14ac:dyDescent="0.3">
      <c r="F975" s="205"/>
    </row>
    <row r="976" spans="6:6" x14ac:dyDescent="0.3">
      <c r="F976" s="205"/>
    </row>
    <row r="977" spans="6:6" x14ac:dyDescent="0.3">
      <c r="F977" s="205"/>
    </row>
    <row r="978" spans="6:6" x14ac:dyDescent="0.3">
      <c r="F978" s="205"/>
    </row>
    <row r="979" spans="6:6" x14ac:dyDescent="0.3">
      <c r="F979" s="205"/>
    </row>
    <row r="980" spans="6:6" x14ac:dyDescent="0.3">
      <c r="F980" s="205"/>
    </row>
    <row r="981" spans="6:6" x14ac:dyDescent="0.3">
      <c r="F981" s="205"/>
    </row>
    <row r="982" spans="6:6" x14ac:dyDescent="0.3">
      <c r="F982" s="205"/>
    </row>
    <row r="983" spans="6:6" x14ac:dyDescent="0.3">
      <c r="F983" s="205"/>
    </row>
    <row r="984" spans="6:6" x14ac:dyDescent="0.3">
      <c r="F984" s="205"/>
    </row>
    <row r="985" spans="6:6" x14ac:dyDescent="0.3">
      <c r="F985" s="205"/>
    </row>
    <row r="986" spans="6:6" x14ac:dyDescent="0.3">
      <c r="F986" s="205"/>
    </row>
    <row r="987" spans="6:6" x14ac:dyDescent="0.3">
      <c r="F987" s="205"/>
    </row>
    <row r="988" spans="6:6" x14ac:dyDescent="0.3">
      <c r="F988" s="205"/>
    </row>
    <row r="989" spans="6:6" x14ac:dyDescent="0.3">
      <c r="F989" s="205"/>
    </row>
    <row r="990" spans="6:6" x14ac:dyDescent="0.3">
      <c r="F990" s="205"/>
    </row>
    <row r="991" spans="6:6" x14ac:dyDescent="0.3">
      <c r="F991" s="205"/>
    </row>
    <row r="992" spans="6:6" x14ac:dyDescent="0.3">
      <c r="F992" s="205"/>
    </row>
    <row r="993" spans="6:6" x14ac:dyDescent="0.3">
      <c r="F993" s="205"/>
    </row>
    <row r="994" spans="6:6" x14ac:dyDescent="0.3">
      <c r="F994" s="205"/>
    </row>
    <row r="995" spans="6:6" x14ac:dyDescent="0.3">
      <c r="F995" s="205"/>
    </row>
    <row r="996" spans="6:6" x14ac:dyDescent="0.3">
      <c r="F996" s="205"/>
    </row>
    <row r="997" spans="6:6" x14ac:dyDescent="0.3">
      <c r="F997" s="205"/>
    </row>
    <row r="998" spans="6:6" x14ac:dyDescent="0.3">
      <c r="F998" s="205"/>
    </row>
    <row r="999" spans="6:6" x14ac:dyDescent="0.3">
      <c r="F999" s="205"/>
    </row>
    <row r="1000" spans="6:6" x14ac:dyDescent="0.3">
      <c r="F1000" s="205"/>
    </row>
    <row r="1001" spans="6:6" x14ac:dyDescent="0.3">
      <c r="F1001" s="205"/>
    </row>
    <row r="1002" spans="6:6" x14ac:dyDescent="0.3">
      <c r="F1002" s="205"/>
    </row>
    <row r="1003" spans="6:6" x14ac:dyDescent="0.3">
      <c r="F1003" s="205"/>
    </row>
    <row r="1004" spans="6:6" x14ac:dyDescent="0.3">
      <c r="F1004" s="205"/>
    </row>
    <row r="1005" spans="6:6" x14ac:dyDescent="0.3">
      <c r="F1005" s="205"/>
    </row>
    <row r="1006" spans="6:6" x14ac:dyDescent="0.3">
      <c r="F1006" s="205"/>
    </row>
    <row r="1007" spans="6:6" x14ac:dyDescent="0.3">
      <c r="F1007" s="205"/>
    </row>
    <row r="1008" spans="6:6" x14ac:dyDescent="0.3">
      <c r="F1008" s="205"/>
    </row>
    <row r="1009" spans="6:6" x14ac:dyDescent="0.3">
      <c r="F1009" s="205"/>
    </row>
    <row r="1010" spans="6:6" x14ac:dyDescent="0.3">
      <c r="F1010" s="205"/>
    </row>
    <row r="1011" spans="6:6" x14ac:dyDescent="0.3">
      <c r="F1011" s="205"/>
    </row>
    <row r="1012" spans="6:6" x14ac:dyDescent="0.3">
      <c r="F1012" s="205"/>
    </row>
    <row r="1013" spans="6:6" x14ac:dyDescent="0.3">
      <c r="F1013" s="205"/>
    </row>
    <row r="1014" spans="6:6" x14ac:dyDescent="0.3">
      <c r="F1014" s="205"/>
    </row>
    <row r="1015" spans="6:6" x14ac:dyDescent="0.3">
      <c r="F1015" s="205"/>
    </row>
    <row r="1016" spans="6:6" x14ac:dyDescent="0.3">
      <c r="F1016" s="205"/>
    </row>
    <row r="1017" spans="6:6" x14ac:dyDescent="0.3">
      <c r="F1017" s="205"/>
    </row>
    <row r="1018" spans="6:6" x14ac:dyDescent="0.3">
      <c r="F1018" s="205"/>
    </row>
    <row r="1019" spans="6:6" x14ac:dyDescent="0.3">
      <c r="F1019" s="205"/>
    </row>
    <row r="1020" spans="6:6" x14ac:dyDescent="0.3">
      <c r="F1020" s="205"/>
    </row>
    <row r="1021" spans="6:6" x14ac:dyDescent="0.3">
      <c r="F1021" s="205"/>
    </row>
    <row r="1022" spans="6:6" x14ac:dyDescent="0.3">
      <c r="F1022" s="205"/>
    </row>
    <row r="1023" spans="6:6" x14ac:dyDescent="0.3">
      <c r="F1023" s="205"/>
    </row>
    <row r="1024" spans="6:6" x14ac:dyDescent="0.3">
      <c r="F1024" s="205"/>
    </row>
    <row r="1025" spans="6:6" x14ac:dyDescent="0.3">
      <c r="F1025" s="205"/>
    </row>
    <row r="1026" spans="6:6" x14ac:dyDescent="0.3">
      <c r="F1026" s="205"/>
    </row>
    <row r="1027" spans="6:6" x14ac:dyDescent="0.3">
      <c r="F1027" s="205"/>
    </row>
    <row r="1028" spans="6:6" x14ac:dyDescent="0.3">
      <c r="F1028" s="20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0C13-A99E-4CC8-BBAF-1D89B5749434}">
  <sheetPr>
    <tabColor theme="1" tint="0.249977111117893"/>
  </sheetPr>
  <dimension ref="A1:AQ1039"/>
  <sheetViews>
    <sheetView zoomScale="85" zoomScaleNormal="85" workbookViewId="0">
      <pane xSplit="3" ySplit="15" topLeftCell="AB16" activePane="bottomRight" state="frozen"/>
      <selection activeCell="H39" sqref="H39"/>
      <selection pane="topRight" activeCell="H39" sqref="H39"/>
      <selection pane="bottomLeft" activeCell="H39" sqref="H39"/>
      <selection pane="bottomRight" activeCell="B16" sqref="B16:AL31"/>
    </sheetView>
  </sheetViews>
  <sheetFormatPr defaultRowHeight="14.4" outlineLevelCol="1" x14ac:dyDescent="0.3"/>
  <cols>
    <col min="1" max="1" width="4.33203125" style="16" customWidth="1"/>
    <col min="2" max="7" width="15.6640625" customWidth="1"/>
    <col min="8" max="8" width="27.88671875" customWidth="1"/>
    <col min="9" max="9" width="15.6640625" customWidth="1"/>
    <col min="10" max="10" width="19.5546875" customWidth="1"/>
    <col min="11" max="11" width="19.109375" customWidth="1"/>
    <col min="12" max="12" width="20.6640625" hidden="1" customWidth="1" outlineLevel="1"/>
    <col min="13" max="22" width="7.33203125" hidden="1" customWidth="1" outlineLevel="1"/>
    <col min="23" max="23" width="18" bestFit="1" customWidth="1" collapsed="1"/>
    <col min="24" max="24" width="20.5546875" bestFit="1" customWidth="1"/>
    <col min="25" max="25" width="18.6640625" customWidth="1"/>
    <col min="26" max="38" width="18.6640625" bestFit="1" customWidth="1"/>
  </cols>
  <sheetData>
    <row r="1" spans="2:43" s="166" customFormat="1" ht="5.0999999999999996" customHeight="1" x14ac:dyDescent="0.3"/>
    <row r="2" spans="2:43" s="166" customFormat="1" x14ac:dyDescent="0.3">
      <c r="B2" s="167" t="s">
        <v>1222</v>
      </c>
      <c r="H2" s="270" t="s">
        <v>1356</v>
      </c>
      <c r="I2" s="201">
        <f>1/3</f>
        <v>0.33333333333333331</v>
      </c>
      <c r="J2" s="166" t="s">
        <v>1302</v>
      </c>
    </row>
    <row r="3" spans="2:43" s="166" customFormat="1" x14ac:dyDescent="0.3">
      <c r="B3" s="168" t="s">
        <v>1223</v>
      </c>
      <c r="H3" s="271">
        <v>6</v>
      </c>
      <c r="I3" s="201">
        <f>1/3</f>
        <v>0.33333333333333331</v>
      </c>
      <c r="J3" s="166" t="s">
        <v>1303</v>
      </c>
    </row>
    <row r="4" spans="2:43" s="170" customFormat="1" ht="5.0999999999999996" customHeight="1" thickBot="1" x14ac:dyDescent="0.35">
      <c r="B4" s="169"/>
    </row>
    <row r="5" spans="2:43" s="166" customFormat="1" ht="14.4" customHeight="1" x14ac:dyDescent="0.3">
      <c r="B5" s="171" t="s">
        <v>1224</v>
      </c>
      <c r="C5" s="171" t="s">
        <v>1225</v>
      </c>
      <c r="D5" s="171"/>
      <c r="E5" s="171"/>
      <c r="F5" s="171" t="s">
        <v>1226</v>
      </c>
      <c r="G5" s="171" t="s">
        <v>1227</v>
      </c>
      <c r="H5" s="171" t="s">
        <v>1228</v>
      </c>
      <c r="I5" s="171" t="s">
        <v>1229</v>
      </c>
      <c r="J5" s="171" t="s">
        <v>1230</v>
      </c>
      <c r="K5" s="171" t="s">
        <v>1231</v>
      </c>
    </row>
    <row r="6" spans="2:43" x14ac:dyDescent="0.3">
      <c r="B6" t="s">
        <v>590</v>
      </c>
      <c r="C6" t="str">
        <f>_xlfn.IFNA(INDEX('[1]Country list'!$A$2:$A$166,MATCH(B6,'[1]Country list'!$B$2:$B$166,0)),"")</f>
        <v>ITA</v>
      </c>
      <c r="F6" t="s">
        <v>1232</v>
      </c>
      <c r="G6" t="str">
        <f>_xlfn.IFNA(INDEX('[1]Sector list'!$A$2:$A$122,MATCH(F6,'[1]Sector list'!$B$2:$B$122,0)),"")</f>
        <v>ALL</v>
      </c>
      <c r="H6" t="s">
        <v>1233</v>
      </c>
      <c r="I6" t="str">
        <f>_xlfn.IFNA(INDEX('[1]FD list'!$A$2:$A$122,MATCH(H6,'[1]FD list'!$B$2:$B$122,0)),"")</f>
        <v>FD_1</v>
      </c>
      <c r="J6" s="172" t="s">
        <v>1234</v>
      </c>
      <c r="K6" t="s">
        <v>1235</v>
      </c>
    </row>
    <row r="7" spans="2:43" x14ac:dyDescent="0.3">
      <c r="C7" t="s">
        <v>589</v>
      </c>
      <c r="F7" t="s">
        <v>1236</v>
      </c>
      <c r="G7">
        <f>_xlfn.IFNA(INDEX('[1]Sector list'!$A$2:$A$122,MATCH(F7,'[1]Sector list'!$B$2:$B$122,0)),"")</f>
        <v>43</v>
      </c>
      <c r="H7" t="s">
        <v>1232</v>
      </c>
      <c r="I7" t="str">
        <f>_xlfn.IFNA(INDEX('[1]FD list'!$A$2:$A$122,MATCH(H7,'[1]FD list'!$B$2:$B$122,0)),"")</f>
        <v>ALL</v>
      </c>
      <c r="J7" s="172" t="s">
        <v>1234</v>
      </c>
      <c r="K7" t="s">
        <v>1237</v>
      </c>
    </row>
    <row r="8" spans="2:43" x14ac:dyDescent="0.3">
      <c r="B8" t="s">
        <v>579</v>
      </c>
      <c r="C8" t="str">
        <f>_xlfn.IFNA(INDEX('[1]Country list'!$A$2:$A$166,MATCH(B8,'[1]Country list'!$B$2:$B$166,0)),"")</f>
        <v>DEU</v>
      </c>
      <c r="G8" s="173" t="s">
        <v>1238</v>
      </c>
      <c r="I8" t="s">
        <v>1239</v>
      </c>
      <c r="J8" t="s">
        <v>1240</v>
      </c>
      <c r="K8" t="s">
        <v>1241</v>
      </c>
    </row>
    <row r="9" spans="2:43" x14ac:dyDescent="0.3">
      <c r="B9" t="s">
        <v>866</v>
      </c>
      <c r="C9" t="str">
        <f>_xlfn.IFNA(INDEX('[1]Country list'!$A$2:$A$166,MATCH(B9,'[1]Country list'!$B$2:$B$166,0)),"")</f>
        <v>MWI</v>
      </c>
      <c r="F9" t="s">
        <v>1242</v>
      </c>
      <c r="G9">
        <f>_xlfn.IFNA(INDEX('[1]Sector list'!$A$2:$A$122,MATCH(F9,'[1]Sector list'!$B$2:$B$122,0)),"")</f>
        <v>98</v>
      </c>
      <c r="H9" t="s">
        <v>1243</v>
      </c>
      <c r="I9" t="str">
        <f>_xlfn.IFNA(INDEX('[1]FD list'!$A$2:$A$122,MATCH(H9,'[1]FD list'!$B$2:$B$122,0)),"")</f>
        <v>FD_4</v>
      </c>
      <c r="J9" s="172" t="s">
        <v>1234</v>
      </c>
      <c r="K9" t="s">
        <v>1244</v>
      </c>
    </row>
    <row r="10" spans="2:43" x14ac:dyDescent="0.3">
      <c r="J10" s="172"/>
    </row>
    <row r="11" spans="2:43" x14ac:dyDescent="0.3">
      <c r="J11" s="172"/>
    </row>
    <row r="12" spans="2:43" x14ac:dyDescent="0.3">
      <c r="J12" s="172"/>
    </row>
    <row r="13" spans="2:43" ht="14.4" customHeight="1" x14ac:dyDescent="0.3">
      <c r="C13" s="174" t="s">
        <v>1245</v>
      </c>
      <c r="E13" s="174" t="s">
        <v>1246</v>
      </c>
      <c r="G13" s="174" t="s">
        <v>1247</v>
      </c>
      <c r="I13" s="174" t="s">
        <v>1248</v>
      </c>
      <c r="J13" s="172" t="s">
        <v>1249</v>
      </c>
    </row>
    <row r="14" spans="2:43" s="176" customFormat="1" ht="14.4" customHeight="1" thickBot="1" x14ac:dyDescent="0.35">
      <c r="B14" s="175" t="s">
        <v>1250</v>
      </c>
      <c r="J14" s="177"/>
    </row>
    <row r="15" spans="2:43" s="166" customFormat="1" ht="14.4" customHeight="1" x14ac:dyDescent="0.3">
      <c r="B15" s="171" t="s">
        <v>1251</v>
      </c>
      <c r="C15" s="171" t="s">
        <v>1252</v>
      </c>
      <c r="D15" s="171" t="s">
        <v>1253</v>
      </c>
      <c r="E15" s="171" t="s">
        <v>1254</v>
      </c>
      <c r="F15" s="171" t="s">
        <v>1226</v>
      </c>
      <c r="G15" s="171" t="s">
        <v>1227</v>
      </c>
      <c r="H15" s="171" t="s">
        <v>1228</v>
      </c>
      <c r="I15" s="171" t="s">
        <v>1229</v>
      </c>
      <c r="J15" s="171" t="s">
        <v>1230</v>
      </c>
      <c r="K15" s="171" t="s">
        <v>1231</v>
      </c>
      <c r="L15" s="166">
        <v>2019</v>
      </c>
      <c r="M15" s="166">
        <v>2020</v>
      </c>
      <c r="N15" s="166">
        <v>2021</v>
      </c>
      <c r="O15" s="166">
        <v>2022</v>
      </c>
      <c r="P15" s="166">
        <v>2023</v>
      </c>
      <c r="Q15" s="166">
        <v>2024</v>
      </c>
      <c r="R15" s="166">
        <v>2025</v>
      </c>
      <c r="S15" s="166">
        <v>2026</v>
      </c>
      <c r="T15" s="166">
        <v>2027</v>
      </c>
      <c r="U15" s="166">
        <v>2028</v>
      </c>
      <c r="V15" s="166">
        <v>2029</v>
      </c>
      <c r="W15" s="166">
        <v>2030</v>
      </c>
      <c r="X15" s="166">
        <v>2031</v>
      </c>
      <c r="Y15" s="166">
        <v>2032</v>
      </c>
      <c r="Z15" s="166">
        <v>2033</v>
      </c>
      <c r="AA15" s="166">
        <v>2034</v>
      </c>
      <c r="AB15" s="166">
        <v>2035</v>
      </c>
      <c r="AC15" s="166">
        <v>2036</v>
      </c>
      <c r="AD15" s="166">
        <v>2037</v>
      </c>
      <c r="AE15" s="166">
        <v>2038</v>
      </c>
      <c r="AF15" s="166">
        <v>2039</v>
      </c>
      <c r="AG15" s="166">
        <v>2040</v>
      </c>
      <c r="AH15" s="166">
        <v>2041</v>
      </c>
      <c r="AI15" s="166">
        <v>2042</v>
      </c>
      <c r="AJ15" s="166">
        <v>2043</v>
      </c>
      <c r="AK15" s="166">
        <v>2044</v>
      </c>
      <c r="AL15" s="166">
        <v>2045</v>
      </c>
      <c r="AM15" s="166">
        <v>2046</v>
      </c>
      <c r="AN15" s="166">
        <v>2047</v>
      </c>
      <c r="AO15" s="166">
        <v>2048</v>
      </c>
      <c r="AP15" s="166">
        <v>2049</v>
      </c>
      <c r="AQ15" s="166">
        <v>2050</v>
      </c>
    </row>
    <row r="16" spans="2:43" x14ac:dyDescent="0.3">
      <c r="C16" s="161" t="s">
        <v>1058</v>
      </c>
      <c r="E16" s="161" t="s">
        <v>1058</v>
      </c>
      <c r="F16" t="s">
        <v>1232</v>
      </c>
      <c r="G16" t="s">
        <v>1232</v>
      </c>
      <c r="H16" t="s">
        <v>1233</v>
      </c>
      <c r="I16" t="s">
        <v>1239</v>
      </c>
      <c r="J16" t="s">
        <v>1240</v>
      </c>
      <c r="K16" s="266">
        <f>SUM(X16:AL16)/1000000</f>
        <v>41.637940354134294</v>
      </c>
      <c r="X16" s="202">
        <f>VLOOKUP($C16,'MSET pivots'!$B$4:$H$14,$H$3,FALSE)*1000000*$I$2*'MSET pivots'!E$65</f>
        <v>1387952.1640038926</v>
      </c>
      <c r="Y16" s="202">
        <f>VLOOKUP($C16,'MSET pivots'!$B$4:$H$14,$H$3,FALSE)*1000000*$I$2*'MSET pivots'!F$65</f>
        <v>1586225.096328425</v>
      </c>
      <c r="Z16" s="202">
        <f>VLOOKUP($C16,'MSET pivots'!$B$4:$H$14,$H$3,FALSE)*1000000*$I$2*'MSET pivots'!G$65</f>
        <v>1784498.0286529574</v>
      </c>
      <c r="AA16" s="202">
        <f>VLOOKUP($C16,'MSET pivots'!$B$4:$H$14,$H$3,FALSE)*1000000*$I$2*'MSET pivots'!H$65</f>
        <v>1982770.9609774898</v>
      </c>
      <c r="AB16" s="202">
        <f>VLOOKUP($C16,'MSET pivots'!$B$4:$H$14,$H$3,FALSE)*1000000*$I$2*'MSET pivots'!I$65</f>
        <v>2181043.8933020225</v>
      </c>
      <c r="AC16" s="202">
        <f>VLOOKUP($C16,'MSET pivots'!$B$4:$H$14,$H$3,FALSE)*1000000*$I$2*'MSET pivots'!J$65</f>
        <v>2379316.8256265549</v>
      </c>
      <c r="AD16" s="202">
        <f>VLOOKUP($C16,'MSET pivots'!$B$4:$H$14,$H$3,FALSE)*1000000*$I$2*'MSET pivots'!K$65</f>
        <v>2577589.7579510873</v>
      </c>
      <c r="AE16" s="202">
        <f>VLOOKUP($C16,'MSET pivots'!$B$4:$H$14,$H$3,FALSE)*1000000*$I$2*'MSET pivots'!L$65</f>
        <v>2775862.6902756193</v>
      </c>
      <c r="AF16" s="202">
        <f>VLOOKUP($C16,'MSET pivots'!$B$4:$H$14,$H$3,FALSE)*1000000*$I$2*'MSET pivots'!M$65</f>
        <v>2974135.6226001517</v>
      </c>
      <c r="AG16" s="202">
        <f>VLOOKUP($C16,'MSET pivots'!$B$4:$H$14,$H$3,FALSE)*1000000*$I$2*'MSET pivots'!N$65</f>
        <v>3172408.5549246836</v>
      </c>
      <c r="AH16" s="202">
        <f>VLOOKUP($C16,'MSET pivots'!$B$4:$H$14,$H$3,FALSE)*1000000*$I$2*'MSET pivots'!O$65</f>
        <v>3370681.4872492161</v>
      </c>
      <c r="AI16" s="202">
        <f>VLOOKUP($C16,'MSET pivots'!$B$4:$H$14,$H$3,FALSE)*1000000*$I$2*'MSET pivots'!P$65</f>
        <v>3568954.419573748</v>
      </c>
      <c r="AJ16" s="202">
        <f>VLOOKUP($C16,'MSET pivots'!$B$4:$H$14,$H$3,FALSE)*1000000*$I$2*'MSET pivots'!Q$65</f>
        <v>3767227.3518982804</v>
      </c>
      <c r="AK16" s="202">
        <f>VLOOKUP($C16,'MSET pivots'!$B$4:$H$14,$H$3,FALSE)*1000000*$I$2*'MSET pivots'!R$65</f>
        <v>3965500.2842228124</v>
      </c>
      <c r="AL16" s="202">
        <f>VLOOKUP($C16,'MSET pivots'!$B$4:$H$14,$H$3,FALSE)*1000000*$I$2*'MSET pivots'!S$65</f>
        <v>4163773.2165473462</v>
      </c>
    </row>
    <row r="17" spans="1:38" x14ac:dyDescent="0.3">
      <c r="C17" s="161" t="s">
        <v>1058</v>
      </c>
      <c r="E17" s="161" t="s">
        <v>1058</v>
      </c>
      <c r="F17" t="s">
        <v>1232</v>
      </c>
      <c r="G17" t="s">
        <v>1232</v>
      </c>
      <c r="H17" t="s">
        <v>1255</v>
      </c>
      <c r="I17" t="s">
        <v>1256</v>
      </c>
      <c r="J17" t="s">
        <v>1240</v>
      </c>
      <c r="K17" s="266">
        <f t="shared" ref="K17:K27" si="0">SUM(X17:AL17)/1000000</f>
        <v>41.637940354134294</v>
      </c>
      <c r="X17" s="202">
        <f>VLOOKUP($C17,'MSET pivots'!$B$4:$H$14,$H$3,FALSE)*1000000*$I$3*'MSET pivots'!E$65</f>
        <v>1387952.1640038926</v>
      </c>
      <c r="Y17" s="202">
        <f>VLOOKUP($C17,'MSET pivots'!$B$4:$H$14,$H$3,FALSE)*1000000*$I$3*'MSET pivots'!F$65</f>
        <v>1586225.096328425</v>
      </c>
      <c r="Z17" s="202">
        <f>VLOOKUP($C17,'MSET pivots'!$B$4:$H$14,$H$3,FALSE)*1000000*$I$3*'MSET pivots'!G$65</f>
        <v>1784498.0286529574</v>
      </c>
      <c r="AA17" s="202">
        <f>VLOOKUP($C17,'MSET pivots'!$B$4:$H$14,$H$3,FALSE)*1000000*$I$3*'MSET pivots'!H$65</f>
        <v>1982770.9609774898</v>
      </c>
      <c r="AB17" s="202">
        <f>VLOOKUP($C17,'MSET pivots'!$B$4:$H$14,$H$3,FALSE)*1000000*$I$3*'MSET pivots'!I$65</f>
        <v>2181043.8933020225</v>
      </c>
      <c r="AC17" s="202">
        <f>VLOOKUP($C17,'MSET pivots'!$B$4:$H$14,$H$3,FALSE)*1000000*$I$3*'MSET pivots'!J$65</f>
        <v>2379316.8256265549</v>
      </c>
      <c r="AD17" s="202">
        <f>VLOOKUP($C17,'MSET pivots'!$B$4:$H$14,$H$3,FALSE)*1000000*$I$3*'MSET pivots'!K$65</f>
        <v>2577589.7579510873</v>
      </c>
      <c r="AE17" s="202">
        <f>VLOOKUP($C17,'MSET pivots'!$B$4:$H$14,$H$3,FALSE)*1000000*$I$3*'MSET pivots'!L$65</f>
        <v>2775862.6902756193</v>
      </c>
      <c r="AF17" s="202">
        <f>VLOOKUP($C17,'MSET pivots'!$B$4:$H$14,$H$3,FALSE)*1000000*$I$3*'MSET pivots'!M$65</f>
        <v>2974135.6226001517</v>
      </c>
      <c r="AG17" s="202">
        <f>VLOOKUP($C17,'MSET pivots'!$B$4:$H$14,$H$3,FALSE)*1000000*$I$3*'MSET pivots'!N$65</f>
        <v>3172408.5549246836</v>
      </c>
      <c r="AH17" s="202">
        <f>VLOOKUP($C17,'MSET pivots'!$B$4:$H$14,$H$3,FALSE)*1000000*$I$3*'MSET pivots'!O$65</f>
        <v>3370681.4872492161</v>
      </c>
      <c r="AI17" s="202">
        <f>VLOOKUP($C17,'MSET pivots'!$B$4:$H$14,$H$3,FALSE)*1000000*$I$3*'MSET pivots'!P$65</f>
        <v>3568954.419573748</v>
      </c>
      <c r="AJ17" s="202">
        <f>VLOOKUP($C17,'MSET pivots'!$B$4:$H$14,$H$3,FALSE)*1000000*$I$3*'MSET pivots'!Q$65</f>
        <v>3767227.3518982804</v>
      </c>
      <c r="AK17" s="202">
        <f>VLOOKUP($C17,'MSET pivots'!$B$4:$H$14,$H$3,FALSE)*1000000*$I$3*'MSET pivots'!R$65</f>
        <v>3965500.2842228124</v>
      </c>
      <c r="AL17" s="202">
        <f>VLOOKUP($C17,'MSET pivots'!$B$4:$H$14,$H$3,FALSE)*1000000*$I$3*'MSET pivots'!S$65</f>
        <v>4163773.2165473462</v>
      </c>
    </row>
    <row r="18" spans="1:38" x14ac:dyDescent="0.3">
      <c r="C18" t="s">
        <v>1048</v>
      </c>
      <c r="E18" t="s">
        <v>1048</v>
      </c>
      <c r="F18" t="s">
        <v>1232</v>
      </c>
      <c r="G18" t="s">
        <v>1232</v>
      </c>
      <c r="H18" t="s">
        <v>1233</v>
      </c>
      <c r="I18" t="s">
        <v>1239</v>
      </c>
      <c r="J18" t="s">
        <v>1240</v>
      </c>
      <c r="K18" s="266">
        <f t="shared" si="0"/>
        <v>30.360582278531545</v>
      </c>
      <c r="X18" s="202">
        <f>VLOOKUP($C18,'MSET pivots'!$B$4:$H$14,$H$3,FALSE)*1000000*$I$2*'MSET pivots'!E$65</f>
        <v>1012034.5894996229</v>
      </c>
      <c r="Y18" s="202">
        <f>VLOOKUP($C18,'MSET pivots'!$B$4:$H$14,$H$3,FALSE)*1000000*$I$2*'MSET pivots'!F$65</f>
        <v>1156606.6222237868</v>
      </c>
      <c r="Z18" s="202">
        <f>VLOOKUP($C18,'MSET pivots'!$B$4:$H$14,$H$3,FALSE)*1000000*$I$2*'MSET pivots'!G$65</f>
        <v>1301178.6549479507</v>
      </c>
      <c r="AA18" s="202">
        <f>VLOOKUP($C18,'MSET pivots'!$B$4:$H$14,$H$3,FALSE)*1000000*$I$2*'MSET pivots'!H$65</f>
        <v>1445750.6876721145</v>
      </c>
      <c r="AB18" s="202">
        <f>VLOOKUP($C18,'MSET pivots'!$B$4:$H$14,$H$3,FALSE)*1000000*$I$2*'MSET pivots'!I$65</f>
        <v>1590322.7203962782</v>
      </c>
      <c r="AC18" s="202">
        <f>VLOOKUP($C18,'MSET pivots'!$B$4:$H$14,$H$3,FALSE)*1000000*$I$2*'MSET pivots'!J$65</f>
        <v>1734894.7531204422</v>
      </c>
      <c r="AD18" s="202">
        <f>VLOOKUP($C18,'MSET pivots'!$B$4:$H$14,$H$3,FALSE)*1000000*$I$2*'MSET pivots'!K$65</f>
        <v>1879466.7858446059</v>
      </c>
      <c r="AE18" s="202">
        <f>VLOOKUP($C18,'MSET pivots'!$B$4:$H$14,$H$3,FALSE)*1000000*$I$2*'MSET pivots'!L$65</f>
        <v>2024038.8185687696</v>
      </c>
      <c r="AF18" s="202">
        <f>VLOOKUP($C18,'MSET pivots'!$B$4:$H$14,$H$3,FALSE)*1000000*$I$2*'MSET pivots'!M$65</f>
        <v>2168610.8512929333</v>
      </c>
      <c r="AG18" s="202">
        <f>VLOOKUP($C18,'MSET pivots'!$B$4:$H$14,$H$3,FALSE)*1000000*$I$2*'MSET pivots'!N$65</f>
        <v>2313182.8840170968</v>
      </c>
      <c r="AH18" s="202">
        <f>VLOOKUP($C18,'MSET pivots'!$B$4:$H$14,$H$3,FALSE)*1000000*$I$2*'MSET pivots'!O$65</f>
        <v>2457754.9167412603</v>
      </c>
      <c r="AI18" s="202">
        <f>VLOOKUP($C18,'MSET pivots'!$B$4:$H$14,$H$3,FALSE)*1000000*$I$2*'MSET pivots'!P$65</f>
        <v>2602326.9494654238</v>
      </c>
      <c r="AJ18" s="202">
        <f>VLOOKUP($C18,'MSET pivots'!$B$4:$H$14,$H$3,FALSE)*1000000*$I$2*'MSET pivots'!Q$65</f>
        <v>2746898.9821895878</v>
      </c>
      <c r="AK18" s="202">
        <f>VLOOKUP($C18,'MSET pivots'!$B$4:$H$14,$H$3,FALSE)*1000000*$I$2*'MSET pivots'!R$65</f>
        <v>2891471.0149137513</v>
      </c>
      <c r="AL18" s="202">
        <f>VLOOKUP($C18,'MSET pivots'!$B$4:$H$14,$H$3,FALSE)*1000000*$I$2*'MSET pivots'!S$65</f>
        <v>3036043.0476379162</v>
      </c>
    </row>
    <row r="19" spans="1:38" x14ac:dyDescent="0.3">
      <c r="C19" t="s">
        <v>1048</v>
      </c>
      <c r="E19" t="s">
        <v>1048</v>
      </c>
      <c r="F19" t="s">
        <v>1232</v>
      </c>
      <c r="G19" t="s">
        <v>1232</v>
      </c>
      <c r="H19" t="s">
        <v>1255</v>
      </c>
      <c r="I19" t="s">
        <v>1256</v>
      </c>
      <c r="J19" t="s">
        <v>1240</v>
      </c>
      <c r="K19" s="266">
        <f t="shared" si="0"/>
        <v>30.360582278531545</v>
      </c>
      <c r="X19" s="202">
        <f>VLOOKUP($C19,'MSET pivots'!$B$4:$H$14,$H$3,FALSE)*1000000*$I$3*'MSET pivots'!E$65</f>
        <v>1012034.5894996229</v>
      </c>
      <c r="Y19" s="202">
        <f>VLOOKUP($C19,'MSET pivots'!$B$4:$H$14,$H$3,FALSE)*1000000*$I$3*'MSET pivots'!F$65</f>
        <v>1156606.6222237868</v>
      </c>
      <c r="Z19" s="202">
        <f>VLOOKUP($C19,'MSET pivots'!$B$4:$H$14,$H$3,FALSE)*1000000*$I$3*'MSET pivots'!G$65</f>
        <v>1301178.6549479507</v>
      </c>
      <c r="AA19" s="202">
        <f>VLOOKUP($C19,'MSET pivots'!$B$4:$H$14,$H$3,FALSE)*1000000*$I$3*'MSET pivots'!H$65</f>
        <v>1445750.6876721145</v>
      </c>
      <c r="AB19" s="202">
        <f>VLOOKUP($C19,'MSET pivots'!$B$4:$H$14,$H$3,FALSE)*1000000*$I$3*'MSET pivots'!I$65</f>
        <v>1590322.7203962782</v>
      </c>
      <c r="AC19" s="202">
        <f>VLOOKUP($C19,'MSET pivots'!$B$4:$H$14,$H$3,FALSE)*1000000*$I$3*'MSET pivots'!J$65</f>
        <v>1734894.7531204422</v>
      </c>
      <c r="AD19" s="202">
        <f>VLOOKUP($C19,'MSET pivots'!$B$4:$H$14,$H$3,FALSE)*1000000*$I$3*'MSET pivots'!K$65</f>
        <v>1879466.7858446059</v>
      </c>
      <c r="AE19" s="202">
        <f>VLOOKUP($C19,'MSET pivots'!$B$4:$H$14,$H$3,FALSE)*1000000*$I$3*'MSET pivots'!L$65</f>
        <v>2024038.8185687696</v>
      </c>
      <c r="AF19" s="202">
        <f>VLOOKUP($C19,'MSET pivots'!$B$4:$H$14,$H$3,FALSE)*1000000*$I$3*'MSET pivots'!M$65</f>
        <v>2168610.8512929333</v>
      </c>
      <c r="AG19" s="202">
        <f>VLOOKUP($C19,'MSET pivots'!$B$4:$H$14,$H$3,FALSE)*1000000*$I$3*'MSET pivots'!N$65</f>
        <v>2313182.8840170968</v>
      </c>
      <c r="AH19" s="202">
        <f>VLOOKUP($C19,'MSET pivots'!$B$4:$H$14,$H$3,FALSE)*1000000*$I$3*'MSET pivots'!O$65</f>
        <v>2457754.9167412603</v>
      </c>
      <c r="AI19" s="202">
        <f>VLOOKUP($C19,'MSET pivots'!$B$4:$H$14,$H$3,FALSE)*1000000*$I$3*'MSET pivots'!P$65</f>
        <v>2602326.9494654238</v>
      </c>
      <c r="AJ19" s="202">
        <f>VLOOKUP($C19,'MSET pivots'!$B$4:$H$14,$H$3,FALSE)*1000000*$I$3*'MSET pivots'!Q$65</f>
        <v>2746898.9821895878</v>
      </c>
      <c r="AK19" s="202">
        <f>VLOOKUP($C19,'MSET pivots'!$B$4:$H$14,$H$3,FALSE)*1000000*$I$3*'MSET pivots'!R$65</f>
        <v>2891471.0149137513</v>
      </c>
      <c r="AL19" s="202">
        <f>VLOOKUP($C19,'MSET pivots'!$B$4:$H$14,$H$3,FALSE)*1000000*$I$3*'MSET pivots'!S$65</f>
        <v>3036043.0476379162</v>
      </c>
    </row>
    <row r="20" spans="1:38" x14ac:dyDescent="0.3">
      <c r="A20" s="180"/>
      <c r="B20" s="180"/>
      <c r="C20" s="272" t="s">
        <v>1011</v>
      </c>
      <c r="D20" s="103"/>
      <c r="E20" s="272" t="s">
        <v>1011</v>
      </c>
      <c r="F20" s="103" t="s">
        <v>1232</v>
      </c>
      <c r="G20" s="103" t="s">
        <v>1232</v>
      </c>
      <c r="H20" t="s">
        <v>1233</v>
      </c>
      <c r="I20" t="s">
        <v>1239</v>
      </c>
      <c r="J20" t="s">
        <v>1240</v>
      </c>
      <c r="K20" s="266">
        <f t="shared" si="0"/>
        <v>157.47480652397863</v>
      </c>
      <c r="X20" s="202">
        <f>VLOOKUP($C20,'MSET pivots'!$B$4:$H$14,$H$3,FALSE)*1000000*$I$2*'MSET pivots'!E$65</f>
        <v>5249238.9544755314</v>
      </c>
      <c r="Y20" s="202">
        <f>VLOOKUP($C20,'MSET pivots'!$B$4:$H$14,$H$3,FALSE)*1000000*$I$2*'MSET pivots'!F$65</f>
        <v>5999107.7373978719</v>
      </c>
      <c r="Z20" s="202">
        <f>VLOOKUP($C20,'MSET pivots'!$B$4:$H$14,$H$3,FALSE)*1000000*$I$2*'MSET pivots'!G$65</f>
        <v>6748976.5203202115</v>
      </c>
      <c r="AA20" s="202">
        <f>VLOOKUP($C20,'MSET pivots'!$B$4:$H$14,$H$3,FALSE)*1000000*$I$2*'MSET pivots'!H$65</f>
        <v>7498845.3032425512</v>
      </c>
      <c r="AB20" s="202">
        <f>VLOOKUP($C20,'MSET pivots'!$B$4:$H$14,$H$3,FALSE)*1000000*$I$2*'MSET pivots'!I$65</f>
        <v>8248714.0861648908</v>
      </c>
      <c r="AC20" s="202">
        <f>VLOOKUP($C20,'MSET pivots'!$B$4:$H$14,$H$3,FALSE)*1000000*$I$2*'MSET pivots'!J$65</f>
        <v>8998582.8690872304</v>
      </c>
      <c r="AD20" s="202">
        <f>VLOOKUP($C20,'MSET pivots'!$B$4:$H$14,$H$3,FALSE)*1000000*$I$2*'MSET pivots'!K$65</f>
        <v>9748451.652009571</v>
      </c>
      <c r="AE20" s="202">
        <f>VLOOKUP($C20,'MSET pivots'!$B$4:$H$14,$H$3,FALSE)*1000000*$I$2*'MSET pivots'!L$65</f>
        <v>10498320.43493191</v>
      </c>
      <c r="AF20" s="202">
        <f>VLOOKUP($C20,'MSET pivots'!$B$4:$H$14,$H$3,FALSE)*1000000*$I$2*'MSET pivots'!M$65</f>
        <v>11248189.217854248</v>
      </c>
      <c r="AG20" s="202">
        <f>VLOOKUP($C20,'MSET pivots'!$B$4:$H$14,$H$3,FALSE)*1000000*$I$2*'MSET pivots'!N$65</f>
        <v>11998058.000776587</v>
      </c>
      <c r="AH20" s="202">
        <f>VLOOKUP($C20,'MSET pivots'!$B$4:$H$14,$H$3,FALSE)*1000000*$I$2*'MSET pivots'!O$65</f>
        <v>12747926.783698926</v>
      </c>
      <c r="AI20" s="202">
        <f>VLOOKUP($C20,'MSET pivots'!$B$4:$H$14,$H$3,FALSE)*1000000*$I$2*'MSET pivots'!P$65</f>
        <v>13497795.566621264</v>
      </c>
      <c r="AJ20" s="202">
        <f>VLOOKUP($C20,'MSET pivots'!$B$4:$H$14,$H$3,FALSE)*1000000*$I$2*'MSET pivots'!Q$65</f>
        <v>14247664.349543603</v>
      </c>
      <c r="AK20" s="202">
        <f>VLOOKUP($C20,'MSET pivots'!$B$4:$H$14,$H$3,FALSE)*1000000*$I$2*'MSET pivots'!R$65</f>
        <v>14997533.132465942</v>
      </c>
      <c r="AL20" s="202">
        <f>VLOOKUP($C20,'MSET pivots'!$B$4:$H$14,$H$3,FALSE)*1000000*$I$2*'MSET pivots'!S$65</f>
        <v>15747401.915388286</v>
      </c>
    </row>
    <row r="21" spans="1:38" x14ac:dyDescent="0.3">
      <c r="A21" s="180"/>
      <c r="B21" s="180"/>
      <c r="C21" s="272" t="s">
        <v>1011</v>
      </c>
      <c r="D21" s="103"/>
      <c r="E21" s="272" t="s">
        <v>1011</v>
      </c>
      <c r="F21" s="103" t="s">
        <v>1232</v>
      </c>
      <c r="G21" s="103" t="s">
        <v>1232</v>
      </c>
      <c r="H21" t="s">
        <v>1255</v>
      </c>
      <c r="I21" t="s">
        <v>1256</v>
      </c>
      <c r="J21" t="s">
        <v>1240</v>
      </c>
      <c r="K21" s="266">
        <f t="shared" si="0"/>
        <v>157.47480652397863</v>
      </c>
      <c r="X21" s="202">
        <f>VLOOKUP($C21,'MSET pivots'!$B$4:$H$14,$H$3,FALSE)*1000000*$I$3*'MSET pivots'!E$65</f>
        <v>5249238.9544755314</v>
      </c>
      <c r="Y21" s="202">
        <f>VLOOKUP($C21,'MSET pivots'!$B$4:$H$14,$H$3,FALSE)*1000000*$I$3*'MSET pivots'!F$65</f>
        <v>5999107.7373978719</v>
      </c>
      <c r="Z21" s="202">
        <f>VLOOKUP($C21,'MSET pivots'!$B$4:$H$14,$H$3,FALSE)*1000000*$I$3*'MSET pivots'!G$65</f>
        <v>6748976.5203202115</v>
      </c>
      <c r="AA21" s="202">
        <f>VLOOKUP($C21,'MSET pivots'!$B$4:$H$14,$H$3,FALSE)*1000000*$I$3*'MSET pivots'!H$65</f>
        <v>7498845.3032425512</v>
      </c>
      <c r="AB21" s="202">
        <f>VLOOKUP($C21,'MSET pivots'!$B$4:$H$14,$H$3,FALSE)*1000000*$I$3*'MSET pivots'!I$65</f>
        <v>8248714.0861648908</v>
      </c>
      <c r="AC21" s="202">
        <f>VLOOKUP($C21,'MSET pivots'!$B$4:$H$14,$H$3,FALSE)*1000000*$I$3*'MSET pivots'!J$65</f>
        <v>8998582.8690872304</v>
      </c>
      <c r="AD21" s="202">
        <f>VLOOKUP($C21,'MSET pivots'!$B$4:$H$14,$H$3,FALSE)*1000000*$I$3*'MSET pivots'!K$65</f>
        <v>9748451.652009571</v>
      </c>
      <c r="AE21" s="202">
        <f>VLOOKUP($C21,'MSET pivots'!$B$4:$H$14,$H$3,FALSE)*1000000*$I$3*'MSET pivots'!L$65</f>
        <v>10498320.43493191</v>
      </c>
      <c r="AF21" s="202">
        <f>VLOOKUP($C21,'MSET pivots'!$B$4:$H$14,$H$3,FALSE)*1000000*$I$3*'MSET pivots'!M$65</f>
        <v>11248189.217854248</v>
      </c>
      <c r="AG21" s="202">
        <f>VLOOKUP($C21,'MSET pivots'!$B$4:$H$14,$H$3,FALSE)*1000000*$I$3*'MSET pivots'!N$65</f>
        <v>11998058.000776587</v>
      </c>
      <c r="AH21" s="202">
        <f>VLOOKUP($C21,'MSET pivots'!$B$4:$H$14,$H$3,FALSE)*1000000*$I$3*'MSET pivots'!O$65</f>
        <v>12747926.783698926</v>
      </c>
      <c r="AI21" s="202">
        <f>VLOOKUP($C21,'MSET pivots'!$B$4:$H$14,$H$3,FALSE)*1000000*$I$3*'MSET pivots'!P$65</f>
        <v>13497795.566621264</v>
      </c>
      <c r="AJ21" s="202">
        <f>VLOOKUP($C21,'MSET pivots'!$B$4:$H$14,$H$3,FALSE)*1000000*$I$3*'MSET pivots'!Q$65</f>
        <v>14247664.349543603</v>
      </c>
      <c r="AK21" s="202">
        <f>VLOOKUP($C21,'MSET pivots'!$B$4:$H$14,$H$3,FALSE)*1000000*$I$3*'MSET pivots'!R$65</f>
        <v>14997533.132465942</v>
      </c>
      <c r="AL21" s="202">
        <f>VLOOKUP($C21,'MSET pivots'!$B$4:$H$14,$H$3,FALSE)*1000000*$I$3*'MSET pivots'!S$65</f>
        <v>15747401.915388286</v>
      </c>
    </row>
    <row r="22" spans="1:38" x14ac:dyDescent="0.3">
      <c r="C22" s="161" t="s">
        <v>1052</v>
      </c>
      <c r="E22" s="161" t="s">
        <v>1052</v>
      </c>
      <c r="F22" t="s">
        <v>1232</v>
      </c>
      <c r="G22" t="s">
        <v>1232</v>
      </c>
      <c r="H22" t="s">
        <v>1233</v>
      </c>
      <c r="I22" t="s">
        <v>1239</v>
      </c>
      <c r="J22" t="s">
        <v>1240</v>
      </c>
      <c r="K22" s="266">
        <f t="shared" si="0"/>
        <v>38.229821206255615</v>
      </c>
      <c r="W22" s="178"/>
      <c r="X22" s="202">
        <f>VLOOKUP($C22,'MSET pivots'!$B$4:$H$14,$H$3,FALSE)*1000000*$I$2*'MSET pivots'!E$65</f>
        <v>1274346.4883568832</v>
      </c>
      <c r="Y22" s="202">
        <f>VLOOKUP($C22,'MSET pivots'!$B$4:$H$14,$H$3,FALSE)*1000000*$I$2*'MSET pivots'!F$65</f>
        <v>1456390.5253178582</v>
      </c>
      <c r="Z22" s="202">
        <f>VLOOKUP($C22,'MSET pivots'!$B$4:$H$14,$H$3,FALSE)*1000000*$I$2*'MSET pivots'!G$65</f>
        <v>1638434.5622788332</v>
      </c>
      <c r="AA22" s="202">
        <f>VLOOKUP($C22,'MSET pivots'!$B$4:$H$14,$H$3,FALSE)*1000000*$I$2*'MSET pivots'!H$65</f>
        <v>1820478.599239808</v>
      </c>
      <c r="AB22" s="202">
        <f>VLOOKUP($C22,'MSET pivots'!$B$4:$H$14,$H$3,FALSE)*1000000*$I$2*'MSET pivots'!I$65</f>
        <v>2002522.6362007831</v>
      </c>
      <c r="AC22" s="202">
        <f>VLOOKUP($C22,'MSET pivots'!$B$4:$H$14,$H$3,FALSE)*1000000*$I$2*'MSET pivots'!J$65</f>
        <v>2184566.6731617581</v>
      </c>
      <c r="AD22" s="202">
        <f>VLOOKUP($C22,'MSET pivots'!$B$4:$H$14,$H$3,FALSE)*1000000*$I$2*'MSET pivots'!K$65</f>
        <v>2366610.7101227334</v>
      </c>
      <c r="AE22" s="202">
        <f>VLOOKUP($C22,'MSET pivots'!$B$4:$H$14,$H$3,FALSE)*1000000*$I$2*'MSET pivots'!L$65</f>
        <v>2548654.7470837082</v>
      </c>
      <c r="AF22" s="202">
        <f>VLOOKUP($C22,'MSET pivots'!$B$4:$H$14,$H$3,FALSE)*1000000*$I$2*'MSET pivots'!M$65</f>
        <v>2730698.784044683</v>
      </c>
      <c r="AG22" s="202">
        <f>VLOOKUP($C22,'MSET pivots'!$B$4:$H$14,$H$3,FALSE)*1000000*$I$2*'MSET pivots'!N$65</f>
        <v>2912742.8210056573</v>
      </c>
      <c r="AH22" s="202">
        <f>VLOOKUP($C22,'MSET pivots'!$B$4:$H$14,$H$3,FALSE)*1000000*$I$2*'MSET pivots'!O$65</f>
        <v>3094786.8579666321</v>
      </c>
      <c r="AI22" s="202">
        <f>VLOOKUP($C22,'MSET pivots'!$B$4:$H$14,$H$3,FALSE)*1000000*$I$2*'MSET pivots'!P$65</f>
        <v>3276830.8949276069</v>
      </c>
      <c r="AJ22" s="202">
        <f>VLOOKUP($C22,'MSET pivots'!$B$4:$H$14,$H$3,FALSE)*1000000*$I$2*'MSET pivots'!Q$65</f>
        <v>3458874.9318885817</v>
      </c>
      <c r="AK22" s="202">
        <f>VLOOKUP($C22,'MSET pivots'!$B$4:$H$14,$H$3,FALSE)*1000000*$I$2*'MSET pivots'!R$65</f>
        <v>3640918.9688495565</v>
      </c>
      <c r="AL22" s="202">
        <f>VLOOKUP($C22,'MSET pivots'!$B$4:$H$14,$H$3,FALSE)*1000000*$I$2*'MSET pivots'!S$65</f>
        <v>3822963.0058105327</v>
      </c>
    </row>
    <row r="23" spans="1:38" x14ac:dyDescent="0.3">
      <c r="C23" s="161" t="s">
        <v>1052</v>
      </c>
      <c r="E23" s="161" t="s">
        <v>1052</v>
      </c>
      <c r="F23" t="s">
        <v>1232</v>
      </c>
      <c r="G23" t="s">
        <v>1232</v>
      </c>
      <c r="H23" t="s">
        <v>1255</v>
      </c>
      <c r="I23" t="s">
        <v>1256</v>
      </c>
      <c r="J23" t="s">
        <v>1240</v>
      </c>
      <c r="K23" s="266">
        <f t="shared" si="0"/>
        <v>38.229821206255615</v>
      </c>
      <c r="W23" s="178"/>
      <c r="X23" s="202">
        <f>VLOOKUP($C23,'MSET pivots'!$B$4:$H$14,$H$3,FALSE)*1000000*$I$3*'MSET pivots'!E$65</f>
        <v>1274346.4883568832</v>
      </c>
      <c r="Y23" s="202">
        <f>VLOOKUP($C23,'MSET pivots'!$B$4:$H$14,$H$3,FALSE)*1000000*$I$3*'MSET pivots'!F$65</f>
        <v>1456390.5253178582</v>
      </c>
      <c r="Z23" s="202">
        <f>VLOOKUP($C23,'MSET pivots'!$B$4:$H$14,$H$3,FALSE)*1000000*$I$3*'MSET pivots'!G$65</f>
        <v>1638434.5622788332</v>
      </c>
      <c r="AA23" s="202">
        <f>VLOOKUP($C23,'MSET pivots'!$B$4:$H$14,$H$3,FALSE)*1000000*$I$3*'MSET pivots'!H$65</f>
        <v>1820478.599239808</v>
      </c>
      <c r="AB23" s="202">
        <f>VLOOKUP($C23,'MSET pivots'!$B$4:$H$14,$H$3,FALSE)*1000000*$I$3*'MSET pivots'!I$65</f>
        <v>2002522.6362007831</v>
      </c>
      <c r="AC23" s="202">
        <f>VLOOKUP($C23,'MSET pivots'!$B$4:$H$14,$H$3,FALSE)*1000000*$I$3*'MSET pivots'!J$65</f>
        <v>2184566.6731617581</v>
      </c>
      <c r="AD23" s="202">
        <f>VLOOKUP($C23,'MSET pivots'!$B$4:$H$14,$H$3,FALSE)*1000000*$I$3*'MSET pivots'!K$65</f>
        <v>2366610.7101227334</v>
      </c>
      <c r="AE23" s="202">
        <f>VLOOKUP($C23,'MSET pivots'!$B$4:$H$14,$H$3,FALSE)*1000000*$I$3*'MSET pivots'!L$65</f>
        <v>2548654.7470837082</v>
      </c>
      <c r="AF23" s="202">
        <f>VLOOKUP($C23,'MSET pivots'!$B$4:$H$14,$H$3,FALSE)*1000000*$I$3*'MSET pivots'!M$65</f>
        <v>2730698.784044683</v>
      </c>
      <c r="AG23" s="202">
        <f>VLOOKUP($C23,'MSET pivots'!$B$4:$H$14,$H$3,FALSE)*1000000*$I$3*'MSET pivots'!N$65</f>
        <v>2912742.8210056573</v>
      </c>
      <c r="AH23" s="202">
        <f>VLOOKUP($C23,'MSET pivots'!$B$4:$H$14,$H$3,FALSE)*1000000*$I$3*'MSET pivots'!O$65</f>
        <v>3094786.8579666321</v>
      </c>
      <c r="AI23" s="202">
        <f>VLOOKUP($C23,'MSET pivots'!$B$4:$H$14,$H$3,FALSE)*1000000*$I$3*'MSET pivots'!P$65</f>
        <v>3276830.8949276069</v>
      </c>
      <c r="AJ23" s="202">
        <f>VLOOKUP($C23,'MSET pivots'!$B$4:$H$14,$H$3,FALSE)*1000000*$I$3*'MSET pivots'!Q$65</f>
        <v>3458874.9318885817</v>
      </c>
      <c r="AK23" s="202">
        <f>VLOOKUP($C23,'MSET pivots'!$B$4:$H$14,$H$3,FALSE)*1000000*$I$3*'MSET pivots'!R$65</f>
        <v>3640918.9688495565</v>
      </c>
      <c r="AL23" s="202">
        <f>VLOOKUP($C23,'MSET pivots'!$B$4:$H$14,$H$3,FALSE)*1000000*$I$3*'MSET pivots'!S$65</f>
        <v>3822963.0058105327</v>
      </c>
    </row>
    <row r="24" spans="1:38" x14ac:dyDescent="0.3">
      <c r="A24" s="180"/>
      <c r="B24" s="180"/>
      <c r="C24" s="272" t="s">
        <v>1056</v>
      </c>
      <c r="D24" s="103"/>
      <c r="E24" s="272" t="s">
        <v>1056</v>
      </c>
      <c r="F24" s="103" t="s">
        <v>1232</v>
      </c>
      <c r="G24" s="103" t="s">
        <v>1232</v>
      </c>
      <c r="H24" t="s">
        <v>1233</v>
      </c>
      <c r="I24" t="s">
        <v>1239</v>
      </c>
      <c r="J24" t="s">
        <v>1240</v>
      </c>
      <c r="K24" s="266">
        <f>SUM(X24:AL24)/1000000</f>
        <v>18.970318407150629</v>
      </c>
      <c r="X24" s="202">
        <f>VLOOKUP($C24,'MSET pivots'!$B$4:$H$14,$H$3,FALSE)*1000000*$I$2*'MSET pivots'!E$65</f>
        <v>632353.43201679911</v>
      </c>
      <c r="Y24" s="202">
        <f>VLOOKUP($C24,'MSET pivots'!$B$4:$H$14,$H$3,FALSE)*1000000*$I$2*'MSET pivots'!F$65</f>
        <v>722686.92655869096</v>
      </c>
      <c r="Z24" s="202">
        <f>VLOOKUP($C24,'MSET pivots'!$B$4:$H$14,$H$3,FALSE)*1000000*$I$2*'MSET pivots'!G$65</f>
        <v>813020.42110058293</v>
      </c>
      <c r="AA24" s="202">
        <f>VLOOKUP($C24,'MSET pivots'!$B$4:$H$14,$H$3,FALSE)*1000000*$I$2*'MSET pivots'!H$65</f>
        <v>903353.91564247478</v>
      </c>
      <c r="AB24" s="202">
        <f>VLOOKUP($C24,'MSET pivots'!$B$4:$H$14,$H$3,FALSE)*1000000*$I$2*'MSET pivots'!I$65</f>
        <v>993687.41018436663</v>
      </c>
      <c r="AC24" s="202">
        <f>VLOOKUP($C24,'MSET pivots'!$B$4:$H$14,$H$3,FALSE)*1000000*$I$2*'MSET pivots'!J$65</f>
        <v>1084020.9047262585</v>
      </c>
      <c r="AD24" s="202">
        <f>VLOOKUP($C24,'MSET pivots'!$B$4:$H$14,$H$3,FALSE)*1000000*$I$2*'MSET pivots'!K$65</f>
        <v>1174354.3992681503</v>
      </c>
      <c r="AE24" s="202">
        <f>VLOOKUP($C24,'MSET pivots'!$B$4:$H$14,$H$3,FALSE)*1000000*$I$2*'MSET pivots'!L$65</f>
        <v>1264687.8938100422</v>
      </c>
      <c r="AF24" s="202">
        <f>VLOOKUP($C24,'MSET pivots'!$B$4:$H$14,$H$3,FALSE)*1000000*$I$2*'MSET pivots'!M$65</f>
        <v>1355021.388351934</v>
      </c>
      <c r="AG24" s="202">
        <f>VLOOKUP($C24,'MSET pivots'!$B$4:$H$14,$H$3,FALSE)*1000000*$I$2*'MSET pivots'!N$65</f>
        <v>1445354.8828938256</v>
      </c>
      <c r="AH24" s="202">
        <f>VLOOKUP($C24,'MSET pivots'!$B$4:$H$14,$H$3,FALSE)*1000000*$I$2*'MSET pivots'!O$65</f>
        <v>1535688.3774357175</v>
      </c>
      <c r="AI24" s="202">
        <f>VLOOKUP($C24,'MSET pivots'!$B$4:$H$14,$H$3,FALSE)*1000000*$I$2*'MSET pivots'!P$65</f>
        <v>1626021.8719776091</v>
      </c>
      <c r="AJ24" s="202">
        <f>VLOOKUP($C24,'MSET pivots'!$B$4:$H$14,$H$3,FALSE)*1000000*$I$2*'MSET pivots'!Q$65</f>
        <v>1716355.366519501</v>
      </c>
      <c r="AK24" s="202">
        <f>VLOOKUP($C24,'MSET pivots'!$B$4:$H$14,$H$3,FALSE)*1000000*$I$2*'MSET pivots'!R$65</f>
        <v>1806688.8610613926</v>
      </c>
      <c r="AL24" s="202">
        <f>VLOOKUP($C24,'MSET pivots'!$B$4:$H$14,$H$3,FALSE)*1000000*$I$2*'MSET pivots'!S$65</f>
        <v>1897022.3556032851</v>
      </c>
    </row>
    <row r="25" spans="1:38" x14ac:dyDescent="0.3">
      <c r="A25" s="180"/>
      <c r="B25" s="180"/>
      <c r="C25" s="272" t="s">
        <v>1056</v>
      </c>
      <c r="D25" s="103"/>
      <c r="E25" s="272" t="s">
        <v>1056</v>
      </c>
      <c r="F25" s="103" t="s">
        <v>1232</v>
      </c>
      <c r="G25" s="103" t="s">
        <v>1232</v>
      </c>
      <c r="H25" t="s">
        <v>1255</v>
      </c>
      <c r="I25" t="s">
        <v>1256</v>
      </c>
      <c r="J25" t="s">
        <v>1240</v>
      </c>
      <c r="K25" s="266">
        <f t="shared" ref="K25" si="1">SUM(X25:AL25)/1000000</f>
        <v>18.970318407150629</v>
      </c>
      <c r="X25" s="202">
        <f>VLOOKUP($C25,'MSET pivots'!$B$4:$H$14,$H$3,FALSE)*1000000*$I$3*'MSET pivots'!E$65</f>
        <v>632353.43201679911</v>
      </c>
      <c r="Y25" s="202">
        <f>VLOOKUP($C25,'MSET pivots'!$B$4:$H$14,$H$3,FALSE)*1000000*$I$3*'MSET pivots'!F$65</f>
        <v>722686.92655869096</v>
      </c>
      <c r="Z25" s="202">
        <f>VLOOKUP($C25,'MSET pivots'!$B$4:$H$14,$H$3,FALSE)*1000000*$I$3*'MSET pivots'!G$65</f>
        <v>813020.42110058293</v>
      </c>
      <c r="AA25" s="202">
        <f>VLOOKUP($C25,'MSET pivots'!$B$4:$H$14,$H$3,FALSE)*1000000*$I$3*'MSET pivots'!H$65</f>
        <v>903353.91564247478</v>
      </c>
      <c r="AB25" s="202">
        <f>VLOOKUP($C25,'MSET pivots'!$B$4:$H$14,$H$3,FALSE)*1000000*$I$3*'MSET pivots'!I$65</f>
        <v>993687.41018436663</v>
      </c>
      <c r="AC25" s="202">
        <f>VLOOKUP($C25,'MSET pivots'!$B$4:$H$14,$H$3,FALSE)*1000000*$I$3*'MSET pivots'!J$65</f>
        <v>1084020.9047262585</v>
      </c>
      <c r="AD25" s="202">
        <f>VLOOKUP($C25,'MSET pivots'!$B$4:$H$14,$H$3,FALSE)*1000000*$I$3*'MSET pivots'!K$65</f>
        <v>1174354.3992681503</v>
      </c>
      <c r="AE25" s="202">
        <f>VLOOKUP($C25,'MSET pivots'!$B$4:$H$14,$H$3,FALSE)*1000000*$I$3*'MSET pivots'!L$65</f>
        <v>1264687.8938100422</v>
      </c>
      <c r="AF25" s="202">
        <f>VLOOKUP($C25,'MSET pivots'!$B$4:$H$14,$H$3,FALSE)*1000000*$I$3*'MSET pivots'!M$65</f>
        <v>1355021.388351934</v>
      </c>
      <c r="AG25" s="202">
        <f>VLOOKUP($C25,'MSET pivots'!$B$4:$H$14,$H$3,FALSE)*1000000*$I$3*'MSET pivots'!N$65</f>
        <v>1445354.8828938256</v>
      </c>
      <c r="AH25" s="202">
        <f>VLOOKUP($C25,'MSET pivots'!$B$4:$H$14,$H$3,FALSE)*1000000*$I$3*'MSET pivots'!O$65</f>
        <v>1535688.3774357175</v>
      </c>
      <c r="AI25" s="202">
        <f>VLOOKUP($C25,'MSET pivots'!$B$4:$H$14,$H$3,FALSE)*1000000*$I$3*'MSET pivots'!P$65</f>
        <v>1626021.8719776091</v>
      </c>
      <c r="AJ25" s="202">
        <f>VLOOKUP($C25,'MSET pivots'!$B$4:$H$14,$H$3,FALSE)*1000000*$I$3*'MSET pivots'!Q$65</f>
        <v>1716355.366519501</v>
      </c>
      <c r="AK25" s="202">
        <f>VLOOKUP($C25,'MSET pivots'!$B$4:$H$14,$H$3,FALSE)*1000000*$I$3*'MSET pivots'!R$65</f>
        <v>1806688.8610613926</v>
      </c>
      <c r="AL25" s="202">
        <f>VLOOKUP($C25,'MSET pivots'!$B$4:$H$14,$H$3,FALSE)*1000000*$I$3*'MSET pivots'!S$65</f>
        <v>1897022.3556032851</v>
      </c>
    </row>
    <row r="26" spans="1:38" x14ac:dyDescent="0.3">
      <c r="B26" t="s">
        <v>653</v>
      </c>
      <c r="C26" t="s">
        <v>1021</v>
      </c>
      <c r="E26" t="s">
        <v>1021</v>
      </c>
      <c r="F26" t="s">
        <v>1232</v>
      </c>
      <c r="G26" t="s">
        <v>1232</v>
      </c>
      <c r="H26" t="s">
        <v>1233</v>
      </c>
      <c r="I26" t="s">
        <v>1239</v>
      </c>
      <c r="J26" t="s">
        <v>1240</v>
      </c>
      <c r="K26" s="266">
        <f t="shared" si="0"/>
        <v>51.096886877284099</v>
      </c>
      <c r="W26" s="261">
        <f>'Preliminary results'!$C$31*1000000*I2</f>
        <v>902060.73048874759</v>
      </c>
      <c r="X26" s="202">
        <f>VLOOKUP($C26,'MSET pivots'!$B$4:$H$14,$H$3,FALSE)*1000000*$I$2*'MSET pivots'!E$65</f>
        <v>1703255.1108918339</v>
      </c>
      <c r="Y26" s="202">
        <f>VLOOKUP($C26,'MSET pivots'!$B$4:$H$14,$H$3,FALSE)*1000000*$I$2*'MSET pivots'!F$65</f>
        <v>1946569.9700718967</v>
      </c>
      <c r="Z26" s="202">
        <f>VLOOKUP($C26,'MSET pivots'!$B$4:$H$14,$H$3,FALSE)*1000000*$I$2*'MSET pivots'!G$65</f>
        <v>2189884.8292519595</v>
      </c>
      <c r="AA26" s="202">
        <f>VLOOKUP($C26,'MSET pivots'!$B$4:$H$14,$H$3,FALSE)*1000000*$I$2*'MSET pivots'!H$65</f>
        <v>2433199.6884320225</v>
      </c>
      <c r="AB26" s="202">
        <f>VLOOKUP($C26,'MSET pivots'!$B$4:$H$14,$H$3,FALSE)*1000000*$I$2*'MSET pivots'!I$65</f>
        <v>2676514.5476120855</v>
      </c>
      <c r="AC26" s="202">
        <f>VLOOKUP($C26,'MSET pivots'!$B$4:$H$14,$H$3,FALSE)*1000000*$I$2*'MSET pivots'!J$65</f>
        <v>2919829.406792148</v>
      </c>
      <c r="AD26" s="202">
        <f>VLOOKUP($C26,'MSET pivots'!$B$4:$H$14,$H$3,FALSE)*1000000*$I$2*'MSET pivots'!K$65</f>
        <v>3163144.265972211</v>
      </c>
      <c r="AE26" s="202">
        <f>VLOOKUP($C26,'MSET pivots'!$B$4:$H$14,$H$3,FALSE)*1000000*$I$2*'MSET pivots'!L$65</f>
        <v>3406459.1251522736</v>
      </c>
      <c r="AF26" s="202">
        <f>VLOOKUP($C26,'MSET pivots'!$B$4:$H$14,$H$3,FALSE)*1000000*$I$2*'MSET pivots'!M$65</f>
        <v>3649773.9843323361</v>
      </c>
      <c r="AG26" s="202">
        <f>VLOOKUP($C26,'MSET pivots'!$B$4:$H$14,$H$3,FALSE)*1000000*$I$2*'MSET pivots'!N$65</f>
        <v>3893088.8435123987</v>
      </c>
      <c r="AH26" s="202">
        <f>VLOOKUP($C26,'MSET pivots'!$B$4:$H$14,$H$3,FALSE)*1000000*$I$2*'MSET pivots'!O$65</f>
        <v>4136403.7026924612</v>
      </c>
      <c r="AI26" s="202">
        <f>VLOOKUP($C26,'MSET pivots'!$B$4:$H$14,$H$3,FALSE)*1000000*$I$2*'MSET pivots'!P$65</f>
        <v>4379718.5618725233</v>
      </c>
      <c r="AJ26" s="202">
        <f>VLOOKUP($C26,'MSET pivots'!$B$4:$H$14,$H$3,FALSE)*1000000*$I$2*'MSET pivots'!Q$65</f>
        <v>4623033.4210525863</v>
      </c>
      <c r="AK26" s="202">
        <f>VLOOKUP($C26,'MSET pivots'!$B$4:$H$14,$H$3,FALSE)*1000000*$I$2*'MSET pivots'!R$65</f>
        <v>4866348.2802326484</v>
      </c>
      <c r="AL26" s="202">
        <f>VLOOKUP($C26,'MSET pivots'!$B$4:$H$14,$H$3,FALSE)*1000000*$I$2*'MSET pivots'!S$65</f>
        <v>5109663.1394127132</v>
      </c>
    </row>
    <row r="27" spans="1:38" x14ac:dyDescent="0.3">
      <c r="B27" t="s">
        <v>653</v>
      </c>
      <c r="C27" t="s">
        <v>1021</v>
      </c>
      <c r="E27" t="s">
        <v>1021</v>
      </c>
      <c r="F27" t="s">
        <v>1232</v>
      </c>
      <c r="G27" t="s">
        <v>1232</v>
      </c>
      <c r="H27" t="s">
        <v>1255</v>
      </c>
      <c r="I27" t="s">
        <v>1256</v>
      </c>
      <c r="J27" t="s">
        <v>1240</v>
      </c>
      <c r="K27" s="266">
        <f t="shared" si="0"/>
        <v>51.096886877284099</v>
      </c>
      <c r="W27" s="261">
        <f>'Preliminary results'!$C$31*1000000*I3</f>
        <v>902060.73048874759</v>
      </c>
      <c r="X27" s="202">
        <f>VLOOKUP($C27,'MSET pivots'!$B$4:$H$14,$H$3,FALSE)*1000000*$I$3*'MSET pivots'!E$65</f>
        <v>1703255.1108918339</v>
      </c>
      <c r="Y27" s="202">
        <f>VLOOKUP($C27,'MSET pivots'!$B$4:$H$14,$H$3,FALSE)*1000000*$I$3*'MSET pivots'!F$65</f>
        <v>1946569.9700718967</v>
      </c>
      <c r="Z27" s="202">
        <f>VLOOKUP($C27,'MSET pivots'!$B$4:$H$14,$H$3,FALSE)*1000000*$I$3*'MSET pivots'!G$65</f>
        <v>2189884.8292519595</v>
      </c>
      <c r="AA27" s="202">
        <f>VLOOKUP($C27,'MSET pivots'!$B$4:$H$14,$H$3,FALSE)*1000000*$I$3*'MSET pivots'!H$65</f>
        <v>2433199.6884320225</v>
      </c>
      <c r="AB27" s="202">
        <f>VLOOKUP($C27,'MSET pivots'!$B$4:$H$14,$H$3,FALSE)*1000000*$I$3*'MSET pivots'!I$65</f>
        <v>2676514.5476120855</v>
      </c>
      <c r="AC27" s="202">
        <f>VLOOKUP($C27,'MSET pivots'!$B$4:$H$14,$H$3,FALSE)*1000000*$I$3*'MSET pivots'!J$65</f>
        <v>2919829.406792148</v>
      </c>
      <c r="AD27" s="202">
        <f>VLOOKUP($C27,'MSET pivots'!$B$4:$H$14,$H$3,FALSE)*1000000*$I$3*'MSET pivots'!K$65</f>
        <v>3163144.265972211</v>
      </c>
      <c r="AE27" s="202">
        <f>VLOOKUP($C27,'MSET pivots'!$B$4:$H$14,$H$3,FALSE)*1000000*$I$3*'MSET pivots'!L$65</f>
        <v>3406459.1251522736</v>
      </c>
      <c r="AF27" s="202">
        <f>VLOOKUP($C27,'MSET pivots'!$B$4:$H$14,$H$3,FALSE)*1000000*$I$3*'MSET pivots'!M$65</f>
        <v>3649773.9843323361</v>
      </c>
      <c r="AG27" s="202">
        <f>VLOOKUP($C27,'MSET pivots'!$B$4:$H$14,$H$3,FALSE)*1000000*$I$3*'MSET pivots'!N$65</f>
        <v>3893088.8435123987</v>
      </c>
      <c r="AH27" s="202">
        <f>VLOOKUP($C27,'MSET pivots'!$B$4:$H$14,$H$3,FALSE)*1000000*$I$3*'MSET pivots'!O$65</f>
        <v>4136403.7026924612</v>
      </c>
      <c r="AI27" s="202">
        <f>VLOOKUP($C27,'MSET pivots'!$B$4:$H$14,$H$3,FALSE)*1000000*$I$3*'MSET pivots'!P$65</f>
        <v>4379718.5618725233</v>
      </c>
      <c r="AJ27" s="202">
        <f>VLOOKUP($C27,'MSET pivots'!$B$4:$H$14,$H$3,FALSE)*1000000*$I$3*'MSET pivots'!Q$65</f>
        <v>4623033.4210525863</v>
      </c>
      <c r="AK27" s="202">
        <f>VLOOKUP($C27,'MSET pivots'!$B$4:$H$14,$H$3,FALSE)*1000000*$I$3*'MSET pivots'!R$65</f>
        <v>4866348.2802326484</v>
      </c>
      <c r="AL27" s="202">
        <f>VLOOKUP($C27,'MSET pivots'!$B$4:$H$14,$H$3,FALSE)*1000000*$I$3*'MSET pivots'!S$65</f>
        <v>5109663.1394127132</v>
      </c>
    </row>
    <row r="28" spans="1:38" x14ac:dyDescent="0.3">
      <c r="A28" s="180"/>
      <c r="B28" s="180"/>
      <c r="C28" s="179" t="s">
        <v>1054</v>
      </c>
      <c r="D28" s="180"/>
      <c r="E28" s="179" t="s">
        <v>1054</v>
      </c>
      <c r="F28" s="180" t="s">
        <v>1232</v>
      </c>
      <c r="G28" s="180" t="s">
        <v>1232</v>
      </c>
      <c r="H28" s="180" t="s">
        <v>1255</v>
      </c>
      <c r="I28" s="180" t="s">
        <v>1256</v>
      </c>
      <c r="J28" s="181" t="s">
        <v>1234</v>
      </c>
      <c r="K28" s="231">
        <f t="shared" ref="K28:K31" si="2">SUM(X28:AL28)</f>
        <v>-8.0057087972647309E-2</v>
      </c>
      <c r="L28" s="180"/>
      <c r="M28" s="180"/>
      <c r="N28" s="180"/>
      <c r="O28" s="180"/>
      <c r="P28" s="180"/>
      <c r="Q28" s="180"/>
      <c r="R28" s="180"/>
      <c r="S28" s="180"/>
      <c r="T28" s="180"/>
      <c r="U28" s="180"/>
      <c r="V28" s="180"/>
      <c r="W28" s="180"/>
      <c r="X28" s="203">
        <f>VLOOKUP($C28,'MSET pivots'!$J$4:$P$14,'Final demand(6)'!$H$3,FALSE)*'MSET pivots'!E$65</f>
        <v>-2.6686096274320887E-3</v>
      </c>
      <c r="Y28" s="203">
        <f>VLOOKUP($C28,'MSET pivots'!$J$4:$P$14,'Final demand(6)'!$H$3,FALSE)*'MSET pivots'!F$65</f>
        <v>-3.0498281375384317E-3</v>
      </c>
      <c r="Z28" s="203">
        <f>VLOOKUP($C28,'MSET pivots'!$J$4:$P$14,'Final demand(6)'!$H$3,FALSE)*'MSET pivots'!G$65</f>
        <v>-3.4310466476447743E-3</v>
      </c>
      <c r="AA28" s="203">
        <f>VLOOKUP($C28,'MSET pivots'!$J$4:$P$14,'Final demand(6)'!$H$3,FALSE)*'MSET pivots'!H$65</f>
        <v>-3.8122651577511173E-3</v>
      </c>
      <c r="AB28" s="203">
        <f>VLOOKUP($C28,'MSET pivots'!$J$4:$P$14,'Final demand(6)'!$H$3,FALSE)*'MSET pivots'!I$65</f>
        <v>-4.1934836678574599E-3</v>
      </c>
      <c r="AC28" s="203">
        <f>VLOOKUP($C28,'MSET pivots'!$J$4:$P$14,'Final demand(6)'!$H$3,FALSE)*'MSET pivots'!J$65</f>
        <v>-4.5747021779638034E-3</v>
      </c>
      <c r="AD28" s="203">
        <f>VLOOKUP($C28,'MSET pivots'!$J$4:$P$14,'Final demand(6)'!$H$3,FALSE)*'MSET pivots'!K$65</f>
        <v>-4.9559206880701459E-3</v>
      </c>
      <c r="AE28" s="203">
        <f>VLOOKUP($C28,'MSET pivots'!$J$4:$P$14,'Final demand(6)'!$H$3,FALSE)*'MSET pivots'!L$65</f>
        <v>-5.3371391981764885E-3</v>
      </c>
      <c r="AF28" s="203">
        <f>VLOOKUP($C28,'MSET pivots'!$J$4:$P$14,'Final demand(6)'!$H$3,FALSE)*'MSET pivots'!M$65</f>
        <v>-5.7183577082828303E-3</v>
      </c>
      <c r="AG28" s="203">
        <f>VLOOKUP($C28,'MSET pivots'!$J$4:$P$14,'Final demand(6)'!$H$3,FALSE)*'MSET pivots'!N$65</f>
        <v>-6.0995762183891728E-3</v>
      </c>
      <c r="AH28" s="203">
        <f>VLOOKUP($C28,'MSET pivots'!$J$4:$P$14,'Final demand(6)'!$H$3,FALSE)*'MSET pivots'!O$65</f>
        <v>-6.4807947284955154E-3</v>
      </c>
      <c r="AI28" s="203">
        <f>VLOOKUP($C28,'MSET pivots'!$J$4:$P$14,'Final demand(6)'!$H$3,FALSE)*'MSET pivots'!P$65</f>
        <v>-6.8620132386018572E-3</v>
      </c>
      <c r="AJ28" s="203">
        <f>VLOOKUP($C28,'MSET pivots'!$J$4:$P$14,'Final demand(6)'!$H$3,FALSE)*'MSET pivots'!Q$65</f>
        <v>-7.2432317487081998E-3</v>
      </c>
      <c r="AK28" s="203">
        <f>VLOOKUP($C28,'MSET pivots'!$J$4:$P$14,'Final demand(6)'!$H$3,FALSE)*'MSET pivots'!R$65</f>
        <v>-7.6244502588145423E-3</v>
      </c>
      <c r="AL28" s="203">
        <f>VLOOKUP($C28,'MSET pivots'!$J$4:$P$14,'Final demand(6)'!$H$3,FALSE)*'MSET pivots'!S$65</f>
        <v>-8.0056687689208875E-3</v>
      </c>
    </row>
    <row r="29" spans="1:38" x14ac:dyDescent="0.3">
      <c r="A29" s="180"/>
      <c r="B29" s="180"/>
      <c r="C29" s="179" t="s">
        <v>1053</v>
      </c>
      <c r="D29" s="180"/>
      <c r="E29" s="179" t="s">
        <v>1053</v>
      </c>
      <c r="F29" s="180" t="s">
        <v>1232</v>
      </c>
      <c r="G29" s="180" t="s">
        <v>1232</v>
      </c>
      <c r="H29" s="180" t="s">
        <v>1255</v>
      </c>
      <c r="I29" s="180" t="s">
        <v>1256</v>
      </c>
      <c r="J29" s="181" t="s">
        <v>1234</v>
      </c>
      <c r="K29" s="231">
        <f t="shared" si="2"/>
        <v>-9.0546759936103352E-2</v>
      </c>
      <c r="L29" s="180"/>
      <c r="M29" s="180"/>
      <c r="N29" s="180"/>
      <c r="O29" s="180"/>
      <c r="P29" s="180"/>
      <c r="Q29" s="180"/>
      <c r="R29" s="180"/>
      <c r="S29" s="180"/>
      <c r="T29" s="180"/>
      <c r="U29" s="180"/>
      <c r="V29" s="180"/>
      <c r="W29" s="180"/>
      <c r="X29" s="203">
        <f>VLOOKUP($C29,'MSET pivots'!$J$4:$P$14,'Final demand(6)'!$H$3,FALSE)*'MSET pivots'!E$65</f>
        <v>-3.0182706043570479E-3</v>
      </c>
      <c r="Y29" s="203">
        <f>VLOOKUP($C29,'MSET pivots'!$J$4:$P$14,'Final demand(6)'!$H$3,FALSE)*'MSET pivots'!F$65</f>
        <v>-3.4494391840784542E-3</v>
      </c>
      <c r="Z29" s="203">
        <f>VLOOKUP($C29,'MSET pivots'!$J$4:$P$14,'Final demand(6)'!$H$3,FALSE)*'MSET pivots'!G$65</f>
        <v>-3.8806077637998605E-3</v>
      </c>
      <c r="AA29" s="203">
        <f>VLOOKUP($C29,'MSET pivots'!$J$4:$P$14,'Final demand(6)'!$H$3,FALSE)*'MSET pivots'!H$65</f>
        <v>-4.3117763435212668E-3</v>
      </c>
      <c r="AB29" s="203">
        <f>VLOOKUP($C29,'MSET pivots'!$J$4:$P$14,'Final demand(6)'!$H$3,FALSE)*'MSET pivots'!I$65</f>
        <v>-4.7429449232426731E-3</v>
      </c>
      <c r="AC29" s="203">
        <f>VLOOKUP($C29,'MSET pivots'!$J$4:$P$14,'Final demand(6)'!$H$3,FALSE)*'MSET pivots'!J$65</f>
        <v>-5.1741135029640794E-3</v>
      </c>
      <c r="AD29" s="203">
        <f>VLOOKUP($C29,'MSET pivots'!$J$4:$P$14,'Final demand(6)'!$H$3,FALSE)*'MSET pivots'!K$65</f>
        <v>-5.6052820826854857E-3</v>
      </c>
      <c r="AE29" s="203">
        <f>VLOOKUP($C29,'MSET pivots'!$J$4:$P$14,'Final demand(6)'!$H$3,FALSE)*'MSET pivots'!L$65</f>
        <v>-6.0364506624068911E-3</v>
      </c>
      <c r="AF29" s="203">
        <f>VLOOKUP($C29,'MSET pivots'!$J$4:$P$14,'Final demand(6)'!$H$3,FALSE)*'MSET pivots'!M$65</f>
        <v>-6.4676192421282974E-3</v>
      </c>
      <c r="AG29" s="203">
        <f>VLOOKUP($C29,'MSET pivots'!$J$4:$P$14,'Final demand(6)'!$H$3,FALSE)*'MSET pivots'!N$65</f>
        <v>-6.8987878218497029E-3</v>
      </c>
      <c r="AH29" s="203">
        <f>VLOOKUP($C29,'MSET pivots'!$J$4:$P$14,'Final demand(6)'!$H$3,FALSE)*'MSET pivots'!O$65</f>
        <v>-7.3299564015711083E-3</v>
      </c>
      <c r="AI29" s="203">
        <f>VLOOKUP($C29,'MSET pivots'!$J$4:$P$14,'Final demand(6)'!$H$3,FALSE)*'MSET pivots'!P$65</f>
        <v>-7.7611249812925137E-3</v>
      </c>
      <c r="AJ29" s="203">
        <f>VLOOKUP($C29,'MSET pivots'!$J$4:$P$14,'Final demand(6)'!$H$3,FALSE)*'MSET pivots'!Q$65</f>
        <v>-8.1922935610139191E-3</v>
      </c>
      <c r="AK29" s="203">
        <f>VLOOKUP($C29,'MSET pivots'!$J$4:$P$14,'Final demand(6)'!$H$3,FALSE)*'MSET pivots'!R$65</f>
        <v>-8.6234621407353246E-3</v>
      </c>
      <c r="AL29" s="203">
        <f>VLOOKUP($C29,'MSET pivots'!$J$4:$P$14,'Final demand(6)'!$H$3,FALSE)*'MSET pivots'!S$65</f>
        <v>-9.0546307204567352E-3</v>
      </c>
    </row>
    <row r="30" spans="1:38" x14ac:dyDescent="0.3">
      <c r="A30" s="180"/>
      <c r="B30" s="180" t="s">
        <v>317</v>
      </c>
      <c r="C30" s="180" t="s">
        <v>1046</v>
      </c>
      <c r="D30" s="180"/>
      <c r="E30" s="180" t="s">
        <v>1046</v>
      </c>
      <c r="F30" s="180" t="s">
        <v>1232</v>
      </c>
      <c r="G30" s="180" t="s">
        <v>1232</v>
      </c>
      <c r="H30" s="180" t="s">
        <v>1255</v>
      </c>
      <c r="I30" s="180" t="s">
        <v>1256</v>
      </c>
      <c r="J30" s="181" t="s">
        <v>1234</v>
      </c>
      <c r="K30" s="231">
        <f t="shared" si="2"/>
        <v>-6.4028107789497274E-2</v>
      </c>
      <c r="L30" s="180"/>
      <c r="M30" s="180"/>
      <c r="N30" s="180"/>
      <c r="O30" s="180"/>
      <c r="P30" s="180"/>
      <c r="Q30" s="180"/>
      <c r="R30" s="180"/>
      <c r="S30" s="180"/>
      <c r="T30" s="180"/>
      <c r="U30" s="180"/>
      <c r="V30" s="180"/>
      <c r="W30" s="204">
        <f>('Preliminary results'!$C$31)/'Baseline govt spend'!$E$51</f>
        <v>6.6729533221219594E-4</v>
      </c>
      <c r="X30" s="203">
        <f>VLOOKUP($C30,'MSET pivots'!$J$4:$P$14,'Final demand(6)'!$H$3,FALSE)*'MSET pivots'!E$65</f>
        <v>-2.1343022735437344E-3</v>
      </c>
      <c r="Y30" s="203">
        <f>VLOOKUP($C30,'MSET pivots'!$J$4:$P$14,'Final demand(6)'!$H$3,FALSE)*'MSET pivots'!F$65</f>
        <v>-2.439193451508889E-3</v>
      </c>
      <c r="Z30" s="203">
        <f>VLOOKUP($C30,'MSET pivots'!$J$4:$P$14,'Final demand(6)'!$H$3,FALSE)*'MSET pivots'!G$65</f>
        <v>-2.744084629474044E-3</v>
      </c>
      <c r="AA30" s="203">
        <f>VLOOKUP($C30,'MSET pivots'!$J$4:$P$14,'Final demand(6)'!$H$3,FALSE)*'MSET pivots'!H$65</f>
        <v>-3.048975807439199E-3</v>
      </c>
      <c r="AB30" s="203">
        <f>VLOOKUP($C30,'MSET pivots'!$J$4:$P$14,'Final demand(6)'!$H$3,FALSE)*'MSET pivots'!I$65</f>
        <v>-3.3538669854043537E-3</v>
      </c>
      <c r="AC30" s="203">
        <f>VLOOKUP($C30,'MSET pivots'!$J$4:$P$14,'Final demand(6)'!$H$3,FALSE)*'MSET pivots'!J$65</f>
        <v>-3.6587581633695087E-3</v>
      </c>
      <c r="AD30" s="203">
        <f>VLOOKUP($C30,'MSET pivots'!$J$4:$P$14,'Final demand(6)'!$H$3,FALSE)*'MSET pivots'!K$65</f>
        <v>-3.9636493413346633E-3</v>
      </c>
      <c r="AE30" s="203">
        <f>VLOOKUP($C30,'MSET pivots'!$J$4:$P$14,'Final demand(6)'!$H$3,FALSE)*'MSET pivots'!L$65</f>
        <v>-4.2685405192998179E-3</v>
      </c>
      <c r="AF30" s="203">
        <f>VLOOKUP($C30,'MSET pivots'!$J$4:$P$14,'Final demand(6)'!$H$3,FALSE)*'MSET pivots'!M$65</f>
        <v>-4.5734316972649725E-3</v>
      </c>
      <c r="AG30" s="203">
        <f>VLOOKUP($C30,'MSET pivots'!$J$4:$P$14,'Final demand(6)'!$H$3,FALSE)*'MSET pivots'!N$65</f>
        <v>-4.8783228752301271E-3</v>
      </c>
      <c r="AH30" s="203">
        <f>VLOOKUP($C30,'MSET pivots'!$J$4:$P$14,'Final demand(6)'!$H$3,FALSE)*'MSET pivots'!O$65</f>
        <v>-5.1832140531952809E-3</v>
      </c>
      <c r="AI30" s="203">
        <f>VLOOKUP($C30,'MSET pivots'!$J$4:$P$14,'Final demand(6)'!$H$3,FALSE)*'MSET pivots'!P$65</f>
        <v>-5.4881052311604355E-3</v>
      </c>
      <c r="AJ30" s="203">
        <f>VLOOKUP($C30,'MSET pivots'!$J$4:$P$14,'Final demand(6)'!$H$3,FALSE)*'MSET pivots'!Q$65</f>
        <v>-5.7929964091255901E-3</v>
      </c>
      <c r="AK30" s="203">
        <f>VLOOKUP($C30,'MSET pivots'!$J$4:$P$14,'Final demand(6)'!$H$3,FALSE)*'MSET pivots'!R$65</f>
        <v>-6.0978875870907447E-3</v>
      </c>
      <c r="AL30" s="203">
        <f>VLOOKUP($C30,'MSET pivots'!$J$4:$P$14,'Final demand(6)'!$H$3,FALSE)*'MSET pivots'!S$65</f>
        <v>-6.4027787650559019E-3</v>
      </c>
    </row>
    <row r="31" spans="1:38" x14ac:dyDescent="0.3">
      <c r="A31" s="180"/>
      <c r="B31" s="180"/>
      <c r="C31" s="179" t="s">
        <v>861</v>
      </c>
      <c r="D31" s="180"/>
      <c r="E31" s="179" t="s">
        <v>861</v>
      </c>
      <c r="F31" s="180" t="s">
        <v>1232</v>
      </c>
      <c r="G31" s="180" t="s">
        <v>1232</v>
      </c>
      <c r="H31" s="180" t="s">
        <v>1255</v>
      </c>
      <c r="I31" s="180" t="s">
        <v>1256</v>
      </c>
      <c r="J31" s="181" t="s">
        <v>1234</v>
      </c>
      <c r="K31" s="231">
        <f t="shared" si="2"/>
        <v>-0.17313709895917642</v>
      </c>
      <c r="L31" s="180"/>
      <c r="M31" s="180"/>
      <c r="N31" s="180"/>
      <c r="O31" s="180"/>
      <c r="P31" s="180"/>
      <c r="Q31" s="180"/>
      <c r="R31" s="180"/>
      <c r="S31" s="180"/>
      <c r="T31" s="180"/>
      <c r="U31" s="180"/>
      <c r="V31" s="180"/>
      <c r="W31" s="180"/>
      <c r="X31" s="203">
        <f>VLOOKUP($C31,'MSET pivots'!$J$4:$P$14,'Final demand(6)'!$H$3,FALSE)*'MSET pivots'!E$65</f>
        <v>-5.7713232000891875E-3</v>
      </c>
      <c r="Y31" s="203">
        <f>VLOOKUP($C31,'MSET pivots'!$J$4:$P$14,'Final demand(6)'!$H$3,FALSE)*'MSET pivots'!F$65</f>
        <v>-6.5957732092114607E-3</v>
      </c>
      <c r="Z31" s="203">
        <f>VLOOKUP($C31,'MSET pivots'!$J$4:$P$14,'Final demand(6)'!$H$3,FALSE)*'MSET pivots'!G$65</f>
        <v>-7.420223218333734E-3</v>
      </c>
      <c r="AA31" s="203">
        <f>VLOOKUP($C31,'MSET pivots'!$J$4:$P$14,'Final demand(6)'!$H$3,FALSE)*'MSET pivots'!H$65</f>
        <v>-8.2446732274560064E-3</v>
      </c>
      <c r="AB31" s="203">
        <f>VLOOKUP($C31,'MSET pivots'!$J$4:$P$14,'Final demand(6)'!$H$3,FALSE)*'MSET pivots'!I$65</f>
        <v>-9.0691232365782797E-3</v>
      </c>
      <c r="AC31" s="203">
        <f>VLOOKUP($C31,'MSET pivots'!$J$4:$P$14,'Final demand(6)'!$H$3,FALSE)*'MSET pivots'!J$65</f>
        <v>-9.8935732457005529E-3</v>
      </c>
      <c r="AD31" s="203">
        <f>VLOOKUP($C31,'MSET pivots'!$J$4:$P$14,'Final demand(6)'!$H$3,FALSE)*'MSET pivots'!K$65</f>
        <v>-1.0718023254822826E-2</v>
      </c>
      <c r="AE31" s="203">
        <f>VLOOKUP($C31,'MSET pivots'!$J$4:$P$14,'Final demand(6)'!$H$3,FALSE)*'MSET pivots'!L$65</f>
        <v>-1.1542473263945098E-2</v>
      </c>
      <c r="AF31" s="203">
        <f>VLOOKUP($C31,'MSET pivots'!$J$4:$P$14,'Final demand(6)'!$H$3,FALSE)*'MSET pivots'!M$65</f>
        <v>-1.2366923273067369E-2</v>
      </c>
      <c r="AG31" s="203">
        <f>VLOOKUP($C31,'MSET pivots'!$J$4:$P$14,'Final demand(6)'!$H$3,FALSE)*'MSET pivots'!N$65</f>
        <v>-1.3191373282189641E-2</v>
      </c>
      <c r="AH31" s="203">
        <f>VLOOKUP($C31,'MSET pivots'!$J$4:$P$14,'Final demand(6)'!$H$3,FALSE)*'MSET pivots'!O$65</f>
        <v>-1.4015823291311912E-2</v>
      </c>
      <c r="AI31" s="203">
        <f>VLOOKUP($C31,'MSET pivots'!$J$4:$P$14,'Final demand(6)'!$H$3,FALSE)*'MSET pivots'!P$65</f>
        <v>-1.4840273300434184E-2</v>
      </c>
      <c r="AJ31" s="203">
        <f>VLOOKUP($C31,'MSET pivots'!$J$4:$P$14,'Final demand(6)'!$H$3,FALSE)*'MSET pivots'!Q$65</f>
        <v>-1.5664723309556455E-2</v>
      </c>
      <c r="AK31" s="203">
        <f>VLOOKUP($C31,'MSET pivots'!$J$4:$P$14,'Final demand(6)'!$H$3,FALSE)*'MSET pivots'!R$65</f>
        <v>-1.6489173318678729E-2</v>
      </c>
      <c r="AL31" s="203">
        <f>VLOOKUP($C31,'MSET pivots'!$J$4:$P$14,'Final demand(6)'!$H$3,FALSE)*'MSET pivots'!S$65</f>
        <v>-1.7313623327801005E-2</v>
      </c>
    </row>
    <row r="32" spans="1:38" x14ac:dyDescent="0.3">
      <c r="J32" s="172"/>
    </row>
    <row r="33" spans="7:10" x14ac:dyDescent="0.3">
      <c r="J33" s="172"/>
    </row>
    <row r="34" spans="7:10" x14ac:dyDescent="0.3">
      <c r="J34" s="172"/>
    </row>
    <row r="35" spans="7:10" x14ac:dyDescent="0.3">
      <c r="J35" s="172"/>
    </row>
    <row r="36" spans="7:10" x14ac:dyDescent="0.3">
      <c r="J36" s="172"/>
    </row>
    <row r="37" spans="7:10" x14ac:dyDescent="0.3">
      <c r="G37" s="94"/>
      <c r="J37" s="172"/>
    </row>
    <row r="38" spans="7:10" x14ac:dyDescent="0.3">
      <c r="G38" s="94"/>
      <c r="J38" s="172"/>
    </row>
    <row r="39" spans="7:10" x14ac:dyDescent="0.3">
      <c r="G39" s="94"/>
      <c r="J39" s="172"/>
    </row>
    <row r="40" spans="7:10" x14ac:dyDescent="0.3">
      <c r="G40" s="94"/>
      <c r="J40" s="172"/>
    </row>
    <row r="41" spans="7:10" x14ac:dyDescent="0.3">
      <c r="G41" s="94"/>
      <c r="J41" s="172"/>
    </row>
    <row r="42" spans="7:10" x14ac:dyDescent="0.3">
      <c r="G42" s="94"/>
      <c r="J42" s="172"/>
    </row>
    <row r="43" spans="7:10" x14ac:dyDescent="0.3">
      <c r="G43" s="94"/>
      <c r="J43" s="172"/>
    </row>
    <row r="44" spans="7:10" x14ac:dyDescent="0.3">
      <c r="G44" t="str">
        <f>_xlfn.IFNA(INDEX('[1]Sector list'!$A$2:$A$122,MATCH(F44,'[1]Sector list'!$B$2:$B$122,0)),"")</f>
        <v/>
      </c>
      <c r="I44" t="str">
        <f>_xlfn.IFNA(INDEX('[1]FD list'!$A$2:$A$122,MATCH(H44,'[1]FD list'!$B$2:$B$122,0)),"")</f>
        <v/>
      </c>
      <c r="J44" s="172"/>
    </row>
    <row r="45" spans="7:10" x14ac:dyDescent="0.3">
      <c r="G45" t="str">
        <f>_xlfn.IFNA(INDEX('[1]Sector list'!$A$2:$A$122,MATCH(F45,'[1]Sector list'!$B$2:$B$122,0)),"")</f>
        <v/>
      </c>
      <c r="I45" t="str">
        <f>_xlfn.IFNA(INDEX('[1]FD list'!$A$2:$A$122,MATCH(H45,'[1]FD list'!$B$2:$B$122,0)),"")</f>
        <v/>
      </c>
      <c r="J45" s="172"/>
    </row>
    <row r="46" spans="7:10" x14ac:dyDescent="0.3">
      <c r="G46" t="str">
        <f>_xlfn.IFNA(INDEX('[1]Sector list'!$A$2:$A$122,MATCH(F46,'[1]Sector list'!$B$2:$B$122,0)),"")</f>
        <v/>
      </c>
      <c r="I46" t="str">
        <f>_xlfn.IFNA(INDEX('[1]FD list'!$A$2:$A$122,MATCH(H46,'[1]FD list'!$B$2:$B$122,0)),"")</f>
        <v/>
      </c>
      <c r="J46" s="172"/>
    </row>
    <row r="47" spans="7:10" x14ac:dyDescent="0.3">
      <c r="G47" t="str">
        <f>_xlfn.IFNA(INDEX('[1]Sector list'!$A$2:$A$122,MATCH(F47,'[1]Sector list'!$B$2:$B$122,0)),"")</f>
        <v/>
      </c>
      <c r="I47" t="str">
        <f>_xlfn.IFNA(INDEX('[1]FD list'!$A$2:$A$122,MATCH(H47,'[1]FD list'!$B$2:$B$122,0)),"")</f>
        <v/>
      </c>
      <c r="J47" s="172"/>
    </row>
    <row r="48" spans="7:10" x14ac:dyDescent="0.3">
      <c r="G48" t="str">
        <f>_xlfn.IFNA(INDEX('[1]Sector list'!$A$2:$A$122,MATCH(F48,'[1]Sector list'!$B$2:$B$122,0)),"")</f>
        <v/>
      </c>
      <c r="I48" t="str">
        <f>_xlfn.IFNA(INDEX('[1]FD list'!$A$2:$A$122,MATCH(H48,'[1]FD list'!$B$2:$B$122,0)),"")</f>
        <v/>
      </c>
      <c r="J48" s="172"/>
    </row>
    <row r="49" spans="7:10" x14ac:dyDescent="0.3">
      <c r="G49" t="str">
        <f>_xlfn.IFNA(INDEX('[1]Sector list'!$A$2:$A$122,MATCH(F49,'[1]Sector list'!$B$2:$B$122,0)),"")</f>
        <v/>
      </c>
      <c r="I49" t="str">
        <f>_xlfn.IFNA(INDEX('[1]FD list'!$A$2:$A$122,MATCH(H49,'[1]FD list'!$B$2:$B$122,0)),"")</f>
        <v/>
      </c>
      <c r="J49" s="172"/>
    </row>
    <row r="50" spans="7:10" x14ac:dyDescent="0.3">
      <c r="G50" t="str">
        <f>_xlfn.IFNA(INDEX('[1]Sector list'!$A$2:$A$122,MATCH(F50,'[1]Sector list'!$B$2:$B$122,0)),"")</f>
        <v/>
      </c>
      <c r="I50" t="str">
        <f>_xlfn.IFNA(INDEX('[1]FD list'!$A$2:$A$122,MATCH(H50,'[1]FD list'!$B$2:$B$122,0)),"")</f>
        <v/>
      </c>
      <c r="J50" s="172"/>
    </row>
    <row r="51" spans="7:10" x14ac:dyDescent="0.3">
      <c r="G51" t="str">
        <f>_xlfn.IFNA(INDEX('[1]Sector list'!$A$2:$A$122,MATCH(F51,'[1]Sector list'!$B$2:$B$122,0)),"")</f>
        <v/>
      </c>
      <c r="I51" t="str">
        <f>_xlfn.IFNA(INDEX('[1]FD list'!$A$2:$A$122,MATCH(H51,'[1]FD list'!$B$2:$B$122,0)),"")</f>
        <v/>
      </c>
      <c r="J51" s="172"/>
    </row>
    <row r="52" spans="7:10" x14ac:dyDescent="0.3">
      <c r="G52" t="str">
        <f>_xlfn.IFNA(INDEX('[1]Sector list'!$A$2:$A$122,MATCH(F52,'[1]Sector list'!$B$2:$B$122,0)),"")</f>
        <v/>
      </c>
      <c r="I52" t="str">
        <f>_xlfn.IFNA(INDEX('[1]FD list'!$A$2:$A$122,MATCH(H52,'[1]FD list'!$B$2:$B$122,0)),"")</f>
        <v/>
      </c>
      <c r="J52" s="172"/>
    </row>
    <row r="53" spans="7:10" x14ac:dyDescent="0.3">
      <c r="G53" t="str">
        <f>_xlfn.IFNA(INDEX('[1]Sector list'!$A$2:$A$122,MATCH(F53,'[1]Sector list'!$B$2:$B$122,0)),"")</f>
        <v/>
      </c>
      <c r="I53" t="str">
        <f>_xlfn.IFNA(INDEX('[1]FD list'!$A$2:$A$122,MATCH(H53,'[1]FD list'!$B$2:$B$122,0)),"")</f>
        <v/>
      </c>
      <c r="J53" s="172"/>
    </row>
    <row r="54" spans="7:10" x14ac:dyDescent="0.3">
      <c r="G54" t="str">
        <f>_xlfn.IFNA(INDEX('[1]Sector list'!$A$2:$A$122,MATCH(F54,'[1]Sector list'!$B$2:$B$122,0)),"")</f>
        <v/>
      </c>
      <c r="I54" t="str">
        <f>_xlfn.IFNA(INDEX('[1]FD list'!$A$2:$A$122,MATCH(H54,'[1]FD list'!$B$2:$B$122,0)),"")</f>
        <v/>
      </c>
      <c r="J54" s="172"/>
    </row>
    <row r="55" spans="7:10" x14ac:dyDescent="0.3">
      <c r="G55" t="str">
        <f>_xlfn.IFNA(INDEX('[1]Sector list'!$A$2:$A$122,MATCH(F55,'[1]Sector list'!$B$2:$B$122,0)),"")</f>
        <v/>
      </c>
      <c r="I55" t="str">
        <f>_xlfn.IFNA(INDEX('[1]FD list'!$A$2:$A$122,MATCH(H55,'[1]FD list'!$B$2:$B$122,0)),"")</f>
        <v/>
      </c>
      <c r="J55" s="172"/>
    </row>
    <row r="56" spans="7:10" x14ac:dyDescent="0.3">
      <c r="G56" t="str">
        <f>_xlfn.IFNA(INDEX('[1]Sector list'!$A$2:$A$122,MATCH(F56,'[1]Sector list'!$B$2:$B$122,0)),"")</f>
        <v/>
      </c>
      <c r="I56" t="str">
        <f>_xlfn.IFNA(INDEX('[1]FD list'!$A$2:$A$122,MATCH(H56,'[1]FD list'!$B$2:$B$122,0)),"")</f>
        <v/>
      </c>
      <c r="J56" s="172"/>
    </row>
    <row r="57" spans="7:10" x14ac:dyDescent="0.3">
      <c r="G57" t="str">
        <f>_xlfn.IFNA(INDEX('[1]Sector list'!$A$2:$A$122,MATCH(F57,'[1]Sector list'!$B$2:$B$122,0)),"")</f>
        <v/>
      </c>
      <c r="I57" t="str">
        <f>_xlfn.IFNA(INDEX('[1]FD list'!$A$2:$A$122,MATCH(H57,'[1]FD list'!$B$2:$B$122,0)),"")</f>
        <v/>
      </c>
      <c r="J57" s="172"/>
    </row>
    <row r="58" spans="7:10" x14ac:dyDescent="0.3">
      <c r="G58" t="str">
        <f>_xlfn.IFNA(INDEX('[1]Sector list'!$A$2:$A$122,MATCH(F58,'[1]Sector list'!$B$2:$B$122,0)),"")</f>
        <v/>
      </c>
      <c r="I58" t="str">
        <f>_xlfn.IFNA(INDEX('[1]FD list'!$A$2:$A$122,MATCH(H58,'[1]FD list'!$B$2:$B$122,0)),"")</f>
        <v/>
      </c>
      <c r="J58" s="172"/>
    </row>
    <row r="59" spans="7:10" x14ac:dyDescent="0.3">
      <c r="G59" t="str">
        <f>_xlfn.IFNA(INDEX('[1]Sector list'!$A$2:$A$122,MATCH(F59,'[1]Sector list'!$B$2:$B$122,0)),"")</f>
        <v/>
      </c>
      <c r="I59" t="str">
        <f>_xlfn.IFNA(INDEX('[1]FD list'!$A$2:$A$122,MATCH(H59,'[1]FD list'!$B$2:$B$122,0)),"")</f>
        <v/>
      </c>
      <c r="J59" s="172"/>
    </row>
    <row r="60" spans="7:10" x14ac:dyDescent="0.3">
      <c r="G60" t="str">
        <f>_xlfn.IFNA(INDEX('[1]Sector list'!$A$2:$A$122,MATCH(F60,'[1]Sector list'!$B$2:$B$122,0)),"")</f>
        <v/>
      </c>
      <c r="I60" t="str">
        <f>_xlfn.IFNA(INDEX('[1]FD list'!$A$2:$A$122,MATCH(H60,'[1]FD list'!$B$2:$B$122,0)),"")</f>
        <v/>
      </c>
      <c r="J60" s="172"/>
    </row>
    <row r="61" spans="7:10" x14ac:dyDescent="0.3">
      <c r="G61" t="str">
        <f>_xlfn.IFNA(INDEX('[1]Sector list'!$A$2:$A$122,MATCH(F61,'[1]Sector list'!$B$2:$B$122,0)),"")</f>
        <v/>
      </c>
      <c r="I61" t="str">
        <f>_xlfn.IFNA(INDEX('[1]FD list'!$A$2:$A$122,MATCH(H61,'[1]FD list'!$B$2:$B$122,0)),"")</f>
        <v/>
      </c>
      <c r="J61" s="172"/>
    </row>
    <row r="62" spans="7:10" x14ac:dyDescent="0.3">
      <c r="G62" t="str">
        <f>_xlfn.IFNA(INDEX('[1]Sector list'!$A$2:$A$122,MATCH(F62,'[1]Sector list'!$B$2:$B$122,0)),"")</f>
        <v/>
      </c>
      <c r="I62" t="str">
        <f>_xlfn.IFNA(INDEX('[1]FD list'!$A$2:$A$122,MATCH(H62,'[1]FD list'!$B$2:$B$122,0)),"")</f>
        <v/>
      </c>
      <c r="J62" s="172"/>
    </row>
    <row r="63" spans="7:10" x14ac:dyDescent="0.3">
      <c r="G63" t="str">
        <f>_xlfn.IFNA(INDEX('[1]Sector list'!$A$2:$A$122,MATCH(F63,'[1]Sector list'!$B$2:$B$122,0)),"")</f>
        <v/>
      </c>
      <c r="I63" t="str">
        <f>_xlfn.IFNA(INDEX('[1]FD list'!$A$2:$A$122,MATCH(H63,'[1]FD list'!$B$2:$B$122,0)),"")</f>
        <v/>
      </c>
      <c r="J63" s="172"/>
    </row>
    <row r="64" spans="7:10" x14ac:dyDescent="0.3">
      <c r="G64" t="str">
        <f>_xlfn.IFNA(INDEX('[1]Sector list'!$A$2:$A$122,MATCH(F64,'[1]Sector list'!$B$2:$B$122,0)),"")</f>
        <v/>
      </c>
      <c r="I64" t="str">
        <f>_xlfn.IFNA(INDEX('[1]FD list'!$A$2:$A$122,MATCH(H64,'[1]FD list'!$B$2:$B$122,0)),"")</f>
        <v/>
      </c>
      <c r="J64" s="172"/>
    </row>
    <row r="65" spans="7:10" x14ac:dyDescent="0.3">
      <c r="G65" t="str">
        <f>_xlfn.IFNA(INDEX('[1]Sector list'!$A$2:$A$122,MATCH(F65,'[1]Sector list'!$B$2:$B$122,0)),"")</f>
        <v/>
      </c>
      <c r="I65" t="str">
        <f>_xlfn.IFNA(INDEX('[1]FD list'!$A$2:$A$122,MATCH(H65,'[1]FD list'!$B$2:$B$122,0)),"")</f>
        <v/>
      </c>
      <c r="J65" s="172"/>
    </row>
    <row r="66" spans="7:10" x14ac:dyDescent="0.3">
      <c r="G66" t="str">
        <f>_xlfn.IFNA(INDEX('[1]Sector list'!$A$2:$A$122,MATCH(F66,'[1]Sector list'!$B$2:$B$122,0)),"")</f>
        <v/>
      </c>
      <c r="I66" t="str">
        <f>_xlfn.IFNA(INDEX('[1]FD list'!$A$2:$A$122,MATCH(H66,'[1]FD list'!$B$2:$B$122,0)),"")</f>
        <v/>
      </c>
      <c r="J66" s="172"/>
    </row>
    <row r="67" spans="7:10" x14ac:dyDescent="0.3">
      <c r="G67" t="str">
        <f>_xlfn.IFNA(INDEX('[1]Sector list'!$A$2:$A$122,MATCH(F67,'[1]Sector list'!$B$2:$B$122,0)),"")</f>
        <v/>
      </c>
      <c r="I67" t="str">
        <f>_xlfn.IFNA(INDEX('[1]FD list'!$A$2:$A$122,MATCH(H67,'[1]FD list'!$B$2:$B$122,0)),"")</f>
        <v/>
      </c>
      <c r="J67" s="172"/>
    </row>
    <row r="68" spans="7:10" x14ac:dyDescent="0.3">
      <c r="G68" t="str">
        <f>_xlfn.IFNA(INDEX('[1]Sector list'!$A$2:$A$122,MATCH(F68,'[1]Sector list'!$B$2:$B$122,0)),"")</f>
        <v/>
      </c>
      <c r="I68" t="str">
        <f>_xlfn.IFNA(INDEX('[1]FD list'!$A$2:$A$122,MATCH(H68,'[1]FD list'!$B$2:$B$122,0)),"")</f>
        <v/>
      </c>
      <c r="J68" s="172"/>
    </row>
    <row r="69" spans="7:10" x14ac:dyDescent="0.3">
      <c r="G69" t="str">
        <f>_xlfn.IFNA(INDEX('[1]Sector list'!$A$2:$A$122,MATCH(F69,'[1]Sector list'!$B$2:$B$122,0)),"")</f>
        <v/>
      </c>
      <c r="I69" t="str">
        <f>_xlfn.IFNA(INDEX('[1]FD list'!$A$2:$A$122,MATCH(H69,'[1]FD list'!$B$2:$B$122,0)),"")</f>
        <v/>
      </c>
      <c r="J69" s="172"/>
    </row>
    <row r="70" spans="7:10" x14ac:dyDescent="0.3">
      <c r="I70" t="str">
        <f>_xlfn.IFNA(INDEX('[1]FD list'!$A$2:$A$122,MATCH(H70,'[1]FD list'!$B$2:$B$122,0)),"")</f>
        <v/>
      </c>
      <c r="J70" s="172"/>
    </row>
    <row r="71" spans="7:10" x14ac:dyDescent="0.3">
      <c r="I71" t="str">
        <f>_xlfn.IFNA(INDEX('[1]FD list'!$A$2:$A$122,MATCH(H71,'[1]FD list'!$B$2:$B$122,0)),"")</f>
        <v/>
      </c>
      <c r="J71" s="172"/>
    </row>
    <row r="72" spans="7:10" x14ac:dyDescent="0.3">
      <c r="I72" t="str">
        <f>_xlfn.IFNA(INDEX('[1]FD list'!$A$2:$A$122,MATCH(H72,'[1]FD list'!$B$2:$B$122,0)),"")</f>
        <v/>
      </c>
      <c r="J72" s="172"/>
    </row>
    <row r="73" spans="7:10" x14ac:dyDescent="0.3">
      <c r="I73" t="str">
        <f>_xlfn.IFNA(INDEX('[1]FD list'!$A$2:$A$122,MATCH(H73,'[1]FD list'!$B$2:$B$122,0)),"")</f>
        <v/>
      </c>
      <c r="J73" s="172"/>
    </row>
    <row r="74" spans="7:10" x14ac:dyDescent="0.3">
      <c r="I74" t="str">
        <f>_xlfn.IFNA(INDEX('[1]FD list'!$A$2:$A$122,MATCH(H74,'[1]FD list'!$B$2:$B$122,0)),"")</f>
        <v/>
      </c>
      <c r="J74" s="172"/>
    </row>
    <row r="75" spans="7:10" x14ac:dyDescent="0.3">
      <c r="I75" t="str">
        <f>_xlfn.IFNA(INDEX('[1]FD list'!$A$2:$A$122,MATCH(H75,'[1]FD list'!$B$2:$B$122,0)),"")</f>
        <v/>
      </c>
      <c r="J75" s="172"/>
    </row>
    <row r="76" spans="7:10" x14ac:dyDescent="0.3">
      <c r="I76" t="str">
        <f>_xlfn.IFNA(INDEX('[1]FD list'!$A$2:$A$122,MATCH(H76,'[1]FD list'!$B$2:$B$122,0)),"")</f>
        <v/>
      </c>
      <c r="J76" s="172"/>
    </row>
    <row r="77" spans="7:10" x14ac:dyDescent="0.3">
      <c r="I77" t="str">
        <f>_xlfn.IFNA(INDEX('[1]FD list'!$A$2:$A$122,MATCH(H77,'[1]FD list'!$B$2:$B$122,0)),"")</f>
        <v/>
      </c>
      <c r="J77" s="172"/>
    </row>
    <row r="78" spans="7:10" x14ac:dyDescent="0.3">
      <c r="I78" t="str">
        <f>_xlfn.IFNA(INDEX('[1]FD list'!$A$2:$A$122,MATCH(H78,'[1]FD list'!$B$2:$B$122,0)),"")</f>
        <v/>
      </c>
      <c r="J78" s="172"/>
    </row>
    <row r="79" spans="7:10" x14ac:dyDescent="0.3">
      <c r="I79" t="str">
        <f>_xlfn.IFNA(INDEX('[1]FD list'!$A$2:$A$122,MATCH(H79,'[1]FD list'!$B$2:$B$122,0)),"")</f>
        <v/>
      </c>
      <c r="J79" s="172"/>
    </row>
    <row r="80" spans="7:10" x14ac:dyDescent="0.3">
      <c r="I80" t="str">
        <f>_xlfn.IFNA(INDEX('[1]FD list'!$A$2:$A$122,MATCH(H80,'[1]FD list'!$B$2:$B$122,0)),"")</f>
        <v/>
      </c>
      <c r="J80" s="172"/>
    </row>
    <row r="81" spans="9:10" x14ac:dyDescent="0.3">
      <c r="I81" t="str">
        <f>_xlfn.IFNA(INDEX('[1]FD list'!$A$2:$A$122,MATCH(H81,'[1]FD list'!$B$2:$B$122,0)),"")</f>
        <v/>
      </c>
      <c r="J81" s="172"/>
    </row>
    <row r="82" spans="9:10" x14ac:dyDescent="0.3">
      <c r="I82" t="str">
        <f>_xlfn.IFNA(INDEX('[1]FD list'!$A$2:$A$122,MATCH(H82,'[1]FD list'!$B$2:$B$122,0)),"")</f>
        <v/>
      </c>
      <c r="J82" s="172"/>
    </row>
    <row r="83" spans="9:10" x14ac:dyDescent="0.3">
      <c r="I83" t="str">
        <f>_xlfn.IFNA(INDEX('[1]FD list'!$A$2:$A$122,MATCH(H83,'[1]FD list'!$B$2:$B$122,0)),"")</f>
        <v/>
      </c>
      <c r="J83" s="172"/>
    </row>
    <row r="84" spans="9:10" x14ac:dyDescent="0.3">
      <c r="I84" t="str">
        <f>_xlfn.IFNA(INDEX('[1]FD list'!$A$2:$A$122,MATCH(H84,'[1]FD list'!$B$2:$B$122,0)),"")</f>
        <v/>
      </c>
      <c r="J84" s="172"/>
    </row>
    <row r="85" spans="9:10" x14ac:dyDescent="0.3">
      <c r="I85" t="str">
        <f>_xlfn.IFNA(INDEX('[1]FD list'!$A$2:$A$122,MATCH(H85,'[1]FD list'!$B$2:$B$122,0)),"")</f>
        <v/>
      </c>
      <c r="J85" s="172"/>
    </row>
    <row r="86" spans="9:10" x14ac:dyDescent="0.3">
      <c r="I86" t="str">
        <f>_xlfn.IFNA(INDEX('[1]FD list'!$A$2:$A$122,MATCH(H86,'[1]FD list'!$B$2:$B$122,0)),"")</f>
        <v/>
      </c>
      <c r="J86" s="172"/>
    </row>
    <row r="87" spans="9:10" x14ac:dyDescent="0.3">
      <c r="I87" t="str">
        <f>_xlfn.IFNA(INDEX('[1]FD list'!$A$2:$A$122,MATCH(H87,'[1]FD list'!$B$2:$B$122,0)),"")</f>
        <v/>
      </c>
      <c r="J87" s="172"/>
    </row>
    <row r="88" spans="9:10" x14ac:dyDescent="0.3">
      <c r="I88" t="str">
        <f>_xlfn.IFNA(INDEX('[1]FD list'!$A$2:$A$122,MATCH(H88,'[1]FD list'!$B$2:$B$122,0)),"")</f>
        <v/>
      </c>
      <c r="J88" s="172"/>
    </row>
    <row r="89" spans="9:10" x14ac:dyDescent="0.3">
      <c r="I89" t="str">
        <f>_xlfn.IFNA(INDEX('[1]FD list'!$A$2:$A$122,MATCH(H89,'[1]FD list'!$B$2:$B$122,0)),"")</f>
        <v/>
      </c>
      <c r="J89" s="172"/>
    </row>
    <row r="90" spans="9:10" x14ac:dyDescent="0.3">
      <c r="I90" t="str">
        <f>_xlfn.IFNA(INDEX('[1]FD list'!$A$2:$A$122,MATCH(H90,'[1]FD list'!$B$2:$B$122,0)),"")</f>
        <v/>
      </c>
      <c r="J90" s="172"/>
    </row>
    <row r="91" spans="9:10" x14ac:dyDescent="0.3">
      <c r="I91" t="str">
        <f>_xlfn.IFNA(INDEX('[1]FD list'!$A$2:$A$122,MATCH(H91,'[1]FD list'!$B$2:$B$122,0)),"")</f>
        <v/>
      </c>
      <c r="J91" s="172"/>
    </row>
    <row r="92" spans="9:10" x14ac:dyDescent="0.3">
      <c r="I92" t="str">
        <f>_xlfn.IFNA(INDEX('[1]FD list'!$A$2:$A$122,MATCH(H92,'[1]FD list'!$B$2:$B$122,0)),"")</f>
        <v/>
      </c>
      <c r="J92" s="172"/>
    </row>
    <row r="93" spans="9:10" x14ac:dyDescent="0.3">
      <c r="I93" t="str">
        <f>_xlfn.IFNA(INDEX('[1]FD list'!$A$2:$A$122,MATCH(H93,'[1]FD list'!$B$2:$B$122,0)),"")</f>
        <v/>
      </c>
      <c r="J93" s="172"/>
    </row>
    <row r="94" spans="9:10" x14ac:dyDescent="0.3">
      <c r="I94" t="str">
        <f>_xlfn.IFNA(INDEX('[1]FD list'!$A$2:$A$122,MATCH(H94,'[1]FD list'!$B$2:$B$122,0)),"")</f>
        <v/>
      </c>
      <c r="J94" s="172"/>
    </row>
    <row r="95" spans="9:10" x14ac:dyDescent="0.3">
      <c r="I95" t="str">
        <f>_xlfn.IFNA(INDEX('[1]FD list'!$A$2:$A$122,MATCH(H95,'[1]FD list'!$B$2:$B$122,0)),"")</f>
        <v/>
      </c>
      <c r="J95" s="172"/>
    </row>
    <row r="96" spans="9:10" x14ac:dyDescent="0.3">
      <c r="I96" t="str">
        <f>_xlfn.IFNA(INDEX('[1]FD list'!$A$2:$A$122,MATCH(H96,'[1]FD list'!$B$2:$B$122,0)),"")</f>
        <v/>
      </c>
      <c r="J96" s="172"/>
    </row>
    <row r="97" spans="9:10" x14ac:dyDescent="0.3">
      <c r="I97" t="str">
        <f>_xlfn.IFNA(INDEX('[1]FD list'!$A$2:$A$122,MATCH(H97,'[1]FD list'!$B$2:$B$122,0)),"")</f>
        <v/>
      </c>
      <c r="J97" s="172"/>
    </row>
    <row r="98" spans="9:10" x14ac:dyDescent="0.3">
      <c r="I98" t="str">
        <f>_xlfn.IFNA(INDEX('[1]Sector list'!$A$2:$A$122,MATCH(H98,'[1]Sector list'!$B$2:$B$122,0)),"")</f>
        <v/>
      </c>
      <c r="J98" s="172"/>
    </row>
    <row r="99" spans="9:10" x14ac:dyDescent="0.3">
      <c r="I99" t="str">
        <f>_xlfn.IFNA(INDEX('[1]Sector list'!$A$2:$A$122,MATCH(H99,'[1]Sector list'!$B$2:$B$122,0)),"")</f>
        <v/>
      </c>
      <c r="J99" s="172"/>
    </row>
    <row r="100" spans="9:10" x14ac:dyDescent="0.3">
      <c r="I100" t="str">
        <f>_xlfn.IFNA(INDEX('[1]Sector list'!$A$2:$A$122,MATCH(H100,'[1]Sector list'!$B$2:$B$122,0)),"")</f>
        <v/>
      </c>
      <c r="J100" s="172"/>
    </row>
    <row r="101" spans="9:10" x14ac:dyDescent="0.3">
      <c r="I101" t="str">
        <f>_xlfn.IFNA(INDEX('[1]Sector list'!$A$2:$A$122,MATCH(H101,'[1]Sector list'!$B$2:$B$122,0)),"")</f>
        <v/>
      </c>
      <c r="J101" s="172"/>
    </row>
    <row r="102" spans="9:10" x14ac:dyDescent="0.3">
      <c r="I102" t="str">
        <f>_xlfn.IFNA(INDEX('[1]Sector list'!$A$2:$A$122,MATCH(H102,'[1]Sector list'!$B$2:$B$122,0)),"")</f>
        <v/>
      </c>
      <c r="J102" s="172"/>
    </row>
    <row r="103" spans="9:10" x14ac:dyDescent="0.3">
      <c r="I103" t="str">
        <f>_xlfn.IFNA(INDEX('[1]Sector list'!$A$2:$A$122,MATCH(H103,'[1]Sector list'!$B$2:$B$122,0)),"")</f>
        <v/>
      </c>
      <c r="J103" s="172"/>
    </row>
    <row r="104" spans="9:10" x14ac:dyDescent="0.3">
      <c r="I104" t="str">
        <f>_xlfn.IFNA(INDEX('[1]Sector list'!$A$2:$A$122,MATCH(H104,'[1]Sector list'!$B$2:$B$122,0)),"")</f>
        <v/>
      </c>
      <c r="J104" s="172"/>
    </row>
    <row r="105" spans="9:10" x14ac:dyDescent="0.3">
      <c r="I105" t="str">
        <f>_xlfn.IFNA(INDEX('[1]Sector list'!$A$2:$A$122,MATCH(H105,'[1]Sector list'!$B$2:$B$122,0)),"")</f>
        <v/>
      </c>
      <c r="J105" s="172"/>
    </row>
    <row r="106" spans="9:10" x14ac:dyDescent="0.3">
      <c r="I106" t="str">
        <f>_xlfn.IFNA(INDEX('[1]Sector list'!$A$2:$A$122,MATCH(H106,'[1]Sector list'!$B$2:$B$122,0)),"")</f>
        <v/>
      </c>
      <c r="J106" s="172"/>
    </row>
    <row r="107" spans="9:10" x14ac:dyDescent="0.3">
      <c r="I107" t="str">
        <f>_xlfn.IFNA(INDEX('[1]Sector list'!$A$2:$A$122,MATCH(H107,'[1]Sector list'!$B$2:$B$122,0)),"")</f>
        <v/>
      </c>
      <c r="J107" s="172"/>
    </row>
    <row r="108" spans="9:10" x14ac:dyDescent="0.3">
      <c r="I108" t="str">
        <f>_xlfn.IFNA(INDEX('[1]Sector list'!$A$2:$A$122,MATCH(H108,'[1]Sector list'!$B$2:$B$122,0)),"")</f>
        <v/>
      </c>
      <c r="J108" s="172"/>
    </row>
    <row r="109" spans="9:10" x14ac:dyDescent="0.3">
      <c r="I109" t="str">
        <f>_xlfn.IFNA(INDEX('[1]Sector list'!$A$2:$A$122,MATCH(H109,'[1]Sector list'!$B$2:$B$122,0)),"")</f>
        <v/>
      </c>
      <c r="J109" s="172"/>
    </row>
    <row r="110" spans="9:10" x14ac:dyDescent="0.3">
      <c r="I110" t="str">
        <f>_xlfn.IFNA(INDEX('[1]Sector list'!$A$2:$A$122,MATCH(H110,'[1]Sector list'!$B$2:$B$122,0)),"")</f>
        <v/>
      </c>
      <c r="J110" s="172"/>
    </row>
    <row r="111" spans="9:10" x14ac:dyDescent="0.3">
      <c r="I111" t="str">
        <f>_xlfn.IFNA(INDEX('[1]Sector list'!$A$2:$A$122,MATCH(H111,'[1]Sector list'!$B$2:$B$122,0)),"")</f>
        <v/>
      </c>
      <c r="J111" s="172"/>
    </row>
    <row r="112" spans="9:10" x14ac:dyDescent="0.3">
      <c r="I112" t="str">
        <f>_xlfn.IFNA(INDEX('[1]Sector list'!$A$2:$A$122,MATCH(H112,'[1]Sector list'!$B$2:$B$122,0)),"")</f>
        <v/>
      </c>
      <c r="J112" s="172"/>
    </row>
    <row r="113" spans="9:10" x14ac:dyDescent="0.3">
      <c r="I113" t="str">
        <f>_xlfn.IFNA(INDEX('[1]Sector list'!$A$2:$A$122,MATCH(H113,'[1]Sector list'!$B$2:$B$122,0)),"")</f>
        <v/>
      </c>
      <c r="J113" s="172"/>
    </row>
    <row r="114" spans="9:10" x14ac:dyDescent="0.3">
      <c r="I114" t="str">
        <f>_xlfn.IFNA(INDEX('[1]Sector list'!$A$2:$A$122,MATCH(H114,'[1]Sector list'!$B$2:$B$122,0)),"")</f>
        <v/>
      </c>
      <c r="J114" s="172"/>
    </row>
    <row r="115" spans="9:10" x14ac:dyDescent="0.3">
      <c r="I115" t="str">
        <f>_xlfn.IFNA(INDEX('[1]Sector list'!$A$2:$A$122,MATCH(H115,'[1]Sector list'!$B$2:$B$122,0)),"")</f>
        <v/>
      </c>
      <c r="J115" s="172"/>
    </row>
    <row r="116" spans="9:10" x14ac:dyDescent="0.3">
      <c r="I116" t="str">
        <f>_xlfn.IFNA(INDEX('[1]Sector list'!$A$2:$A$122,MATCH(H116,'[1]Sector list'!$B$2:$B$122,0)),"")</f>
        <v/>
      </c>
      <c r="J116" s="172"/>
    </row>
    <row r="117" spans="9:10" x14ac:dyDescent="0.3">
      <c r="I117" t="str">
        <f>_xlfn.IFNA(INDEX('[1]Sector list'!$A$2:$A$122,MATCH(H117,'[1]Sector list'!$B$2:$B$122,0)),"")</f>
        <v/>
      </c>
      <c r="J117" s="172"/>
    </row>
    <row r="118" spans="9:10" x14ac:dyDescent="0.3">
      <c r="I118" t="str">
        <f>_xlfn.IFNA(INDEX('[1]Sector list'!$A$2:$A$122,MATCH(H118,'[1]Sector list'!$B$2:$B$122,0)),"")</f>
        <v/>
      </c>
      <c r="J118" s="172"/>
    </row>
    <row r="119" spans="9:10" x14ac:dyDescent="0.3">
      <c r="I119" t="str">
        <f>_xlfn.IFNA(INDEX('[1]Sector list'!$A$2:$A$122,MATCH(H119,'[1]Sector list'!$B$2:$B$122,0)),"")</f>
        <v/>
      </c>
      <c r="J119" s="172"/>
    </row>
    <row r="120" spans="9:10" x14ac:dyDescent="0.3">
      <c r="I120" t="str">
        <f>_xlfn.IFNA(INDEX('[1]Sector list'!$A$2:$A$122,MATCH(H120,'[1]Sector list'!$B$2:$B$122,0)),"")</f>
        <v/>
      </c>
      <c r="J120" s="172"/>
    </row>
    <row r="121" spans="9:10" x14ac:dyDescent="0.3">
      <c r="I121" t="str">
        <f>_xlfn.IFNA(INDEX('[1]Sector list'!$A$2:$A$122,MATCH(H121,'[1]Sector list'!$B$2:$B$122,0)),"")</f>
        <v/>
      </c>
      <c r="J121" s="172"/>
    </row>
    <row r="122" spans="9:10" x14ac:dyDescent="0.3">
      <c r="I122" t="str">
        <f>_xlfn.IFNA(INDEX('[1]Sector list'!$A$2:$A$122,MATCH(H122,'[1]Sector list'!$B$2:$B$122,0)),"")</f>
        <v/>
      </c>
      <c r="J122" s="172"/>
    </row>
    <row r="123" spans="9:10" x14ac:dyDescent="0.3">
      <c r="I123" t="str">
        <f>_xlfn.IFNA(INDEX('[1]Sector list'!$A$2:$A$122,MATCH(H123,'[1]Sector list'!$B$2:$B$122,0)),"")</f>
        <v/>
      </c>
      <c r="J123" s="172"/>
    </row>
    <row r="124" spans="9:10" x14ac:dyDescent="0.3">
      <c r="I124" t="str">
        <f>_xlfn.IFNA(INDEX('[1]Sector list'!$A$2:$A$122,MATCH(H124,'[1]Sector list'!$B$2:$B$122,0)),"")</f>
        <v/>
      </c>
      <c r="J124" s="172"/>
    </row>
    <row r="125" spans="9:10" x14ac:dyDescent="0.3">
      <c r="I125" t="str">
        <f>_xlfn.IFNA(INDEX('[1]Sector list'!$A$2:$A$122,MATCH(H125,'[1]Sector list'!$B$2:$B$122,0)),"")</f>
        <v/>
      </c>
      <c r="J125" s="172"/>
    </row>
    <row r="126" spans="9:10" x14ac:dyDescent="0.3">
      <c r="I126" t="str">
        <f>_xlfn.IFNA(INDEX('[1]Sector list'!$A$2:$A$122,MATCH(H126,'[1]Sector list'!$B$2:$B$122,0)),"")</f>
        <v/>
      </c>
      <c r="J126" s="172"/>
    </row>
    <row r="127" spans="9:10" x14ac:dyDescent="0.3">
      <c r="I127" t="str">
        <f>_xlfn.IFNA(INDEX('[1]Sector list'!$A$2:$A$122,MATCH(H127,'[1]Sector list'!$B$2:$B$122,0)),"")</f>
        <v/>
      </c>
      <c r="J127" s="172"/>
    </row>
    <row r="128" spans="9:10" x14ac:dyDescent="0.3">
      <c r="I128" t="str">
        <f>_xlfn.IFNA(INDEX('[1]Sector list'!$A$2:$A$122,MATCH(H128,'[1]Sector list'!$B$2:$B$122,0)),"")</f>
        <v/>
      </c>
      <c r="J128" s="172"/>
    </row>
    <row r="129" spans="9:10" x14ac:dyDescent="0.3">
      <c r="I129" t="str">
        <f>_xlfn.IFNA(INDEX('[1]Sector list'!$A$2:$A$122,MATCH(H129,'[1]Sector list'!$B$2:$B$122,0)),"")</f>
        <v/>
      </c>
      <c r="J129" s="172"/>
    </row>
    <row r="130" spans="9:10" x14ac:dyDescent="0.3">
      <c r="I130" t="str">
        <f>_xlfn.IFNA(INDEX('[1]Sector list'!$A$2:$A$122,MATCH(H130,'[1]Sector list'!$B$2:$B$122,0)),"")</f>
        <v/>
      </c>
      <c r="J130" s="172"/>
    </row>
    <row r="131" spans="9:10" x14ac:dyDescent="0.3">
      <c r="I131" t="str">
        <f>_xlfn.IFNA(INDEX('[1]Sector list'!$A$2:$A$122,MATCH(H131,'[1]Sector list'!$B$2:$B$122,0)),"")</f>
        <v/>
      </c>
      <c r="J131" s="172"/>
    </row>
    <row r="132" spans="9:10" x14ac:dyDescent="0.3">
      <c r="I132" t="str">
        <f>_xlfn.IFNA(INDEX('[1]Sector list'!$A$2:$A$122,MATCH(H132,'[1]Sector list'!$B$2:$B$122,0)),"")</f>
        <v/>
      </c>
      <c r="J132" s="172"/>
    </row>
    <row r="133" spans="9:10" x14ac:dyDescent="0.3">
      <c r="I133" t="str">
        <f>_xlfn.IFNA(INDEX('[1]Sector list'!$A$2:$A$122,MATCH(H133,'[1]Sector list'!$B$2:$B$122,0)),"")</f>
        <v/>
      </c>
      <c r="J133" s="172"/>
    </row>
    <row r="134" spans="9:10" x14ac:dyDescent="0.3">
      <c r="I134" t="str">
        <f>_xlfn.IFNA(INDEX('[1]Sector list'!$A$2:$A$122,MATCH(H134,'[1]Sector list'!$B$2:$B$122,0)),"")</f>
        <v/>
      </c>
      <c r="J134" s="172"/>
    </row>
    <row r="135" spans="9:10" x14ac:dyDescent="0.3">
      <c r="I135" t="str">
        <f>_xlfn.IFNA(INDEX('[1]Sector list'!$A$2:$A$122,MATCH(H135,'[1]Sector list'!$B$2:$B$122,0)),"")</f>
        <v/>
      </c>
      <c r="J135" s="172"/>
    </row>
    <row r="136" spans="9:10" x14ac:dyDescent="0.3">
      <c r="I136" t="str">
        <f>_xlfn.IFNA(INDEX('[1]Sector list'!$A$2:$A$122,MATCH(H136,'[1]Sector list'!$B$2:$B$122,0)),"")</f>
        <v/>
      </c>
      <c r="J136" s="172"/>
    </row>
    <row r="137" spans="9:10" x14ac:dyDescent="0.3">
      <c r="I137" t="str">
        <f>_xlfn.IFNA(INDEX('[1]Sector list'!$A$2:$A$122,MATCH(H137,'[1]Sector list'!$B$2:$B$122,0)),"")</f>
        <v/>
      </c>
      <c r="J137" s="172"/>
    </row>
    <row r="138" spans="9:10" x14ac:dyDescent="0.3">
      <c r="I138" t="str">
        <f>_xlfn.IFNA(INDEX('[1]Sector list'!$A$2:$A$122,MATCH(H138,'[1]Sector list'!$B$2:$B$122,0)),"")</f>
        <v/>
      </c>
      <c r="J138" s="172"/>
    </row>
    <row r="139" spans="9:10" x14ac:dyDescent="0.3">
      <c r="I139" t="str">
        <f>_xlfn.IFNA(INDEX('[1]Sector list'!$A$2:$A$122,MATCH(H139,'[1]Sector list'!$B$2:$B$122,0)),"")</f>
        <v/>
      </c>
      <c r="J139" s="172"/>
    </row>
    <row r="140" spans="9:10" x14ac:dyDescent="0.3">
      <c r="I140" t="str">
        <f>_xlfn.IFNA(INDEX('[1]Sector list'!$A$2:$A$122,MATCH(H140,'[1]Sector list'!$B$2:$B$122,0)),"")</f>
        <v/>
      </c>
      <c r="J140" s="172"/>
    </row>
    <row r="141" spans="9:10" x14ac:dyDescent="0.3">
      <c r="I141" t="str">
        <f>_xlfn.IFNA(INDEX('[1]Sector list'!$A$2:$A$122,MATCH(H141,'[1]Sector list'!$B$2:$B$122,0)),"")</f>
        <v/>
      </c>
      <c r="J141" s="172"/>
    </row>
    <row r="142" spans="9:10" x14ac:dyDescent="0.3">
      <c r="I142" t="str">
        <f>_xlfn.IFNA(INDEX('[1]Sector list'!$A$2:$A$122,MATCH(H142,'[1]Sector list'!$B$2:$B$122,0)),"")</f>
        <v/>
      </c>
      <c r="J142" s="172"/>
    </row>
    <row r="143" spans="9:10" x14ac:dyDescent="0.3">
      <c r="I143" t="str">
        <f>_xlfn.IFNA(INDEX('[1]Sector list'!$A$2:$A$122,MATCH(H143,'[1]Sector list'!$B$2:$B$122,0)),"")</f>
        <v/>
      </c>
      <c r="J143" s="172"/>
    </row>
    <row r="144" spans="9:10" x14ac:dyDescent="0.3">
      <c r="I144" t="str">
        <f>_xlfn.IFNA(INDEX('[1]Sector list'!$A$2:$A$122,MATCH(H144,'[1]Sector list'!$B$2:$B$122,0)),"")</f>
        <v/>
      </c>
      <c r="J144" s="172"/>
    </row>
    <row r="145" spans="9:10" x14ac:dyDescent="0.3">
      <c r="I145" t="str">
        <f>_xlfn.IFNA(INDEX('[1]Sector list'!$A$2:$A$122,MATCH(H145,'[1]Sector list'!$B$2:$B$122,0)),"")</f>
        <v/>
      </c>
      <c r="J145" s="172"/>
    </row>
    <row r="146" spans="9:10" x14ac:dyDescent="0.3">
      <c r="I146" t="str">
        <f>_xlfn.IFNA(INDEX('[1]Sector list'!$A$2:$A$122,MATCH(H146,'[1]Sector list'!$B$2:$B$122,0)),"")</f>
        <v/>
      </c>
      <c r="J146" s="172"/>
    </row>
    <row r="147" spans="9:10" x14ac:dyDescent="0.3">
      <c r="I147" t="str">
        <f>_xlfn.IFNA(INDEX('[1]Sector list'!$A$2:$A$122,MATCH(H147,'[1]Sector list'!$B$2:$B$122,0)),"")</f>
        <v/>
      </c>
      <c r="J147" s="172"/>
    </row>
    <row r="148" spans="9:10" x14ac:dyDescent="0.3">
      <c r="I148" t="str">
        <f>_xlfn.IFNA(INDEX('[1]Sector list'!$A$2:$A$122,MATCH(H148,'[1]Sector list'!$B$2:$B$122,0)),"")</f>
        <v/>
      </c>
      <c r="J148" s="172"/>
    </row>
    <row r="149" spans="9:10" x14ac:dyDescent="0.3">
      <c r="I149" t="str">
        <f>_xlfn.IFNA(INDEX('[1]Sector list'!$A$2:$A$122,MATCH(H149,'[1]Sector list'!$B$2:$B$122,0)),"")</f>
        <v/>
      </c>
      <c r="J149" s="172"/>
    </row>
    <row r="150" spans="9:10" x14ac:dyDescent="0.3">
      <c r="I150" t="str">
        <f>_xlfn.IFNA(INDEX('[1]Sector list'!$A$2:$A$122,MATCH(H150,'[1]Sector list'!$B$2:$B$122,0)),"")</f>
        <v/>
      </c>
      <c r="J150" s="172"/>
    </row>
    <row r="151" spans="9:10" x14ac:dyDescent="0.3">
      <c r="I151" t="str">
        <f>_xlfn.IFNA(INDEX('[1]Sector list'!$A$2:$A$122,MATCH(H151,'[1]Sector list'!$B$2:$B$122,0)),"")</f>
        <v/>
      </c>
      <c r="J151" s="172"/>
    </row>
    <row r="152" spans="9:10" x14ac:dyDescent="0.3">
      <c r="I152" t="str">
        <f>_xlfn.IFNA(INDEX('[1]Sector list'!$A$2:$A$122,MATCH(H152,'[1]Sector list'!$B$2:$B$122,0)),"")</f>
        <v/>
      </c>
      <c r="J152" s="172"/>
    </row>
    <row r="153" spans="9:10" x14ac:dyDescent="0.3">
      <c r="I153" t="str">
        <f>_xlfn.IFNA(INDEX('[1]Sector list'!$A$2:$A$122,MATCH(H153,'[1]Sector list'!$B$2:$B$122,0)),"")</f>
        <v/>
      </c>
      <c r="J153" s="172"/>
    </row>
    <row r="154" spans="9:10" x14ac:dyDescent="0.3">
      <c r="I154" t="str">
        <f>_xlfn.IFNA(INDEX('[1]Sector list'!$A$2:$A$122,MATCH(H154,'[1]Sector list'!$B$2:$B$122,0)),"")</f>
        <v/>
      </c>
      <c r="J154" s="172"/>
    </row>
    <row r="155" spans="9:10" x14ac:dyDescent="0.3">
      <c r="I155" t="str">
        <f>_xlfn.IFNA(INDEX('[1]Sector list'!$A$2:$A$122,MATCH(H155,'[1]Sector list'!$B$2:$B$122,0)),"")</f>
        <v/>
      </c>
      <c r="J155" s="172"/>
    </row>
    <row r="156" spans="9:10" x14ac:dyDescent="0.3">
      <c r="I156" t="str">
        <f>_xlfn.IFNA(INDEX('[1]Sector list'!$A$2:$A$122,MATCH(H156,'[1]Sector list'!$B$2:$B$122,0)),"")</f>
        <v/>
      </c>
      <c r="J156" s="172"/>
    </row>
    <row r="157" spans="9:10" x14ac:dyDescent="0.3">
      <c r="I157" t="str">
        <f>_xlfn.IFNA(INDEX('[1]Sector list'!$A$2:$A$122,MATCH(H157,'[1]Sector list'!$B$2:$B$122,0)),"")</f>
        <v/>
      </c>
      <c r="J157" s="172"/>
    </row>
    <row r="158" spans="9:10" x14ac:dyDescent="0.3">
      <c r="I158" t="str">
        <f>_xlfn.IFNA(INDEX('[1]Sector list'!$A$2:$A$122,MATCH(H158,'[1]Sector list'!$B$2:$B$122,0)),"")</f>
        <v/>
      </c>
      <c r="J158" s="172"/>
    </row>
    <row r="159" spans="9:10" x14ac:dyDescent="0.3">
      <c r="I159" t="str">
        <f>_xlfn.IFNA(INDEX('[1]Sector list'!$A$2:$A$122,MATCH(H159,'[1]Sector list'!$B$2:$B$122,0)),"")</f>
        <v/>
      </c>
      <c r="J159" s="172"/>
    </row>
    <row r="160" spans="9:10" x14ac:dyDescent="0.3">
      <c r="I160" t="str">
        <f>_xlfn.IFNA(INDEX('[1]Sector list'!$A$2:$A$122,MATCH(H160,'[1]Sector list'!$B$2:$B$122,0)),"")</f>
        <v/>
      </c>
      <c r="J160" s="172"/>
    </row>
    <row r="161" spans="9:10" x14ac:dyDescent="0.3">
      <c r="I161" t="str">
        <f>_xlfn.IFNA(INDEX('[1]Sector list'!$A$2:$A$122,MATCH(H161,'[1]Sector list'!$B$2:$B$122,0)),"")</f>
        <v/>
      </c>
      <c r="J161" s="172"/>
    </row>
    <row r="162" spans="9:10" x14ac:dyDescent="0.3">
      <c r="I162" t="str">
        <f>_xlfn.IFNA(INDEX('[1]Sector list'!$A$2:$A$122,MATCH(H162,'[1]Sector list'!$B$2:$B$122,0)),"")</f>
        <v/>
      </c>
      <c r="J162" s="172"/>
    </row>
    <row r="163" spans="9:10" x14ac:dyDescent="0.3">
      <c r="I163" t="str">
        <f>_xlfn.IFNA(INDEX('[1]Sector list'!$A$2:$A$122,MATCH(H163,'[1]Sector list'!$B$2:$B$122,0)),"")</f>
        <v/>
      </c>
      <c r="J163" s="172"/>
    </row>
    <row r="164" spans="9:10" x14ac:dyDescent="0.3">
      <c r="I164" t="str">
        <f>_xlfn.IFNA(INDEX('[1]Sector list'!$A$2:$A$122,MATCH(H164,'[1]Sector list'!$B$2:$B$122,0)),"")</f>
        <v/>
      </c>
      <c r="J164" s="172"/>
    </row>
    <row r="165" spans="9:10" x14ac:dyDescent="0.3">
      <c r="I165" t="str">
        <f>_xlfn.IFNA(INDEX('[1]Sector list'!$A$2:$A$122,MATCH(H165,'[1]Sector list'!$B$2:$B$122,0)),"")</f>
        <v/>
      </c>
      <c r="J165" s="172"/>
    </row>
    <row r="166" spans="9:10" x14ac:dyDescent="0.3">
      <c r="I166" t="str">
        <f>_xlfn.IFNA(INDEX('[1]Sector list'!$A$2:$A$122,MATCH(H166,'[1]Sector list'!$B$2:$B$122,0)),"")</f>
        <v/>
      </c>
      <c r="J166" s="172"/>
    </row>
    <row r="167" spans="9:10" x14ac:dyDescent="0.3">
      <c r="I167" t="str">
        <f>_xlfn.IFNA(INDEX('[1]Sector list'!$A$2:$A$122,MATCH(H167,'[1]Sector list'!$B$2:$B$122,0)),"")</f>
        <v/>
      </c>
      <c r="J167" s="172"/>
    </row>
    <row r="168" spans="9:10" x14ac:dyDescent="0.3">
      <c r="I168" t="str">
        <f>_xlfn.IFNA(INDEX('[1]Sector list'!$A$2:$A$122,MATCH(H168,'[1]Sector list'!$B$2:$B$122,0)),"")</f>
        <v/>
      </c>
      <c r="J168" s="172"/>
    </row>
    <row r="169" spans="9:10" x14ac:dyDescent="0.3">
      <c r="I169" t="str">
        <f>_xlfn.IFNA(INDEX('[1]Sector list'!$A$2:$A$122,MATCH(H169,'[1]Sector list'!$B$2:$B$122,0)),"")</f>
        <v/>
      </c>
      <c r="J169" s="172"/>
    </row>
    <row r="170" spans="9:10" x14ac:dyDescent="0.3">
      <c r="I170" t="str">
        <f>_xlfn.IFNA(INDEX('[1]Sector list'!$A$2:$A$122,MATCH(H170,'[1]Sector list'!$B$2:$B$122,0)),"")</f>
        <v/>
      </c>
      <c r="J170" s="172"/>
    </row>
    <row r="171" spans="9:10" x14ac:dyDescent="0.3">
      <c r="I171" t="str">
        <f>_xlfn.IFNA(INDEX('[1]Sector list'!$A$2:$A$122,MATCH(H171,'[1]Sector list'!$B$2:$B$122,0)),"")</f>
        <v/>
      </c>
      <c r="J171" s="172"/>
    </row>
    <row r="172" spans="9:10" x14ac:dyDescent="0.3">
      <c r="I172" t="str">
        <f>_xlfn.IFNA(INDEX('[1]Sector list'!$A$2:$A$122,MATCH(H172,'[1]Sector list'!$B$2:$B$122,0)),"")</f>
        <v/>
      </c>
      <c r="J172" s="172"/>
    </row>
    <row r="173" spans="9:10" x14ac:dyDescent="0.3">
      <c r="I173" t="str">
        <f>_xlfn.IFNA(INDEX('[1]Sector list'!$A$2:$A$122,MATCH(H173,'[1]Sector list'!$B$2:$B$122,0)),"")</f>
        <v/>
      </c>
      <c r="J173" s="172"/>
    </row>
    <row r="174" spans="9:10" x14ac:dyDescent="0.3">
      <c r="I174" t="str">
        <f>_xlfn.IFNA(INDEX('[1]Sector list'!$A$2:$A$122,MATCH(H174,'[1]Sector list'!$B$2:$B$122,0)),"")</f>
        <v/>
      </c>
      <c r="J174" s="172"/>
    </row>
    <row r="175" spans="9:10" x14ac:dyDescent="0.3">
      <c r="I175" t="str">
        <f>_xlfn.IFNA(INDEX('[1]Sector list'!$A$2:$A$122,MATCH(H175,'[1]Sector list'!$B$2:$B$122,0)),"")</f>
        <v/>
      </c>
      <c r="J175" s="172"/>
    </row>
    <row r="176" spans="9:10" x14ac:dyDescent="0.3">
      <c r="I176" t="str">
        <f>_xlfn.IFNA(INDEX('[1]Sector list'!$A$2:$A$122,MATCH(H176,'[1]Sector list'!$B$2:$B$122,0)),"")</f>
        <v/>
      </c>
      <c r="J176" s="172"/>
    </row>
    <row r="177" spans="9:10" x14ac:dyDescent="0.3">
      <c r="I177" t="str">
        <f>_xlfn.IFNA(INDEX('[1]Sector list'!$A$2:$A$122,MATCH(H177,'[1]Sector list'!$B$2:$B$122,0)),"")</f>
        <v/>
      </c>
      <c r="J177" s="172"/>
    </row>
    <row r="178" spans="9:10" x14ac:dyDescent="0.3">
      <c r="I178" t="str">
        <f>_xlfn.IFNA(INDEX('[1]Sector list'!$A$2:$A$122,MATCH(H178,'[1]Sector list'!$B$2:$B$122,0)),"")</f>
        <v/>
      </c>
      <c r="J178" s="172"/>
    </row>
    <row r="179" spans="9:10" x14ac:dyDescent="0.3">
      <c r="I179" t="str">
        <f>_xlfn.IFNA(INDEX('[1]Sector list'!$A$2:$A$122,MATCH(H179,'[1]Sector list'!$B$2:$B$122,0)),"")</f>
        <v/>
      </c>
      <c r="J179" s="172"/>
    </row>
    <row r="180" spans="9:10" x14ac:dyDescent="0.3">
      <c r="I180" t="str">
        <f>_xlfn.IFNA(INDEX('[1]Sector list'!$A$2:$A$122,MATCH(H180,'[1]Sector list'!$B$2:$B$122,0)),"")</f>
        <v/>
      </c>
      <c r="J180" s="172"/>
    </row>
    <row r="181" spans="9:10" x14ac:dyDescent="0.3">
      <c r="I181" t="str">
        <f>_xlfn.IFNA(INDEX('[1]Sector list'!$A$2:$A$122,MATCH(H181,'[1]Sector list'!$B$2:$B$122,0)),"")</f>
        <v/>
      </c>
      <c r="J181" s="172"/>
    </row>
    <row r="182" spans="9:10" x14ac:dyDescent="0.3">
      <c r="I182" t="str">
        <f>_xlfn.IFNA(INDEX('[1]Sector list'!$A$2:$A$122,MATCH(H182,'[1]Sector list'!$B$2:$B$122,0)),"")</f>
        <v/>
      </c>
      <c r="J182" s="172"/>
    </row>
    <row r="183" spans="9:10" x14ac:dyDescent="0.3">
      <c r="I183" t="str">
        <f>_xlfn.IFNA(INDEX('[1]Sector list'!$A$2:$A$122,MATCH(H183,'[1]Sector list'!$B$2:$B$122,0)),"")</f>
        <v/>
      </c>
      <c r="J183" s="172"/>
    </row>
    <row r="184" spans="9:10" x14ac:dyDescent="0.3">
      <c r="I184" t="str">
        <f>_xlfn.IFNA(INDEX('[1]Sector list'!$A$2:$A$122,MATCH(H184,'[1]Sector list'!$B$2:$B$122,0)),"")</f>
        <v/>
      </c>
      <c r="J184" s="172"/>
    </row>
    <row r="185" spans="9:10" x14ac:dyDescent="0.3">
      <c r="I185" t="str">
        <f>_xlfn.IFNA(INDEX('[1]Sector list'!$A$2:$A$122,MATCH(H185,'[1]Sector list'!$B$2:$B$122,0)),"")</f>
        <v/>
      </c>
      <c r="J185" s="172"/>
    </row>
    <row r="186" spans="9:10" x14ac:dyDescent="0.3">
      <c r="I186" t="str">
        <f>_xlfn.IFNA(INDEX('[1]Sector list'!$A$2:$A$122,MATCH(H186,'[1]Sector list'!$B$2:$B$122,0)),"")</f>
        <v/>
      </c>
      <c r="J186" s="172"/>
    </row>
    <row r="187" spans="9:10" x14ac:dyDescent="0.3">
      <c r="I187" t="str">
        <f>_xlfn.IFNA(INDEX('[1]Sector list'!$A$2:$A$122,MATCH(H187,'[1]Sector list'!$B$2:$B$122,0)),"")</f>
        <v/>
      </c>
      <c r="J187" s="172"/>
    </row>
    <row r="188" spans="9:10" x14ac:dyDescent="0.3">
      <c r="I188" t="str">
        <f>_xlfn.IFNA(INDEX('[1]Sector list'!$A$2:$A$122,MATCH(H188,'[1]Sector list'!$B$2:$B$122,0)),"")</f>
        <v/>
      </c>
      <c r="J188" s="172"/>
    </row>
    <row r="189" spans="9:10" x14ac:dyDescent="0.3">
      <c r="I189" t="str">
        <f>_xlfn.IFNA(INDEX('[1]Sector list'!$A$2:$A$122,MATCH(H189,'[1]Sector list'!$B$2:$B$122,0)),"")</f>
        <v/>
      </c>
      <c r="J189" s="172"/>
    </row>
    <row r="190" spans="9:10" x14ac:dyDescent="0.3">
      <c r="I190" t="str">
        <f>_xlfn.IFNA(INDEX('[1]Sector list'!$A$2:$A$122,MATCH(H190,'[1]Sector list'!$B$2:$B$122,0)),"")</f>
        <v/>
      </c>
      <c r="J190" s="172"/>
    </row>
    <row r="191" spans="9:10" x14ac:dyDescent="0.3">
      <c r="I191" t="str">
        <f>_xlfn.IFNA(INDEX('[1]Sector list'!$A$2:$A$122,MATCH(H191,'[1]Sector list'!$B$2:$B$122,0)),"")</f>
        <v/>
      </c>
      <c r="J191" s="172"/>
    </row>
    <row r="192" spans="9:10" x14ac:dyDescent="0.3">
      <c r="I192" t="str">
        <f>_xlfn.IFNA(INDEX('[1]Sector list'!$A$2:$A$122,MATCH(H192,'[1]Sector list'!$B$2:$B$122,0)),"")</f>
        <v/>
      </c>
      <c r="J192" s="172"/>
    </row>
    <row r="193" spans="9:10" x14ac:dyDescent="0.3">
      <c r="I193" t="str">
        <f>_xlfn.IFNA(INDEX('[1]Sector list'!$A$2:$A$122,MATCH(H193,'[1]Sector list'!$B$2:$B$122,0)),"")</f>
        <v/>
      </c>
      <c r="J193" s="172"/>
    </row>
    <row r="194" spans="9:10" x14ac:dyDescent="0.3">
      <c r="I194" t="str">
        <f>_xlfn.IFNA(INDEX('[1]Sector list'!$A$2:$A$122,MATCH(H194,'[1]Sector list'!$B$2:$B$122,0)),"")</f>
        <v/>
      </c>
      <c r="J194" s="172"/>
    </row>
    <row r="195" spans="9:10" x14ac:dyDescent="0.3">
      <c r="I195" t="str">
        <f>_xlfn.IFNA(INDEX('[1]Sector list'!$A$2:$A$122,MATCH(H195,'[1]Sector list'!$B$2:$B$122,0)),"")</f>
        <v/>
      </c>
      <c r="J195" s="172"/>
    </row>
    <row r="196" spans="9:10" x14ac:dyDescent="0.3">
      <c r="I196" t="str">
        <f>_xlfn.IFNA(INDEX('[1]Sector list'!$A$2:$A$122,MATCH(H196,'[1]Sector list'!$B$2:$B$122,0)),"")</f>
        <v/>
      </c>
      <c r="J196" s="172"/>
    </row>
    <row r="197" spans="9:10" x14ac:dyDescent="0.3">
      <c r="I197" t="str">
        <f>_xlfn.IFNA(INDEX('[1]Sector list'!$A$2:$A$122,MATCH(H197,'[1]Sector list'!$B$2:$B$122,0)),"")</f>
        <v/>
      </c>
      <c r="J197" s="172"/>
    </row>
    <row r="198" spans="9:10" x14ac:dyDescent="0.3">
      <c r="I198" t="str">
        <f>_xlfn.IFNA(INDEX('[1]Sector list'!$A$2:$A$122,MATCH(H198,'[1]Sector list'!$B$2:$B$122,0)),"")</f>
        <v/>
      </c>
      <c r="J198" s="172"/>
    </row>
    <row r="199" spans="9:10" x14ac:dyDescent="0.3">
      <c r="I199" t="str">
        <f>_xlfn.IFNA(INDEX('[1]Sector list'!$A$2:$A$122,MATCH(H199,'[1]Sector list'!$B$2:$B$122,0)),"")</f>
        <v/>
      </c>
      <c r="J199" s="172"/>
    </row>
    <row r="200" spans="9:10" x14ac:dyDescent="0.3">
      <c r="I200" t="str">
        <f>_xlfn.IFNA(INDEX('[1]Sector list'!$A$2:$A$122,MATCH(H200,'[1]Sector list'!$B$2:$B$122,0)),"")</f>
        <v/>
      </c>
      <c r="J200" s="172"/>
    </row>
    <row r="201" spans="9:10" x14ac:dyDescent="0.3">
      <c r="I201" t="str">
        <f>_xlfn.IFNA(INDEX('[1]Sector list'!$A$2:$A$122,MATCH(H201,'[1]Sector list'!$B$2:$B$122,0)),"")</f>
        <v/>
      </c>
      <c r="J201" s="172"/>
    </row>
    <row r="202" spans="9:10" x14ac:dyDescent="0.3">
      <c r="I202" t="str">
        <f>_xlfn.IFNA(INDEX('[1]Sector list'!$A$2:$A$122,MATCH(H202,'[1]Sector list'!$B$2:$B$122,0)),"")</f>
        <v/>
      </c>
      <c r="J202" s="172"/>
    </row>
    <row r="203" spans="9:10" x14ac:dyDescent="0.3">
      <c r="I203" t="str">
        <f>_xlfn.IFNA(INDEX('[1]Sector list'!$A$2:$A$122,MATCH(H203,'[1]Sector list'!$B$2:$B$122,0)),"")</f>
        <v/>
      </c>
      <c r="J203" s="172"/>
    </row>
    <row r="204" spans="9:10" x14ac:dyDescent="0.3">
      <c r="I204" t="str">
        <f>_xlfn.IFNA(INDEX('[1]Sector list'!$A$2:$A$122,MATCH(H204,'[1]Sector list'!$B$2:$B$122,0)),"")</f>
        <v/>
      </c>
      <c r="J204" s="172"/>
    </row>
    <row r="205" spans="9:10" x14ac:dyDescent="0.3">
      <c r="I205" t="str">
        <f>_xlfn.IFNA(INDEX('[1]Sector list'!$A$2:$A$122,MATCH(H205,'[1]Sector list'!$B$2:$B$122,0)),"")</f>
        <v/>
      </c>
      <c r="J205" s="172"/>
    </row>
    <row r="206" spans="9:10" x14ac:dyDescent="0.3">
      <c r="I206" t="str">
        <f>_xlfn.IFNA(INDEX('[1]Sector list'!$A$2:$A$122,MATCH(H206,'[1]Sector list'!$B$2:$B$122,0)),"")</f>
        <v/>
      </c>
      <c r="J206" s="172"/>
    </row>
    <row r="207" spans="9:10" x14ac:dyDescent="0.3">
      <c r="I207" t="str">
        <f>_xlfn.IFNA(INDEX('[1]Sector list'!$A$2:$A$122,MATCH(H207,'[1]Sector list'!$B$2:$B$122,0)),"")</f>
        <v/>
      </c>
      <c r="J207" s="172"/>
    </row>
    <row r="208" spans="9:10" x14ac:dyDescent="0.3">
      <c r="I208" t="str">
        <f>_xlfn.IFNA(INDEX('[1]Sector list'!$A$2:$A$122,MATCH(H208,'[1]Sector list'!$B$2:$B$122,0)),"")</f>
        <v/>
      </c>
      <c r="J208" s="172"/>
    </row>
    <row r="209" spans="9:10" x14ac:dyDescent="0.3">
      <c r="I209" t="str">
        <f>_xlfn.IFNA(INDEX('[1]Sector list'!$A$2:$A$122,MATCH(H209,'[1]Sector list'!$B$2:$B$122,0)),"")</f>
        <v/>
      </c>
      <c r="J209" s="172"/>
    </row>
    <row r="210" spans="9:10" x14ac:dyDescent="0.3">
      <c r="I210" t="str">
        <f>_xlfn.IFNA(INDEX('[1]Sector list'!$A$2:$A$122,MATCH(H210,'[1]Sector list'!$B$2:$B$122,0)),"")</f>
        <v/>
      </c>
      <c r="J210" s="172"/>
    </row>
    <row r="211" spans="9:10" x14ac:dyDescent="0.3">
      <c r="I211" t="str">
        <f>_xlfn.IFNA(INDEX('[1]Sector list'!$A$2:$A$122,MATCH(H211,'[1]Sector list'!$B$2:$B$122,0)),"")</f>
        <v/>
      </c>
      <c r="J211" s="172"/>
    </row>
    <row r="212" spans="9:10" x14ac:dyDescent="0.3">
      <c r="I212" t="str">
        <f>_xlfn.IFNA(INDEX('[1]Sector list'!$A$2:$A$122,MATCH(H212,'[1]Sector list'!$B$2:$B$122,0)),"")</f>
        <v/>
      </c>
      <c r="J212" s="172"/>
    </row>
    <row r="213" spans="9:10" x14ac:dyDescent="0.3">
      <c r="I213" t="str">
        <f>_xlfn.IFNA(INDEX('[1]Sector list'!$A$2:$A$122,MATCH(H213,'[1]Sector list'!$B$2:$B$122,0)),"")</f>
        <v/>
      </c>
      <c r="J213" s="172"/>
    </row>
    <row r="214" spans="9:10" x14ac:dyDescent="0.3">
      <c r="I214" t="str">
        <f>_xlfn.IFNA(INDEX('[1]Sector list'!$A$2:$A$122,MATCH(H214,'[1]Sector list'!$B$2:$B$122,0)),"")</f>
        <v/>
      </c>
      <c r="J214" s="172"/>
    </row>
    <row r="215" spans="9:10" x14ac:dyDescent="0.3">
      <c r="I215" t="str">
        <f>_xlfn.IFNA(INDEX('[1]Sector list'!$A$2:$A$122,MATCH(H215,'[1]Sector list'!$B$2:$B$122,0)),"")</f>
        <v/>
      </c>
      <c r="J215" s="172"/>
    </row>
    <row r="216" spans="9:10" x14ac:dyDescent="0.3">
      <c r="I216" t="str">
        <f>_xlfn.IFNA(INDEX('[1]Sector list'!$A$2:$A$122,MATCH(H216,'[1]Sector list'!$B$2:$B$122,0)),"")</f>
        <v/>
      </c>
      <c r="J216" s="172"/>
    </row>
    <row r="217" spans="9:10" x14ac:dyDescent="0.3">
      <c r="I217" t="str">
        <f>_xlfn.IFNA(INDEX('[1]Sector list'!$A$2:$A$122,MATCH(H217,'[1]Sector list'!$B$2:$B$122,0)),"")</f>
        <v/>
      </c>
      <c r="J217" s="172"/>
    </row>
    <row r="218" spans="9:10" x14ac:dyDescent="0.3">
      <c r="I218" t="str">
        <f>_xlfn.IFNA(INDEX('[1]Sector list'!$A$2:$A$122,MATCH(H218,'[1]Sector list'!$B$2:$B$122,0)),"")</f>
        <v/>
      </c>
      <c r="J218" s="172"/>
    </row>
    <row r="219" spans="9:10" x14ac:dyDescent="0.3">
      <c r="I219" t="str">
        <f>_xlfn.IFNA(INDEX('[1]Sector list'!$A$2:$A$122,MATCH(H219,'[1]Sector list'!$B$2:$B$122,0)),"")</f>
        <v/>
      </c>
      <c r="J219" s="172"/>
    </row>
    <row r="220" spans="9:10" x14ac:dyDescent="0.3">
      <c r="I220" t="str">
        <f>_xlfn.IFNA(INDEX('[1]Sector list'!$A$2:$A$122,MATCH(H220,'[1]Sector list'!$B$2:$B$122,0)),"")</f>
        <v/>
      </c>
      <c r="J220" s="172"/>
    </row>
    <row r="221" spans="9:10" x14ac:dyDescent="0.3">
      <c r="I221" t="str">
        <f>_xlfn.IFNA(INDEX('[1]Sector list'!$A$2:$A$122,MATCH(H221,'[1]Sector list'!$B$2:$B$122,0)),"")</f>
        <v/>
      </c>
      <c r="J221" s="172"/>
    </row>
    <row r="222" spans="9:10" x14ac:dyDescent="0.3">
      <c r="I222" t="str">
        <f>_xlfn.IFNA(INDEX('[1]Sector list'!$A$2:$A$122,MATCH(H222,'[1]Sector list'!$B$2:$B$122,0)),"")</f>
        <v/>
      </c>
      <c r="J222" s="172"/>
    </row>
    <row r="223" spans="9:10" x14ac:dyDescent="0.3">
      <c r="I223" t="str">
        <f>_xlfn.IFNA(INDEX('[1]Sector list'!$A$2:$A$122,MATCH(H223,'[1]Sector list'!$B$2:$B$122,0)),"")</f>
        <v/>
      </c>
      <c r="J223" s="172"/>
    </row>
    <row r="224" spans="9:10" x14ac:dyDescent="0.3">
      <c r="I224" t="str">
        <f>_xlfn.IFNA(INDEX('[1]Sector list'!$A$2:$A$122,MATCH(H224,'[1]Sector list'!$B$2:$B$122,0)),"")</f>
        <v/>
      </c>
      <c r="J224" s="172"/>
    </row>
    <row r="225" spans="9:10" x14ac:dyDescent="0.3">
      <c r="I225" t="str">
        <f>_xlfn.IFNA(INDEX('[1]Sector list'!$A$2:$A$122,MATCH(H225,'[1]Sector list'!$B$2:$B$122,0)),"")</f>
        <v/>
      </c>
      <c r="J225" s="172"/>
    </row>
    <row r="226" spans="9:10" x14ac:dyDescent="0.3">
      <c r="I226" t="str">
        <f>_xlfn.IFNA(INDEX('[1]Sector list'!$A$2:$A$122,MATCH(H226,'[1]Sector list'!$B$2:$B$122,0)),"")</f>
        <v/>
      </c>
      <c r="J226" s="172"/>
    </row>
    <row r="227" spans="9:10" x14ac:dyDescent="0.3">
      <c r="I227" t="str">
        <f>_xlfn.IFNA(INDEX('[1]Sector list'!$A$2:$A$122,MATCH(H227,'[1]Sector list'!$B$2:$B$122,0)),"")</f>
        <v/>
      </c>
      <c r="J227" s="172"/>
    </row>
    <row r="228" spans="9:10" x14ac:dyDescent="0.3">
      <c r="I228" t="str">
        <f>_xlfn.IFNA(INDEX('[1]Sector list'!$A$2:$A$122,MATCH(H228,'[1]Sector list'!$B$2:$B$122,0)),"")</f>
        <v/>
      </c>
      <c r="J228" s="172"/>
    </row>
    <row r="229" spans="9:10" x14ac:dyDescent="0.3">
      <c r="I229" t="str">
        <f>_xlfn.IFNA(INDEX('[1]Sector list'!$A$2:$A$122,MATCH(H229,'[1]Sector list'!$B$2:$B$122,0)),"")</f>
        <v/>
      </c>
      <c r="J229" s="172"/>
    </row>
    <row r="230" spans="9:10" x14ac:dyDescent="0.3">
      <c r="I230" t="str">
        <f>_xlfn.IFNA(INDEX('[1]Sector list'!$A$2:$A$122,MATCH(H230,'[1]Sector list'!$B$2:$B$122,0)),"")</f>
        <v/>
      </c>
      <c r="J230" s="172"/>
    </row>
    <row r="231" spans="9:10" x14ac:dyDescent="0.3">
      <c r="I231" t="str">
        <f>_xlfn.IFNA(INDEX('[1]Sector list'!$A$2:$A$122,MATCH(H231,'[1]Sector list'!$B$2:$B$122,0)),"")</f>
        <v/>
      </c>
      <c r="J231" s="172"/>
    </row>
    <row r="232" spans="9:10" x14ac:dyDescent="0.3">
      <c r="I232" t="str">
        <f>_xlfn.IFNA(INDEX('[1]Sector list'!$A$2:$A$122,MATCH(H232,'[1]Sector list'!$B$2:$B$122,0)),"")</f>
        <v/>
      </c>
      <c r="J232" s="172"/>
    </row>
    <row r="233" spans="9:10" x14ac:dyDescent="0.3">
      <c r="I233" t="str">
        <f>_xlfn.IFNA(INDEX('[1]Sector list'!$A$2:$A$122,MATCH(H233,'[1]Sector list'!$B$2:$B$122,0)),"")</f>
        <v/>
      </c>
      <c r="J233" s="172"/>
    </row>
    <row r="234" spans="9:10" x14ac:dyDescent="0.3">
      <c r="I234" t="str">
        <f>_xlfn.IFNA(INDEX('[1]Sector list'!$A$2:$A$122,MATCH(H234,'[1]Sector list'!$B$2:$B$122,0)),"")</f>
        <v/>
      </c>
      <c r="J234" s="172"/>
    </row>
    <row r="235" spans="9:10" x14ac:dyDescent="0.3">
      <c r="I235" t="str">
        <f>_xlfn.IFNA(INDEX('[1]Sector list'!$A$2:$A$122,MATCH(H235,'[1]Sector list'!$B$2:$B$122,0)),"")</f>
        <v/>
      </c>
      <c r="J235" s="172"/>
    </row>
    <row r="236" spans="9:10" x14ac:dyDescent="0.3">
      <c r="I236" t="str">
        <f>_xlfn.IFNA(INDEX('[1]Sector list'!$A$2:$A$122,MATCH(H236,'[1]Sector list'!$B$2:$B$122,0)),"")</f>
        <v/>
      </c>
      <c r="J236" s="172"/>
    </row>
    <row r="237" spans="9:10" x14ac:dyDescent="0.3">
      <c r="I237" t="str">
        <f>_xlfn.IFNA(INDEX('[1]Sector list'!$A$2:$A$122,MATCH(H237,'[1]Sector list'!$B$2:$B$122,0)),"")</f>
        <v/>
      </c>
      <c r="J237" s="172"/>
    </row>
    <row r="238" spans="9:10" x14ac:dyDescent="0.3">
      <c r="I238" t="str">
        <f>_xlfn.IFNA(INDEX('[1]Sector list'!$A$2:$A$122,MATCH(H238,'[1]Sector list'!$B$2:$B$122,0)),"")</f>
        <v/>
      </c>
      <c r="J238" s="172"/>
    </row>
    <row r="239" spans="9:10" x14ac:dyDescent="0.3">
      <c r="I239" t="str">
        <f>_xlfn.IFNA(INDEX('[1]Sector list'!$A$2:$A$122,MATCH(H239,'[1]Sector list'!$B$2:$B$122,0)),"")</f>
        <v/>
      </c>
      <c r="J239" s="172"/>
    </row>
    <row r="240" spans="9:10" x14ac:dyDescent="0.3">
      <c r="I240" t="str">
        <f>_xlfn.IFNA(INDEX('[1]Sector list'!$A$2:$A$122,MATCH(H240,'[1]Sector list'!$B$2:$B$122,0)),"")</f>
        <v/>
      </c>
      <c r="J240" s="172"/>
    </row>
    <row r="241" spans="9:10" x14ac:dyDescent="0.3">
      <c r="I241" t="str">
        <f>_xlfn.IFNA(INDEX('[1]Sector list'!$A$2:$A$122,MATCH(H241,'[1]Sector list'!$B$2:$B$122,0)),"")</f>
        <v/>
      </c>
      <c r="J241" s="172"/>
    </row>
    <row r="242" spans="9:10" x14ac:dyDescent="0.3">
      <c r="I242" t="str">
        <f>_xlfn.IFNA(INDEX('[1]Sector list'!$A$2:$A$122,MATCH(H242,'[1]Sector list'!$B$2:$B$122,0)),"")</f>
        <v/>
      </c>
      <c r="J242" s="172"/>
    </row>
    <row r="243" spans="9:10" x14ac:dyDescent="0.3">
      <c r="I243" t="str">
        <f>_xlfn.IFNA(INDEX('[1]Sector list'!$A$2:$A$122,MATCH(H243,'[1]Sector list'!$B$2:$B$122,0)),"")</f>
        <v/>
      </c>
      <c r="J243" s="172"/>
    </row>
    <row r="244" spans="9:10" x14ac:dyDescent="0.3">
      <c r="I244" t="str">
        <f>_xlfn.IFNA(INDEX('[1]Sector list'!$A$2:$A$122,MATCH(H244,'[1]Sector list'!$B$2:$B$122,0)),"")</f>
        <v/>
      </c>
      <c r="J244" s="172"/>
    </row>
    <row r="245" spans="9:10" x14ac:dyDescent="0.3">
      <c r="I245" t="str">
        <f>_xlfn.IFNA(INDEX('[1]Sector list'!$A$2:$A$122,MATCH(H245,'[1]Sector list'!$B$2:$B$122,0)),"")</f>
        <v/>
      </c>
      <c r="J245" s="172"/>
    </row>
    <row r="246" spans="9:10" x14ac:dyDescent="0.3">
      <c r="I246" t="str">
        <f>_xlfn.IFNA(INDEX('[1]Sector list'!$A$2:$A$122,MATCH(H246,'[1]Sector list'!$B$2:$B$122,0)),"")</f>
        <v/>
      </c>
      <c r="J246" s="172"/>
    </row>
    <row r="247" spans="9:10" x14ac:dyDescent="0.3">
      <c r="I247" t="str">
        <f>_xlfn.IFNA(INDEX('[1]Sector list'!$A$2:$A$122,MATCH(H247,'[1]Sector list'!$B$2:$B$122,0)),"")</f>
        <v/>
      </c>
      <c r="J247" s="172"/>
    </row>
    <row r="248" spans="9:10" x14ac:dyDescent="0.3">
      <c r="I248" t="str">
        <f>_xlfn.IFNA(INDEX('[1]Sector list'!$A$2:$A$122,MATCH(H248,'[1]Sector list'!$B$2:$B$122,0)),"")</f>
        <v/>
      </c>
      <c r="J248" s="172"/>
    </row>
    <row r="249" spans="9:10" x14ac:dyDescent="0.3">
      <c r="I249" t="str">
        <f>_xlfn.IFNA(INDEX('[1]Sector list'!$A$2:$A$122,MATCH(H249,'[1]Sector list'!$B$2:$B$122,0)),"")</f>
        <v/>
      </c>
      <c r="J249" s="172"/>
    </row>
    <row r="250" spans="9:10" x14ac:dyDescent="0.3">
      <c r="I250" t="str">
        <f>_xlfn.IFNA(INDEX('[1]Sector list'!$A$2:$A$122,MATCH(H250,'[1]Sector list'!$B$2:$B$122,0)),"")</f>
        <v/>
      </c>
      <c r="J250" s="172"/>
    </row>
    <row r="251" spans="9:10" x14ac:dyDescent="0.3">
      <c r="I251" t="str">
        <f>_xlfn.IFNA(INDEX('[1]Sector list'!$A$2:$A$122,MATCH(H251,'[1]Sector list'!$B$2:$B$122,0)),"")</f>
        <v/>
      </c>
      <c r="J251" s="172"/>
    </row>
    <row r="252" spans="9:10" x14ac:dyDescent="0.3">
      <c r="I252" t="str">
        <f>_xlfn.IFNA(INDEX('[1]Sector list'!$A$2:$A$122,MATCH(H252,'[1]Sector list'!$B$2:$B$122,0)),"")</f>
        <v/>
      </c>
      <c r="J252" s="172"/>
    </row>
    <row r="253" spans="9:10" x14ac:dyDescent="0.3">
      <c r="I253" t="str">
        <f>_xlfn.IFNA(INDEX('[1]Sector list'!$A$2:$A$122,MATCH(H253,'[1]Sector list'!$B$2:$B$122,0)),"")</f>
        <v/>
      </c>
      <c r="J253" s="172"/>
    </row>
    <row r="254" spans="9:10" x14ac:dyDescent="0.3">
      <c r="I254" t="str">
        <f>_xlfn.IFNA(INDEX('[1]Sector list'!$A$2:$A$122,MATCH(H254,'[1]Sector list'!$B$2:$B$122,0)),"")</f>
        <v/>
      </c>
      <c r="J254" s="172"/>
    </row>
    <row r="255" spans="9:10" x14ac:dyDescent="0.3">
      <c r="I255" t="str">
        <f>_xlfn.IFNA(INDEX('[1]Sector list'!$A$2:$A$122,MATCH(H255,'[1]Sector list'!$B$2:$B$122,0)),"")</f>
        <v/>
      </c>
      <c r="J255" s="172"/>
    </row>
    <row r="256" spans="9:10" x14ac:dyDescent="0.3">
      <c r="I256" t="str">
        <f>_xlfn.IFNA(INDEX('[1]Sector list'!$A$2:$A$122,MATCH(H256,'[1]Sector list'!$B$2:$B$122,0)),"")</f>
        <v/>
      </c>
      <c r="J256" s="172"/>
    </row>
    <row r="257" spans="9:10" x14ac:dyDescent="0.3">
      <c r="I257" t="str">
        <f>_xlfn.IFNA(INDEX('[1]Sector list'!$A$2:$A$122,MATCH(H257,'[1]Sector list'!$B$2:$B$122,0)),"")</f>
        <v/>
      </c>
      <c r="J257" s="172"/>
    </row>
    <row r="258" spans="9:10" x14ac:dyDescent="0.3">
      <c r="I258" t="str">
        <f>_xlfn.IFNA(INDEX('[1]Sector list'!$A$2:$A$122,MATCH(H258,'[1]Sector list'!$B$2:$B$122,0)),"")</f>
        <v/>
      </c>
      <c r="J258" s="172"/>
    </row>
    <row r="259" spans="9:10" x14ac:dyDescent="0.3">
      <c r="I259" t="str">
        <f>_xlfn.IFNA(INDEX('[1]Sector list'!$A$2:$A$122,MATCH(H259,'[1]Sector list'!$B$2:$B$122,0)),"")</f>
        <v/>
      </c>
      <c r="J259" s="172"/>
    </row>
    <row r="260" spans="9:10" x14ac:dyDescent="0.3">
      <c r="I260" t="str">
        <f>_xlfn.IFNA(INDEX('[1]Sector list'!$A$2:$A$122,MATCH(H260,'[1]Sector list'!$B$2:$B$122,0)),"")</f>
        <v/>
      </c>
      <c r="J260" s="172"/>
    </row>
    <row r="261" spans="9:10" x14ac:dyDescent="0.3">
      <c r="I261" t="str">
        <f>_xlfn.IFNA(INDEX('[1]Sector list'!$A$2:$A$122,MATCH(H261,'[1]Sector list'!$B$2:$B$122,0)),"")</f>
        <v/>
      </c>
      <c r="J261" s="172"/>
    </row>
    <row r="262" spans="9:10" x14ac:dyDescent="0.3">
      <c r="I262" t="str">
        <f>_xlfn.IFNA(INDEX('[1]Sector list'!$A$2:$A$122,MATCH(H262,'[1]Sector list'!$B$2:$B$122,0)),"")</f>
        <v/>
      </c>
      <c r="J262" s="172"/>
    </row>
    <row r="263" spans="9:10" x14ac:dyDescent="0.3">
      <c r="I263" t="str">
        <f>_xlfn.IFNA(INDEX('[1]Sector list'!$A$2:$A$122,MATCH(H263,'[1]Sector list'!$B$2:$B$122,0)),"")</f>
        <v/>
      </c>
      <c r="J263" s="172"/>
    </row>
    <row r="264" spans="9:10" x14ac:dyDescent="0.3">
      <c r="I264" t="str">
        <f>_xlfn.IFNA(INDEX('[1]Sector list'!$A$2:$A$122,MATCH(H264,'[1]Sector list'!$B$2:$B$122,0)),"")</f>
        <v/>
      </c>
      <c r="J264" s="172"/>
    </row>
    <row r="265" spans="9:10" x14ac:dyDescent="0.3">
      <c r="I265" t="str">
        <f>_xlfn.IFNA(INDEX('[1]Sector list'!$A$2:$A$122,MATCH(H265,'[1]Sector list'!$B$2:$B$122,0)),"")</f>
        <v/>
      </c>
      <c r="J265" s="172"/>
    </row>
    <row r="266" spans="9:10" x14ac:dyDescent="0.3">
      <c r="I266" t="str">
        <f>_xlfn.IFNA(INDEX('[1]Sector list'!$A$2:$A$122,MATCH(H266,'[1]Sector list'!$B$2:$B$122,0)),"")</f>
        <v/>
      </c>
      <c r="J266" s="172"/>
    </row>
    <row r="267" spans="9:10" x14ac:dyDescent="0.3">
      <c r="I267" t="str">
        <f>_xlfn.IFNA(INDEX('[1]Sector list'!$A$2:$A$122,MATCH(H267,'[1]Sector list'!$B$2:$B$122,0)),"")</f>
        <v/>
      </c>
      <c r="J267" s="172"/>
    </row>
    <row r="268" spans="9:10" x14ac:dyDescent="0.3">
      <c r="I268" t="str">
        <f>_xlfn.IFNA(INDEX('[1]Sector list'!$A$2:$A$122,MATCH(H268,'[1]Sector list'!$B$2:$B$122,0)),"")</f>
        <v/>
      </c>
      <c r="J268" s="172"/>
    </row>
    <row r="269" spans="9:10" x14ac:dyDescent="0.3">
      <c r="I269" t="str">
        <f>_xlfn.IFNA(INDEX('[1]Sector list'!$A$2:$A$122,MATCH(H269,'[1]Sector list'!$B$2:$B$122,0)),"")</f>
        <v/>
      </c>
      <c r="J269" s="172"/>
    </row>
    <row r="270" spans="9:10" x14ac:dyDescent="0.3">
      <c r="I270" t="str">
        <f>_xlfn.IFNA(INDEX('[1]Sector list'!$A$2:$A$122,MATCH(H270,'[1]Sector list'!$B$2:$B$122,0)),"")</f>
        <v/>
      </c>
      <c r="J270" s="172"/>
    </row>
    <row r="271" spans="9:10" x14ac:dyDescent="0.3">
      <c r="I271" t="str">
        <f>_xlfn.IFNA(INDEX('[1]Sector list'!$A$2:$A$122,MATCH(H271,'[1]Sector list'!$B$2:$B$122,0)),"")</f>
        <v/>
      </c>
      <c r="J271" s="172"/>
    </row>
    <row r="272" spans="9:10" x14ac:dyDescent="0.3">
      <c r="I272" t="str">
        <f>_xlfn.IFNA(INDEX('[1]Sector list'!$A$2:$A$122,MATCH(H272,'[1]Sector list'!$B$2:$B$122,0)),"")</f>
        <v/>
      </c>
      <c r="J272" s="172"/>
    </row>
    <row r="273" spans="9:10" x14ac:dyDescent="0.3">
      <c r="I273" t="str">
        <f>_xlfn.IFNA(INDEX('[1]Sector list'!$A$2:$A$122,MATCH(H273,'[1]Sector list'!$B$2:$B$122,0)),"")</f>
        <v/>
      </c>
      <c r="J273" s="172"/>
    </row>
    <row r="274" spans="9:10" x14ac:dyDescent="0.3">
      <c r="I274" t="str">
        <f>_xlfn.IFNA(INDEX('[1]Sector list'!$A$2:$A$122,MATCH(H274,'[1]Sector list'!$B$2:$B$122,0)),"")</f>
        <v/>
      </c>
      <c r="J274" s="172"/>
    </row>
    <row r="275" spans="9:10" x14ac:dyDescent="0.3">
      <c r="I275" t="str">
        <f>_xlfn.IFNA(INDEX('[1]Sector list'!$A$2:$A$122,MATCH(H275,'[1]Sector list'!$B$2:$B$122,0)),"")</f>
        <v/>
      </c>
      <c r="J275" s="172"/>
    </row>
    <row r="276" spans="9:10" x14ac:dyDescent="0.3">
      <c r="I276" t="str">
        <f>_xlfn.IFNA(INDEX('[1]Sector list'!$A$2:$A$122,MATCH(H276,'[1]Sector list'!$B$2:$B$122,0)),"")</f>
        <v/>
      </c>
      <c r="J276" s="172"/>
    </row>
    <row r="277" spans="9:10" x14ac:dyDescent="0.3">
      <c r="I277" t="str">
        <f>_xlfn.IFNA(INDEX('[1]Sector list'!$A$2:$A$122,MATCH(H277,'[1]Sector list'!$B$2:$B$122,0)),"")</f>
        <v/>
      </c>
      <c r="J277" s="172"/>
    </row>
    <row r="278" spans="9:10" x14ac:dyDescent="0.3">
      <c r="I278" t="str">
        <f>_xlfn.IFNA(INDEX('[1]Sector list'!$A$2:$A$122,MATCH(H278,'[1]Sector list'!$B$2:$B$122,0)),"")</f>
        <v/>
      </c>
      <c r="J278" s="172"/>
    </row>
    <row r="279" spans="9:10" x14ac:dyDescent="0.3">
      <c r="I279" t="str">
        <f>_xlfn.IFNA(INDEX('[1]Sector list'!$A$2:$A$122,MATCH(H279,'[1]Sector list'!$B$2:$B$122,0)),"")</f>
        <v/>
      </c>
      <c r="J279" s="172"/>
    </row>
    <row r="280" spans="9:10" x14ac:dyDescent="0.3">
      <c r="I280" t="str">
        <f>_xlfn.IFNA(INDEX('[1]Sector list'!$A$2:$A$122,MATCH(H280,'[1]Sector list'!$B$2:$B$122,0)),"")</f>
        <v/>
      </c>
      <c r="J280" s="172"/>
    </row>
    <row r="281" spans="9:10" x14ac:dyDescent="0.3">
      <c r="I281" t="str">
        <f>_xlfn.IFNA(INDEX('[1]Sector list'!$A$2:$A$122,MATCH(H281,'[1]Sector list'!$B$2:$B$122,0)),"")</f>
        <v/>
      </c>
      <c r="J281" s="172"/>
    </row>
    <row r="282" spans="9:10" x14ac:dyDescent="0.3">
      <c r="I282" t="str">
        <f>_xlfn.IFNA(INDEX('[1]Sector list'!$A$2:$A$122,MATCH(H282,'[1]Sector list'!$B$2:$B$122,0)),"")</f>
        <v/>
      </c>
      <c r="J282" s="172"/>
    </row>
    <row r="283" spans="9:10" x14ac:dyDescent="0.3">
      <c r="I283" t="str">
        <f>_xlfn.IFNA(INDEX('[1]Sector list'!$A$2:$A$122,MATCH(H283,'[1]Sector list'!$B$2:$B$122,0)),"")</f>
        <v/>
      </c>
      <c r="J283" s="172"/>
    </row>
    <row r="284" spans="9:10" x14ac:dyDescent="0.3">
      <c r="I284" t="str">
        <f>_xlfn.IFNA(INDEX('[1]Sector list'!$A$2:$A$122,MATCH(H284,'[1]Sector list'!$B$2:$B$122,0)),"")</f>
        <v/>
      </c>
      <c r="J284" s="172"/>
    </row>
    <row r="285" spans="9:10" x14ac:dyDescent="0.3">
      <c r="I285" t="str">
        <f>_xlfn.IFNA(INDEX('[1]Sector list'!$A$2:$A$122,MATCH(H285,'[1]Sector list'!$B$2:$B$122,0)),"")</f>
        <v/>
      </c>
      <c r="J285" s="172"/>
    </row>
    <row r="286" spans="9:10" x14ac:dyDescent="0.3">
      <c r="I286" t="str">
        <f>_xlfn.IFNA(INDEX('[1]Sector list'!$A$2:$A$122,MATCH(H286,'[1]Sector list'!$B$2:$B$122,0)),"")</f>
        <v/>
      </c>
      <c r="J286" s="172"/>
    </row>
    <row r="287" spans="9:10" x14ac:dyDescent="0.3">
      <c r="I287" t="str">
        <f>_xlfn.IFNA(INDEX('[1]Sector list'!$A$2:$A$122,MATCH(H287,'[1]Sector list'!$B$2:$B$122,0)),"")</f>
        <v/>
      </c>
      <c r="J287" s="172"/>
    </row>
    <row r="288" spans="9:10" x14ac:dyDescent="0.3">
      <c r="I288" t="str">
        <f>_xlfn.IFNA(INDEX('[1]Sector list'!$A$2:$A$122,MATCH(H288,'[1]Sector list'!$B$2:$B$122,0)),"")</f>
        <v/>
      </c>
      <c r="J288" s="172"/>
    </row>
    <row r="289" spans="9:10" x14ac:dyDescent="0.3">
      <c r="I289" t="str">
        <f>_xlfn.IFNA(INDEX('[1]Sector list'!$A$2:$A$122,MATCH(H289,'[1]Sector list'!$B$2:$B$122,0)),"")</f>
        <v/>
      </c>
      <c r="J289" s="172"/>
    </row>
    <row r="290" spans="9:10" x14ac:dyDescent="0.3">
      <c r="I290" t="str">
        <f>_xlfn.IFNA(INDEX('[1]Sector list'!$A$2:$A$122,MATCH(H290,'[1]Sector list'!$B$2:$B$122,0)),"")</f>
        <v/>
      </c>
      <c r="J290" s="172"/>
    </row>
    <row r="291" spans="9:10" x14ac:dyDescent="0.3">
      <c r="I291" t="str">
        <f>_xlfn.IFNA(INDEX('[1]Sector list'!$A$2:$A$122,MATCH(H291,'[1]Sector list'!$B$2:$B$122,0)),"")</f>
        <v/>
      </c>
      <c r="J291" s="172"/>
    </row>
    <row r="292" spans="9:10" x14ac:dyDescent="0.3">
      <c r="I292" t="str">
        <f>_xlfn.IFNA(INDEX('[1]Sector list'!$A$2:$A$122,MATCH(H292,'[1]Sector list'!$B$2:$B$122,0)),"")</f>
        <v/>
      </c>
      <c r="J292" s="172"/>
    </row>
    <row r="293" spans="9:10" x14ac:dyDescent="0.3">
      <c r="I293" t="str">
        <f>_xlfn.IFNA(INDEX('[1]Sector list'!$A$2:$A$122,MATCH(H293,'[1]Sector list'!$B$2:$B$122,0)),"")</f>
        <v/>
      </c>
      <c r="J293" s="172"/>
    </row>
    <row r="294" spans="9:10" x14ac:dyDescent="0.3">
      <c r="I294" t="str">
        <f>_xlfn.IFNA(INDEX('[1]Sector list'!$A$2:$A$122,MATCH(H294,'[1]Sector list'!$B$2:$B$122,0)),"")</f>
        <v/>
      </c>
      <c r="J294" s="172"/>
    </row>
    <row r="295" spans="9:10" x14ac:dyDescent="0.3">
      <c r="I295" t="str">
        <f>_xlfn.IFNA(INDEX('[1]Sector list'!$A$2:$A$122,MATCH(H295,'[1]Sector list'!$B$2:$B$122,0)),"")</f>
        <v/>
      </c>
      <c r="J295" s="172"/>
    </row>
    <row r="296" spans="9:10" x14ac:dyDescent="0.3">
      <c r="I296" t="str">
        <f>_xlfn.IFNA(INDEX('[1]Sector list'!$A$2:$A$122,MATCH(H296,'[1]Sector list'!$B$2:$B$122,0)),"")</f>
        <v/>
      </c>
      <c r="J296" s="172"/>
    </row>
    <row r="297" spans="9:10" x14ac:dyDescent="0.3">
      <c r="I297" t="str">
        <f>_xlfn.IFNA(INDEX('[1]Sector list'!$A$2:$A$122,MATCH(H297,'[1]Sector list'!$B$2:$B$122,0)),"")</f>
        <v/>
      </c>
      <c r="J297" s="172"/>
    </row>
    <row r="298" spans="9:10" x14ac:dyDescent="0.3">
      <c r="I298" t="str">
        <f>_xlfn.IFNA(INDEX('[1]Sector list'!$A$2:$A$122,MATCH(H298,'[1]Sector list'!$B$2:$B$122,0)),"")</f>
        <v/>
      </c>
      <c r="J298" s="172"/>
    </row>
    <row r="299" spans="9:10" x14ac:dyDescent="0.3">
      <c r="I299" t="str">
        <f>_xlfn.IFNA(INDEX('[1]Sector list'!$A$2:$A$122,MATCH(H299,'[1]Sector list'!$B$2:$B$122,0)),"")</f>
        <v/>
      </c>
      <c r="J299" s="172"/>
    </row>
    <row r="300" spans="9:10" x14ac:dyDescent="0.3">
      <c r="I300" t="str">
        <f>_xlfn.IFNA(INDEX('[1]Sector list'!$A$2:$A$122,MATCH(H300,'[1]Sector list'!$B$2:$B$122,0)),"")</f>
        <v/>
      </c>
      <c r="J300" s="172"/>
    </row>
    <row r="301" spans="9:10" x14ac:dyDescent="0.3">
      <c r="I301" t="str">
        <f>_xlfn.IFNA(INDEX('[1]Sector list'!$A$2:$A$122,MATCH(H301,'[1]Sector list'!$B$2:$B$122,0)),"")</f>
        <v/>
      </c>
      <c r="J301" s="172"/>
    </row>
    <row r="302" spans="9:10" x14ac:dyDescent="0.3">
      <c r="I302" t="str">
        <f>_xlfn.IFNA(INDEX('[1]Sector list'!$A$2:$A$122,MATCH(H302,'[1]Sector list'!$B$2:$B$122,0)),"")</f>
        <v/>
      </c>
      <c r="J302" s="172"/>
    </row>
    <row r="303" spans="9:10" x14ac:dyDescent="0.3">
      <c r="I303" t="str">
        <f>_xlfn.IFNA(INDEX('[1]Sector list'!$A$2:$A$122,MATCH(H303,'[1]Sector list'!$B$2:$B$122,0)),"")</f>
        <v/>
      </c>
      <c r="J303" s="172"/>
    </row>
    <row r="304" spans="9:10" x14ac:dyDescent="0.3">
      <c r="I304" t="str">
        <f>_xlfn.IFNA(INDEX('[1]Sector list'!$A$2:$A$122,MATCH(H304,'[1]Sector list'!$B$2:$B$122,0)),"")</f>
        <v/>
      </c>
      <c r="J304" s="172"/>
    </row>
    <row r="305" spans="9:10" x14ac:dyDescent="0.3">
      <c r="I305" t="str">
        <f>_xlfn.IFNA(INDEX('[1]Sector list'!$A$2:$A$122,MATCH(H305,'[1]Sector list'!$B$2:$B$122,0)),"")</f>
        <v/>
      </c>
      <c r="J305" s="172"/>
    </row>
    <row r="306" spans="9:10" x14ac:dyDescent="0.3">
      <c r="I306" t="str">
        <f>_xlfn.IFNA(INDEX('[1]Sector list'!$A$2:$A$122,MATCH(H306,'[1]Sector list'!$B$2:$B$122,0)),"")</f>
        <v/>
      </c>
      <c r="J306" s="172"/>
    </row>
    <row r="307" spans="9:10" x14ac:dyDescent="0.3">
      <c r="I307" t="str">
        <f>_xlfn.IFNA(INDEX('[1]Sector list'!$A$2:$A$122,MATCH(H307,'[1]Sector list'!$B$2:$B$122,0)),"")</f>
        <v/>
      </c>
      <c r="J307" s="172"/>
    </row>
    <row r="308" spans="9:10" x14ac:dyDescent="0.3">
      <c r="I308" t="str">
        <f>_xlfn.IFNA(INDEX('[1]Sector list'!$A$2:$A$122,MATCH(H308,'[1]Sector list'!$B$2:$B$122,0)),"")</f>
        <v/>
      </c>
      <c r="J308" s="172"/>
    </row>
    <row r="309" spans="9:10" x14ac:dyDescent="0.3">
      <c r="I309" t="str">
        <f>_xlfn.IFNA(INDEX('[1]Sector list'!$A$2:$A$122,MATCH(H309,'[1]Sector list'!$B$2:$B$122,0)),"")</f>
        <v/>
      </c>
      <c r="J309" s="172"/>
    </row>
    <row r="310" spans="9:10" x14ac:dyDescent="0.3">
      <c r="I310" t="str">
        <f>_xlfn.IFNA(INDEX('[1]Sector list'!$A$2:$A$122,MATCH(H310,'[1]Sector list'!$B$2:$B$122,0)),"")</f>
        <v/>
      </c>
      <c r="J310" s="172"/>
    </row>
    <row r="311" spans="9:10" x14ac:dyDescent="0.3">
      <c r="I311" t="str">
        <f>_xlfn.IFNA(INDEX('[1]Sector list'!$A$2:$A$122,MATCH(H311,'[1]Sector list'!$B$2:$B$122,0)),"")</f>
        <v/>
      </c>
      <c r="J311" s="172"/>
    </row>
    <row r="312" spans="9:10" x14ac:dyDescent="0.3">
      <c r="I312" t="str">
        <f>_xlfn.IFNA(INDEX('[1]Sector list'!$A$2:$A$122,MATCH(H312,'[1]Sector list'!$B$2:$B$122,0)),"")</f>
        <v/>
      </c>
      <c r="J312" s="172"/>
    </row>
    <row r="313" spans="9:10" x14ac:dyDescent="0.3">
      <c r="I313" t="str">
        <f>_xlfn.IFNA(INDEX('[1]Sector list'!$A$2:$A$122,MATCH(H313,'[1]Sector list'!$B$2:$B$122,0)),"")</f>
        <v/>
      </c>
      <c r="J313" s="172"/>
    </row>
    <row r="314" spans="9:10" x14ac:dyDescent="0.3">
      <c r="I314" t="str">
        <f>_xlfn.IFNA(INDEX('[1]Sector list'!$A$2:$A$122,MATCH(H314,'[1]Sector list'!$B$2:$B$122,0)),"")</f>
        <v/>
      </c>
      <c r="J314" s="172"/>
    </row>
    <row r="315" spans="9:10" x14ac:dyDescent="0.3">
      <c r="I315" t="str">
        <f>_xlfn.IFNA(INDEX('[1]Sector list'!$A$2:$A$122,MATCH(H315,'[1]Sector list'!$B$2:$B$122,0)),"")</f>
        <v/>
      </c>
      <c r="J315" s="172"/>
    </row>
    <row r="316" spans="9:10" x14ac:dyDescent="0.3">
      <c r="I316" t="str">
        <f>_xlfn.IFNA(INDEX('[1]Sector list'!$A$2:$A$122,MATCH(H316,'[1]Sector list'!$B$2:$B$122,0)),"")</f>
        <v/>
      </c>
      <c r="J316" s="172"/>
    </row>
    <row r="317" spans="9:10" x14ac:dyDescent="0.3">
      <c r="I317" t="str">
        <f>_xlfn.IFNA(INDEX('[1]Sector list'!$A$2:$A$122,MATCH(H317,'[1]Sector list'!$B$2:$B$122,0)),"")</f>
        <v/>
      </c>
      <c r="J317" s="172"/>
    </row>
    <row r="318" spans="9:10" x14ac:dyDescent="0.3">
      <c r="I318" t="str">
        <f>_xlfn.IFNA(INDEX('[1]Sector list'!$A$2:$A$122,MATCH(H318,'[1]Sector list'!$B$2:$B$122,0)),"")</f>
        <v/>
      </c>
      <c r="J318" s="172"/>
    </row>
    <row r="319" spans="9:10" x14ac:dyDescent="0.3">
      <c r="I319" t="str">
        <f>_xlfn.IFNA(INDEX('[1]Sector list'!$A$2:$A$122,MATCH(H319,'[1]Sector list'!$B$2:$B$122,0)),"")</f>
        <v/>
      </c>
      <c r="J319" s="172"/>
    </row>
    <row r="320" spans="9:10" x14ac:dyDescent="0.3">
      <c r="I320" t="str">
        <f>_xlfn.IFNA(INDEX('[1]Sector list'!$A$2:$A$122,MATCH(H320,'[1]Sector list'!$B$2:$B$122,0)),"")</f>
        <v/>
      </c>
      <c r="J320" s="172"/>
    </row>
    <row r="321" spans="9:10" x14ac:dyDescent="0.3">
      <c r="I321" t="str">
        <f>_xlfn.IFNA(INDEX('[1]Sector list'!$A$2:$A$122,MATCH(H321,'[1]Sector list'!$B$2:$B$122,0)),"")</f>
        <v/>
      </c>
      <c r="J321" s="172"/>
    </row>
    <row r="322" spans="9:10" x14ac:dyDescent="0.3">
      <c r="I322" t="str">
        <f>_xlfn.IFNA(INDEX('[1]Sector list'!$A$2:$A$122,MATCH(H322,'[1]Sector list'!$B$2:$B$122,0)),"")</f>
        <v/>
      </c>
      <c r="J322" s="172"/>
    </row>
    <row r="323" spans="9:10" x14ac:dyDescent="0.3">
      <c r="I323" t="str">
        <f>_xlfn.IFNA(INDEX('[1]Sector list'!$A$2:$A$122,MATCH(H323,'[1]Sector list'!$B$2:$B$122,0)),"")</f>
        <v/>
      </c>
      <c r="J323" s="172"/>
    </row>
    <row r="324" spans="9:10" x14ac:dyDescent="0.3">
      <c r="I324" t="str">
        <f>_xlfn.IFNA(INDEX('[1]Sector list'!$A$2:$A$122,MATCH(H324,'[1]Sector list'!$B$2:$B$122,0)),"")</f>
        <v/>
      </c>
      <c r="J324" s="172"/>
    </row>
    <row r="325" spans="9:10" x14ac:dyDescent="0.3">
      <c r="I325" t="str">
        <f>_xlfn.IFNA(INDEX('[1]Sector list'!$A$2:$A$122,MATCH(H325,'[1]Sector list'!$B$2:$B$122,0)),"")</f>
        <v/>
      </c>
      <c r="J325" s="172"/>
    </row>
    <row r="326" spans="9:10" x14ac:dyDescent="0.3">
      <c r="I326" t="str">
        <f>_xlfn.IFNA(INDEX('[1]Sector list'!$A$2:$A$122,MATCH(H326,'[1]Sector list'!$B$2:$B$122,0)),"")</f>
        <v/>
      </c>
      <c r="J326" s="172"/>
    </row>
    <row r="327" spans="9:10" x14ac:dyDescent="0.3">
      <c r="I327" t="str">
        <f>_xlfn.IFNA(INDEX('[1]Sector list'!$A$2:$A$122,MATCH(H327,'[1]Sector list'!$B$2:$B$122,0)),"")</f>
        <v/>
      </c>
      <c r="J327" s="172"/>
    </row>
    <row r="328" spans="9:10" x14ac:dyDescent="0.3">
      <c r="I328" t="str">
        <f>_xlfn.IFNA(INDEX('[1]Sector list'!$A$2:$A$122,MATCH(H328,'[1]Sector list'!$B$2:$B$122,0)),"")</f>
        <v/>
      </c>
      <c r="J328" s="172"/>
    </row>
    <row r="329" spans="9:10" x14ac:dyDescent="0.3">
      <c r="I329" t="str">
        <f>_xlfn.IFNA(INDEX('[1]Sector list'!$A$2:$A$122,MATCH(H329,'[1]Sector list'!$B$2:$B$122,0)),"")</f>
        <v/>
      </c>
      <c r="J329" s="172"/>
    </row>
    <row r="330" spans="9:10" x14ac:dyDescent="0.3">
      <c r="I330" t="str">
        <f>_xlfn.IFNA(INDEX('[1]Sector list'!$A$2:$A$122,MATCH(H330,'[1]Sector list'!$B$2:$B$122,0)),"")</f>
        <v/>
      </c>
      <c r="J330" s="172"/>
    </row>
    <row r="331" spans="9:10" x14ac:dyDescent="0.3">
      <c r="I331" t="str">
        <f>_xlfn.IFNA(INDEX('[1]Sector list'!$A$2:$A$122,MATCH(H331,'[1]Sector list'!$B$2:$B$122,0)),"")</f>
        <v/>
      </c>
      <c r="J331" s="172"/>
    </row>
    <row r="332" spans="9:10" x14ac:dyDescent="0.3">
      <c r="I332" t="str">
        <f>_xlfn.IFNA(INDEX('[1]Sector list'!$A$2:$A$122,MATCH(H332,'[1]Sector list'!$B$2:$B$122,0)),"")</f>
        <v/>
      </c>
      <c r="J332" s="172"/>
    </row>
    <row r="333" spans="9:10" x14ac:dyDescent="0.3">
      <c r="I333" t="str">
        <f>_xlfn.IFNA(INDEX('[1]Sector list'!$A$2:$A$122,MATCH(H333,'[1]Sector list'!$B$2:$B$122,0)),"")</f>
        <v/>
      </c>
      <c r="J333" s="172"/>
    </row>
    <row r="334" spans="9:10" x14ac:dyDescent="0.3">
      <c r="I334" t="str">
        <f>_xlfn.IFNA(INDEX('[1]Sector list'!$A$2:$A$122,MATCH(H334,'[1]Sector list'!$B$2:$B$122,0)),"")</f>
        <v/>
      </c>
      <c r="J334" s="172"/>
    </row>
    <row r="335" spans="9:10" x14ac:dyDescent="0.3">
      <c r="I335" t="str">
        <f>_xlfn.IFNA(INDEX('[1]Sector list'!$A$2:$A$122,MATCH(H335,'[1]Sector list'!$B$2:$B$122,0)),"")</f>
        <v/>
      </c>
      <c r="J335" s="172"/>
    </row>
    <row r="336" spans="9:10" x14ac:dyDescent="0.3">
      <c r="I336" t="str">
        <f>_xlfn.IFNA(INDEX('[1]Sector list'!$A$2:$A$122,MATCH(H336,'[1]Sector list'!$B$2:$B$122,0)),"")</f>
        <v/>
      </c>
      <c r="J336" s="172"/>
    </row>
    <row r="337" spans="9:10" x14ac:dyDescent="0.3">
      <c r="I337" t="str">
        <f>_xlfn.IFNA(INDEX('[1]Sector list'!$A$2:$A$122,MATCH(H337,'[1]Sector list'!$B$2:$B$122,0)),"")</f>
        <v/>
      </c>
      <c r="J337" s="172"/>
    </row>
    <row r="338" spans="9:10" x14ac:dyDescent="0.3">
      <c r="I338" t="str">
        <f>_xlfn.IFNA(INDEX('[1]Sector list'!$A$2:$A$122,MATCH(H338,'[1]Sector list'!$B$2:$B$122,0)),"")</f>
        <v/>
      </c>
      <c r="J338" s="172"/>
    </row>
    <row r="339" spans="9:10" x14ac:dyDescent="0.3">
      <c r="I339" t="str">
        <f>_xlfn.IFNA(INDEX('[1]Sector list'!$A$2:$A$122,MATCH(H339,'[1]Sector list'!$B$2:$B$122,0)),"")</f>
        <v/>
      </c>
      <c r="J339" s="172"/>
    </row>
    <row r="340" spans="9:10" x14ac:dyDescent="0.3">
      <c r="I340" t="str">
        <f>_xlfn.IFNA(INDEX('[1]Sector list'!$A$2:$A$122,MATCH(H340,'[1]Sector list'!$B$2:$B$122,0)),"")</f>
        <v/>
      </c>
      <c r="J340" s="172"/>
    </row>
    <row r="341" spans="9:10" x14ac:dyDescent="0.3">
      <c r="I341" t="str">
        <f>_xlfn.IFNA(INDEX('[1]Sector list'!$A$2:$A$122,MATCH(H341,'[1]Sector list'!$B$2:$B$122,0)),"")</f>
        <v/>
      </c>
      <c r="J341" s="172"/>
    </row>
    <row r="342" spans="9:10" x14ac:dyDescent="0.3">
      <c r="I342" t="str">
        <f>_xlfn.IFNA(INDEX('[1]Sector list'!$A$2:$A$122,MATCH(H342,'[1]Sector list'!$B$2:$B$122,0)),"")</f>
        <v/>
      </c>
      <c r="J342" s="172"/>
    </row>
    <row r="343" spans="9:10" x14ac:dyDescent="0.3">
      <c r="I343" t="str">
        <f>_xlfn.IFNA(INDEX('[1]Sector list'!$A$2:$A$122,MATCH(H343,'[1]Sector list'!$B$2:$B$122,0)),"")</f>
        <v/>
      </c>
      <c r="J343" s="172"/>
    </row>
    <row r="344" spans="9:10" x14ac:dyDescent="0.3">
      <c r="I344" t="str">
        <f>_xlfn.IFNA(INDEX('[1]Sector list'!$A$2:$A$122,MATCH(H344,'[1]Sector list'!$B$2:$B$122,0)),"")</f>
        <v/>
      </c>
      <c r="J344" s="172"/>
    </row>
    <row r="345" spans="9:10" x14ac:dyDescent="0.3">
      <c r="I345" t="str">
        <f>_xlfn.IFNA(INDEX('[1]Sector list'!$A$2:$A$122,MATCH(H345,'[1]Sector list'!$B$2:$B$122,0)),"")</f>
        <v/>
      </c>
      <c r="J345" s="172"/>
    </row>
    <row r="346" spans="9:10" x14ac:dyDescent="0.3">
      <c r="I346" t="str">
        <f>_xlfn.IFNA(INDEX('[1]Sector list'!$A$2:$A$122,MATCH(H346,'[1]Sector list'!$B$2:$B$122,0)),"")</f>
        <v/>
      </c>
      <c r="J346" s="172"/>
    </row>
    <row r="347" spans="9:10" x14ac:dyDescent="0.3">
      <c r="I347" t="str">
        <f>_xlfn.IFNA(INDEX('[1]Sector list'!$A$2:$A$122,MATCH(H347,'[1]Sector list'!$B$2:$B$122,0)),"")</f>
        <v/>
      </c>
      <c r="J347" s="172"/>
    </row>
    <row r="348" spans="9:10" x14ac:dyDescent="0.3">
      <c r="I348" t="str">
        <f>_xlfn.IFNA(INDEX('[1]Sector list'!$A$2:$A$122,MATCH(H348,'[1]Sector list'!$B$2:$B$122,0)),"")</f>
        <v/>
      </c>
      <c r="J348" s="172"/>
    </row>
    <row r="349" spans="9:10" x14ac:dyDescent="0.3">
      <c r="I349" t="str">
        <f>_xlfn.IFNA(INDEX('[1]Sector list'!$A$2:$A$122,MATCH(H349,'[1]Sector list'!$B$2:$B$122,0)),"")</f>
        <v/>
      </c>
      <c r="J349" s="172"/>
    </row>
    <row r="350" spans="9:10" x14ac:dyDescent="0.3">
      <c r="I350" t="str">
        <f>_xlfn.IFNA(INDEX('[1]Sector list'!$A$2:$A$122,MATCH(H350,'[1]Sector list'!$B$2:$B$122,0)),"")</f>
        <v/>
      </c>
      <c r="J350" s="172"/>
    </row>
    <row r="351" spans="9:10" x14ac:dyDescent="0.3">
      <c r="I351" t="str">
        <f>_xlfn.IFNA(INDEX('[1]Sector list'!$A$2:$A$122,MATCH(H351,'[1]Sector list'!$B$2:$B$122,0)),"")</f>
        <v/>
      </c>
      <c r="J351" s="172"/>
    </row>
    <row r="352" spans="9:10" x14ac:dyDescent="0.3">
      <c r="I352" t="str">
        <f>_xlfn.IFNA(INDEX('[1]Sector list'!$A$2:$A$122,MATCH(H352,'[1]Sector list'!$B$2:$B$122,0)),"")</f>
        <v/>
      </c>
      <c r="J352" s="172"/>
    </row>
    <row r="353" spans="9:10" x14ac:dyDescent="0.3">
      <c r="I353" t="str">
        <f>_xlfn.IFNA(INDEX('[1]Sector list'!$A$2:$A$122,MATCH(H353,'[1]Sector list'!$B$2:$B$122,0)),"")</f>
        <v/>
      </c>
      <c r="J353" s="172"/>
    </row>
    <row r="354" spans="9:10" x14ac:dyDescent="0.3">
      <c r="I354" t="str">
        <f>_xlfn.IFNA(INDEX('[1]Sector list'!$A$2:$A$122,MATCH(H354,'[1]Sector list'!$B$2:$B$122,0)),"")</f>
        <v/>
      </c>
      <c r="J354" s="172"/>
    </row>
    <row r="355" spans="9:10" x14ac:dyDescent="0.3">
      <c r="I355" t="str">
        <f>_xlfn.IFNA(INDEX('[1]Sector list'!$A$2:$A$122,MATCH(H355,'[1]Sector list'!$B$2:$B$122,0)),"")</f>
        <v/>
      </c>
      <c r="J355" s="172"/>
    </row>
    <row r="356" spans="9:10" x14ac:dyDescent="0.3">
      <c r="I356" t="str">
        <f>_xlfn.IFNA(INDEX('[1]Sector list'!$A$2:$A$122,MATCH(H356,'[1]Sector list'!$B$2:$B$122,0)),"")</f>
        <v/>
      </c>
      <c r="J356" s="172"/>
    </row>
    <row r="357" spans="9:10" x14ac:dyDescent="0.3">
      <c r="I357" t="str">
        <f>_xlfn.IFNA(INDEX('[1]Sector list'!$A$2:$A$122,MATCH(H357,'[1]Sector list'!$B$2:$B$122,0)),"")</f>
        <v/>
      </c>
      <c r="J357" s="172"/>
    </row>
    <row r="358" spans="9:10" x14ac:dyDescent="0.3">
      <c r="I358" t="str">
        <f>_xlfn.IFNA(INDEX('[1]Sector list'!$A$2:$A$122,MATCH(H358,'[1]Sector list'!$B$2:$B$122,0)),"")</f>
        <v/>
      </c>
      <c r="J358" s="172"/>
    </row>
    <row r="359" spans="9:10" x14ac:dyDescent="0.3">
      <c r="I359" t="str">
        <f>_xlfn.IFNA(INDEX('[1]Sector list'!$A$2:$A$122,MATCH(H359,'[1]Sector list'!$B$2:$B$122,0)),"")</f>
        <v/>
      </c>
      <c r="J359" s="172"/>
    </row>
    <row r="360" spans="9:10" x14ac:dyDescent="0.3">
      <c r="I360" t="str">
        <f>_xlfn.IFNA(INDEX('[1]Sector list'!$A$2:$A$122,MATCH(H360,'[1]Sector list'!$B$2:$B$122,0)),"")</f>
        <v/>
      </c>
      <c r="J360" s="172"/>
    </row>
    <row r="361" spans="9:10" x14ac:dyDescent="0.3">
      <c r="I361" t="str">
        <f>_xlfn.IFNA(INDEX('[1]Sector list'!$A$2:$A$122,MATCH(H361,'[1]Sector list'!$B$2:$B$122,0)),"")</f>
        <v/>
      </c>
      <c r="J361" s="172"/>
    </row>
    <row r="362" spans="9:10" x14ac:dyDescent="0.3">
      <c r="I362" t="str">
        <f>_xlfn.IFNA(INDEX('[1]Sector list'!$A$2:$A$122,MATCH(H362,'[1]Sector list'!$B$2:$B$122,0)),"")</f>
        <v/>
      </c>
      <c r="J362" s="172"/>
    </row>
    <row r="363" spans="9:10" x14ac:dyDescent="0.3">
      <c r="I363" t="str">
        <f>_xlfn.IFNA(INDEX('[1]Sector list'!$A$2:$A$122,MATCH(H363,'[1]Sector list'!$B$2:$B$122,0)),"")</f>
        <v/>
      </c>
      <c r="J363" s="172"/>
    </row>
    <row r="364" spans="9:10" x14ac:dyDescent="0.3">
      <c r="I364" t="str">
        <f>_xlfn.IFNA(INDEX('[1]Sector list'!$A$2:$A$122,MATCH(H364,'[1]Sector list'!$B$2:$B$122,0)),"")</f>
        <v/>
      </c>
      <c r="J364" s="172"/>
    </row>
    <row r="365" spans="9:10" x14ac:dyDescent="0.3">
      <c r="I365" t="str">
        <f>_xlfn.IFNA(INDEX('[1]Sector list'!$A$2:$A$122,MATCH(H365,'[1]Sector list'!$B$2:$B$122,0)),"")</f>
        <v/>
      </c>
      <c r="J365" s="172"/>
    </row>
    <row r="366" spans="9:10" x14ac:dyDescent="0.3">
      <c r="I366" t="str">
        <f>_xlfn.IFNA(INDEX('[1]Sector list'!$A$2:$A$122,MATCH(H366,'[1]Sector list'!$B$2:$B$122,0)),"")</f>
        <v/>
      </c>
      <c r="J366" s="172"/>
    </row>
    <row r="367" spans="9:10" x14ac:dyDescent="0.3">
      <c r="I367" t="str">
        <f>_xlfn.IFNA(INDEX('[1]Sector list'!$A$2:$A$122,MATCH(H367,'[1]Sector list'!$B$2:$B$122,0)),"")</f>
        <v/>
      </c>
      <c r="J367" s="172"/>
    </row>
    <row r="368" spans="9:10" x14ac:dyDescent="0.3">
      <c r="I368" t="str">
        <f>_xlfn.IFNA(INDEX('[1]Sector list'!$A$2:$A$122,MATCH(H368,'[1]Sector list'!$B$2:$B$122,0)),"")</f>
        <v/>
      </c>
      <c r="J368" s="172"/>
    </row>
    <row r="369" spans="9:10" x14ac:dyDescent="0.3">
      <c r="I369" t="str">
        <f>_xlfn.IFNA(INDEX('[1]Sector list'!$A$2:$A$122,MATCH(H369,'[1]Sector list'!$B$2:$B$122,0)),"")</f>
        <v/>
      </c>
      <c r="J369" s="172"/>
    </row>
    <row r="370" spans="9:10" x14ac:dyDescent="0.3">
      <c r="I370" t="str">
        <f>_xlfn.IFNA(INDEX('[1]Sector list'!$A$2:$A$122,MATCH(H370,'[1]Sector list'!$B$2:$B$122,0)),"")</f>
        <v/>
      </c>
      <c r="J370" s="172"/>
    </row>
    <row r="371" spans="9:10" x14ac:dyDescent="0.3">
      <c r="I371" t="str">
        <f>_xlfn.IFNA(INDEX('[1]Sector list'!$A$2:$A$122,MATCH(H371,'[1]Sector list'!$B$2:$B$122,0)),"")</f>
        <v/>
      </c>
      <c r="J371" s="172"/>
    </row>
    <row r="372" spans="9:10" x14ac:dyDescent="0.3">
      <c r="I372" t="str">
        <f>_xlfn.IFNA(INDEX('[1]Sector list'!$A$2:$A$122,MATCH(H372,'[1]Sector list'!$B$2:$B$122,0)),"")</f>
        <v/>
      </c>
      <c r="J372" s="172"/>
    </row>
    <row r="373" spans="9:10" x14ac:dyDescent="0.3">
      <c r="I373" t="str">
        <f>_xlfn.IFNA(INDEX('[1]Sector list'!$A$2:$A$122,MATCH(H373,'[1]Sector list'!$B$2:$B$122,0)),"")</f>
        <v/>
      </c>
      <c r="J373" s="172"/>
    </row>
    <row r="374" spans="9:10" x14ac:dyDescent="0.3">
      <c r="I374" t="str">
        <f>_xlfn.IFNA(INDEX('[1]Sector list'!$A$2:$A$122,MATCH(H374,'[1]Sector list'!$B$2:$B$122,0)),"")</f>
        <v/>
      </c>
      <c r="J374" s="172"/>
    </row>
    <row r="375" spans="9:10" x14ac:dyDescent="0.3">
      <c r="I375" t="str">
        <f>_xlfn.IFNA(INDEX('[1]Sector list'!$A$2:$A$122,MATCH(H375,'[1]Sector list'!$B$2:$B$122,0)),"")</f>
        <v/>
      </c>
      <c r="J375" s="172"/>
    </row>
    <row r="376" spans="9:10" x14ac:dyDescent="0.3">
      <c r="I376" t="str">
        <f>_xlfn.IFNA(INDEX('[1]Sector list'!$A$2:$A$122,MATCH(H376,'[1]Sector list'!$B$2:$B$122,0)),"")</f>
        <v/>
      </c>
      <c r="J376" s="172"/>
    </row>
    <row r="377" spans="9:10" x14ac:dyDescent="0.3">
      <c r="I377" t="str">
        <f>_xlfn.IFNA(INDEX('[1]Sector list'!$A$2:$A$122,MATCH(H377,'[1]Sector list'!$B$2:$B$122,0)),"")</f>
        <v/>
      </c>
      <c r="J377" s="172"/>
    </row>
    <row r="378" spans="9:10" x14ac:dyDescent="0.3">
      <c r="I378" t="str">
        <f>_xlfn.IFNA(INDEX('[1]Sector list'!$A$2:$A$122,MATCH(H378,'[1]Sector list'!$B$2:$B$122,0)),"")</f>
        <v/>
      </c>
      <c r="J378" s="172"/>
    </row>
    <row r="379" spans="9:10" x14ac:dyDescent="0.3">
      <c r="I379" t="str">
        <f>_xlfn.IFNA(INDEX('[1]Sector list'!$A$2:$A$122,MATCH(H379,'[1]Sector list'!$B$2:$B$122,0)),"")</f>
        <v/>
      </c>
      <c r="J379" s="172"/>
    </row>
    <row r="380" spans="9:10" x14ac:dyDescent="0.3">
      <c r="I380" t="str">
        <f>_xlfn.IFNA(INDEX('[1]Sector list'!$A$2:$A$122,MATCH(H380,'[1]Sector list'!$B$2:$B$122,0)),"")</f>
        <v/>
      </c>
      <c r="J380" s="172"/>
    </row>
    <row r="381" spans="9:10" x14ac:dyDescent="0.3">
      <c r="I381" t="str">
        <f>_xlfn.IFNA(INDEX('[1]Sector list'!$A$2:$A$122,MATCH(H381,'[1]Sector list'!$B$2:$B$122,0)),"")</f>
        <v/>
      </c>
      <c r="J381" s="172"/>
    </row>
    <row r="382" spans="9:10" x14ac:dyDescent="0.3">
      <c r="I382" t="str">
        <f>_xlfn.IFNA(INDEX('[1]Sector list'!$A$2:$A$122,MATCH(H382,'[1]Sector list'!$B$2:$B$122,0)),"")</f>
        <v/>
      </c>
      <c r="J382" s="172"/>
    </row>
    <row r="383" spans="9:10" x14ac:dyDescent="0.3">
      <c r="I383" t="str">
        <f>_xlfn.IFNA(INDEX('[1]Sector list'!$A$2:$A$122,MATCH(H383,'[1]Sector list'!$B$2:$B$122,0)),"")</f>
        <v/>
      </c>
      <c r="J383" s="172"/>
    </row>
    <row r="384" spans="9:10" x14ac:dyDescent="0.3">
      <c r="I384" t="str">
        <f>_xlfn.IFNA(INDEX('[1]Sector list'!$A$2:$A$122,MATCH(H384,'[1]Sector list'!$B$2:$B$122,0)),"")</f>
        <v/>
      </c>
      <c r="J384" s="172"/>
    </row>
    <row r="385" spans="9:10" x14ac:dyDescent="0.3">
      <c r="I385" t="str">
        <f>_xlfn.IFNA(INDEX('[1]Sector list'!$A$2:$A$122,MATCH(H385,'[1]Sector list'!$B$2:$B$122,0)),"")</f>
        <v/>
      </c>
      <c r="J385" s="172"/>
    </row>
    <row r="386" spans="9:10" x14ac:dyDescent="0.3">
      <c r="I386" t="str">
        <f>_xlfn.IFNA(INDEX('[1]Sector list'!$A$2:$A$122,MATCH(H386,'[1]Sector list'!$B$2:$B$122,0)),"")</f>
        <v/>
      </c>
      <c r="J386" s="172"/>
    </row>
    <row r="387" spans="9:10" x14ac:dyDescent="0.3">
      <c r="I387" t="str">
        <f>_xlfn.IFNA(INDEX('[1]Sector list'!$A$2:$A$122,MATCH(H387,'[1]Sector list'!$B$2:$B$122,0)),"")</f>
        <v/>
      </c>
      <c r="J387" s="172"/>
    </row>
    <row r="388" spans="9:10" x14ac:dyDescent="0.3">
      <c r="I388" t="str">
        <f>_xlfn.IFNA(INDEX('[1]Sector list'!$A$2:$A$122,MATCH(H388,'[1]Sector list'!$B$2:$B$122,0)),"")</f>
        <v/>
      </c>
      <c r="J388" s="172"/>
    </row>
    <row r="389" spans="9:10" x14ac:dyDescent="0.3">
      <c r="I389" t="str">
        <f>_xlfn.IFNA(INDEX('[1]Sector list'!$A$2:$A$122,MATCH(H389,'[1]Sector list'!$B$2:$B$122,0)),"")</f>
        <v/>
      </c>
      <c r="J389" s="172"/>
    </row>
    <row r="390" spans="9:10" x14ac:dyDescent="0.3">
      <c r="I390" t="str">
        <f>_xlfn.IFNA(INDEX('[1]Sector list'!$A$2:$A$122,MATCH(H390,'[1]Sector list'!$B$2:$B$122,0)),"")</f>
        <v/>
      </c>
      <c r="J390" s="172"/>
    </row>
    <row r="391" spans="9:10" x14ac:dyDescent="0.3">
      <c r="I391" t="str">
        <f>_xlfn.IFNA(INDEX('[1]Sector list'!$A$2:$A$122,MATCH(H391,'[1]Sector list'!$B$2:$B$122,0)),"")</f>
        <v/>
      </c>
      <c r="J391" s="172"/>
    </row>
    <row r="392" spans="9:10" x14ac:dyDescent="0.3">
      <c r="I392" t="str">
        <f>_xlfn.IFNA(INDEX('[1]Sector list'!$A$2:$A$122,MATCH(H392,'[1]Sector list'!$B$2:$B$122,0)),"")</f>
        <v/>
      </c>
      <c r="J392" s="172"/>
    </row>
    <row r="393" spans="9:10" x14ac:dyDescent="0.3">
      <c r="I393" t="str">
        <f>_xlfn.IFNA(INDEX('[1]Sector list'!$A$2:$A$122,MATCH(H393,'[1]Sector list'!$B$2:$B$122,0)),"")</f>
        <v/>
      </c>
      <c r="J393" s="172"/>
    </row>
    <row r="394" spans="9:10" x14ac:dyDescent="0.3">
      <c r="I394" t="str">
        <f>_xlfn.IFNA(INDEX('[1]Sector list'!$A$2:$A$122,MATCH(H394,'[1]Sector list'!$B$2:$B$122,0)),"")</f>
        <v/>
      </c>
      <c r="J394" s="172"/>
    </row>
    <row r="395" spans="9:10" x14ac:dyDescent="0.3">
      <c r="I395" t="str">
        <f>_xlfn.IFNA(INDEX('[1]Sector list'!$A$2:$A$122,MATCH(H395,'[1]Sector list'!$B$2:$B$122,0)),"")</f>
        <v/>
      </c>
      <c r="J395" s="172"/>
    </row>
    <row r="396" spans="9:10" x14ac:dyDescent="0.3">
      <c r="I396" t="str">
        <f>_xlfn.IFNA(INDEX('[1]Sector list'!$A$2:$A$122,MATCH(H396,'[1]Sector list'!$B$2:$B$122,0)),"")</f>
        <v/>
      </c>
      <c r="J396" s="172"/>
    </row>
    <row r="397" spans="9:10" x14ac:dyDescent="0.3">
      <c r="I397" t="str">
        <f>_xlfn.IFNA(INDEX('[1]Sector list'!$A$2:$A$122,MATCH(H397,'[1]Sector list'!$B$2:$B$122,0)),"")</f>
        <v/>
      </c>
      <c r="J397" s="172"/>
    </row>
    <row r="398" spans="9:10" x14ac:dyDescent="0.3">
      <c r="I398" t="str">
        <f>_xlfn.IFNA(INDEX('[1]Sector list'!$A$2:$A$122,MATCH(H398,'[1]Sector list'!$B$2:$B$122,0)),"")</f>
        <v/>
      </c>
      <c r="J398" s="172"/>
    </row>
    <row r="399" spans="9:10" x14ac:dyDescent="0.3">
      <c r="I399" t="str">
        <f>_xlfn.IFNA(INDEX('[1]Sector list'!$A$2:$A$122,MATCH(H399,'[1]Sector list'!$B$2:$B$122,0)),"")</f>
        <v/>
      </c>
      <c r="J399" s="172"/>
    </row>
    <row r="400" spans="9:10" x14ac:dyDescent="0.3">
      <c r="I400" t="str">
        <f>_xlfn.IFNA(INDEX('[1]Sector list'!$A$2:$A$122,MATCH(H400,'[1]Sector list'!$B$2:$B$122,0)),"")</f>
        <v/>
      </c>
      <c r="J400" s="172"/>
    </row>
    <row r="401" spans="9:10" x14ac:dyDescent="0.3">
      <c r="I401" t="str">
        <f>_xlfn.IFNA(INDEX('[1]Sector list'!$A$2:$A$122,MATCH(H401,'[1]Sector list'!$B$2:$B$122,0)),"")</f>
        <v/>
      </c>
      <c r="J401" s="172"/>
    </row>
    <row r="402" spans="9:10" x14ac:dyDescent="0.3">
      <c r="I402" t="str">
        <f>_xlfn.IFNA(INDEX('[1]Sector list'!$A$2:$A$122,MATCH(H402,'[1]Sector list'!$B$2:$B$122,0)),"")</f>
        <v/>
      </c>
      <c r="J402" s="172"/>
    </row>
    <row r="403" spans="9:10" x14ac:dyDescent="0.3">
      <c r="I403" t="str">
        <f>_xlfn.IFNA(INDEX('[1]Sector list'!$A$2:$A$122,MATCH(H403,'[1]Sector list'!$B$2:$B$122,0)),"")</f>
        <v/>
      </c>
      <c r="J403" s="172"/>
    </row>
    <row r="404" spans="9:10" x14ac:dyDescent="0.3">
      <c r="I404" t="str">
        <f>_xlfn.IFNA(INDEX('[1]Sector list'!$A$2:$A$122,MATCH(H404,'[1]Sector list'!$B$2:$B$122,0)),"")</f>
        <v/>
      </c>
      <c r="J404" s="172"/>
    </row>
    <row r="405" spans="9:10" x14ac:dyDescent="0.3">
      <c r="I405" t="str">
        <f>_xlfn.IFNA(INDEX('[1]Sector list'!$A$2:$A$122,MATCH(H405,'[1]Sector list'!$B$2:$B$122,0)),"")</f>
        <v/>
      </c>
      <c r="J405" s="172"/>
    </row>
    <row r="406" spans="9:10" x14ac:dyDescent="0.3">
      <c r="I406" t="str">
        <f>_xlfn.IFNA(INDEX('[1]Sector list'!$A$2:$A$122,MATCH(H406,'[1]Sector list'!$B$2:$B$122,0)),"")</f>
        <v/>
      </c>
      <c r="J406" s="172"/>
    </row>
    <row r="407" spans="9:10" x14ac:dyDescent="0.3">
      <c r="I407" t="str">
        <f>_xlfn.IFNA(INDEX('[1]Sector list'!$A$2:$A$122,MATCH(H407,'[1]Sector list'!$B$2:$B$122,0)),"")</f>
        <v/>
      </c>
      <c r="J407" s="172"/>
    </row>
    <row r="408" spans="9:10" x14ac:dyDescent="0.3">
      <c r="I408" t="str">
        <f>_xlfn.IFNA(INDEX('[1]Sector list'!$A$2:$A$122,MATCH(H408,'[1]Sector list'!$B$2:$B$122,0)),"")</f>
        <v/>
      </c>
      <c r="J408" s="172"/>
    </row>
    <row r="409" spans="9:10" x14ac:dyDescent="0.3">
      <c r="I409" t="str">
        <f>_xlfn.IFNA(INDEX('[1]Sector list'!$A$2:$A$122,MATCH(H409,'[1]Sector list'!$B$2:$B$122,0)),"")</f>
        <v/>
      </c>
      <c r="J409" s="172"/>
    </row>
    <row r="410" spans="9:10" x14ac:dyDescent="0.3">
      <c r="I410" t="str">
        <f>_xlfn.IFNA(INDEX('[1]Sector list'!$A$2:$A$122,MATCH(H410,'[1]Sector list'!$B$2:$B$122,0)),"")</f>
        <v/>
      </c>
      <c r="J410" s="172"/>
    </row>
    <row r="411" spans="9:10" x14ac:dyDescent="0.3">
      <c r="I411" t="str">
        <f>_xlfn.IFNA(INDEX('[1]Sector list'!$A$2:$A$122,MATCH(H411,'[1]Sector list'!$B$2:$B$122,0)),"")</f>
        <v/>
      </c>
      <c r="J411" s="172"/>
    </row>
    <row r="412" spans="9:10" x14ac:dyDescent="0.3">
      <c r="I412" t="str">
        <f>_xlfn.IFNA(INDEX('[1]Sector list'!$A$2:$A$122,MATCH(H412,'[1]Sector list'!$B$2:$B$122,0)),"")</f>
        <v/>
      </c>
      <c r="J412" s="172"/>
    </row>
    <row r="413" spans="9:10" x14ac:dyDescent="0.3">
      <c r="I413" t="str">
        <f>_xlfn.IFNA(INDEX('[1]Sector list'!$A$2:$A$122,MATCH(H413,'[1]Sector list'!$B$2:$B$122,0)),"")</f>
        <v/>
      </c>
      <c r="J413" s="172"/>
    </row>
    <row r="414" spans="9:10" x14ac:dyDescent="0.3">
      <c r="I414" t="str">
        <f>_xlfn.IFNA(INDEX('[1]Sector list'!$A$2:$A$122,MATCH(H414,'[1]Sector list'!$B$2:$B$122,0)),"")</f>
        <v/>
      </c>
      <c r="J414" s="172"/>
    </row>
    <row r="415" spans="9:10" x14ac:dyDescent="0.3">
      <c r="I415" t="str">
        <f>_xlfn.IFNA(INDEX('[1]Sector list'!$A$2:$A$122,MATCH(H415,'[1]Sector list'!$B$2:$B$122,0)),"")</f>
        <v/>
      </c>
      <c r="J415" s="172"/>
    </row>
    <row r="416" spans="9:10" x14ac:dyDescent="0.3">
      <c r="I416" t="str">
        <f>_xlfn.IFNA(INDEX('[1]Sector list'!$A$2:$A$122,MATCH(H416,'[1]Sector list'!$B$2:$B$122,0)),"")</f>
        <v/>
      </c>
      <c r="J416" s="172"/>
    </row>
    <row r="417" spans="9:10" x14ac:dyDescent="0.3">
      <c r="I417" t="str">
        <f>_xlfn.IFNA(INDEX('[1]Sector list'!$A$2:$A$122,MATCH(H417,'[1]Sector list'!$B$2:$B$122,0)),"")</f>
        <v/>
      </c>
      <c r="J417" s="172"/>
    </row>
    <row r="418" spans="9:10" x14ac:dyDescent="0.3">
      <c r="I418" t="str">
        <f>_xlfn.IFNA(INDEX('[1]Sector list'!$A$2:$A$122,MATCH(H418,'[1]Sector list'!$B$2:$B$122,0)),"")</f>
        <v/>
      </c>
      <c r="J418" s="172"/>
    </row>
    <row r="419" spans="9:10" x14ac:dyDescent="0.3">
      <c r="I419" t="str">
        <f>_xlfn.IFNA(INDEX('[1]Sector list'!$A$2:$A$122,MATCH(H419,'[1]Sector list'!$B$2:$B$122,0)),"")</f>
        <v/>
      </c>
      <c r="J419" s="172"/>
    </row>
    <row r="420" spans="9:10" x14ac:dyDescent="0.3">
      <c r="I420" t="str">
        <f>_xlfn.IFNA(INDEX('[1]Sector list'!$A$2:$A$122,MATCH(H420,'[1]Sector list'!$B$2:$B$122,0)),"")</f>
        <v/>
      </c>
      <c r="J420" s="172"/>
    </row>
    <row r="421" spans="9:10" x14ac:dyDescent="0.3">
      <c r="I421" t="str">
        <f>_xlfn.IFNA(INDEX('[1]Sector list'!$A$2:$A$122,MATCH(H421,'[1]Sector list'!$B$2:$B$122,0)),"")</f>
        <v/>
      </c>
      <c r="J421" s="172"/>
    </row>
    <row r="422" spans="9:10" x14ac:dyDescent="0.3">
      <c r="I422" t="str">
        <f>_xlfn.IFNA(INDEX('[1]Sector list'!$A$2:$A$122,MATCH(H422,'[1]Sector list'!$B$2:$B$122,0)),"")</f>
        <v/>
      </c>
      <c r="J422" s="172"/>
    </row>
    <row r="423" spans="9:10" x14ac:dyDescent="0.3">
      <c r="I423" t="str">
        <f>_xlfn.IFNA(INDEX('[1]Sector list'!$A$2:$A$122,MATCH(H423,'[1]Sector list'!$B$2:$B$122,0)),"")</f>
        <v/>
      </c>
      <c r="J423" s="172"/>
    </row>
    <row r="424" spans="9:10" x14ac:dyDescent="0.3">
      <c r="I424" t="str">
        <f>_xlfn.IFNA(INDEX('[1]Sector list'!$A$2:$A$122,MATCH(H424,'[1]Sector list'!$B$2:$B$122,0)),"")</f>
        <v/>
      </c>
      <c r="J424" s="172"/>
    </row>
    <row r="425" spans="9:10" x14ac:dyDescent="0.3">
      <c r="I425" t="str">
        <f>_xlfn.IFNA(INDEX('[1]Sector list'!$A$2:$A$122,MATCH(H425,'[1]Sector list'!$B$2:$B$122,0)),"")</f>
        <v/>
      </c>
      <c r="J425" s="172"/>
    </row>
    <row r="426" spans="9:10" x14ac:dyDescent="0.3">
      <c r="I426" t="str">
        <f>_xlfn.IFNA(INDEX('[1]Sector list'!$A$2:$A$122,MATCH(H426,'[1]Sector list'!$B$2:$B$122,0)),"")</f>
        <v/>
      </c>
      <c r="J426" s="172"/>
    </row>
    <row r="427" spans="9:10" x14ac:dyDescent="0.3">
      <c r="I427" t="str">
        <f>_xlfn.IFNA(INDEX('[1]Sector list'!$A$2:$A$122,MATCH(H427,'[1]Sector list'!$B$2:$B$122,0)),"")</f>
        <v/>
      </c>
      <c r="J427" s="172"/>
    </row>
    <row r="428" spans="9:10" x14ac:dyDescent="0.3">
      <c r="I428" t="str">
        <f>_xlfn.IFNA(INDEX('[1]Sector list'!$A$2:$A$122,MATCH(H428,'[1]Sector list'!$B$2:$B$122,0)),"")</f>
        <v/>
      </c>
      <c r="J428" s="172"/>
    </row>
    <row r="429" spans="9:10" x14ac:dyDescent="0.3">
      <c r="I429" t="str">
        <f>_xlfn.IFNA(INDEX('[1]Sector list'!$A$2:$A$122,MATCH(H429,'[1]Sector list'!$B$2:$B$122,0)),"")</f>
        <v/>
      </c>
      <c r="J429" s="172"/>
    </row>
    <row r="430" spans="9:10" x14ac:dyDescent="0.3">
      <c r="I430" t="str">
        <f>_xlfn.IFNA(INDEX('[1]Sector list'!$A$2:$A$122,MATCH(H430,'[1]Sector list'!$B$2:$B$122,0)),"")</f>
        <v/>
      </c>
      <c r="J430" s="172"/>
    </row>
    <row r="431" spans="9:10" x14ac:dyDescent="0.3">
      <c r="I431" t="str">
        <f>_xlfn.IFNA(INDEX('[1]Sector list'!$A$2:$A$122,MATCH(H431,'[1]Sector list'!$B$2:$B$122,0)),"")</f>
        <v/>
      </c>
      <c r="J431" s="172"/>
    </row>
    <row r="432" spans="9:10" x14ac:dyDescent="0.3">
      <c r="I432" t="str">
        <f>_xlfn.IFNA(INDEX('[1]Sector list'!$A$2:$A$122,MATCH(H432,'[1]Sector list'!$B$2:$B$122,0)),"")</f>
        <v/>
      </c>
      <c r="J432" s="172"/>
    </row>
    <row r="433" spans="9:10" x14ac:dyDescent="0.3">
      <c r="I433" t="str">
        <f>_xlfn.IFNA(INDEX('[1]Sector list'!$A$2:$A$122,MATCH(H433,'[1]Sector list'!$B$2:$B$122,0)),"")</f>
        <v/>
      </c>
      <c r="J433" s="172"/>
    </row>
    <row r="434" spans="9:10" x14ac:dyDescent="0.3">
      <c r="I434" t="str">
        <f>_xlfn.IFNA(INDEX('[1]Sector list'!$A$2:$A$122,MATCH(H434,'[1]Sector list'!$B$2:$B$122,0)),"")</f>
        <v/>
      </c>
      <c r="J434" s="172"/>
    </row>
    <row r="435" spans="9:10" x14ac:dyDescent="0.3">
      <c r="I435" t="str">
        <f>_xlfn.IFNA(INDEX('[1]Sector list'!$A$2:$A$122,MATCH(H435,'[1]Sector list'!$B$2:$B$122,0)),"")</f>
        <v/>
      </c>
      <c r="J435" s="172"/>
    </row>
    <row r="436" spans="9:10" x14ac:dyDescent="0.3">
      <c r="I436" t="str">
        <f>_xlfn.IFNA(INDEX('[1]Sector list'!$A$2:$A$122,MATCH(H436,'[1]Sector list'!$B$2:$B$122,0)),"")</f>
        <v/>
      </c>
      <c r="J436" s="172"/>
    </row>
    <row r="437" spans="9:10" x14ac:dyDescent="0.3">
      <c r="I437" t="str">
        <f>_xlfn.IFNA(INDEX('[1]Sector list'!$A$2:$A$122,MATCH(H437,'[1]Sector list'!$B$2:$B$122,0)),"")</f>
        <v/>
      </c>
      <c r="J437" s="172"/>
    </row>
    <row r="438" spans="9:10" x14ac:dyDescent="0.3">
      <c r="I438" t="str">
        <f>_xlfn.IFNA(INDEX('[1]Sector list'!$A$2:$A$122,MATCH(H438,'[1]Sector list'!$B$2:$B$122,0)),"")</f>
        <v/>
      </c>
      <c r="J438" s="172"/>
    </row>
    <row r="439" spans="9:10" x14ac:dyDescent="0.3">
      <c r="I439" t="str">
        <f>_xlfn.IFNA(INDEX('[1]Sector list'!$A$2:$A$122,MATCH(H439,'[1]Sector list'!$B$2:$B$122,0)),"")</f>
        <v/>
      </c>
      <c r="J439" s="172"/>
    </row>
    <row r="440" spans="9:10" x14ac:dyDescent="0.3">
      <c r="I440" t="str">
        <f>_xlfn.IFNA(INDEX('[1]Sector list'!$A$2:$A$122,MATCH(H440,'[1]Sector list'!$B$2:$B$122,0)),"")</f>
        <v/>
      </c>
      <c r="J440" s="172"/>
    </row>
    <row r="441" spans="9:10" x14ac:dyDescent="0.3">
      <c r="I441" t="str">
        <f>_xlfn.IFNA(INDEX('[1]Sector list'!$A$2:$A$122,MATCH(H441,'[1]Sector list'!$B$2:$B$122,0)),"")</f>
        <v/>
      </c>
      <c r="J441" s="172"/>
    </row>
    <row r="442" spans="9:10" x14ac:dyDescent="0.3">
      <c r="I442" t="str">
        <f>_xlfn.IFNA(INDEX('[1]Sector list'!$A$2:$A$122,MATCH(H442,'[1]Sector list'!$B$2:$B$122,0)),"")</f>
        <v/>
      </c>
      <c r="J442" s="172"/>
    </row>
    <row r="443" spans="9:10" x14ac:dyDescent="0.3">
      <c r="I443" t="str">
        <f>_xlfn.IFNA(INDEX('[1]Sector list'!$A$2:$A$122,MATCH(H443,'[1]Sector list'!$B$2:$B$122,0)),"")</f>
        <v/>
      </c>
      <c r="J443" s="172"/>
    </row>
    <row r="444" spans="9:10" x14ac:dyDescent="0.3">
      <c r="I444" t="str">
        <f>_xlfn.IFNA(INDEX('[1]Sector list'!$A$2:$A$122,MATCH(H444,'[1]Sector list'!$B$2:$B$122,0)),"")</f>
        <v/>
      </c>
      <c r="J444" s="172"/>
    </row>
    <row r="445" spans="9:10" x14ac:dyDescent="0.3">
      <c r="I445" t="str">
        <f>_xlfn.IFNA(INDEX('[1]Sector list'!$A$2:$A$122,MATCH(H445,'[1]Sector list'!$B$2:$B$122,0)),"")</f>
        <v/>
      </c>
      <c r="J445" s="172"/>
    </row>
    <row r="446" spans="9:10" x14ac:dyDescent="0.3">
      <c r="I446" t="str">
        <f>_xlfn.IFNA(INDEX('[1]Sector list'!$A$2:$A$122,MATCH(H446,'[1]Sector list'!$B$2:$B$122,0)),"")</f>
        <v/>
      </c>
      <c r="J446" s="172"/>
    </row>
    <row r="447" spans="9:10" x14ac:dyDescent="0.3">
      <c r="I447" t="str">
        <f>_xlfn.IFNA(INDEX('[1]Sector list'!$A$2:$A$122,MATCH(H447,'[1]Sector list'!$B$2:$B$122,0)),"")</f>
        <v/>
      </c>
      <c r="J447" s="172"/>
    </row>
    <row r="448" spans="9:10" x14ac:dyDescent="0.3">
      <c r="I448" t="str">
        <f>_xlfn.IFNA(INDEX('[1]Sector list'!$A$2:$A$122,MATCH(H448,'[1]Sector list'!$B$2:$B$122,0)),"")</f>
        <v/>
      </c>
      <c r="J448" s="172"/>
    </row>
    <row r="449" spans="9:10" x14ac:dyDescent="0.3">
      <c r="I449" t="str">
        <f>_xlfn.IFNA(INDEX('[1]Sector list'!$A$2:$A$122,MATCH(H449,'[1]Sector list'!$B$2:$B$122,0)),"")</f>
        <v/>
      </c>
      <c r="J449" s="172"/>
    </row>
    <row r="450" spans="9:10" x14ac:dyDescent="0.3">
      <c r="I450" t="str">
        <f>_xlfn.IFNA(INDEX('[1]Sector list'!$A$2:$A$122,MATCH(H450,'[1]Sector list'!$B$2:$B$122,0)),"")</f>
        <v/>
      </c>
      <c r="J450" s="172"/>
    </row>
    <row r="451" spans="9:10" x14ac:dyDescent="0.3">
      <c r="I451" t="str">
        <f>_xlfn.IFNA(INDEX('[1]Sector list'!$A$2:$A$122,MATCH(H451,'[1]Sector list'!$B$2:$B$122,0)),"")</f>
        <v/>
      </c>
      <c r="J451" s="172"/>
    </row>
    <row r="452" spans="9:10" x14ac:dyDescent="0.3">
      <c r="I452" t="str">
        <f>_xlfn.IFNA(INDEX('[1]Sector list'!$A$2:$A$122,MATCH(H452,'[1]Sector list'!$B$2:$B$122,0)),"")</f>
        <v/>
      </c>
      <c r="J452" s="172"/>
    </row>
    <row r="453" spans="9:10" x14ac:dyDescent="0.3">
      <c r="I453" t="str">
        <f>_xlfn.IFNA(INDEX('[1]Sector list'!$A$2:$A$122,MATCH(H453,'[1]Sector list'!$B$2:$B$122,0)),"")</f>
        <v/>
      </c>
      <c r="J453" s="172"/>
    </row>
    <row r="454" spans="9:10" x14ac:dyDescent="0.3">
      <c r="I454" t="str">
        <f>_xlfn.IFNA(INDEX('[1]Sector list'!$A$2:$A$122,MATCH(H454,'[1]Sector list'!$B$2:$B$122,0)),"")</f>
        <v/>
      </c>
      <c r="J454" s="172"/>
    </row>
    <row r="455" spans="9:10" x14ac:dyDescent="0.3">
      <c r="I455" t="str">
        <f>_xlfn.IFNA(INDEX('[1]Sector list'!$A$2:$A$122,MATCH(H455,'[1]Sector list'!$B$2:$B$122,0)),"")</f>
        <v/>
      </c>
      <c r="J455" s="172"/>
    </row>
    <row r="456" spans="9:10" x14ac:dyDescent="0.3">
      <c r="I456" t="str">
        <f>_xlfn.IFNA(INDEX('[1]Sector list'!$A$2:$A$122,MATCH(H456,'[1]Sector list'!$B$2:$B$122,0)),"")</f>
        <v/>
      </c>
      <c r="J456" s="172"/>
    </row>
    <row r="457" spans="9:10" x14ac:dyDescent="0.3">
      <c r="I457" t="str">
        <f>_xlfn.IFNA(INDEX('[1]Sector list'!$A$2:$A$122,MATCH(H457,'[1]Sector list'!$B$2:$B$122,0)),"")</f>
        <v/>
      </c>
      <c r="J457" s="172"/>
    </row>
    <row r="458" spans="9:10" x14ac:dyDescent="0.3">
      <c r="I458" t="str">
        <f>_xlfn.IFNA(INDEX('[1]Sector list'!$A$2:$A$122,MATCH(H458,'[1]Sector list'!$B$2:$B$122,0)),"")</f>
        <v/>
      </c>
      <c r="J458" s="172"/>
    </row>
    <row r="459" spans="9:10" x14ac:dyDescent="0.3">
      <c r="I459" t="str">
        <f>_xlfn.IFNA(INDEX('[1]Sector list'!$A$2:$A$122,MATCH(H459,'[1]Sector list'!$B$2:$B$122,0)),"")</f>
        <v/>
      </c>
      <c r="J459" s="172"/>
    </row>
    <row r="460" spans="9:10" x14ac:dyDescent="0.3">
      <c r="I460" t="str">
        <f>_xlfn.IFNA(INDEX('[1]Sector list'!$A$2:$A$122,MATCH(H460,'[1]Sector list'!$B$2:$B$122,0)),"")</f>
        <v/>
      </c>
      <c r="J460" s="172"/>
    </row>
    <row r="461" spans="9:10" x14ac:dyDescent="0.3">
      <c r="I461" t="str">
        <f>_xlfn.IFNA(INDEX('[1]Sector list'!$A$2:$A$122,MATCH(H461,'[1]Sector list'!$B$2:$B$122,0)),"")</f>
        <v/>
      </c>
      <c r="J461" s="172"/>
    </row>
    <row r="462" spans="9:10" x14ac:dyDescent="0.3">
      <c r="I462" t="str">
        <f>_xlfn.IFNA(INDEX('[1]Sector list'!$A$2:$A$122,MATCH(H462,'[1]Sector list'!$B$2:$B$122,0)),"")</f>
        <v/>
      </c>
      <c r="J462" s="172"/>
    </row>
    <row r="463" spans="9:10" x14ac:dyDescent="0.3">
      <c r="I463" t="str">
        <f>_xlfn.IFNA(INDEX('[1]Sector list'!$A$2:$A$122,MATCH(H463,'[1]Sector list'!$B$2:$B$122,0)),"")</f>
        <v/>
      </c>
      <c r="J463" s="172"/>
    </row>
    <row r="464" spans="9:10" x14ac:dyDescent="0.3">
      <c r="I464" t="str">
        <f>_xlfn.IFNA(INDEX('[1]Sector list'!$A$2:$A$122,MATCH(H464,'[1]Sector list'!$B$2:$B$122,0)),"")</f>
        <v/>
      </c>
      <c r="J464" s="172"/>
    </row>
    <row r="465" spans="9:10" x14ac:dyDescent="0.3">
      <c r="I465" t="str">
        <f>_xlfn.IFNA(INDEX('[1]Sector list'!$A$2:$A$122,MATCH(H465,'[1]Sector list'!$B$2:$B$122,0)),"")</f>
        <v/>
      </c>
      <c r="J465" s="172"/>
    </row>
    <row r="466" spans="9:10" x14ac:dyDescent="0.3">
      <c r="I466" t="str">
        <f>_xlfn.IFNA(INDEX('[1]Sector list'!$A$2:$A$122,MATCH(H466,'[1]Sector list'!$B$2:$B$122,0)),"")</f>
        <v/>
      </c>
      <c r="J466" s="172"/>
    </row>
    <row r="467" spans="9:10" x14ac:dyDescent="0.3">
      <c r="I467" t="str">
        <f>_xlfn.IFNA(INDEX('[1]Sector list'!$A$2:$A$122,MATCH(H467,'[1]Sector list'!$B$2:$B$122,0)),"")</f>
        <v/>
      </c>
      <c r="J467" s="172"/>
    </row>
    <row r="468" spans="9:10" x14ac:dyDescent="0.3">
      <c r="I468" t="str">
        <f>_xlfn.IFNA(INDEX('[1]Sector list'!$A$2:$A$122,MATCH(H468,'[1]Sector list'!$B$2:$B$122,0)),"")</f>
        <v/>
      </c>
      <c r="J468" s="172"/>
    </row>
    <row r="469" spans="9:10" x14ac:dyDescent="0.3">
      <c r="I469" t="str">
        <f>_xlfn.IFNA(INDEX('[1]Sector list'!$A$2:$A$122,MATCH(H469,'[1]Sector list'!$B$2:$B$122,0)),"")</f>
        <v/>
      </c>
      <c r="J469" s="172"/>
    </row>
    <row r="470" spans="9:10" x14ac:dyDescent="0.3">
      <c r="I470" t="str">
        <f>_xlfn.IFNA(INDEX('[1]Sector list'!$A$2:$A$122,MATCH(H470,'[1]Sector list'!$B$2:$B$122,0)),"")</f>
        <v/>
      </c>
      <c r="J470" s="172"/>
    </row>
    <row r="471" spans="9:10" x14ac:dyDescent="0.3">
      <c r="I471" t="str">
        <f>_xlfn.IFNA(INDEX('[1]Sector list'!$A$2:$A$122,MATCH(H471,'[1]Sector list'!$B$2:$B$122,0)),"")</f>
        <v/>
      </c>
      <c r="J471" s="172"/>
    </row>
    <row r="472" spans="9:10" x14ac:dyDescent="0.3">
      <c r="I472" t="str">
        <f>_xlfn.IFNA(INDEX('[1]Sector list'!$A$2:$A$122,MATCH(H472,'[1]Sector list'!$B$2:$B$122,0)),"")</f>
        <v/>
      </c>
      <c r="J472" s="172"/>
    </row>
    <row r="473" spans="9:10" x14ac:dyDescent="0.3">
      <c r="I473" t="str">
        <f>_xlfn.IFNA(INDEX('[1]Sector list'!$A$2:$A$122,MATCH(H473,'[1]Sector list'!$B$2:$B$122,0)),"")</f>
        <v/>
      </c>
      <c r="J473" s="172"/>
    </row>
    <row r="474" spans="9:10" x14ac:dyDescent="0.3">
      <c r="I474" t="str">
        <f>_xlfn.IFNA(INDEX('[1]Sector list'!$A$2:$A$122,MATCH(H474,'[1]Sector list'!$B$2:$B$122,0)),"")</f>
        <v/>
      </c>
      <c r="J474" s="172"/>
    </row>
    <row r="475" spans="9:10" x14ac:dyDescent="0.3">
      <c r="I475" t="str">
        <f>_xlfn.IFNA(INDEX('[1]Sector list'!$A$2:$A$122,MATCH(H475,'[1]Sector list'!$B$2:$B$122,0)),"")</f>
        <v/>
      </c>
      <c r="J475" s="172"/>
    </row>
    <row r="476" spans="9:10" x14ac:dyDescent="0.3">
      <c r="I476" t="str">
        <f>_xlfn.IFNA(INDEX('[1]Sector list'!$A$2:$A$122,MATCH(H476,'[1]Sector list'!$B$2:$B$122,0)),"")</f>
        <v/>
      </c>
      <c r="J476" s="172"/>
    </row>
    <row r="477" spans="9:10" x14ac:dyDescent="0.3">
      <c r="I477" t="str">
        <f>_xlfn.IFNA(INDEX('[1]Sector list'!$A$2:$A$122,MATCH(H477,'[1]Sector list'!$B$2:$B$122,0)),"")</f>
        <v/>
      </c>
      <c r="J477" s="172"/>
    </row>
    <row r="478" spans="9:10" x14ac:dyDescent="0.3">
      <c r="I478" t="str">
        <f>_xlfn.IFNA(INDEX('[1]Sector list'!$A$2:$A$122,MATCH(H478,'[1]Sector list'!$B$2:$B$122,0)),"")</f>
        <v/>
      </c>
      <c r="J478" s="172"/>
    </row>
    <row r="479" spans="9:10" x14ac:dyDescent="0.3">
      <c r="I479" t="str">
        <f>_xlfn.IFNA(INDEX('[1]Sector list'!$A$2:$A$122,MATCH(H479,'[1]Sector list'!$B$2:$B$122,0)),"")</f>
        <v/>
      </c>
      <c r="J479" s="172"/>
    </row>
    <row r="480" spans="9:10" x14ac:dyDescent="0.3">
      <c r="I480" t="str">
        <f>_xlfn.IFNA(INDEX('[1]Sector list'!$A$2:$A$122,MATCH(H480,'[1]Sector list'!$B$2:$B$122,0)),"")</f>
        <v/>
      </c>
      <c r="J480" s="172"/>
    </row>
    <row r="481" spans="9:10" x14ac:dyDescent="0.3">
      <c r="I481" t="str">
        <f>_xlfn.IFNA(INDEX('[1]Sector list'!$A$2:$A$122,MATCH(H481,'[1]Sector list'!$B$2:$B$122,0)),"")</f>
        <v/>
      </c>
      <c r="J481" s="172"/>
    </row>
    <row r="482" spans="9:10" x14ac:dyDescent="0.3">
      <c r="I482" t="str">
        <f>_xlfn.IFNA(INDEX('[1]Sector list'!$A$2:$A$122,MATCH(H482,'[1]Sector list'!$B$2:$B$122,0)),"")</f>
        <v/>
      </c>
      <c r="J482" s="172"/>
    </row>
    <row r="483" spans="9:10" x14ac:dyDescent="0.3">
      <c r="I483" t="str">
        <f>_xlfn.IFNA(INDEX('[1]Sector list'!$A$2:$A$122,MATCH(H483,'[1]Sector list'!$B$2:$B$122,0)),"")</f>
        <v/>
      </c>
      <c r="J483" s="172"/>
    </row>
    <row r="484" spans="9:10" x14ac:dyDescent="0.3">
      <c r="I484" t="str">
        <f>_xlfn.IFNA(INDEX('[1]Sector list'!$A$2:$A$122,MATCH(H484,'[1]Sector list'!$B$2:$B$122,0)),"")</f>
        <v/>
      </c>
      <c r="J484" s="172"/>
    </row>
    <row r="485" spans="9:10" x14ac:dyDescent="0.3">
      <c r="I485" t="str">
        <f>_xlfn.IFNA(INDEX('[1]Sector list'!$A$2:$A$122,MATCH(H485,'[1]Sector list'!$B$2:$B$122,0)),"")</f>
        <v/>
      </c>
      <c r="J485" s="172"/>
    </row>
    <row r="486" spans="9:10" x14ac:dyDescent="0.3">
      <c r="I486" t="str">
        <f>_xlfn.IFNA(INDEX('[1]Sector list'!$A$2:$A$122,MATCH(H486,'[1]Sector list'!$B$2:$B$122,0)),"")</f>
        <v/>
      </c>
      <c r="J486" s="172"/>
    </row>
    <row r="487" spans="9:10" x14ac:dyDescent="0.3">
      <c r="I487" t="str">
        <f>_xlfn.IFNA(INDEX('[1]Sector list'!$A$2:$A$122,MATCH(H487,'[1]Sector list'!$B$2:$B$122,0)),"")</f>
        <v/>
      </c>
      <c r="J487" s="172"/>
    </row>
    <row r="488" spans="9:10" x14ac:dyDescent="0.3">
      <c r="I488" t="str">
        <f>_xlfn.IFNA(INDEX('[1]Sector list'!$A$2:$A$122,MATCH(H488,'[1]Sector list'!$B$2:$B$122,0)),"")</f>
        <v/>
      </c>
      <c r="J488" s="172"/>
    </row>
    <row r="489" spans="9:10" x14ac:dyDescent="0.3">
      <c r="I489" t="str">
        <f>_xlfn.IFNA(INDEX('[1]Sector list'!$A$2:$A$122,MATCH(H489,'[1]Sector list'!$B$2:$B$122,0)),"")</f>
        <v/>
      </c>
      <c r="J489" s="172"/>
    </row>
    <row r="490" spans="9:10" x14ac:dyDescent="0.3">
      <c r="I490" t="str">
        <f>_xlfn.IFNA(INDEX('[1]Sector list'!$A$2:$A$122,MATCH(H490,'[1]Sector list'!$B$2:$B$122,0)),"")</f>
        <v/>
      </c>
      <c r="J490" s="172"/>
    </row>
    <row r="491" spans="9:10" x14ac:dyDescent="0.3">
      <c r="I491" t="str">
        <f>_xlfn.IFNA(INDEX('[1]Sector list'!$A$2:$A$122,MATCH(H491,'[1]Sector list'!$B$2:$B$122,0)),"")</f>
        <v/>
      </c>
      <c r="J491" s="172"/>
    </row>
    <row r="492" spans="9:10" x14ac:dyDescent="0.3">
      <c r="I492" t="str">
        <f>_xlfn.IFNA(INDEX('[1]Sector list'!$A$2:$A$122,MATCH(H492,'[1]Sector list'!$B$2:$B$122,0)),"")</f>
        <v/>
      </c>
      <c r="J492" s="172"/>
    </row>
    <row r="493" spans="9:10" x14ac:dyDescent="0.3">
      <c r="I493" t="str">
        <f>_xlfn.IFNA(INDEX('[1]Sector list'!$A$2:$A$122,MATCH(H493,'[1]Sector list'!$B$2:$B$122,0)),"")</f>
        <v/>
      </c>
      <c r="J493" s="172"/>
    </row>
    <row r="494" spans="9:10" x14ac:dyDescent="0.3">
      <c r="I494" t="str">
        <f>_xlfn.IFNA(INDEX('[1]Sector list'!$A$2:$A$122,MATCH(H494,'[1]Sector list'!$B$2:$B$122,0)),"")</f>
        <v/>
      </c>
      <c r="J494" s="172"/>
    </row>
    <row r="495" spans="9:10" x14ac:dyDescent="0.3">
      <c r="I495" t="str">
        <f>_xlfn.IFNA(INDEX('[1]Sector list'!$A$2:$A$122,MATCH(H495,'[1]Sector list'!$B$2:$B$122,0)),"")</f>
        <v/>
      </c>
      <c r="J495" s="172"/>
    </row>
    <row r="496" spans="9:10" x14ac:dyDescent="0.3">
      <c r="I496" t="str">
        <f>_xlfn.IFNA(INDEX('[1]Sector list'!$A$2:$A$122,MATCH(H496,'[1]Sector list'!$B$2:$B$122,0)),"")</f>
        <v/>
      </c>
      <c r="J496" s="172"/>
    </row>
    <row r="497" spans="9:10" x14ac:dyDescent="0.3">
      <c r="I497" t="str">
        <f>_xlfn.IFNA(INDEX('[1]Sector list'!$A$2:$A$122,MATCH(H497,'[1]Sector list'!$B$2:$B$122,0)),"")</f>
        <v/>
      </c>
      <c r="J497" s="172"/>
    </row>
    <row r="498" spans="9:10" x14ac:dyDescent="0.3">
      <c r="I498" t="str">
        <f>_xlfn.IFNA(INDEX('[1]Sector list'!$A$2:$A$122,MATCH(H498,'[1]Sector list'!$B$2:$B$122,0)),"")</f>
        <v/>
      </c>
      <c r="J498" s="172"/>
    </row>
    <row r="499" spans="9:10" x14ac:dyDescent="0.3">
      <c r="I499" t="str">
        <f>_xlfn.IFNA(INDEX('[1]Sector list'!$A$2:$A$122,MATCH(H499,'[1]Sector list'!$B$2:$B$122,0)),"")</f>
        <v/>
      </c>
      <c r="J499" s="172"/>
    </row>
    <row r="500" spans="9:10" x14ac:dyDescent="0.3">
      <c r="I500" t="str">
        <f>_xlfn.IFNA(INDEX('[1]Sector list'!$A$2:$A$122,MATCH(H500,'[1]Sector list'!$B$2:$B$122,0)),"")</f>
        <v/>
      </c>
      <c r="J500" s="172"/>
    </row>
    <row r="501" spans="9:10" x14ac:dyDescent="0.3">
      <c r="I501" t="str">
        <f>_xlfn.IFNA(INDEX('[1]Sector list'!$A$2:$A$122,MATCH(H501,'[1]Sector list'!$B$2:$B$122,0)),"")</f>
        <v/>
      </c>
      <c r="J501" s="172"/>
    </row>
    <row r="502" spans="9:10" x14ac:dyDescent="0.3">
      <c r="I502" t="str">
        <f>_xlfn.IFNA(INDEX('[1]Sector list'!$A$2:$A$122,MATCH(H502,'[1]Sector list'!$B$2:$B$122,0)),"")</f>
        <v/>
      </c>
      <c r="J502" s="172"/>
    </row>
    <row r="503" spans="9:10" x14ac:dyDescent="0.3">
      <c r="I503" t="str">
        <f>_xlfn.IFNA(INDEX('[1]Sector list'!$A$2:$A$122,MATCH(H503,'[1]Sector list'!$B$2:$B$122,0)),"")</f>
        <v/>
      </c>
      <c r="J503" s="172"/>
    </row>
    <row r="504" spans="9:10" x14ac:dyDescent="0.3">
      <c r="I504" t="str">
        <f>_xlfn.IFNA(INDEX('[1]Sector list'!$A$2:$A$122,MATCH(H504,'[1]Sector list'!$B$2:$B$122,0)),"")</f>
        <v/>
      </c>
      <c r="J504" s="172"/>
    </row>
    <row r="505" spans="9:10" x14ac:dyDescent="0.3">
      <c r="I505" t="str">
        <f>_xlfn.IFNA(INDEX('[1]Sector list'!$A$2:$A$122,MATCH(H505,'[1]Sector list'!$B$2:$B$122,0)),"")</f>
        <v/>
      </c>
      <c r="J505" s="172"/>
    </row>
    <row r="506" spans="9:10" x14ac:dyDescent="0.3">
      <c r="I506" t="str">
        <f>_xlfn.IFNA(INDEX('[1]Sector list'!$A$2:$A$122,MATCH(H506,'[1]Sector list'!$B$2:$B$122,0)),"")</f>
        <v/>
      </c>
      <c r="J506" s="172"/>
    </row>
    <row r="507" spans="9:10" x14ac:dyDescent="0.3">
      <c r="I507" t="str">
        <f>_xlfn.IFNA(INDEX('[1]Sector list'!$A$2:$A$122,MATCH(H507,'[1]Sector list'!$B$2:$B$122,0)),"")</f>
        <v/>
      </c>
      <c r="J507" s="172"/>
    </row>
    <row r="508" spans="9:10" x14ac:dyDescent="0.3">
      <c r="I508" t="str">
        <f>_xlfn.IFNA(INDEX('[1]Sector list'!$A$2:$A$122,MATCH(H508,'[1]Sector list'!$B$2:$B$122,0)),"")</f>
        <v/>
      </c>
      <c r="J508" s="172"/>
    </row>
    <row r="509" spans="9:10" x14ac:dyDescent="0.3">
      <c r="I509" t="str">
        <f>_xlfn.IFNA(INDEX('[1]Sector list'!$A$2:$A$122,MATCH(H509,'[1]Sector list'!$B$2:$B$122,0)),"")</f>
        <v/>
      </c>
      <c r="J509" s="172"/>
    </row>
    <row r="510" spans="9:10" x14ac:dyDescent="0.3">
      <c r="I510" t="str">
        <f>_xlfn.IFNA(INDEX('[1]Sector list'!$A$2:$A$122,MATCH(H510,'[1]Sector list'!$B$2:$B$122,0)),"")</f>
        <v/>
      </c>
      <c r="J510" s="172"/>
    </row>
    <row r="511" spans="9:10" x14ac:dyDescent="0.3">
      <c r="I511" t="str">
        <f>_xlfn.IFNA(INDEX('[1]Sector list'!$A$2:$A$122,MATCH(H511,'[1]Sector list'!$B$2:$B$122,0)),"")</f>
        <v/>
      </c>
      <c r="J511" s="172"/>
    </row>
    <row r="512" spans="9:10" x14ac:dyDescent="0.3">
      <c r="I512" t="str">
        <f>_xlfn.IFNA(INDEX('[1]Sector list'!$A$2:$A$122,MATCH(H512,'[1]Sector list'!$B$2:$B$122,0)),"")</f>
        <v/>
      </c>
      <c r="J512" s="172"/>
    </row>
    <row r="513" spans="9:10" x14ac:dyDescent="0.3">
      <c r="I513" t="str">
        <f>_xlfn.IFNA(INDEX('[1]Sector list'!$A$2:$A$122,MATCH(H513,'[1]Sector list'!$B$2:$B$122,0)),"")</f>
        <v/>
      </c>
      <c r="J513" s="172"/>
    </row>
    <row r="514" spans="9:10" x14ac:dyDescent="0.3">
      <c r="I514" t="str">
        <f>_xlfn.IFNA(INDEX('[1]Sector list'!$A$2:$A$122,MATCH(H514,'[1]Sector list'!$B$2:$B$122,0)),"")</f>
        <v/>
      </c>
      <c r="J514" s="172"/>
    </row>
    <row r="515" spans="9:10" x14ac:dyDescent="0.3">
      <c r="I515" t="str">
        <f>_xlfn.IFNA(INDEX('[1]Sector list'!$A$2:$A$122,MATCH(H515,'[1]Sector list'!$B$2:$B$122,0)),"")</f>
        <v/>
      </c>
      <c r="J515" s="172"/>
    </row>
    <row r="516" spans="9:10" x14ac:dyDescent="0.3">
      <c r="I516" t="str">
        <f>_xlfn.IFNA(INDEX('[1]Sector list'!$A$2:$A$122,MATCH(H516,'[1]Sector list'!$B$2:$B$122,0)),"")</f>
        <v/>
      </c>
      <c r="J516" s="172"/>
    </row>
    <row r="517" spans="9:10" x14ac:dyDescent="0.3">
      <c r="I517" t="str">
        <f>_xlfn.IFNA(INDEX('[1]Sector list'!$A$2:$A$122,MATCH(H517,'[1]Sector list'!$B$2:$B$122,0)),"")</f>
        <v/>
      </c>
      <c r="J517" s="172"/>
    </row>
    <row r="518" spans="9:10" x14ac:dyDescent="0.3">
      <c r="I518" t="str">
        <f>_xlfn.IFNA(INDEX('[1]Sector list'!$A$2:$A$122,MATCH(H518,'[1]Sector list'!$B$2:$B$122,0)),"")</f>
        <v/>
      </c>
      <c r="J518" s="172"/>
    </row>
    <row r="519" spans="9:10" x14ac:dyDescent="0.3">
      <c r="I519" t="str">
        <f>_xlfn.IFNA(INDEX('[1]Sector list'!$A$2:$A$122,MATCH(H519,'[1]Sector list'!$B$2:$B$122,0)),"")</f>
        <v/>
      </c>
      <c r="J519" s="172"/>
    </row>
    <row r="520" spans="9:10" x14ac:dyDescent="0.3">
      <c r="I520" t="str">
        <f>_xlfn.IFNA(INDEX('[1]Sector list'!$A$2:$A$122,MATCH(H520,'[1]Sector list'!$B$2:$B$122,0)),"")</f>
        <v/>
      </c>
      <c r="J520" s="172"/>
    </row>
    <row r="521" spans="9:10" x14ac:dyDescent="0.3">
      <c r="I521" t="str">
        <f>_xlfn.IFNA(INDEX('[1]Sector list'!$A$2:$A$122,MATCH(H521,'[1]Sector list'!$B$2:$B$122,0)),"")</f>
        <v/>
      </c>
      <c r="J521" s="172"/>
    </row>
    <row r="522" spans="9:10" x14ac:dyDescent="0.3">
      <c r="I522" t="str">
        <f>_xlfn.IFNA(INDEX('[1]Sector list'!$A$2:$A$122,MATCH(H522,'[1]Sector list'!$B$2:$B$122,0)),"")</f>
        <v/>
      </c>
      <c r="J522" s="172"/>
    </row>
    <row r="523" spans="9:10" x14ac:dyDescent="0.3">
      <c r="I523" t="str">
        <f>_xlfn.IFNA(INDEX('[1]Sector list'!$A$2:$A$122,MATCH(H523,'[1]Sector list'!$B$2:$B$122,0)),"")</f>
        <v/>
      </c>
      <c r="J523" s="172"/>
    </row>
    <row r="524" spans="9:10" x14ac:dyDescent="0.3">
      <c r="I524" t="str">
        <f>_xlfn.IFNA(INDEX('[1]Sector list'!$A$2:$A$122,MATCH(H524,'[1]Sector list'!$B$2:$B$122,0)),"")</f>
        <v/>
      </c>
      <c r="J524" s="172"/>
    </row>
    <row r="525" spans="9:10" x14ac:dyDescent="0.3">
      <c r="I525" t="str">
        <f>_xlfn.IFNA(INDEX('[1]Sector list'!$A$2:$A$122,MATCH(H525,'[1]Sector list'!$B$2:$B$122,0)),"")</f>
        <v/>
      </c>
      <c r="J525" s="172"/>
    </row>
    <row r="526" spans="9:10" x14ac:dyDescent="0.3">
      <c r="I526" t="str">
        <f>_xlfn.IFNA(INDEX('[1]Sector list'!$A$2:$A$122,MATCH(H526,'[1]Sector list'!$B$2:$B$122,0)),"")</f>
        <v/>
      </c>
      <c r="J526" s="172"/>
    </row>
    <row r="527" spans="9:10" x14ac:dyDescent="0.3">
      <c r="I527" t="str">
        <f>_xlfn.IFNA(INDEX('[1]Sector list'!$A$2:$A$122,MATCH(H527,'[1]Sector list'!$B$2:$B$122,0)),"")</f>
        <v/>
      </c>
      <c r="J527" s="172"/>
    </row>
    <row r="528" spans="9:10" x14ac:dyDescent="0.3">
      <c r="I528" t="str">
        <f>_xlfn.IFNA(INDEX('[1]Sector list'!$A$2:$A$122,MATCH(H528,'[1]Sector list'!$B$2:$B$122,0)),"")</f>
        <v/>
      </c>
      <c r="J528" s="172"/>
    </row>
    <row r="529" spans="9:10" x14ac:dyDescent="0.3">
      <c r="I529" t="str">
        <f>_xlfn.IFNA(INDEX('[1]Sector list'!$A$2:$A$122,MATCH(H529,'[1]Sector list'!$B$2:$B$122,0)),"")</f>
        <v/>
      </c>
      <c r="J529" s="172"/>
    </row>
    <row r="530" spans="9:10" x14ac:dyDescent="0.3">
      <c r="I530" t="str">
        <f>_xlfn.IFNA(INDEX('[1]Sector list'!$A$2:$A$122,MATCH(H530,'[1]Sector list'!$B$2:$B$122,0)),"")</f>
        <v/>
      </c>
      <c r="J530" s="172"/>
    </row>
    <row r="531" spans="9:10" x14ac:dyDescent="0.3">
      <c r="I531" t="str">
        <f>_xlfn.IFNA(INDEX('[1]Sector list'!$A$2:$A$122,MATCH(H531,'[1]Sector list'!$B$2:$B$122,0)),"")</f>
        <v/>
      </c>
      <c r="J531" s="172"/>
    </row>
    <row r="532" spans="9:10" x14ac:dyDescent="0.3">
      <c r="I532" t="str">
        <f>_xlfn.IFNA(INDEX('[1]Sector list'!$A$2:$A$122,MATCH(H532,'[1]Sector list'!$B$2:$B$122,0)),"")</f>
        <v/>
      </c>
      <c r="J532" s="172"/>
    </row>
    <row r="533" spans="9:10" x14ac:dyDescent="0.3">
      <c r="I533" t="str">
        <f>_xlfn.IFNA(INDEX('[1]Sector list'!$A$2:$A$122,MATCH(H533,'[1]Sector list'!$B$2:$B$122,0)),"")</f>
        <v/>
      </c>
      <c r="J533" s="172"/>
    </row>
    <row r="534" spans="9:10" x14ac:dyDescent="0.3">
      <c r="I534" t="str">
        <f>_xlfn.IFNA(INDEX('[1]Sector list'!$A$2:$A$122,MATCH(H534,'[1]Sector list'!$B$2:$B$122,0)),"")</f>
        <v/>
      </c>
      <c r="J534" s="172"/>
    </row>
    <row r="535" spans="9:10" x14ac:dyDescent="0.3">
      <c r="I535" t="str">
        <f>_xlfn.IFNA(INDEX('[1]Sector list'!$A$2:$A$122,MATCH(H535,'[1]Sector list'!$B$2:$B$122,0)),"")</f>
        <v/>
      </c>
      <c r="J535" s="172"/>
    </row>
    <row r="536" spans="9:10" x14ac:dyDescent="0.3">
      <c r="I536" t="str">
        <f>_xlfn.IFNA(INDEX('[1]Sector list'!$A$2:$A$122,MATCH(H536,'[1]Sector list'!$B$2:$B$122,0)),"")</f>
        <v/>
      </c>
      <c r="J536" s="172"/>
    </row>
    <row r="537" spans="9:10" x14ac:dyDescent="0.3">
      <c r="I537" t="str">
        <f>_xlfn.IFNA(INDEX('[1]Sector list'!$A$2:$A$122,MATCH(H537,'[1]Sector list'!$B$2:$B$122,0)),"")</f>
        <v/>
      </c>
      <c r="J537" s="172"/>
    </row>
    <row r="538" spans="9:10" x14ac:dyDescent="0.3">
      <c r="I538" t="str">
        <f>_xlfn.IFNA(INDEX('[1]Sector list'!$A$2:$A$122,MATCH(H538,'[1]Sector list'!$B$2:$B$122,0)),"")</f>
        <v/>
      </c>
      <c r="J538" s="172"/>
    </row>
    <row r="539" spans="9:10" x14ac:dyDescent="0.3">
      <c r="I539" t="str">
        <f>_xlfn.IFNA(INDEX('[1]Sector list'!$A$2:$A$122,MATCH(H539,'[1]Sector list'!$B$2:$B$122,0)),"")</f>
        <v/>
      </c>
      <c r="J539" s="172"/>
    </row>
    <row r="540" spans="9:10" x14ac:dyDescent="0.3">
      <c r="I540" t="str">
        <f>_xlfn.IFNA(INDEX('[1]Sector list'!$A$2:$A$122,MATCH(H540,'[1]Sector list'!$B$2:$B$122,0)),"")</f>
        <v/>
      </c>
      <c r="J540" s="172"/>
    </row>
    <row r="541" spans="9:10" x14ac:dyDescent="0.3">
      <c r="I541" t="str">
        <f>_xlfn.IFNA(INDEX('[1]Sector list'!$A$2:$A$122,MATCH(H541,'[1]Sector list'!$B$2:$B$122,0)),"")</f>
        <v/>
      </c>
      <c r="J541" s="172"/>
    </row>
    <row r="542" spans="9:10" x14ac:dyDescent="0.3">
      <c r="I542" t="str">
        <f>_xlfn.IFNA(INDEX('[1]Sector list'!$A$2:$A$122,MATCH(H542,'[1]Sector list'!$B$2:$B$122,0)),"")</f>
        <v/>
      </c>
      <c r="J542" s="172"/>
    </row>
    <row r="543" spans="9:10" x14ac:dyDescent="0.3">
      <c r="I543" t="str">
        <f>_xlfn.IFNA(INDEX('[1]Sector list'!$A$2:$A$122,MATCH(H543,'[1]Sector list'!$B$2:$B$122,0)),"")</f>
        <v/>
      </c>
      <c r="J543" s="172"/>
    </row>
    <row r="544" spans="9:10" x14ac:dyDescent="0.3">
      <c r="I544" t="str">
        <f>_xlfn.IFNA(INDEX('[1]Sector list'!$A$2:$A$122,MATCH(H544,'[1]Sector list'!$B$2:$B$122,0)),"")</f>
        <v/>
      </c>
      <c r="J544" s="172"/>
    </row>
    <row r="545" spans="9:10" x14ac:dyDescent="0.3">
      <c r="I545" t="str">
        <f>_xlfn.IFNA(INDEX('[1]Sector list'!$A$2:$A$122,MATCH(H545,'[1]Sector list'!$B$2:$B$122,0)),"")</f>
        <v/>
      </c>
      <c r="J545" s="172"/>
    </row>
    <row r="546" spans="9:10" x14ac:dyDescent="0.3">
      <c r="I546" t="str">
        <f>_xlfn.IFNA(INDEX('[1]Sector list'!$A$2:$A$122,MATCH(H546,'[1]Sector list'!$B$2:$B$122,0)),"")</f>
        <v/>
      </c>
      <c r="J546" s="172"/>
    </row>
    <row r="547" spans="9:10" x14ac:dyDescent="0.3">
      <c r="I547" t="str">
        <f>_xlfn.IFNA(INDEX('[1]Sector list'!$A$2:$A$122,MATCH(H547,'[1]Sector list'!$B$2:$B$122,0)),"")</f>
        <v/>
      </c>
      <c r="J547" s="172"/>
    </row>
    <row r="548" spans="9:10" x14ac:dyDescent="0.3">
      <c r="I548" t="str">
        <f>_xlfn.IFNA(INDEX('[1]Sector list'!$A$2:$A$122,MATCH(H548,'[1]Sector list'!$B$2:$B$122,0)),"")</f>
        <v/>
      </c>
      <c r="J548" s="172"/>
    </row>
    <row r="549" spans="9:10" x14ac:dyDescent="0.3">
      <c r="I549" t="str">
        <f>_xlfn.IFNA(INDEX('[1]Sector list'!$A$2:$A$122,MATCH(H549,'[1]Sector list'!$B$2:$B$122,0)),"")</f>
        <v/>
      </c>
      <c r="J549" s="172"/>
    </row>
    <row r="550" spans="9:10" x14ac:dyDescent="0.3">
      <c r="I550" t="str">
        <f>_xlfn.IFNA(INDEX('[1]Sector list'!$A$2:$A$122,MATCH(H550,'[1]Sector list'!$B$2:$B$122,0)),"")</f>
        <v/>
      </c>
      <c r="J550" s="172"/>
    </row>
    <row r="551" spans="9:10" x14ac:dyDescent="0.3">
      <c r="I551" t="str">
        <f>_xlfn.IFNA(INDEX('[1]Sector list'!$A$2:$A$122,MATCH(H551,'[1]Sector list'!$B$2:$B$122,0)),"")</f>
        <v/>
      </c>
      <c r="J551" s="172"/>
    </row>
    <row r="552" spans="9:10" x14ac:dyDescent="0.3">
      <c r="I552" t="str">
        <f>_xlfn.IFNA(INDEX('[1]Sector list'!$A$2:$A$122,MATCH(H552,'[1]Sector list'!$B$2:$B$122,0)),"")</f>
        <v/>
      </c>
      <c r="J552" s="172"/>
    </row>
    <row r="553" spans="9:10" x14ac:dyDescent="0.3">
      <c r="I553" t="str">
        <f>_xlfn.IFNA(INDEX('[1]Sector list'!$A$2:$A$122,MATCH(H553,'[1]Sector list'!$B$2:$B$122,0)),"")</f>
        <v/>
      </c>
      <c r="J553" s="172"/>
    </row>
    <row r="554" spans="9:10" x14ac:dyDescent="0.3">
      <c r="I554" t="str">
        <f>_xlfn.IFNA(INDEX('[1]Sector list'!$A$2:$A$122,MATCH(H554,'[1]Sector list'!$B$2:$B$122,0)),"")</f>
        <v/>
      </c>
      <c r="J554" s="172"/>
    </row>
    <row r="555" spans="9:10" x14ac:dyDescent="0.3">
      <c r="I555" t="str">
        <f>_xlfn.IFNA(INDEX('[1]Sector list'!$A$2:$A$122,MATCH(H555,'[1]Sector list'!$B$2:$B$122,0)),"")</f>
        <v/>
      </c>
      <c r="J555" s="172"/>
    </row>
    <row r="556" spans="9:10" x14ac:dyDescent="0.3">
      <c r="I556" t="str">
        <f>_xlfn.IFNA(INDEX('[1]Sector list'!$A$2:$A$122,MATCH(H556,'[1]Sector list'!$B$2:$B$122,0)),"")</f>
        <v/>
      </c>
      <c r="J556" s="172"/>
    </row>
    <row r="557" spans="9:10" x14ac:dyDescent="0.3">
      <c r="I557" t="str">
        <f>_xlfn.IFNA(INDEX('[1]Sector list'!$A$2:$A$122,MATCH(H557,'[1]Sector list'!$B$2:$B$122,0)),"")</f>
        <v/>
      </c>
      <c r="J557" s="172"/>
    </row>
    <row r="558" spans="9:10" x14ac:dyDescent="0.3">
      <c r="I558" t="str">
        <f>_xlfn.IFNA(INDEX('[1]Sector list'!$A$2:$A$122,MATCH(H558,'[1]Sector list'!$B$2:$B$122,0)),"")</f>
        <v/>
      </c>
      <c r="J558" s="172"/>
    </row>
    <row r="559" spans="9:10" x14ac:dyDescent="0.3">
      <c r="I559" t="str">
        <f>_xlfn.IFNA(INDEX('[1]Sector list'!$A$2:$A$122,MATCH(H559,'[1]Sector list'!$B$2:$B$122,0)),"")</f>
        <v/>
      </c>
      <c r="J559" s="172"/>
    </row>
    <row r="560" spans="9:10" x14ac:dyDescent="0.3">
      <c r="I560" t="str">
        <f>_xlfn.IFNA(INDEX('[1]Sector list'!$A$2:$A$122,MATCH(H560,'[1]Sector list'!$B$2:$B$122,0)),"")</f>
        <v/>
      </c>
      <c r="J560" s="172"/>
    </row>
    <row r="561" spans="9:10" x14ac:dyDescent="0.3">
      <c r="I561" t="str">
        <f>_xlfn.IFNA(INDEX('[1]Sector list'!$A$2:$A$122,MATCH(H561,'[1]Sector list'!$B$2:$B$122,0)),"")</f>
        <v/>
      </c>
      <c r="J561" s="172"/>
    </row>
    <row r="562" spans="9:10" x14ac:dyDescent="0.3">
      <c r="I562" t="str">
        <f>_xlfn.IFNA(INDEX('[1]Sector list'!$A$2:$A$122,MATCH(H562,'[1]Sector list'!$B$2:$B$122,0)),"")</f>
        <v/>
      </c>
      <c r="J562" s="172"/>
    </row>
    <row r="563" spans="9:10" x14ac:dyDescent="0.3">
      <c r="I563" t="str">
        <f>_xlfn.IFNA(INDEX('[1]Sector list'!$A$2:$A$122,MATCH(H563,'[1]Sector list'!$B$2:$B$122,0)),"")</f>
        <v/>
      </c>
      <c r="J563" s="172"/>
    </row>
    <row r="564" spans="9:10" x14ac:dyDescent="0.3">
      <c r="I564" t="str">
        <f>_xlfn.IFNA(INDEX('[1]Sector list'!$A$2:$A$122,MATCH(H564,'[1]Sector list'!$B$2:$B$122,0)),"")</f>
        <v/>
      </c>
      <c r="J564" s="172"/>
    </row>
    <row r="565" spans="9:10" x14ac:dyDescent="0.3">
      <c r="I565" t="str">
        <f>_xlfn.IFNA(INDEX('[1]Sector list'!$A$2:$A$122,MATCH(H565,'[1]Sector list'!$B$2:$B$122,0)),"")</f>
        <v/>
      </c>
      <c r="J565" s="172"/>
    </row>
    <row r="566" spans="9:10" x14ac:dyDescent="0.3">
      <c r="I566" t="str">
        <f>_xlfn.IFNA(INDEX('[1]Sector list'!$A$2:$A$122,MATCH(H566,'[1]Sector list'!$B$2:$B$122,0)),"")</f>
        <v/>
      </c>
      <c r="J566" s="172"/>
    </row>
    <row r="567" spans="9:10" x14ac:dyDescent="0.3">
      <c r="I567" t="str">
        <f>_xlfn.IFNA(INDEX('[1]Sector list'!$A$2:$A$122,MATCH(H567,'[1]Sector list'!$B$2:$B$122,0)),"")</f>
        <v/>
      </c>
      <c r="J567" s="172"/>
    </row>
    <row r="568" spans="9:10" x14ac:dyDescent="0.3">
      <c r="I568" t="str">
        <f>_xlfn.IFNA(INDEX('[1]Sector list'!$A$2:$A$122,MATCH(H568,'[1]Sector list'!$B$2:$B$122,0)),"")</f>
        <v/>
      </c>
      <c r="J568" s="172"/>
    </row>
    <row r="569" spans="9:10" x14ac:dyDescent="0.3">
      <c r="I569" t="str">
        <f>_xlfn.IFNA(INDEX('[1]Sector list'!$A$2:$A$122,MATCH(H569,'[1]Sector list'!$B$2:$B$122,0)),"")</f>
        <v/>
      </c>
      <c r="J569" s="172"/>
    </row>
    <row r="570" spans="9:10" x14ac:dyDescent="0.3">
      <c r="I570" t="str">
        <f>_xlfn.IFNA(INDEX('[1]Sector list'!$A$2:$A$122,MATCH(H570,'[1]Sector list'!$B$2:$B$122,0)),"")</f>
        <v/>
      </c>
      <c r="J570" s="172"/>
    </row>
    <row r="571" spans="9:10" x14ac:dyDescent="0.3">
      <c r="I571" t="str">
        <f>_xlfn.IFNA(INDEX('[1]Sector list'!$A$2:$A$122,MATCH(H571,'[1]Sector list'!$B$2:$B$122,0)),"")</f>
        <v/>
      </c>
      <c r="J571" s="172"/>
    </row>
    <row r="572" spans="9:10" x14ac:dyDescent="0.3">
      <c r="I572" t="str">
        <f>_xlfn.IFNA(INDEX('[1]Sector list'!$A$2:$A$122,MATCH(H572,'[1]Sector list'!$B$2:$B$122,0)),"")</f>
        <v/>
      </c>
      <c r="J572" s="172"/>
    </row>
    <row r="573" spans="9:10" x14ac:dyDescent="0.3">
      <c r="I573" t="str">
        <f>_xlfn.IFNA(INDEX('[1]Sector list'!$A$2:$A$122,MATCH(H573,'[1]Sector list'!$B$2:$B$122,0)),"")</f>
        <v/>
      </c>
      <c r="J573" s="172"/>
    </row>
    <row r="574" spans="9:10" x14ac:dyDescent="0.3">
      <c r="I574" t="str">
        <f>_xlfn.IFNA(INDEX('[1]Sector list'!$A$2:$A$122,MATCH(H574,'[1]Sector list'!$B$2:$B$122,0)),"")</f>
        <v/>
      </c>
      <c r="J574" s="172"/>
    </row>
    <row r="575" spans="9:10" x14ac:dyDescent="0.3">
      <c r="I575" t="str">
        <f>_xlfn.IFNA(INDEX('[1]Sector list'!$A$2:$A$122,MATCH(H575,'[1]Sector list'!$B$2:$B$122,0)),"")</f>
        <v/>
      </c>
      <c r="J575" s="172"/>
    </row>
    <row r="576" spans="9:10" x14ac:dyDescent="0.3">
      <c r="I576" t="str">
        <f>_xlfn.IFNA(INDEX('[1]Sector list'!$A$2:$A$122,MATCH(H576,'[1]Sector list'!$B$2:$B$122,0)),"")</f>
        <v/>
      </c>
      <c r="J576" s="172"/>
    </row>
    <row r="577" spans="9:10" x14ac:dyDescent="0.3">
      <c r="I577" t="str">
        <f>_xlfn.IFNA(INDEX('[1]Sector list'!$A$2:$A$122,MATCH(H577,'[1]Sector list'!$B$2:$B$122,0)),"")</f>
        <v/>
      </c>
      <c r="J577" s="172"/>
    </row>
    <row r="578" spans="9:10" x14ac:dyDescent="0.3">
      <c r="I578" t="str">
        <f>_xlfn.IFNA(INDEX('[1]Sector list'!$A$2:$A$122,MATCH(H578,'[1]Sector list'!$B$2:$B$122,0)),"")</f>
        <v/>
      </c>
      <c r="J578" s="172"/>
    </row>
    <row r="579" spans="9:10" x14ac:dyDescent="0.3">
      <c r="I579" t="str">
        <f>_xlfn.IFNA(INDEX('[1]Sector list'!$A$2:$A$122,MATCH(H579,'[1]Sector list'!$B$2:$B$122,0)),"")</f>
        <v/>
      </c>
      <c r="J579" s="172"/>
    </row>
    <row r="580" spans="9:10" x14ac:dyDescent="0.3">
      <c r="I580" t="str">
        <f>_xlfn.IFNA(INDEX('[1]Sector list'!$A$2:$A$122,MATCH(H580,'[1]Sector list'!$B$2:$B$122,0)),"")</f>
        <v/>
      </c>
      <c r="J580" s="172"/>
    </row>
    <row r="581" spans="9:10" x14ac:dyDescent="0.3">
      <c r="I581" t="str">
        <f>_xlfn.IFNA(INDEX('[1]Sector list'!$A$2:$A$122,MATCH(H581,'[1]Sector list'!$B$2:$B$122,0)),"")</f>
        <v/>
      </c>
      <c r="J581" s="172"/>
    </row>
    <row r="582" spans="9:10" x14ac:dyDescent="0.3">
      <c r="I582" t="str">
        <f>_xlfn.IFNA(INDEX('[1]Sector list'!$A$2:$A$122,MATCH(H582,'[1]Sector list'!$B$2:$B$122,0)),"")</f>
        <v/>
      </c>
      <c r="J582" s="172"/>
    </row>
    <row r="583" spans="9:10" x14ac:dyDescent="0.3">
      <c r="I583" t="str">
        <f>_xlfn.IFNA(INDEX('[1]Sector list'!$A$2:$A$122,MATCH(H583,'[1]Sector list'!$B$2:$B$122,0)),"")</f>
        <v/>
      </c>
      <c r="J583" s="172"/>
    </row>
    <row r="584" spans="9:10" x14ac:dyDescent="0.3">
      <c r="I584" t="str">
        <f>_xlfn.IFNA(INDEX('[1]Sector list'!$A$2:$A$122,MATCH(H584,'[1]Sector list'!$B$2:$B$122,0)),"")</f>
        <v/>
      </c>
      <c r="J584" s="172"/>
    </row>
    <row r="585" spans="9:10" x14ac:dyDescent="0.3">
      <c r="I585" t="str">
        <f>_xlfn.IFNA(INDEX('[1]Sector list'!$A$2:$A$122,MATCH(H585,'[1]Sector list'!$B$2:$B$122,0)),"")</f>
        <v/>
      </c>
      <c r="J585" s="172"/>
    </row>
    <row r="586" spans="9:10" x14ac:dyDescent="0.3">
      <c r="I586" t="str">
        <f>_xlfn.IFNA(INDEX('[1]Sector list'!$A$2:$A$122,MATCH(H586,'[1]Sector list'!$B$2:$B$122,0)),"")</f>
        <v/>
      </c>
      <c r="J586" s="172"/>
    </row>
    <row r="587" spans="9:10" x14ac:dyDescent="0.3">
      <c r="I587" t="str">
        <f>_xlfn.IFNA(INDEX('[1]Sector list'!$A$2:$A$122,MATCH(H587,'[1]Sector list'!$B$2:$B$122,0)),"")</f>
        <v/>
      </c>
      <c r="J587" s="172"/>
    </row>
    <row r="588" spans="9:10" x14ac:dyDescent="0.3">
      <c r="I588" t="str">
        <f>_xlfn.IFNA(INDEX('[1]Sector list'!$A$2:$A$122,MATCH(H588,'[1]Sector list'!$B$2:$B$122,0)),"")</f>
        <v/>
      </c>
      <c r="J588" s="172"/>
    </row>
    <row r="589" spans="9:10" x14ac:dyDescent="0.3">
      <c r="I589" t="str">
        <f>_xlfn.IFNA(INDEX('[1]Sector list'!$A$2:$A$122,MATCH(H589,'[1]Sector list'!$B$2:$B$122,0)),"")</f>
        <v/>
      </c>
      <c r="J589" s="172"/>
    </row>
    <row r="590" spans="9:10" x14ac:dyDescent="0.3">
      <c r="I590" t="str">
        <f>_xlfn.IFNA(INDEX('[1]Sector list'!$A$2:$A$122,MATCH(H590,'[1]Sector list'!$B$2:$B$122,0)),"")</f>
        <v/>
      </c>
      <c r="J590" s="172"/>
    </row>
    <row r="591" spans="9:10" x14ac:dyDescent="0.3">
      <c r="I591" t="str">
        <f>_xlfn.IFNA(INDEX('[1]Sector list'!$A$2:$A$122,MATCH(H591,'[1]Sector list'!$B$2:$B$122,0)),"")</f>
        <v/>
      </c>
      <c r="J591" s="172"/>
    </row>
    <row r="592" spans="9:10" x14ac:dyDescent="0.3">
      <c r="I592" t="str">
        <f>_xlfn.IFNA(INDEX('[1]Sector list'!$A$2:$A$122,MATCH(H592,'[1]Sector list'!$B$2:$B$122,0)),"")</f>
        <v/>
      </c>
      <c r="J592" s="172"/>
    </row>
    <row r="593" spans="9:10" x14ac:dyDescent="0.3">
      <c r="I593" t="str">
        <f>_xlfn.IFNA(INDEX('[1]Sector list'!$A$2:$A$122,MATCH(H593,'[1]Sector list'!$B$2:$B$122,0)),"")</f>
        <v/>
      </c>
      <c r="J593" s="172"/>
    </row>
    <row r="594" spans="9:10" x14ac:dyDescent="0.3">
      <c r="I594" t="str">
        <f>_xlfn.IFNA(INDEX('[1]Sector list'!$A$2:$A$122,MATCH(H594,'[1]Sector list'!$B$2:$B$122,0)),"")</f>
        <v/>
      </c>
      <c r="J594" s="172"/>
    </row>
    <row r="595" spans="9:10" x14ac:dyDescent="0.3">
      <c r="I595" t="str">
        <f>_xlfn.IFNA(INDEX('[1]Sector list'!$A$2:$A$122,MATCH(H595,'[1]Sector list'!$B$2:$B$122,0)),"")</f>
        <v/>
      </c>
      <c r="J595" s="172"/>
    </row>
    <row r="596" spans="9:10" x14ac:dyDescent="0.3">
      <c r="I596" t="str">
        <f>_xlfn.IFNA(INDEX('[1]Sector list'!$A$2:$A$122,MATCH(H596,'[1]Sector list'!$B$2:$B$122,0)),"")</f>
        <v/>
      </c>
      <c r="J596" s="172"/>
    </row>
    <row r="597" spans="9:10" x14ac:dyDescent="0.3">
      <c r="I597" t="str">
        <f>_xlfn.IFNA(INDEX('[1]Sector list'!$A$2:$A$122,MATCH(H597,'[1]Sector list'!$B$2:$B$122,0)),"")</f>
        <v/>
      </c>
      <c r="J597" s="172"/>
    </row>
    <row r="598" spans="9:10" x14ac:dyDescent="0.3">
      <c r="I598" t="str">
        <f>_xlfn.IFNA(INDEX('[1]Sector list'!$A$2:$A$122,MATCH(H598,'[1]Sector list'!$B$2:$B$122,0)),"")</f>
        <v/>
      </c>
      <c r="J598" s="172"/>
    </row>
    <row r="599" spans="9:10" x14ac:dyDescent="0.3">
      <c r="I599" t="str">
        <f>_xlfn.IFNA(INDEX('[1]Sector list'!$A$2:$A$122,MATCH(H599,'[1]Sector list'!$B$2:$B$122,0)),"")</f>
        <v/>
      </c>
      <c r="J599" s="172"/>
    </row>
    <row r="600" spans="9:10" x14ac:dyDescent="0.3">
      <c r="I600" t="str">
        <f>_xlfn.IFNA(INDEX('[1]Sector list'!$A$2:$A$122,MATCH(H600,'[1]Sector list'!$B$2:$B$122,0)),"")</f>
        <v/>
      </c>
      <c r="J600" s="172"/>
    </row>
    <row r="601" spans="9:10" x14ac:dyDescent="0.3">
      <c r="I601" t="str">
        <f>_xlfn.IFNA(INDEX('[1]Sector list'!$A$2:$A$122,MATCH(H601,'[1]Sector list'!$B$2:$B$122,0)),"")</f>
        <v/>
      </c>
      <c r="J601" s="172"/>
    </row>
    <row r="602" spans="9:10" x14ac:dyDescent="0.3">
      <c r="I602" t="str">
        <f>_xlfn.IFNA(INDEX('[1]Sector list'!$A$2:$A$122,MATCH(H602,'[1]Sector list'!$B$2:$B$122,0)),"")</f>
        <v/>
      </c>
      <c r="J602" s="172"/>
    </row>
    <row r="603" spans="9:10" x14ac:dyDescent="0.3">
      <c r="I603" t="str">
        <f>_xlfn.IFNA(INDEX('[1]Sector list'!$A$2:$A$122,MATCH(H603,'[1]Sector list'!$B$2:$B$122,0)),"")</f>
        <v/>
      </c>
      <c r="J603" s="172"/>
    </row>
    <row r="604" spans="9:10" x14ac:dyDescent="0.3">
      <c r="I604" t="str">
        <f>_xlfn.IFNA(INDEX('[1]Sector list'!$A$2:$A$122,MATCH(H604,'[1]Sector list'!$B$2:$B$122,0)),"")</f>
        <v/>
      </c>
      <c r="J604" s="172"/>
    </row>
    <row r="605" spans="9:10" x14ac:dyDescent="0.3">
      <c r="I605" t="str">
        <f>_xlfn.IFNA(INDEX('[1]Sector list'!$A$2:$A$122,MATCH(H605,'[1]Sector list'!$B$2:$B$122,0)),"")</f>
        <v/>
      </c>
      <c r="J605" s="172"/>
    </row>
    <row r="606" spans="9:10" x14ac:dyDescent="0.3">
      <c r="I606" t="str">
        <f>_xlfn.IFNA(INDEX('[1]Sector list'!$A$2:$A$122,MATCH(H606,'[1]Sector list'!$B$2:$B$122,0)),"")</f>
        <v/>
      </c>
      <c r="J606" s="172"/>
    </row>
    <row r="607" spans="9:10" x14ac:dyDescent="0.3">
      <c r="I607" t="str">
        <f>_xlfn.IFNA(INDEX('[1]Sector list'!$A$2:$A$122,MATCH(H607,'[1]Sector list'!$B$2:$B$122,0)),"")</f>
        <v/>
      </c>
      <c r="J607" s="172"/>
    </row>
    <row r="608" spans="9:10" x14ac:dyDescent="0.3">
      <c r="I608" t="str">
        <f>_xlfn.IFNA(INDEX('[1]Sector list'!$A$2:$A$122,MATCH(H608,'[1]Sector list'!$B$2:$B$122,0)),"")</f>
        <v/>
      </c>
      <c r="J608" s="172"/>
    </row>
    <row r="609" spans="9:10" x14ac:dyDescent="0.3">
      <c r="I609" t="str">
        <f>_xlfn.IFNA(INDEX('[1]Sector list'!$A$2:$A$122,MATCH(H609,'[1]Sector list'!$B$2:$B$122,0)),"")</f>
        <v/>
      </c>
      <c r="J609" s="172"/>
    </row>
    <row r="610" spans="9:10" x14ac:dyDescent="0.3">
      <c r="I610" t="str">
        <f>_xlfn.IFNA(INDEX('[1]Sector list'!$A$2:$A$122,MATCH(H610,'[1]Sector list'!$B$2:$B$122,0)),"")</f>
        <v/>
      </c>
      <c r="J610" s="172"/>
    </row>
    <row r="611" spans="9:10" x14ac:dyDescent="0.3">
      <c r="I611" t="str">
        <f>_xlfn.IFNA(INDEX('[1]Sector list'!$A$2:$A$122,MATCH(H611,'[1]Sector list'!$B$2:$B$122,0)),"")</f>
        <v/>
      </c>
      <c r="J611" s="172"/>
    </row>
    <row r="612" spans="9:10" x14ac:dyDescent="0.3">
      <c r="I612" t="str">
        <f>_xlfn.IFNA(INDEX('[1]Sector list'!$A$2:$A$122,MATCH(H612,'[1]Sector list'!$B$2:$B$122,0)),"")</f>
        <v/>
      </c>
      <c r="J612" s="172"/>
    </row>
    <row r="613" spans="9:10" x14ac:dyDescent="0.3">
      <c r="I613" t="str">
        <f>_xlfn.IFNA(INDEX('[1]Sector list'!$A$2:$A$122,MATCH(H613,'[1]Sector list'!$B$2:$B$122,0)),"")</f>
        <v/>
      </c>
      <c r="J613" s="172"/>
    </row>
    <row r="614" spans="9:10" x14ac:dyDescent="0.3">
      <c r="I614" t="str">
        <f>_xlfn.IFNA(INDEX('[1]Sector list'!$A$2:$A$122,MATCH(H614,'[1]Sector list'!$B$2:$B$122,0)),"")</f>
        <v/>
      </c>
      <c r="J614" s="172"/>
    </row>
    <row r="615" spans="9:10" x14ac:dyDescent="0.3">
      <c r="I615" t="str">
        <f>_xlfn.IFNA(INDEX('[1]Sector list'!$A$2:$A$122,MATCH(H615,'[1]Sector list'!$B$2:$B$122,0)),"")</f>
        <v/>
      </c>
      <c r="J615" s="172"/>
    </row>
    <row r="616" spans="9:10" x14ac:dyDescent="0.3">
      <c r="I616" t="str">
        <f>_xlfn.IFNA(INDEX('[1]Sector list'!$A$2:$A$122,MATCH(H616,'[1]Sector list'!$B$2:$B$122,0)),"")</f>
        <v/>
      </c>
      <c r="J616" s="172"/>
    </row>
    <row r="617" spans="9:10" x14ac:dyDescent="0.3">
      <c r="I617" t="str">
        <f>_xlfn.IFNA(INDEX('[1]Sector list'!$A$2:$A$122,MATCH(H617,'[1]Sector list'!$B$2:$B$122,0)),"")</f>
        <v/>
      </c>
      <c r="J617" s="172"/>
    </row>
    <row r="618" spans="9:10" x14ac:dyDescent="0.3">
      <c r="I618" t="str">
        <f>_xlfn.IFNA(INDEX('[1]Sector list'!$A$2:$A$122,MATCH(H618,'[1]Sector list'!$B$2:$B$122,0)),"")</f>
        <v/>
      </c>
      <c r="J618" s="172"/>
    </row>
    <row r="619" spans="9:10" x14ac:dyDescent="0.3">
      <c r="I619" t="str">
        <f>_xlfn.IFNA(INDEX('[1]Sector list'!$A$2:$A$122,MATCH(H619,'[1]Sector list'!$B$2:$B$122,0)),"")</f>
        <v/>
      </c>
      <c r="J619" s="172"/>
    </row>
    <row r="620" spans="9:10" x14ac:dyDescent="0.3">
      <c r="I620" t="str">
        <f>_xlfn.IFNA(INDEX('[1]Sector list'!$A$2:$A$122,MATCH(H620,'[1]Sector list'!$B$2:$B$122,0)),"")</f>
        <v/>
      </c>
      <c r="J620" s="172"/>
    </row>
    <row r="621" spans="9:10" x14ac:dyDescent="0.3">
      <c r="I621" t="str">
        <f>_xlfn.IFNA(INDEX('[1]Sector list'!$A$2:$A$122,MATCH(H621,'[1]Sector list'!$B$2:$B$122,0)),"")</f>
        <v/>
      </c>
      <c r="J621" s="172"/>
    </row>
    <row r="622" spans="9:10" x14ac:dyDescent="0.3">
      <c r="I622" t="str">
        <f>_xlfn.IFNA(INDEX('[1]Sector list'!$A$2:$A$122,MATCH(H622,'[1]Sector list'!$B$2:$B$122,0)),"")</f>
        <v/>
      </c>
      <c r="J622" s="172"/>
    </row>
    <row r="623" spans="9:10" x14ac:dyDescent="0.3">
      <c r="I623" t="str">
        <f>_xlfn.IFNA(INDEX('[1]Sector list'!$A$2:$A$122,MATCH(H623,'[1]Sector list'!$B$2:$B$122,0)),"")</f>
        <v/>
      </c>
      <c r="J623" s="172"/>
    </row>
    <row r="624" spans="9:10" x14ac:dyDescent="0.3">
      <c r="I624" t="str">
        <f>_xlfn.IFNA(INDEX('[1]Sector list'!$A$2:$A$122,MATCH(H624,'[1]Sector list'!$B$2:$B$122,0)),"")</f>
        <v/>
      </c>
      <c r="J624" s="172"/>
    </row>
    <row r="625" spans="9:10" x14ac:dyDescent="0.3">
      <c r="I625" t="str">
        <f>_xlfn.IFNA(INDEX('[1]Sector list'!$A$2:$A$122,MATCH(H625,'[1]Sector list'!$B$2:$B$122,0)),"")</f>
        <v/>
      </c>
      <c r="J625" s="172"/>
    </row>
    <row r="626" spans="9:10" x14ac:dyDescent="0.3">
      <c r="I626" t="str">
        <f>_xlfn.IFNA(INDEX('[1]Sector list'!$A$2:$A$122,MATCH(H626,'[1]Sector list'!$B$2:$B$122,0)),"")</f>
        <v/>
      </c>
      <c r="J626" s="172"/>
    </row>
    <row r="627" spans="9:10" x14ac:dyDescent="0.3">
      <c r="I627" t="str">
        <f>_xlfn.IFNA(INDEX('[1]Sector list'!$A$2:$A$122,MATCH(H627,'[1]Sector list'!$B$2:$B$122,0)),"")</f>
        <v/>
      </c>
      <c r="J627" s="172"/>
    </row>
    <row r="628" spans="9:10" x14ac:dyDescent="0.3">
      <c r="I628" t="str">
        <f>_xlfn.IFNA(INDEX('[1]Sector list'!$A$2:$A$122,MATCH(H628,'[1]Sector list'!$B$2:$B$122,0)),"")</f>
        <v/>
      </c>
      <c r="J628" s="172"/>
    </row>
    <row r="629" spans="9:10" x14ac:dyDescent="0.3">
      <c r="I629" t="str">
        <f>_xlfn.IFNA(INDEX('[1]Sector list'!$A$2:$A$122,MATCH(H629,'[1]Sector list'!$B$2:$B$122,0)),"")</f>
        <v/>
      </c>
      <c r="J629" s="172"/>
    </row>
    <row r="630" spans="9:10" x14ac:dyDescent="0.3">
      <c r="I630" t="str">
        <f>_xlfn.IFNA(INDEX('[1]Sector list'!$A$2:$A$122,MATCH(H630,'[1]Sector list'!$B$2:$B$122,0)),"")</f>
        <v/>
      </c>
      <c r="J630" s="172"/>
    </row>
    <row r="631" spans="9:10" x14ac:dyDescent="0.3">
      <c r="I631" t="str">
        <f>_xlfn.IFNA(INDEX('[1]Sector list'!$A$2:$A$122,MATCH(H631,'[1]Sector list'!$B$2:$B$122,0)),"")</f>
        <v/>
      </c>
      <c r="J631" s="172"/>
    </row>
    <row r="632" spans="9:10" x14ac:dyDescent="0.3">
      <c r="I632" t="str">
        <f>_xlfn.IFNA(INDEX('[1]Sector list'!$A$2:$A$122,MATCH(H632,'[1]Sector list'!$B$2:$B$122,0)),"")</f>
        <v/>
      </c>
      <c r="J632" s="172"/>
    </row>
    <row r="633" spans="9:10" x14ac:dyDescent="0.3">
      <c r="I633" t="str">
        <f>_xlfn.IFNA(INDEX('[1]Sector list'!$A$2:$A$122,MATCH(H633,'[1]Sector list'!$B$2:$B$122,0)),"")</f>
        <v/>
      </c>
      <c r="J633" s="172"/>
    </row>
    <row r="634" spans="9:10" x14ac:dyDescent="0.3">
      <c r="I634" t="str">
        <f>_xlfn.IFNA(INDEX('[1]Sector list'!$A$2:$A$122,MATCH(H634,'[1]Sector list'!$B$2:$B$122,0)),"")</f>
        <v/>
      </c>
      <c r="J634" s="172"/>
    </row>
    <row r="635" spans="9:10" x14ac:dyDescent="0.3">
      <c r="I635" t="str">
        <f>_xlfn.IFNA(INDEX('[1]Sector list'!$A$2:$A$122,MATCH(H635,'[1]Sector list'!$B$2:$B$122,0)),"")</f>
        <v/>
      </c>
      <c r="J635" s="172"/>
    </row>
    <row r="636" spans="9:10" x14ac:dyDescent="0.3">
      <c r="I636" t="str">
        <f>_xlfn.IFNA(INDEX('[1]Sector list'!$A$2:$A$122,MATCH(H636,'[1]Sector list'!$B$2:$B$122,0)),"")</f>
        <v/>
      </c>
      <c r="J636" s="172"/>
    </row>
    <row r="637" spans="9:10" x14ac:dyDescent="0.3">
      <c r="I637" t="str">
        <f>_xlfn.IFNA(INDEX('[1]Sector list'!$A$2:$A$122,MATCH(H637,'[1]Sector list'!$B$2:$B$122,0)),"")</f>
        <v/>
      </c>
      <c r="J637" s="172"/>
    </row>
    <row r="638" spans="9:10" x14ac:dyDescent="0.3">
      <c r="I638" t="str">
        <f>_xlfn.IFNA(INDEX('[1]Sector list'!$A$2:$A$122,MATCH(H638,'[1]Sector list'!$B$2:$B$122,0)),"")</f>
        <v/>
      </c>
      <c r="J638" s="172"/>
    </row>
    <row r="639" spans="9:10" x14ac:dyDescent="0.3">
      <c r="I639" t="str">
        <f>_xlfn.IFNA(INDEX('[1]Sector list'!$A$2:$A$122,MATCH(H639,'[1]Sector list'!$B$2:$B$122,0)),"")</f>
        <v/>
      </c>
      <c r="J639" s="172"/>
    </row>
    <row r="640" spans="9:10" x14ac:dyDescent="0.3">
      <c r="I640" t="str">
        <f>_xlfn.IFNA(INDEX('[1]Sector list'!$A$2:$A$122,MATCH(H640,'[1]Sector list'!$B$2:$B$122,0)),"")</f>
        <v/>
      </c>
      <c r="J640" s="172"/>
    </row>
    <row r="641" spans="9:10" x14ac:dyDescent="0.3">
      <c r="I641" t="str">
        <f>_xlfn.IFNA(INDEX('[1]Sector list'!$A$2:$A$122,MATCH(H641,'[1]Sector list'!$B$2:$B$122,0)),"")</f>
        <v/>
      </c>
      <c r="J641" s="172"/>
    </row>
    <row r="642" spans="9:10" x14ac:dyDescent="0.3">
      <c r="I642" t="str">
        <f>_xlfn.IFNA(INDEX('[1]Sector list'!$A$2:$A$122,MATCH(H642,'[1]Sector list'!$B$2:$B$122,0)),"")</f>
        <v/>
      </c>
      <c r="J642" s="172"/>
    </row>
    <row r="643" spans="9:10" x14ac:dyDescent="0.3">
      <c r="I643" t="str">
        <f>_xlfn.IFNA(INDEX('[1]Sector list'!$A$2:$A$122,MATCH(H643,'[1]Sector list'!$B$2:$B$122,0)),"")</f>
        <v/>
      </c>
      <c r="J643" s="172"/>
    </row>
    <row r="644" spans="9:10" x14ac:dyDescent="0.3">
      <c r="I644" t="str">
        <f>_xlfn.IFNA(INDEX('[1]Sector list'!$A$2:$A$122,MATCH(H644,'[1]Sector list'!$B$2:$B$122,0)),"")</f>
        <v/>
      </c>
      <c r="J644" s="172"/>
    </row>
    <row r="645" spans="9:10" x14ac:dyDescent="0.3">
      <c r="I645" t="str">
        <f>_xlfn.IFNA(INDEX('[1]Sector list'!$A$2:$A$122,MATCH(H645,'[1]Sector list'!$B$2:$B$122,0)),"")</f>
        <v/>
      </c>
      <c r="J645" s="172"/>
    </row>
    <row r="646" spans="9:10" x14ac:dyDescent="0.3">
      <c r="I646" t="str">
        <f>_xlfn.IFNA(INDEX('[1]Sector list'!$A$2:$A$122,MATCH(H646,'[1]Sector list'!$B$2:$B$122,0)),"")</f>
        <v/>
      </c>
      <c r="J646" s="172"/>
    </row>
    <row r="647" spans="9:10" x14ac:dyDescent="0.3">
      <c r="I647" t="str">
        <f>_xlfn.IFNA(INDEX('[1]Sector list'!$A$2:$A$122,MATCH(H647,'[1]Sector list'!$B$2:$B$122,0)),"")</f>
        <v/>
      </c>
      <c r="J647" s="172"/>
    </row>
    <row r="648" spans="9:10" x14ac:dyDescent="0.3">
      <c r="I648" t="str">
        <f>_xlfn.IFNA(INDEX('[1]Sector list'!$A$2:$A$122,MATCH(H648,'[1]Sector list'!$B$2:$B$122,0)),"")</f>
        <v/>
      </c>
      <c r="J648" s="172"/>
    </row>
    <row r="649" spans="9:10" x14ac:dyDescent="0.3">
      <c r="I649" t="str">
        <f>_xlfn.IFNA(INDEX('[1]Sector list'!$A$2:$A$122,MATCH(H649,'[1]Sector list'!$B$2:$B$122,0)),"")</f>
        <v/>
      </c>
      <c r="J649" s="172"/>
    </row>
    <row r="650" spans="9:10" x14ac:dyDescent="0.3">
      <c r="I650" t="str">
        <f>_xlfn.IFNA(INDEX('[1]Sector list'!$A$2:$A$122,MATCH(H650,'[1]Sector list'!$B$2:$B$122,0)),"")</f>
        <v/>
      </c>
      <c r="J650" s="172"/>
    </row>
    <row r="651" spans="9:10" x14ac:dyDescent="0.3">
      <c r="I651" t="str">
        <f>_xlfn.IFNA(INDEX('[1]Sector list'!$A$2:$A$122,MATCH(H651,'[1]Sector list'!$B$2:$B$122,0)),"")</f>
        <v/>
      </c>
      <c r="J651" s="172"/>
    </row>
    <row r="652" spans="9:10" x14ac:dyDescent="0.3">
      <c r="I652" t="str">
        <f>_xlfn.IFNA(INDEX('[1]Sector list'!$A$2:$A$122,MATCH(H652,'[1]Sector list'!$B$2:$B$122,0)),"")</f>
        <v/>
      </c>
      <c r="J652" s="172"/>
    </row>
    <row r="653" spans="9:10" x14ac:dyDescent="0.3">
      <c r="I653" t="str">
        <f>_xlfn.IFNA(INDEX('[1]Sector list'!$A$2:$A$122,MATCH(H653,'[1]Sector list'!$B$2:$B$122,0)),"")</f>
        <v/>
      </c>
      <c r="J653" s="172"/>
    </row>
    <row r="654" spans="9:10" x14ac:dyDescent="0.3">
      <c r="I654" t="str">
        <f>_xlfn.IFNA(INDEX('[1]Sector list'!$A$2:$A$122,MATCH(H654,'[1]Sector list'!$B$2:$B$122,0)),"")</f>
        <v/>
      </c>
      <c r="J654" s="172"/>
    </row>
    <row r="655" spans="9:10" x14ac:dyDescent="0.3">
      <c r="I655" t="str">
        <f>_xlfn.IFNA(INDEX('[1]Sector list'!$A$2:$A$122,MATCH(H655,'[1]Sector list'!$B$2:$B$122,0)),"")</f>
        <v/>
      </c>
      <c r="J655" s="172"/>
    </row>
    <row r="656" spans="9:10" x14ac:dyDescent="0.3">
      <c r="I656" t="str">
        <f>_xlfn.IFNA(INDEX('[1]Sector list'!$A$2:$A$122,MATCH(H656,'[1]Sector list'!$B$2:$B$122,0)),"")</f>
        <v/>
      </c>
      <c r="J656" s="172"/>
    </row>
    <row r="657" spans="9:10" x14ac:dyDescent="0.3">
      <c r="I657" t="str">
        <f>_xlfn.IFNA(INDEX('[1]Sector list'!$A$2:$A$122,MATCH(H657,'[1]Sector list'!$B$2:$B$122,0)),"")</f>
        <v/>
      </c>
      <c r="J657" s="172"/>
    </row>
    <row r="658" spans="9:10" x14ac:dyDescent="0.3">
      <c r="I658" t="str">
        <f>_xlfn.IFNA(INDEX('[1]Sector list'!$A$2:$A$122,MATCH(H658,'[1]Sector list'!$B$2:$B$122,0)),"")</f>
        <v/>
      </c>
      <c r="J658" s="172"/>
    </row>
    <row r="659" spans="9:10" x14ac:dyDescent="0.3">
      <c r="I659" t="str">
        <f>_xlfn.IFNA(INDEX('[1]Sector list'!$A$2:$A$122,MATCH(H659,'[1]Sector list'!$B$2:$B$122,0)),"")</f>
        <v/>
      </c>
      <c r="J659" s="172"/>
    </row>
    <row r="660" spans="9:10" x14ac:dyDescent="0.3">
      <c r="I660" t="str">
        <f>_xlfn.IFNA(INDEX('[1]Sector list'!$A$2:$A$122,MATCH(H660,'[1]Sector list'!$B$2:$B$122,0)),"")</f>
        <v/>
      </c>
      <c r="J660" s="172"/>
    </row>
    <row r="661" spans="9:10" x14ac:dyDescent="0.3">
      <c r="I661" t="str">
        <f>_xlfn.IFNA(INDEX('[1]Sector list'!$A$2:$A$122,MATCH(H661,'[1]Sector list'!$B$2:$B$122,0)),"")</f>
        <v/>
      </c>
      <c r="J661" s="172"/>
    </row>
    <row r="662" spans="9:10" x14ac:dyDescent="0.3">
      <c r="I662" t="str">
        <f>_xlfn.IFNA(INDEX('[1]Sector list'!$A$2:$A$122,MATCH(H662,'[1]Sector list'!$B$2:$B$122,0)),"")</f>
        <v/>
      </c>
      <c r="J662" s="172"/>
    </row>
    <row r="663" spans="9:10" x14ac:dyDescent="0.3">
      <c r="I663" t="str">
        <f>_xlfn.IFNA(INDEX('[1]Sector list'!$A$2:$A$122,MATCH(H663,'[1]Sector list'!$B$2:$B$122,0)),"")</f>
        <v/>
      </c>
      <c r="J663" s="172"/>
    </row>
    <row r="664" spans="9:10" x14ac:dyDescent="0.3">
      <c r="I664" t="str">
        <f>_xlfn.IFNA(INDEX('[1]Sector list'!$A$2:$A$122,MATCH(H664,'[1]Sector list'!$B$2:$B$122,0)),"")</f>
        <v/>
      </c>
      <c r="J664" s="172"/>
    </row>
    <row r="665" spans="9:10" x14ac:dyDescent="0.3">
      <c r="I665" t="str">
        <f>_xlfn.IFNA(INDEX('[1]Sector list'!$A$2:$A$122,MATCH(H665,'[1]Sector list'!$B$2:$B$122,0)),"")</f>
        <v/>
      </c>
      <c r="J665" s="172"/>
    </row>
    <row r="666" spans="9:10" x14ac:dyDescent="0.3">
      <c r="I666" t="str">
        <f>_xlfn.IFNA(INDEX('[1]Sector list'!$A$2:$A$122,MATCH(H666,'[1]Sector list'!$B$2:$B$122,0)),"")</f>
        <v/>
      </c>
      <c r="J666" s="172"/>
    </row>
    <row r="667" spans="9:10" x14ac:dyDescent="0.3">
      <c r="I667" t="str">
        <f>_xlfn.IFNA(INDEX('[1]Sector list'!$A$2:$A$122,MATCH(H667,'[1]Sector list'!$B$2:$B$122,0)),"")</f>
        <v/>
      </c>
      <c r="J667" s="172"/>
    </row>
    <row r="668" spans="9:10" x14ac:dyDescent="0.3">
      <c r="I668" t="str">
        <f>_xlfn.IFNA(INDEX('[1]Sector list'!$A$2:$A$122,MATCH(H668,'[1]Sector list'!$B$2:$B$122,0)),"")</f>
        <v/>
      </c>
      <c r="J668" s="172"/>
    </row>
    <row r="669" spans="9:10" x14ac:dyDescent="0.3">
      <c r="I669" t="str">
        <f>_xlfn.IFNA(INDEX('[1]Sector list'!$A$2:$A$122,MATCH(H669,'[1]Sector list'!$B$2:$B$122,0)),"")</f>
        <v/>
      </c>
      <c r="J669" s="172"/>
    </row>
    <row r="670" spans="9:10" x14ac:dyDescent="0.3">
      <c r="I670" t="str">
        <f>_xlfn.IFNA(INDEX('[1]Sector list'!$A$2:$A$122,MATCH(H670,'[1]Sector list'!$B$2:$B$122,0)),"")</f>
        <v/>
      </c>
      <c r="J670" s="172"/>
    </row>
    <row r="671" spans="9:10" x14ac:dyDescent="0.3">
      <c r="I671" t="str">
        <f>_xlfn.IFNA(INDEX('[1]Sector list'!$A$2:$A$122,MATCH(H671,'[1]Sector list'!$B$2:$B$122,0)),"")</f>
        <v/>
      </c>
      <c r="J671" s="172"/>
    </row>
    <row r="672" spans="9:10" x14ac:dyDescent="0.3">
      <c r="I672" t="str">
        <f>_xlfn.IFNA(INDEX('[1]Sector list'!$A$2:$A$122,MATCH(H672,'[1]Sector list'!$B$2:$B$122,0)),"")</f>
        <v/>
      </c>
      <c r="J672" s="172"/>
    </row>
    <row r="673" spans="9:10" x14ac:dyDescent="0.3">
      <c r="I673" t="str">
        <f>_xlfn.IFNA(INDEX('[1]Sector list'!$A$2:$A$122,MATCH(H673,'[1]Sector list'!$B$2:$B$122,0)),"")</f>
        <v/>
      </c>
      <c r="J673" s="172"/>
    </row>
    <row r="674" spans="9:10" x14ac:dyDescent="0.3">
      <c r="I674" t="str">
        <f>_xlfn.IFNA(INDEX('[1]Sector list'!$A$2:$A$122,MATCH(H674,'[1]Sector list'!$B$2:$B$122,0)),"")</f>
        <v/>
      </c>
      <c r="J674" s="172"/>
    </row>
    <row r="675" spans="9:10" x14ac:dyDescent="0.3">
      <c r="I675" t="str">
        <f>_xlfn.IFNA(INDEX('[1]Sector list'!$A$2:$A$122,MATCH(H675,'[1]Sector list'!$B$2:$B$122,0)),"")</f>
        <v/>
      </c>
      <c r="J675" s="172"/>
    </row>
    <row r="676" spans="9:10" x14ac:dyDescent="0.3">
      <c r="I676" t="str">
        <f>_xlfn.IFNA(INDEX('[1]Sector list'!$A$2:$A$122,MATCH(H676,'[1]Sector list'!$B$2:$B$122,0)),"")</f>
        <v/>
      </c>
      <c r="J676" s="172"/>
    </row>
    <row r="677" spans="9:10" x14ac:dyDescent="0.3">
      <c r="I677" t="str">
        <f>_xlfn.IFNA(INDEX('[1]Sector list'!$A$2:$A$122,MATCH(H677,'[1]Sector list'!$B$2:$B$122,0)),"")</f>
        <v/>
      </c>
      <c r="J677" s="172"/>
    </row>
    <row r="678" spans="9:10" x14ac:dyDescent="0.3">
      <c r="I678" t="str">
        <f>_xlfn.IFNA(INDEX('[1]Sector list'!$A$2:$A$122,MATCH(H678,'[1]Sector list'!$B$2:$B$122,0)),"")</f>
        <v/>
      </c>
      <c r="J678" s="172"/>
    </row>
    <row r="679" spans="9:10" x14ac:dyDescent="0.3">
      <c r="I679" t="str">
        <f>_xlfn.IFNA(INDEX('[1]Sector list'!$A$2:$A$122,MATCH(H679,'[1]Sector list'!$B$2:$B$122,0)),"")</f>
        <v/>
      </c>
      <c r="J679" s="172"/>
    </row>
    <row r="680" spans="9:10" x14ac:dyDescent="0.3">
      <c r="I680" t="str">
        <f>_xlfn.IFNA(INDEX('[1]Sector list'!$A$2:$A$122,MATCH(H680,'[1]Sector list'!$B$2:$B$122,0)),"")</f>
        <v/>
      </c>
      <c r="J680" s="172"/>
    </row>
    <row r="681" spans="9:10" x14ac:dyDescent="0.3">
      <c r="I681" t="str">
        <f>_xlfn.IFNA(INDEX('[1]Sector list'!$A$2:$A$122,MATCH(H681,'[1]Sector list'!$B$2:$B$122,0)),"")</f>
        <v/>
      </c>
      <c r="J681" s="172"/>
    </row>
    <row r="682" spans="9:10" x14ac:dyDescent="0.3">
      <c r="I682" t="str">
        <f>_xlfn.IFNA(INDEX('[1]Sector list'!$A$2:$A$122,MATCH(H682,'[1]Sector list'!$B$2:$B$122,0)),"")</f>
        <v/>
      </c>
      <c r="J682" s="172"/>
    </row>
    <row r="683" spans="9:10" x14ac:dyDescent="0.3">
      <c r="I683" t="str">
        <f>_xlfn.IFNA(INDEX('[1]Sector list'!$A$2:$A$122,MATCH(H683,'[1]Sector list'!$B$2:$B$122,0)),"")</f>
        <v/>
      </c>
      <c r="J683" s="172"/>
    </row>
    <row r="684" spans="9:10" x14ac:dyDescent="0.3">
      <c r="I684" t="str">
        <f>_xlfn.IFNA(INDEX('[1]Sector list'!$A$2:$A$122,MATCH(H684,'[1]Sector list'!$B$2:$B$122,0)),"")</f>
        <v/>
      </c>
      <c r="J684" s="172"/>
    </row>
    <row r="685" spans="9:10" x14ac:dyDescent="0.3">
      <c r="I685" t="str">
        <f>_xlfn.IFNA(INDEX('[1]Sector list'!$A$2:$A$122,MATCH(H685,'[1]Sector list'!$B$2:$B$122,0)),"")</f>
        <v/>
      </c>
      <c r="J685" s="172"/>
    </row>
    <row r="686" spans="9:10" x14ac:dyDescent="0.3">
      <c r="I686" t="str">
        <f>_xlfn.IFNA(INDEX('[1]Sector list'!$A$2:$A$122,MATCH(H686,'[1]Sector list'!$B$2:$B$122,0)),"")</f>
        <v/>
      </c>
      <c r="J686" s="172"/>
    </row>
    <row r="687" spans="9:10" x14ac:dyDescent="0.3">
      <c r="I687" t="str">
        <f>_xlfn.IFNA(INDEX('[1]Sector list'!$A$2:$A$122,MATCH(H687,'[1]Sector list'!$B$2:$B$122,0)),"")</f>
        <v/>
      </c>
      <c r="J687" s="172"/>
    </row>
    <row r="688" spans="9:10" x14ac:dyDescent="0.3">
      <c r="I688" t="str">
        <f>_xlfn.IFNA(INDEX('[1]Sector list'!$A$2:$A$122,MATCH(H688,'[1]Sector list'!$B$2:$B$122,0)),"")</f>
        <v/>
      </c>
      <c r="J688" s="172"/>
    </row>
    <row r="689" spans="9:10" x14ac:dyDescent="0.3">
      <c r="I689" t="str">
        <f>_xlfn.IFNA(INDEX('[1]Sector list'!$A$2:$A$122,MATCH(H689,'[1]Sector list'!$B$2:$B$122,0)),"")</f>
        <v/>
      </c>
      <c r="J689" s="172"/>
    </row>
    <row r="690" spans="9:10" x14ac:dyDescent="0.3">
      <c r="I690" t="str">
        <f>_xlfn.IFNA(INDEX('[1]Sector list'!$A$2:$A$122,MATCH(H690,'[1]Sector list'!$B$2:$B$122,0)),"")</f>
        <v/>
      </c>
      <c r="J690" s="172"/>
    </row>
    <row r="691" spans="9:10" x14ac:dyDescent="0.3">
      <c r="I691" t="str">
        <f>_xlfn.IFNA(INDEX('[1]Sector list'!$A$2:$A$122,MATCH(H691,'[1]Sector list'!$B$2:$B$122,0)),"")</f>
        <v/>
      </c>
      <c r="J691" s="172"/>
    </row>
    <row r="692" spans="9:10" x14ac:dyDescent="0.3">
      <c r="I692" t="str">
        <f>_xlfn.IFNA(INDEX('[1]Sector list'!$A$2:$A$122,MATCH(H692,'[1]Sector list'!$B$2:$B$122,0)),"")</f>
        <v/>
      </c>
      <c r="J692" s="172"/>
    </row>
    <row r="693" spans="9:10" x14ac:dyDescent="0.3">
      <c r="I693" t="str">
        <f>_xlfn.IFNA(INDEX('[1]Sector list'!$A$2:$A$122,MATCH(H693,'[1]Sector list'!$B$2:$B$122,0)),"")</f>
        <v/>
      </c>
      <c r="J693" s="172"/>
    </row>
    <row r="694" spans="9:10" x14ac:dyDescent="0.3">
      <c r="I694" t="str">
        <f>_xlfn.IFNA(INDEX('[1]Sector list'!$A$2:$A$122,MATCH(H694,'[1]Sector list'!$B$2:$B$122,0)),"")</f>
        <v/>
      </c>
      <c r="J694" s="172"/>
    </row>
    <row r="695" spans="9:10" x14ac:dyDescent="0.3">
      <c r="I695" t="str">
        <f>_xlfn.IFNA(INDEX('[1]Sector list'!$A$2:$A$122,MATCH(H695,'[1]Sector list'!$B$2:$B$122,0)),"")</f>
        <v/>
      </c>
      <c r="J695" s="172"/>
    </row>
    <row r="696" spans="9:10" x14ac:dyDescent="0.3">
      <c r="I696" t="str">
        <f>_xlfn.IFNA(INDEX('[1]Sector list'!$A$2:$A$122,MATCH(H696,'[1]Sector list'!$B$2:$B$122,0)),"")</f>
        <v/>
      </c>
      <c r="J696" s="172"/>
    </row>
    <row r="697" spans="9:10" x14ac:dyDescent="0.3">
      <c r="I697" t="str">
        <f>_xlfn.IFNA(INDEX('[1]Sector list'!$A$2:$A$122,MATCH(H697,'[1]Sector list'!$B$2:$B$122,0)),"")</f>
        <v/>
      </c>
      <c r="J697" s="172"/>
    </row>
    <row r="698" spans="9:10" x14ac:dyDescent="0.3">
      <c r="I698" t="str">
        <f>_xlfn.IFNA(INDEX('[1]Sector list'!$A$2:$A$122,MATCH(H698,'[1]Sector list'!$B$2:$B$122,0)),"")</f>
        <v/>
      </c>
      <c r="J698" s="172"/>
    </row>
    <row r="699" spans="9:10" x14ac:dyDescent="0.3">
      <c r="I699" t="str">
        <f>_xlfn.IFNA(INDEX('[1]Sector list'!$A$2:$A$122,MATCH(H699,'[1]Sector list'!$B$2:$B$122,0)),"")</f>
        <v/>
      </c>
      <c r="J699" s="172"/>
    </row>
    <row r="700" spans="9:10" x14ac:dyDescent="0.3">
      <c r="I700" t="str">
        <f>_xlfn.IFNA(INDEX('[1]Sector list'!$A$2:$A$122,MATCH(H700,'[1]Sector list'!$B$2:$B$122,0)),"")</f>
        <v/>
      </c>
      <c r="J700" s="172"/>
    </row>
    <row r="701" spans="9:10" x14ac:dyDescent="0.3">
      <c r="I701" t="str">
        <f>_xlfn.IFNA(INDEX('[1]Sector list'!$A$2:$A$122,MATCH(H701,'[1]Sector list'!$B$2:$B$122,0)),"")</f>
        <v/>
      </c>
      <c r="J701" s="172"/>
    </row>
    <row r="702" spans="9:10" x14ac:dyDescent="0.3">
      <c r="I702" t="str">
        <f>_xlfn.IFNA(INDEX('[1]Sector list'!$A$2:$A$122,MATCH(H702,'[1]Sector list'!$B$2:$B$122,0)),"")</f>
        <v/>
      </c>
      <c r="J702" s="172"/>
    </row>
    <row r="703" spans="9:10" x14ac:dyDescent="0.3">
      <c r="I703" t="str">
        <f>_xlfn.IFNA(INDEX('[1]Sector list'!$A$2:$A$122,MATCH(H703,'[1]Sector list'!$B$2:$B$122,0)),"")</f>
        <v/>
      </c>
      <c r="J703" s="172"/>
    </row>
    <row r="704" spans="9:10" x14ac:dyDescent="0.3">
      <c r="I704" t="str">
        <f>_xlfn.IFNA(INDEX('[1]Sector list'!$A$2:$A$122,MATCH(H704,'[1]Sector list'!$B$2:$B$122,0)),"")</f>
        <v/>
      </c>
      <c r="J704" s="172"/>
    </row>
    <row r="705" spans="9:10" x14ac:dyDescent="0.3">
      <c r="I705" t="str">
        <f>_xlfn.IFNA(INDEX('[1]Sector list'!$A$2:$A$122,MATCH(H705,'[1]Sector list'!$B$2:$B$122,0)),"")</f>
        <v/>
      </c>
      <c r="J705" s="172"/>
    </row>
    <row r="706" spans="9:10" x14ac:dyDescent="0.3">
      <c r="I706" t="str">
        <f>_xlfn.IFNA(INDEX('[1]Sector list'!$A$2:$A$122,MATCH(H706,'[1]Sector list'!$B$2:$B$122,0)),"")</f>
        <v/>
      </c>
      <c r="J706" s="172"/>
    </row>
    <row r="707" spans="9:10" x14ac:dyDescent="0.3">
      <c r="I707" t="str">
        <f>_xlfn.IFNA(INDEX('[1]Sector list'!$A$2:$A$122,MATCH(H707,'[1]Sector list'!$B$2:$B$122,0)),"")</f>
        <v/>
      </c>
      <c r="J707" s="172"/>
    </row>
    <row r="708" spans="9:10" x14ac:dyDescent="0.3">
      <c r="I708" t="str">
        <f>_xlfn.IFNA(INDEX('[1]Sector list'!$A$2:$A$122,MATCH(H708,'[1]Sector list'!$B$2:$B$122,0)),"")</f>
        <v/>
      </c>
      <c r="J708" s="172"/>
    </row>
    <row r="709" spans="9:10" x14ac:dyDescent="0.3">
      <c r="I709" t="str">
        <f>_xlfn.IFNA(INDEX('[1]Sector list'!$A$2:$A$122,MATCH(H709,'[1]Sector list'!$B$2:$B$122,0)),"")</f>
        <v/>
      </c>
      <c r="J709" s="172"/>
    </row>
    <row r="710" spans="9:10" x14ac:dyDescent="0.3">
      <c r="I710" t="str">
        <f>_xlfn.IFNA(INDEX('[1]Sector list'!$A$2:$A$122,MATCH(H710,'[1]Sector list'!$B$2:$B$122,0)),"")</f>
        <v/>
      </c>
      <c r="J710" s="172"/>
    </row>
    <row r="711" spans="9:10" x14ac:dyDescent="0.3">
      <c r="I711" t="str">
        <f>_xlfn.IFNA(INDEX('[1]Sector list'!$A$2:$A$122,MATCH(H711,'[1]Sector list'!$B$2:$B$122,0)),"")</f>
        <v/>
      </c>
      <c r="J711" s="172"/>
    </row>
    <row r="712" spans="9:10" x14ac:dyDescent="0.3">
      <c r="I712" t="str">
        <f>_xlfn.IFNA(INDEX('[1]Sector list'!$A$2:$A$122,MATCH(H712,'[1]Sector list'!$B$2:$B$122,0)),"")</f>
        <v/>
      </c>
      <c r="J712" s="172"/>
    </row>
    <row r="713" spans="9:10" x14ac:dyDescent="0.3">
      <c r="I713" t="str">
        <f>_xlfn.IFNA(INDEX('[1]Sector list'!$A$2:$A$122,MATCH(H713,'[1]Sector list'!$B$2:$B$122,0)),"")</f>
        <v/>
      </c>
      <c r="J713" s="172"/>
    </row>
    <row r="714" spans="9:10" x14ac:dyDescent="0.3">
      <c r="I714" t="str">
        <f>_xlfn.IFNA(INDEX('[1]Sector list'!$A$2:$A$122,MATCH(H714,'[1]Sector list'!$B$2:$B$122,0)),"")</f>
        <v/>
      </c>
      <c r="J714" s="172"/>
    </row>
    <row r="715" spans="9:10" x14ac:dyDescent="0.3">
      <c r="I715" t="str">
        <f>_xlfn.IFNA(INDEX('[1]Sector list'!$A$2:$A$122,MATCH(H715,'[1]Sector list'!$B$2:$B$122,0)),"")</f>
        <v/>
      </c>
      <c r="J715" s="172"/>
    </row>
    <row r="716" spans="9:10" x14ac:dyDescent="0.3">
      <c r="I716" t="str">
        <f>_xlfn.IFNA(INDEX('[1]Sector list'!$A$2:$A$122,MATCH(H716,'[1]Sector list'!$B$2:$B$122,0)),"")</f>
        <v/>
      </c>
      <c r="J716" s="172"/>
    </row>
    <row r="717" spans="9:10" x14ac:dyDescent="0.3">
      <c r="I717" t="str">
        <f>_xlfn.IFNA(INDEX('[1]Sector list'!$A$2:$A$122,MATCH(H717,'[1]Sector list'!$B$2:$B$122,0)),"")</f>
        <v/>
      </c>
      <c r="J717" s="172"/>
    </row>
    <row r="718" spans="9:10" x14ac:dyDescent="0.3">
      <c r="I718" t="str">
        <f>_xlfn.IFNA(INDEX('[1]Sector list'!$A$2:$A$122,MATCH(H718,'[1]Sector list'!$B$2:$B$122,0)),"")</f>
        <v/>
      </c>
      <c r="J718" s="172"/>
    </row>
    <row r="719" spans="9:10" x14ac:dyDescent="0.3">
      <c r="I719" t="str">
        <f>_xlfn.IFNA(INDEX('[1]Sector list'!$A$2:$A$122,MATCH(H719,'[1]Sector list'!$B$2:$B$122,0)),"")</f>
        <v/>
      </c>
      <c r="J719" s="172"/>
    </row>
    <row r="720" spans="9:10" x14ac:dyDescent="0.3">
      <c r="I720" t="str">
        <f>_xlfn.IFNA(INDEX('[1]Sector list'!$A$2:$A$122,MATCH(H720,'[1]Sector list'!$B$2:$B$122,0)),"")</f>
        <v/>
      </c>
      <c r="J720" s="172"/>
    </row>
    <row r="721" spans="9:10" x14ac:dyDescent="0.3">
      <c r="I721" t="str">
        <f>_xlfn.IFNA(INDEX('[1]Sector list'!$A$2:$A$122,MATCH(H721,'[1]Sector list'!$B$2:$B$122,0)),"")</f>
        <v/>
      </c>
      <c r="J721" s="172"/>
    </row>
    <row r="722" spans="9:10" x14ac:dyDescent="0.3">
      <c r="I722" t="str">
        <f>_xlfn.IFNA(INDEX('[1]Sector list'!$A$2:$A$122,MATCH(H722,'[1]Sector list'!$B$2:$B$122,0)),"")</f>
        <v/>
      </c>
      <c r="J722" s="172"/>
    </row>
    <row r="723" spans="9:10" x14ac:dyDescent="0.3">
      <c r="I723" t="str">
        <f>_xlfn.IFNA(INDEX('[1]Sector list'!$A$2:$A$122,MATCH(H723,'[1]Sector list'!$B$2:$B$122,0)),"")</f>
        <v/>
      </c>
      <c r="J723" s="172"/>
    </row>
    <row r="724" spans="9:10" x14ac:dyDescent="0.3">
      <c r="I724" t="str">
        <f>_xlfn.IFNA(INDEX('[1]Sector list'!$A$2:$A$122,MATCH(H724,'[1]Sector list'!$B$2:$B$122,0)),"")</f>
        <v/>
      </c>
      <c r="J724" s="172"/>
    </row>
    <row r="725" spans="9:10" x14ac:dyDescent="0.3">
      <c r="I725" t="str">
        <f>_xlfn.IFNA(INDEX('[1]Sector list'!$A$2:$A$122,MATCH(H725,'[1]Sector list'!$B$2:$B$122,0)),"")</f>
        <v/>
      </c>
      <c r="J725" s="172"/>
    </row>
    <row r="726" spans="9:10" x14ac:dyDescent="0.3">
      <c r="I726" t="str">
        <f>_xlfn.IFNA(INDEX('[1]Sector list'!$A$2:$A$122,MATCH(H726,'[1]Sector list'!$B$2:$B$122,0)),"")</f>
        <v/>
      </c>
      <c r="J726" s="172"/>
    </row>
    <row r="727" spans="9:10" x14ac:dyDescent="0.3">
      <c r="I727" t="str">
        <f>_xlfn.IFNA(INDEX('[1]Sector list'!$A$2:$A$122,MATCH(H727,'[1]Sector list'!$B$2:$B$122,0)),"")</f>
        <v/>
      </c>
      <c r="J727" s="172"/>
    </row>
    <row r="728" spans="9:10" x14ac:dyDescent="0.3">
      <c r="I728" t="str">
        <f>_xlfn.IFNA(INDEX('[1]Sector list'!$A$2:$A$122,MATCH(H728,'[1]Sector list'!$B$2:$B$122,0)),"")</f>
        <v/>
      </c>
      <c r="J728" s="172"/>
    </row>
    <row r="729" spans="9:10" x14ac:dyDescent="0.3">
      <c r="I729" t="str">
        <f>_xlfn.IFNA(INDEX('[1]Sector list'!$A$2:$A$122,MATCH(H729,'[1]Sector list'!$B$2:$B$122,0)),"")</f>
        <v/>
      </c>
      <c r="J729" s="172"/>
    </row>
    <row r="730" spans="9:10" x14ac:dyDescent="0.3">
      <c r="I730" t="str">
        <f>_xlfn.IFNA(INDEX('[1]Sector list'!$A$2:$A$122,MATCH(H730,'[1]Sector list'!$B$2:$B$122,0)),"")</f>
        <v/>
      </c>
      <c r="J730" s="172"/>
    </row>
    <row r="731" spans="9:10" x14ac:dyDescent="0.3">
      <c r="I731" t="str">
        <f>_xlfn.IFNA(INDEX('[1]Sector list'!$A$2:$A$122,MATCH(H731,'[1]Sector list'!$B$2:$B$122,0)),"")</f>
        <v/>
      </c>
      <c r="J731" s="172"/>
    </row>
    <row r="732" spans="9:10" x14ac:dyDescent="0.3">
      <c r="I732" t="str">
        <f>_xlfn.IFNA(INDEX('[1]Sector list'!$A$2:$A$122,MATCH(H732,'[1]Sector list'!$B$2:$B$122,0)),"")</f>
        <v/>
      </c>
      <c r="J732" s="172"/>
    </row>
    <row r="733" spans="9:10" x14ac:dyDescent="0.3">
      <c r="I733" t="str">
        <f>_xlfn.IFNA(INDEX('[1]Sector list'!$A$2:$A$122,MATCH(H733,'[1]Sector list'!$B$2:$B$122,0)),"")</f>
        <v/>
      </c>
      <c r="J733" s="172"/>
    </row>
    <row r="734" spans="9:10" x14ac:dyDescent="0.3">
      <c r="I734" t="str">
        <f>_xlfn.IFNA(INDEX('[1]Sector list'!$A$2:$A$122,MATCH(H734,'[1]Sector list'!$B$2:$B$122,0)),"")</f>
        <v/>
      </c>
      <c r="J734" s="172"/>
    </row>
    <row r="735" spans="9:10" x14ac:dyDescent="0.3">
      <c r="I735" t="str">
        <f>_xlfn.IFNA(INDEX('[1]Sector list'!$A$2:$A$122,MATCH(H735,'[1]Sector list'!$B$2:$B$122,0)),"")</f>
        <v/>
      </c>
      <c r="J735" s="172"/>
    </row>
    <row r="736" spans="9:10" x14ac:dyDescent="0.3">
      <c r="I736" t="str">
        <f>_xlfn.IFNA(INDEX('[1]Sector list'!$A$2:$A$122,MATCH(H736,'[1]Sector list'!$B$2:$B$122,0)),"")</f>
        <v/>
      </c>
      <c r="J736" s="172"/>
    </row>
    <row r="737" spans="9:10" x14ac:dyDescent="0.3">
      <c r="I737" t="str">
        <f>_xlfn.IFNA(INDEX('[1]Sector list'!$A$2:$A$122,MATCH(H737,'[1]Sector list'!$B$2:$B$122,0)),"")</f>
        <v/>
      </c>
      <c r="J737" s="172"/>
    </row>
    <row r="738" spans="9:10" x14ac:dyDescent="0.3">
      <c r="I738" t="str">
        <f>_xlfn.IFNA(INDEX('[1]Sector list'!$A$2:$A$122,MATCH(H738,'[1]Sector list'!$B$2:$B$122,0)),"")</f>
        <v/>
      </c>
      <c r="J738" s="172"/>
    </row>
    <row r="739" spans="9:10" x14ac:dyDescent="0.3">
      <c r="I739" t="str">
        <f>_xlfn.IFNA(INDEX('[1]Sector list'!$A$2:$A$122,MATCH(H739,'[1]Sector list'!$B$2:$B$122,0)),"")</f>
        <v/>
      </c>
      <c r="J739" s="172"/>
    </row>
    <row r="740" spans="9:10" x14ac:dyDescent="0.3">
      <c r="I740" t="str">
        <f>_xlfn.IFNA(INDEX('[1]Sector list'!$A$2:$A$122,MATCH(H740,'[1]Sector list'!$B$2:$B$122,0)),"")</f>
        <v/>
      </c>
      <c r="J740" s="172"/>
    </row>
    <row r="741" spans="9:10" x14ac:dyDescent="0.3">
      <c r="I741" t="str">
        <f>_xlfn.IFNA(INDEX('[1]Sector list'!$A$2:$A$122,MATCH(H741,'[1]Sector list'!$B$2:$B$122,0)),"")</f>
        <v/>
      </c>
      <c r="J741" s="172"/>
    </row>
    <row r="742" spans="9:10" x14ac:dyDescent="0.3">
      <c r="I742" t="str">
        <f>_xlfn.IFNA(INDEX('[1]Sector list'!$A$2:$A$122,MATCH(H742,'[1]Sector list'!$B$2:$B$122,0)),"")</f>
        <v/>
      </c>
      <c r="J742" s="172"/>
    </row>
    <row r="743" spans="9:10" x14ac:dyDescent="0.3">
      <c r="I743" t="str">
        <f>_xlfn.IFNA(INDEX('[1]Sector list'!$A$2:$A$122,MATCH(H743,'[1]Sector list'!$B$2:$B$122,0)),"")</f>
        <v/>
      </c>
      <c r="J743" s="172"/>
    </row>
    <row r="744" spans="9:10" x14ac:dyDescent="0.3">
      <c r="I744" t="str">
        <f>_xlfn.IFNA(INDEX('[1]Sector list'!$A$2:$A$122,MATCH(H744,'[1]Sector list'!$B$2:$B$122,0)),"")</f>
        <v/>
      </c>
      <c r="J744" s="172"/>
    </row>
    <row r="745" spans="9:10" x14ac:dyDescent="0.3">
      <c r="I745" t="str">
        <f>_xlfn.IFNA(INDEX('[1]Sector list'!$A$2:$A$122,MATCH(H745,'[1]Sector list'!$B$2:$B$122,0)),"")</f>
        <v/>
      </c>
      <c r="J745" s="172"/>
    </row>
    <row r="746" spans="9:10" x14ac:dyDescent="0.3">
      <c r="I746" t="str">
        <f>_xlfn.IFNA(INDEX('[1]Sector list'!$A$2:$A$122,MATCH(H746,'[1]Sector list'!$B$2:$B$122,0)),"")</f>
        <v/>
      </c>
      <c r="J746" s="172"/>
    </row>
    <row r="747" spans="9:10" x14ac:dyDescent="0.3">
      <c r="I747" t="str">
        <f>_xlfn.IFNA(INDEX('[1]Sector list'!$A$2:$A$122,MATCH(H747,'[1]Sector list'!$B$2:$B$122,0)),"")</f>
        <v/>
      </c>
      <c r="J747" s="172"/>
    </row>
    <row r="748" spans="9:10" x14ac:dyDescent="0.3">
      <c r="I748" t="str">
        <f>_xlfn.IFNA(INDEX('[1]Sector list'!$A$2:$A$122,MATCH(H748,'[1]Sector list'!$B$2:$B$122,0)),"")</f>
        <v/>
      </c>
      <c r="J748" s="172"/>
    </row>
    <row r="749" spans="9:10" x14ac:dyDescent="0.3">
      <c r="I749" t="str">
        <f>_xlfn.IFNA(INDEX('[1]Sector list'!$A$2:$A$122,MATCH(H749,'[1]Sector list'!$B$2:$B$122,0)),"")</f>
        <v/>
      </c>
      <c r="J749" s="172"/>
    </row>
    <row r="750" spans="9:10" x14ac:dyDescent="0.3">
      <c r="I750" t="str">
        <f>_xlfn.IFNA(INDEX('[1]Sector list'!$A$2:$A$122,MATCH(H750,'[1]Sector list'!$B$2:$B$122,0)),"")</f>
        <v/>
      </c>
      <c r="J750" s="172"/>
    </row>
    <row r="751" spans="9:10" x14ac:dyDescent="0.3">
      <c r="I751" t="str">
        <f>_xlfn.IFNA(INDEX('[1]Sector list'!$A$2:$A$122,MATCH(H751,'[1]Sector list'!$B$2:$B$122,0)),"")</f>
        <v/>
      </c>
      <c r="J751" s="172"/>
    </row>
    <row r="752" spans="9:10" x14ac:dyDescent="0.3">
      <c r="I752" t="str">
        <f>_xlfn.IFNA(INDEX('[1]Sector list'!$A$2:$A$122,MATCH(H752,'[1]Sector list'!$B$2:$B$122,0)),"")</f>
        <v/>
      </c>
      <c r="J752" s="172"/>
    </row>
    <row r="753" spans="9:10" x14ac:dyDescent="0.3">
      <c r="I753" t="str">
        <f>_xlfn.IFNA(INDEX('[1]Sector list'!$A$2:$A$122,MATCH(H753,'[1]Sector list'!$B$2:$B$122,0)),"")</f>
        <v/>
      </c>
      <c r="J753" s="172"/>
    </row>
    <row r="754" spans="9:10" x14ac:dyDescent="0.3">
      <c r="I754" t="str">
        <f>_xlfn.IFNA(INDEX('[1]Sector list'!$A$2:$A$122,MATCH(H754,'[1]Sector list'!$B$2:$B$122,0)),"")</f>
        <v/>
      </c>
      <c r="J754" s="172"/>
    </row>
    <row r="755" spans="9:10" x14ac:dyDescent="0.3">
      <c r="I755" t="str">
        <f>_xlfn.IFNA(INDEX('[1]Sector list'!$A$2:$A$122,MATCH(H755,'[1]Sector list'!$B$2:$B$122,0)),"")</f>
        <v/>
      </c>
      <c r="J755" s="172"/>
    </row>
    <row r="756" spans="9:10" x14ac:dyDescent="0.3">
      <c r="I756" t="str">
        <f>_xlfn.IFNA(INDEX('[1]Sector list'!$A$2:$A$122,MATCH(H756,'[1]Sector list'!$B$2:$B$122,0)),"")</f>
        <v/>
      </c>
      <c r="J756" s="172"/>
    </row>
    <row r="757" spans="9:10" x14ac:dyDescent="0.3">
      <c r="I757" t="str">
        <f>_xlfn.IFNA(INDEX('[1]Sector list'!$A$2:$A$122,MATCH(H757,'[1]Sector list'!$B$2:$B$122,0)),"")</f>
        <v/>
      </c>
      <c r="J757" s="172"/>
    </row>
    <row r="758" spans="9:10" x14ac:dyDescent="0.3">
      <c r="I758" t="str">
        <f>_xlfn.IFNA(INDEX('[1]Sector list'!$A$2:$A$122,MATCH(H758,'[1]Sector list'!$B$2:$B$122,0)),"")</f>
        <v/>
      </c>
      <c r="J758" s="172"/>
    </row>
    <row r="759" spans="9:10" x14ac:dyDescent="0.3">
      <c r="I759" t="str">
        <f>_xlfn.IFNA(INDEX('[1]Sector list'!$A$2:$A$122,MATCH(H759,'[1]Sector list'!$B$2:$B$122,0)),"")</f>
        <v/>
      </c>
      <c r="J759" s="172"/>
    </row>
    <row r="760" spans="9:10" x14ac:dyDescent="0.3">
      <c r="I760" t="str">
        <f>_xlfn.IFNA(INDEX('[1]Sector list'!$A$2:$A$122,MATCH(H760,'[1]Sector list'!$B$2:$B$122,0)),"")</f>
        <v/>
      </c>
      <c r="J760" s="172"/>
    </row>
    <row r="761" spans="9:10" x14ac:dyDescent="0.3">
      <c r="I761" t="str">
        <f>_xlfn.IFNA(INDEX('[1]Sector list'!$A$2:$A$122,MATCH(H761,'[1]Sector list'!$B$2:$B$122,0)),"")</f>
        <v/>
      </c>
      <c r="J761" s="172"/>
    </row>
    <row r="762" spans="9:10" x14ac:dyDescent="0.3">
      <c r="I762" t="str">
        <f>_xlfn.IFNA(INDEX('[1]Sector list'!$A$2:$A$122,MATCH(H762,'[1]Sector list'!$B$2:$B$122,0)),"")</f>
        <v/>
      </c>
      <c r="J762" s="172"/>
    </row>
    <row r="763" spans="9:10" x14ac:dyDescent="0.3">
      <c r="I763" t="str">
        <f>_xlfn.IFNA(INDEX('[1]Sector list'!$A$2:$A$122,MATCH(H763,'[1]Sector list'!$B$2:$B$122,0)),"")</f>
        <v/>
      </c>
      <c r="J763" s="172"/>
    </row>
    <row r="764" spans="9:10" x14ac:dyDescent="0.3">
      <c r="I764" t="str">
        <f>_xlfn.IFNA(INDEX('[1]Sector list'!$A$2:$A$122,MATCH(H764,'[1]Sector list'!$B$2:$B$122,0)),"")</f>
        <v/>
      </c>
      <c r="J764" s="172"/>
    </row>
    <row r="765" spans="9:10" x14ac:dyDescent="0.3">
      <c r="I765" t="str">
        <f>_xlfn.IFNA(INDEX('[1]Sector list'!$A$2:$A$122,MATCH(H765,'[1]Sector list'!$B$2:$B$122,0)),"")</f>
        <v/>
      </c>
      <c r="J765" s="172"/>
    </row>
    <row r="766" spans="9:10" x14ac:dyDescent="0.3">
      <c r="I766" t="str">
        <f>_xlfn.IFNA(INDEX('[1]Sector list'!$A$2:$A$122,MATCH(H766,'[1]Sector list'!$B$2:$B$122,0)),"")</f>
        <v/>
      </c>
      <c r="J766" s="172"/>
    </row>
    <row r="767" spans="9:10" x14ac:dyDescent="0.3">
      <c r="I767" t="str">
        <f>_xlfn.IFNA(INDEX('[1]Sector list'!$A$2:$A$122,MATCH(H767,'[1]Sector list'!$B$2:$B$122,0)),"")</f>
        <v/>
      </c>
      <c r="J767" s="172"/>
    </row>
    <row r="768" spans="9:10" x14ac:dyDescent="0.3">
      <c r="I768" t="str">
        <f>_xlfn.IFNA(INDEX('[1]Sector list'!$A$2:$A$122,MATCH(H768,'[1]Sector list'!$B$2:$B$122,0)),"")</f>
        <v/>
      </c>
      <c r="J768" s="172"/>
    </row>
    <row r="769" spans="9:10" x14ac:dyDescent="0.3">
      <c r="I769" t="str">
        <f>_xlfn.IFNA(INDEX('[1]Sector list'!$A$2:$A$122,MATCH(H769,'[1]Sector list'!$B$2:$B$122,0)),"")</f>
        <v/>
      </c>
      <c r="J769" s="172"/>
    </row>
    <row r="770" spans="9:10" x14ac:dyDescent="0.3">
      <c r="I770" t="str">
        <f>_xlfn.IFNA(INDEX('[1]Sector list'!$A$2:$A$122,MATCH(H770,'[1]Sector list'!$B$2:$B$122,0)),"")</f>
        <v/>
      </c>
      <c r="J770" s="172"/>
    </row>
    <row r="771" spans="9:10" x14ac:dyDescent="0.3">
      <c r="I771" t="str">
        <f>_xlfn.IFNA(INDEX('[1]Sector list'!$A$2:$A$122,MATCH(H771,'[1]Sector list'!$B$2:$B$122,0)),"")</f>
        <v/>
      </c>
      <c r="J771" s="172"/>
    </row>
    <row r="772" spans="9:10" x14ac:dyDescent="0.3">
      <c r="I772" t="str">
        <f>_xlfn.IFNA(INDEX('[1]Sector list'!$A$2:$A$122,MATCH(H772,'[1]Sector list'!$B$2:$B$122,0)),"")</f>
        <v/>
      </c>
      <c r="J772" s="172"/>
    </row>
    <row r="773" spans="9:10" x14ac:dyDescent="0.3">
      <c r="I773" t="str">
        <f>_xlfn.IFNA(INDEX('[1]Sector list'!$A$2:$A$122,MATCH(H773,'[1]Sector list'!$B$2:$B$122,0)),"")</f>
        <v/>
      </c>
      <c r="J773" s="172"/>
    </row>
    <row r="774" spans="9:10" x14ac:dyDescent="0.3">
      <c r="I774" t="str">
        <f>_xlfn.IFNA(INDEX('[1]Sector list'!$A$2:$A$122,MATCH(H774,'[1]Sector list'!$B$2:$B$122,0)),"")</f>
        <v/>
      </c>
      <c r="J774" s="172"/>
    </row>
    <row r="775" spans="9:10" x14ac:dyDescent="0.3">
      <c r="I775" t="str">
        <f>_xlfn.IFNA(INDEX('[1]Sector list'!$A$2:$A$122,MATCH(H775,'[1]Sector list'!$B$2:$B$122,0)),"")</f>
        <v/>
      </c>
      <c r="J775" s="172"/>
    </row>
    <row r="776" spans="9:10" x14ac:dyDescent="0.3">
      <c r="I776" t="str">
        <f>_xlfn.IFNA(INDEX('[1]Sector list'!$A$2:$A$122,MATCH(H776,'[1]Sector list'!$B$2:$B$122,0)),"")</f>
        <v/>
      </c>
      <c r="J776" s="172"/>
    </row>
    <row r="777" spans="9:10" x14ac:dyDescent="0.3">
      <c r="I777" t="str">
        <f>_xlfn.IFNA(INDEX('[1]Sector list'!$A$2:$A$122,MATCH(H777,'[1]Sector list'!$B$2:$B$122,0)),"")</f>
        <v/>
      </c>
      <c r="J777" s="172"/>
    </row>
    <row r="778" spans="9:10" x14ac:dyDescent="0.3">
      <c r="I778" t="str">
        <f>_xlfn.IFNA(INDEX('[1]Sector list'!$A$2:$A$122,MATCH(H778,'[1]Sector list'!$B$2:$B$122,0)),"")</f>
        <v/>
      </c>
      <c r="J778" s="172"/>
    </row>
    <row r="779" spans="9:10" x14ac:dyDescent="0.3">
      <c r="I779" t="str">
        <f>_xlfn.IFNA(INDEX('[1]Sector list'!$A$2:$A$122,MATCH(H779,'[1]Sector list'!$B$2:$B$122,0)),"")</f>
        <v/>
      </c>
      <c r="J779" s="172"/>
    </row>
    <row r="780" spans="9:10" x14ac:dyDescent="0.3">
      <c r="I780" t="str">
        <f>_xlfn.IFNA(INDEX('[1]Sector list'!$A$2:$A$122,MATCH(H780,'[1]Sector list'!$B$2:$B$122,0)),"")</f>
        <v/>
      </c>
      <c r="J780" s="172"/>
    </row>
    <row r="781" spans="9:10" x14ac:dyDescent="0.3">
      <c r="I781" t="str">
        <f>_xlfn.IFNA(INDEX('[1]Sector list'!$A$2:$A$122,MATCH(H781,'[1]Sector list'!$B$2:$B$122,0)),"")</f>
        <v/>
      </c>
      <c r="J781" s="172"/>
    </row>
    <row r="782" spans="9:10" x14ac:dyDescent="0.3">
      <c r="I782" t="str">
        <f>_xlfn.IFNA(INDEX('[1]Sector list'!$A$2:$A$122,MATCH(H782,'[1]Sector list'!$B$2:$B$122,0)),"")</f>
        <v/>
      </c>
      <c r="J782" s="172"/>
    </row>
    <row r="783" spans="9:10" x14ac:dyDescent="0.3">
      <c r="I783" t="str">
        <f>_xlfn.IFNA(INDEX('[1]Sector list'!$A$2:$A$122,MATCH(H783,'[1]Sector list'!$B$2:$B$122,0)),"")</f>
        <v/>
      </c>
      <c r="J783" s="172"/>
    </row>
    <row r="784" spans="9:10" x14ac:dyDescent="0.3">
      <c r="I784" t="str">
        <f>_xlfn.IFNA(INDEX('[1]Sector list'!$A$2:$A$122,MATCH(H784,'[1]Sector list'!$B$2:$B$122,0)),"")</f>
        <v/>
      </c>
      <c r="J784" s="172"/>
    </row>
    <row r="785" spans="9:10" x14ac:dyDescent="0.3">
      <c r="I785" t="str">
        <f>_xlfn.IFNA(INDEX('[1]Sector list'!$A$2:$A$122,MATCH(H785,'[1]Sector list'!$B$2:$B$122,0)),"")</f>
        <v/>
      </c>
      <c r="J785" s="172"/>
    </row>
    <row r="786" spans="9:10" x14ac:dyDescent="0.3">
      <c r="I786" t="str">
        <f>_xlfn.IFNA(INDEX('[1]Sector list'!$A$2:$A$122,MATCH(H786,'[1]Sector list'!$B$2:$B$122,0)),"")</f>
        <v/>
      </c>
      <c r="J786" s="172"/>
    </row>
    <row r="787" spans="9:10" x14ac:dyDescent="0.3">
      <c r="I787" t="str">
        <f>_xlfn.IFNA(INDEX('[1]Sector list'!$A$2:$A$122,MATCH(H787,'[1]Sector list'!$B$2:$B$122,0)),"")</f>
        <v/>
      </c>
      <c r="J787" s="172"/>
    </row>
    <row r="788" spans="9:10" x14ac:dyDescent="0.3">
      <c r="I788" t="str">
        <f>_xlfn.IFNA(INDEX('[1]Sector list'!$A$2:$A$122,MATCH(H788,'[1]Sector list'!$B$2:$B$122,0)),"")</f>
        <v/>
      </c>
      <c r="J788" s="172"/>
    </row>
    <row r="789" spans="9:10" x14ac:dyDescent="0.3">
      <c r="I789" t="str">
        <f>_xlfn.IFNA(INDEX('[1]Sector list'!$A$2:$A$122,MATCH(H789,'[1]Sector list'!$B$2:$B$122,0)),"")</f>
        <v/>
      </c>
      <c r="J789" s="172"/>
    </row>
    <row r="790" spans="9:10" x14ac:dyDescent="0.3">
      <c r="I790" t="str">
        <f>_xlfn.IFNA(INDEX('[1]Sector list'!$A$2:$A$122,MATCH(H790,'[1]Sector list'!$B$2:$B$122,0)),"")</f>
        <v/>
      </c>
      <c r="J790" s="172"/>
    </row>
    <row r="791" spans="9:10" x14ac:dyDescent="0.3">
      <c r="I791" t="str">
        <f>_xlfn.IFNA(INDEX('[1]Sector list'!$A$2:$A$122,MATCH(H791,'[1]Sector list'!$B$2:$B$122,0)),"")</f>
        <v/>
      </c>
      <c r="J791" s="172"/>
    </row>
    <row r="792" spans="9:10" x14ac:dyDescent="0.3">
      <c r="I792" t="str">
        <f>_xlfn.IFNA(INDEX('[1]Sector list'!$A$2:$A$122,MATCH(H792,'[1]Sector list'!$B$2:$B$122,0)),"")</f>
        <v/>
      </c>
      <c r="J792" s="172"/>
    </row>
    <row r="793" spans="9:10" x14ac:dyDescent="0.3">
      <c r="I793" t="str">
        <f>_xlfn.IFNA(INDEX('[1]Sector list'!$A$2:$A$122,MATCH(H793,'[1]Sector list'!$B$2:$B$122,0)),"")</f>
        <v/>
      </c>
      <c r="J793" s="172"/>
    </row>
    <row r="794" spans="9:10" x14ac:dyDescent="0.3">
      <c r="I794" t="str">
        <f>_xlfn.IFNA(INDEX('[1]Sector list'!$A$2:$A$122,MATCH(H794,'[1]Sector list'!$B$2:$B$122,0)),"")</f>
        <v/>
      </c>
      <c r="J794" s="172"/>
    </row>
    <row r="795" spans="9:10" x14ac:dyDescent="0.3">
      <c r="I795" t="str">
        <f>_xlfn.IFNA(INDEX('[1]Sector list'!$A$2:$A$122,MATCH(H795,'[1]Sector list'!$B$2:$B$122,0)),"")</f>
        <v/>
      </c>
      <c r="J795" s="172"/>
    </row>
    <row r="796" spans="9:10" x14ac:dyDescent="0.3">
      <c r="I796" t="str">
        <f>_xlfn.IFNA(INDEX('[1]Sector list'!$A$2:$A$122,MATCH(H796,'[1]Sector list'!$B$2:$B$122,0)),"")</f>
        <v/>
      </c>
      <c r="J796" s="172"/>
    </row>
    <row r="797" spans="9:10" x14ac:dyDescent="0.3">
      <c r="I797" t="str">
        <f>_xlfn.IFNA(INDEX('[1]Sector list'!$A$2:$A$122,MATCH(H797,'[1]Sector list'!$B$2:$B$122,0)),"")</f>
        <v/>
      </c>
      <c r="J797" s="172"/>
    </row>
    <row r="798" spans="9:10" x14ac:dyDescent="0.3">
      <c r="I798" t="str">
        <f>_xlfn.IFNA(INDEX('[1]Sector list'!$A$2:$A$122,MATCH(H798,'[1]Sector list'!$B$2:$B$122,0)),"")</f>
        <v/>
      </c>
      <c r="J798" s="172"/>
    </row>
    <row r="799" spans="9:10" x14ac:dyDescent="0.3">
      <c r="I799" t="str">
        <f>_xlfn.IFNA(INDEX('[1]Sector list'!$A$2:$A$122,MATCH(H799,'[1]Sector list'!$B$2:$B$122,0)),"")</f>
        <v/>
      </c>
      <c r="J799" s="172"/>
    </row>
    <row r="800" spans="9:10" x14ac:dyDescent="0.3">
      <c r="I800" t="str">
        <f>_xlfn.IFNA(INDEX('[1]Sector list'!$A$2:$A$122,MATCH(H800,'[1]Sector list'!$B$2:$B$122,0)),"")</f>
        <v/>
      </c>
      <c r="J800" s="172"/>
    </row>
    <row r="801" spans="9:10" x14ac:dyDescent="0.3">
      <c r="I801" t="str">
        <f>_xlfn.IFNA(INDEX('[1]Sector list'!$A$2:$A$122,MATCH(H801,'[1]Sector list'!$B$2:$B$122,0)),"")</f>
        <v/>
      </c>
      <c r="J801" s="172"/>
    </row>
    <row r="802" spans="9:10" x14ac:dyDescent="0.3">
      <c r="I802" t="str">
        <f>_xlfn.IFNA(INDEX('[1]Sector list'!$A$2:$A$122,MATCH(H802,'[1]Sector list'!$B$2:$B$122,0)),"")</f>
        <v/>
      </c>
      <c r="J802" s="172"/>
    </row>
    <row r="803" spans="9:10" x14ac:dyDescent="0.3">
      <c r="I803" t="str">
        <f>_xlfn.IFNA(INDEX('[1]Sector list'!$A$2:$A$122,MATCH(H803,'[1]Sector list'!$B$2:$B$122,0)),"")</f>
        <v/>
      </c>
      <c r="J803" s="172"/>
    </row>
    <row r="804" spans="9:10" x14ac:dyDescent="0.3">
      <c r="I804" t="str">
        <f>_xlfn.IFNA(INDEX('[1]Sector list'!$A$2:$A$122,MATCH(H804,'[1]Sector list'!$B$2:$B$122,0)),"")</f>
        <v/>
      </c>
      <c r="J804" s="172"/>
    </row>
    <row r="805" spans="9:10" x14ac:dyDescent="0.3">
      <c r="I805" t="str">
        <f>_xlfn.IFNA(INDEX('[1]Sector list'!$A$2:$A$122,MATCH(H805,'[1]Sector list'!$B$2:$B$122,0)),"")</f>
        <v/>
      </c>
      <c r="J805" s="172"/>
    </row>
    <row r="806" spans="9:10" x14ac:dyDescent="0.3">
      <c r="I806" t="str">
        <f>_xlfn.IFNA(INDEX('[1]Sector list'!$A$2:$A$122,MATCH(H806,'[1]Sector list'!$B$2:$B$122,0)),"")</f>
        <v/>
      </c>
      <c r="J806" s="172"/>
    </row>
    <row r="807" spans="9:10" x14ac:dyDescent="0.3">
      <c r="I807" t="str">
        <f>_xlfn.IFNA(INDEX('[1]Sector list'!$A$2:$A$122,MATCH(H807,'[1]Sector list'!$B$2:$B$122,0)),"")</f>
        <v/>
      </c>
      <c r="J807" s="172"/>
    </row>
    <row r="808" spans="9:10" x14ac:dyDescent="0.3">
      <c r="I808" t="str">
        <f>_xlfn.IFNA(INDEX('[1]Sector list'!$A$2:$A$122,MATCH(H808,'[1]Sector list'!$B$2:$B$122,0)),"")</f>
        <v/>
      </c>
      <c r="J808" s="172"/>
    </row>
    <row r="809" spans="9:10" x14ac:dyDescent="0.3">
      <c r="I809" t="str">
        <f>_xlfn.IFNA(INDEX('[1]Sector list'!$A$2:$A$122,MATCH(H809,'[1]Sector list'!$B$2:$B$122,0)),"")</f>
        <v/>
      </c>
      <c r="J809" s="172"/>
    </row>
    <row r="810" spans="9:10" x14ac:dyDescent="0.3">
      <c r="I810" t="str">
        <f>_xlfn.IFNA(INDEX('[1]Sector list'!$A$2:$A$122,MATCH(H810,'[1]Sector list'!$B$2:$B$122,0)),"")</f>
        <v/>
      </c>
      <c r="J810" s="172"/>
    </row>
    <row r="811" spans="9:10" x14ac:dyDescent="0.3">
      <c r="I811" t="str">
        <f>_xlfn.IFNA(INDEX('[1]Sector list'!$A$2:$A$122,MATCH(H811,'[1]Sector list'!$B$2:$B$122,0)),"")</f>
        <v/>
      </c>
      <c r="J811" s="172"/>
    </row>
    <row r="812" spans="9:10" x14ac:dyDescent="0.3">
      <c r="I812" t="str">
        <f>_xlfn.IFNA(INDEX('[1]Sector list'!$A$2:$A$122,MATCH(H812,'[1]Sector list'!$B$2:$B$122,0)),"")</f>
        <v/>
      </c>
      <c r="J812" s="172"/>
    </row>
    <row r="813" spans="9:10" x14ac:dyDescent="0.3">
      <c r="I813" t="str">
        <f>_xlfn.IFNA(INDEX('[1]Sector list'!$A$2:$A$122,MATCH(H813,'[1]Sector list'!$B$2:$B$122,0)),"")</f>
        <v/>
      </c>
      <c r="J813" s="172"/>
    </row>
    <row r="814" spans="9:10" x14ac:dyDescent="0.3">
      <c r="I814" t="str">
        <f>_xlfn.IFNA(INDEX('[1]Sector list'!$A$2:$A$122,MATCH(H814,'[1]Sector list'!$B$2:$B$122,0)),"")</f>
        <v/>
      </c>
      <c r="J814" s="172"/>
    </row>
    <row r="815" spans="9:10" x14ac:dyDescent="0.3">
      <c r="I815" t="str">
        <f>_xlfn.IFNA(INDEX('[1]Sector list'!$A$2:$A$122,MATCH(H815,'[1]Sector list'!$B$2:$B$122,0)),"")</f>
        <v/>
      </c>
      <c r="J815" s="172"/>
    </row>
    <row r="816" spans="9:10" x14ac:dyDescent="0.3">
      <c r="I816" t="str">
        <f>_xlfn.IFNA(INDEX('[1]Sector list'!$A$2:$A$122,MATCH(H816,'[1]Sector list'!$B$2:$B$122,0)),"")</f>
        <v/>
      </c>
      <c r="J816" s="172"/>
    </row>
    <row r="817" spans="9:10" x14ac:dyDescent="0.3">
      <c r="I817" t="str">
        <f>_xlfn.IFNA(INDEX('[1]Sector list'!$A$2:$A$122,MATCH(H817,'[1]Sector list'!$B$2:$B$122,0)),"")</f>
        <v/>
      </c>
      <c r="J817" s="172"/>
    </row>
    <row r="818" spans="9:10" x14ac:dyDescent="0.3">
      <c r="I818" t="str">
        <f>_xlfn.IFNA(INDEX('[1]Sector list'!$A$2:$A$122,MATCH(H818,'[1]Sector list'!$B$2:$B$122,0)),"")</f>
        <v/>
      </c>
      <c r="J818" s="172"/>
    </row>
    <row r="819" spans="9:10" x14ac:dyDescent="0.3">
      <c r="I819" t="str">
        <f>_xlfn.IFNA(INDEX('[1]Sector list'!$A$2:$A$122,MATCH(H819,'[1]Sector list'!$B$2:$B$122,0)),"")</f>
        <v/>
      </c>
      <c r="J819" s="172"/>
    </row>
    <row r="820" spans="9:10" x14ac:dyDescent="0.3">
      <c r="I820" t="str">
        <f>_xlfn.IFNA(INDEX('[1]Sector list'!$A$2:$A$122,MATCH(H820,'[1]Sector list'!$B$2:$B$122,0)),"")</f>
        <v/>
      </c>
      <c r="J820" s="172"/>
    </row>
    <row r="821" spans="9:10" x14ac:dyDescent="0.3">
      <c r="I821" t="str">
        <f>_xlfn.IFNA(INDEX('[1]Sector list'!$A$2:$A$122,MATCH(H821,'[1]Sector list'!$B$2:$B$122,0)),"")</f>
        <v/>
      </c>
      <c r="J821" s="172"/>
    </row>
    <row r="822" spans="9:10" x14ac:dyDescent="0.3">
      <c r="I822" t="str">
        <f>_xlfn.IFNA(INDEX('[1]Sector list'!$A$2:$A$122,MATCH(H822,'[1]Sector list'!$B$2:$B$122,0)),"")</f>
        <v/>
      </c>
      <c r="J822" s="172"/>
    </row>
    <row r="823" spans="9:10" x14ac:dyDescent="0.3">
      <c r="I823" t="str">
        <f>_xlfn.IFNA(INDEX('[1]Sector list'!$A$2:$A$122,MATCH(H823,'[1]Sector list'!$B$2:$B$122,0)),"")</f>
        <v/>
      </c>
      <c r="J823" s="172"/>
    </row>
    <row r="824" spans="9:10" x14ac:dyDescent="0.3">
      <c r="I824" t="str">
        <f>_xlfn.IFNA(INDEX('[1]Sector list'!$A$2:$A$122,MATCH(H824,'[1]Sector list'!$B$2:$B$122,0)),"")</f>
        <v/>
      </c>
      <c r="J824" s="172"/>
    </row>
    <row r="825" spans="9:10" x14ac:dyDescent="0.3">
      <c r="I825" t="str">
        <f>_xlfn.IFNA(INDEX('[1]Sector list'!$A$2:$A$122,MATCH(H825,'[1]Sector list'!$B$2:$B$122,0)),"")</f>
        <v/>
      </c>
      <c r="J825" s="172"/>
    </row>
    <row r="826" spans="9:10" x14ac:dyDescent="0.3">
      <c r="I826" t="str">
        <f>_xlfn.IFNA(INDEX('[1]Sector list'!$A$2:$A$122,MATCH(H826,'[1]Sector list'!$B$2:$B$122,0)),"")</f>
        <v/>
      </c>
      <c r="J826" s="172"/>
    </row>
    <row r="827" spans="9:10" x14ac:dyDescent="0.3">
      <c r="I827" t="str">
        <f>_xlfn.IFNA(INDEX('[1]Sector list'!$A$2:$A$122,MATCH(H827,'[1]Sector list'!$B$2:$B$122,0)),"")</f>
        <v/>
      </c>
      <c r="J827" s="172"/>
    </row>
    <row r="828" spans="9:10" x14ac:dyDescent="0.3">
      <c r="I828" t="str">
        <f>_xlfn.IFNA(INDEX('[1]Sector list'!$A$2:$A$122,MATCH(H828,'[1]Sector list'!$B$2:$B$122,0)),"")</f>
        <v/>
      </c>
      <c r="J828" s="172"/>
    </row>
    <row r="829" spans="9:10" x14ac:dyDescent="0.3">
      <c r="I829" t="str">
        <f>_xlfn.IFNA(INDEX('[1]Sector list'!$A$2:$A$122,MATCH(H829,'[1]Sector list'!$B$2:$B$122,0)),"")</f>
        <v/>
      </c>
      <c r="J829" s="172"/>
    </row>
    <row r="830" spans="9:10" x14ac:dyDescent="0.3">
      <c r="I830" t="str">
        <f>_xlfn.IFNA(INDEX('[1]Sector list'!$A$2:$A$122,MATCH(H830,'[1]Sector list'!$B$2:$B$122,0)),"")</f>
        <v/>
      </c>
      <c r="J830" s="172"/>
    </row>
    <row r="831" spans="9:10" x14ac:dyDescent="0.3">
      <c r="I831" t="str">
        <f>_xlfn.IFNA(INDEX('[1]Sector list'!$A$2:$A$122,MATCH(H831,'[1]Sector list'!$B$2:$B$122,0)),"")</f>
        <v/>
      </c>
      <c r="J831" s="172"/>
    </row>
    <row r="832" spans="9:10" x14ac:dyDescent="0.3">
      <c r="I832" t="str">
        <f>_xlfn.IFNA(INDEX('[1]Sector list'!$A$2:$A$122,MATCH(H832,'[1]Sector list'!$B$2:$B$122,0)),"")</f>
        <v/>
      </c>
      <c r="J832" s="172"/>
    </row>
    <row r="833" spans="9:10" x14ac:dyDescent="0.3">
      <c r="I833" t="str">
        <f>_xlfn.IFNA(INDEX('[1]Sector list'!$A$2:$A$122,MATCH(H833,'[1]Sector list'!$B$2:$B$122,0)),"")</f>
        <v/>
      </c>
      <c r="J833" s="172"/>
    </row>
    <row r="834" spans="9:10" x14ac:dyDescent="0.3">
      <c r="I834" t="str">
        <f>_xlfn.IFNA(INDEX('[1]Sector list'!$A$2:$A$122,MATCH(H834,'[1]Sector list'!$B$2:$B$122,0)),"")</f>
        <v/>
      </c>
      <c r="J834" s="172"/>
    </row>
    <row r="835" spans="9:10" x14ac:dyDescent="0.3">
      <c r="I835" t="str">
        <f>_xlfn.IFNA(INDEX('[1]Sector list'!$A$2:$A$122,MATCH(H835,'[1]Sector list'!$B$2:$B$122,0)),"")</f>
        <v/>
      </c>
      <c r="J835" s="172"/>
    </row>
    <row r="836" spans="9:10" x14ac:dyDescent="0.3">
      <c r="I836" t="str">
        <f>_xlfn.IFNA(INDEX('[1]Sector list'!$A$2:$A$122,MATCH(H836,'[1]Sector list'!$B$2:$B$122,0)),"")</f>
        <v/>
      </c>
      <c r="J836" s="172"/>
    </row>
    <row r="837" spans="9:10" x14ac:dyDescent="0.3">
      <c r="I837" t="str">
        <f>_xlfn.IFNA(INDEX('[1]Sector list'!$A$2:$A$122,MATCH(H837,'[1]Sector list'!$B$2:$B$122,0)),"")</f>
        <v/>
      </c>
      <c r="J837" s="172"/>
    </row>
    <row r="838" spans="9:10" x14ac:dyDescent="0.3">
      <c r="I838" t="str">
        <f>_xlfn.IFNA(INDEX('[1]Sector list'!$A$2:$A$122,MATCH(H838,'[1]Sector list'!$B$2:$B$122,0)),"")</f>
        <v/>
      </c>
      <c r="J838" s="172"/>
    </row>
    <row r="839" spans="9:10" x14ac:dyDescent="0.3">
      <c r="I839" t="str">
        <f>_xlfn.IFNA(INDEX('[1]Sector list'!$A$2:$A$122,MATCH(H839,'[1]Sector list'!$B$2:$B$122,0)),"")</f>
        <v/>
      </c>
      <c r="J839" s="172"/>
    </row>
    <row r="840" spans="9:10" x14ac:dyDescent="0.3">
      <c r="I840" t="str">
        <f>_xlfn.IFNA(INDEX('[1]Sector list'!$A$2:$A$122,MATCH(H840,'[1]Sector list'!$B$2:$B$122,0)),"")</f>
        <v/>
      </c>
      <c r="J840" s="172"/>
    </row>
    <row r="841" spans="9:10" x14ac:dyDescent="0.3">
      <c r="I841" t="str">
        <f>_xlfn.IFNA(INDEX('[1]Sector list'!$A$2:$A$122,MATCH(H841,'[1]Sector list'!$B$2:$B$122,0)),"")</f>
        <v/>
      </c>
      <c r="J841" s="172"/>
    </row>
    <row r="842" spans="9:10" x14ac:dyDescent="0.3">
      <c r="I842" t="str">
        <f>_xlfn.IFNA(INDEX('[1]Sector list'!$A$2:$A$122,MATCH(H842,'[1]Sector list'!$B$2:$B$122,0)),"")</f>
        <v/>
      </c>
      <c r="J842" s="172"/>
    </row>
    <row r="843" spans="9:10" x14ac:dyDescent="0.3">
      <c r="I843" t="str">
        <f>_xlfn.IFNA(INDEX('[1]Sector list'!$A$2:$A$122,MATCH(H843,'[1]Sector list'!$B$2:$B$122,0)),"")</f>
        <v/>
      </c>
      <c r="J843" s="172"/>
    </row>
    <row r="844" spans="9:10" x14ac:dyDescent="0.3">
      <c r="I844" t="str">
        <f>_xlfn.IFNA(INDEX('[1]Sector list'!$A$2:$A$122,MATCH(H844,'[1]Sector list'!$B$2:$B$122,0)),"")</f>
        <v/>
      </c>
      <c r="J844" s="172"/>
    </row>
    <row r="845" spans="9:10" x14ac:dyDescent="0.3">
      <c r="I845" t="str">
        <f>_xlfn.IFNA(INDEX('[1]Sector list'!$A$2:$A$122,MATCH(H845,'[1]Sector list'!$B$2:$B$122,0)),"")</f>
        <v/>
      </c>
      <c r="J845" s="172"/>
    </row>
    <row r="846" spans="9:10" x14ac:dyDescent="0.3">
      <c r="I846" t="str">
        <f>_xlfn.IFNA(INDEX('[1]Sector list'!$A$2:$A$122,MATCH(H846,'[1]Sector list'!$B$2:$B$122,0)),"")</f>
        <v/>
      </c>
      <c r="J846" s="172"/>
    </row>
    <row r="847" spans="9:10" x14ac:dyDescent="0.3">
      <c r="I847" t="str">
        <f>_xlfn.IFNA(INDEX('[1]Sector list'!$A$2:$A$122,MATCH(H847,'[1]Sector list'!$B$2:$B$122,0)),"")</f>
        <v/>
      </c>
      <c r="J847" s="172"/>
    </row>
    <row r="848" spans="9:10" x14ac:dyDescent="0.3">
      <c r="I848" t="str">
        <f>_xlfn.IFNA(INDEX('[1]Sector list'!$A$2:$A$122,MATCH(H848,'[1]Sector list'!$B$2:$B$122,0)),"")</f>
        <v/>
      </c>
      <c r="J848" s="172"/>
    </row>
    <row r="849" spans="9:10" x14ac:dyDescent="0.3">
      <c r="I849" t="str">
        <f>_xlfn.IFNA(INDEX('[1]Sector list'!$A$2:$A$122,MATCH(H849,'[1]Sector list'!$B$2:$B$122,0)),"")</f>
        <v/>
      </c>
      <c r="J849" s="172"/>
    </row>
    <row r="850" spans="9:10" x14ac:dyDescent="0.3">
      <c r="I850" t="str">
        <f>_xlfn.IFNA(INDEX('[1]Sector list'!$A$2:$A$122,MATCH(H850,'[1]Sector list'!$B$2:$B$122,0)),"")</f>
        <v/>
      </c>
      <c r="J850" s="172"/>
    </row>
    <row r="851" spans="9:10" x14ac:dyDescent="0.3">
      <c r="I851" t="str">
        <f>_xlfn.IFNA(INDEX('[1]Sector list'!$A$2:$A$122,MATCH(H851,'[1]Sector list'!$B$2:$B$122,0)),"")</f>
        <v/>
      </c>
      <c r="J851" s="172"/>
    </row>
    <row r="852" spans="9:10" x14ac:dyDescent="0.3">
      <c r="I852" t="str">
        <f>_xlfn.IFNA(INDEX('[1]Sector list'!$A$2:$A$122,MATCH(H852,'[1]Sector list'!$B$2:$B$122,0)),"")</f>
        <v/>
      </c>
      <c r="J852" s="172"/>
    </row>
    <row r="853" spans="9:10" x14ac:dyDescent="0.3">
      <c r="I853" t="str">
        <f>_xlfn.IFNA(INDEX('[1]Sector list'!$A$2:$A$122,MATCH(H853,'[1]Sector list'!$B$2:$B$122,0)),"")</f>
        <v/>
      </c>
      <c r="J853" s="172"/>
    </row>
    <row r="854" spans="9:10" x14ac:dyDescent="0.3">
      <c r="I854" t="str">
        <f>_xlfn.IFNA(INDEX('[1]Sector list'!$A$2:$A$122,MATCH(H854,'[1]Sector list'!$B$2:$B$122,0)),"")</f>
        <v/>
      </c>
      <c r="J854" s="172"/>
    </row>
    <row r="855" spans="9:10" x14ac:dyDescent="0.3">
      <c r="I855" t="str">
        <f>_xlfn.IFNA(INDEX('[1]Sector list'!$A$2:$A$122,MATCH(H855,'[1]Sector list'!$B$2:$B$122,0)),"")</f>
        <v/>
      </c>
      <c r="J855" s="172"/>
    </row>
    <row r="856" spans="9:10" x14ac:dyDescent="0.3">
      <c r="I856" t="str">
        <f>_xlfn.IFNA(INDEX('[1]Sector list'!$A$2:$A$122,MATCH(H856,'[1]Sector list'!$B$2:$B$122,0)),"")</f>
        <v/>
      </c>
      <c r="J856" s="172"/>
    </row>
    <row r="857" spans="9:10" x14ac:dyDescent="0.3">
      <c r="I857" t="str">
        <f>_xlfn.IFNA(INDEX('[1]Sector list'!$A$2:$A$122,MATCH(H857,'[1]Sector list'!$B$2:$B$122,0)),"")</f>
        <v/>
      </c>
      <c r="J857" s="172"/>
    </row>
    <row r="858" spans="9:10" x14ac:dyDescent="0.3">
      <c r="I858" t="str">
        <f>_xlfn.IFNA(INDEX('[1]Sector list'!$A$2:$A$122,MATCH(H858,'[1]Sector list'!$B$2:$B$122,0)),"")</f>
        <v/>
      </c>
      <c r="J858" s="172"/>
    </row>
    <row r="859" spans="9:10" x14ac:dyDescent="0.3">
      <c r="I859" t="str">
        <f>_xlfn.IFNA(INDEX('[1]Sector list'!$A$2:$A$122,MATCH(H859,'[1]Sector list'!$B$2:$B$122,0)),"")</f>
        <v/>
      </c>
      <c r="J859" s="172"/>
    </row>
    <row r="860" spans="9:10" x14ac:dyDescent="0.3">
      <c r="I860" t="str">
        <f>_xlfn.IFNA(INDEX('[1]Sector list'!$A$2:$A$122,MATCH(H860,'[1]Sector list'!$B$2:$B$122,0)),"")</f>
        <v/>
      </c>
      <c r="J860" s="172"/>
    </row>
    <row r="861" spans="9:10" x14ac:dyDescent="0.3">
      <c r="I861" t="str">
        <f>_xlfn.IFNA(INDEX('[1]Sector list'!$A$2:$A$122,MATCH(H861,'[1]Sector list'!$B$2:$B$122,0)),"")</f>
        <v/>
      </c>
      <c r="J861" s="172"/>
    </row>
    <row r="862" spans="9:10" x14ac:dyDescent="0.3">
      <c r="I862" t="str">
        <f>_xlfn.IFNA(INDEX('[1]Sector list'!$A$2:$A$122,MATCH(H862,'[1]Sector list'!$B$2:$B$122,0)),"")</f>
        <v/>
      </c>
      <c r="J862" s="172"/>
    </row>
    <row r="863" spans="9:10" x14ac:dyDescent="0.3">
      <c r="I863" t="str">
        <f>_xlfn.IFNA(INDEX('[1]Sector list'!$A$2:$A$122,MATCH(H863,'[1]Sector list'!$B$2:$B$122,0)),"")</f>
        <v/>
      </c>
      <c r="J863" s="172"/>
    </row>
    <row r="864" spans="9:10" x14ac:dyDescent="0.3">
      <c r="I864" t="str">
        <f>_xlfn.IFNA(INDEX('[1]Sector list'!$A$2:$A$122,MATCH(H864,'[1]Sector list'!$B$2:$B$122,0)),"")</f>
        <v/>
      </c>
      <c r="J864" s="172"/>
    </row>
    <row r="865" spans="9:10" x14ac:dyDescent="0.3">
      <c r="I865" t="str">
        <f>_xlfn.IFNA(INDEX('[1]Sector list'!$A$2:$A$122,MATCH(H865,'[1]Sector list'!$B$2:$B$122,0)),"")</f>
        <v/>
      </c>
      <c r="J865" s="172"/>
    </row>
    <row r="866" spans="9:10" x14ac:dyDescent="0.3">
      <c r="I866" t="str">
        <f>_xlfn.IFNA(INDEX('[1]Sector list'!$A$2:$A$122,MATCH(H866,'[1]Sector list'!$B$2:$B$122,0)),"")</f>
        <v/>
      </c>
      <c r="J866" s="172"/>
    </row>
    <row r="867" spans="9:10" x14ac:dyDescent="0.3">
      <c r="I867" t="str">
        <f>_xlfn.IFNA(INDEX('[1]Sector list'!$A$2:$A$122,MATCH(H867,'[1]Sector list'!$B$2:$B$122,0)),"")</f>
        <v/>
      </c>
      <c r="J867" s="172"/>
    </row>
    <row r="868" spans="9:10" x14ac:dyDescent="0.3">
      <c r="I868" t="str">
        <f>_xlfn.IFNA(INDEX('[1]Sector list'!$A$2:$A$122,MATCH(H868,'[1]Sector list'!$B$2:$B$122,0)),"")</f>
        <v/>
      </c>
      <c r="J868" s="172"/>
    </row>
    <row r="869" spans="9:10" x14ac:dyDescent="0.3">
      <c r="I869" t="str">
        <f>_xlfn.IFNA(INDEX('[1]Sector list'!$A$2:$A$122,MATCH(H869,'[1]Sector list'!$B$2:$B$122,0)),"")</f>
        <v/>
      </c>
      <c r="J869" s="172"/>
    </row>
    <row r="870" spans="9:10" x14ac:dyDescent="0.3">
      <c r="I870" t="str">
        <f>_xlfn.IFNA(INDEX('[1]Sector list'!$A$2:$A$122,MATCH(H870,'[1]Sector list'!$B$2:$B$122,0)),"")</f>
        <v/>
      </c>
      <c r="J870" s="172"/>
    </row>
    <row r="871" spans="9:10" x14ac:dyDescent="0.3">
      <c r="I871" t="str">
        <f>_xlfn.IFNA(INDEX('[1]Sector list'!$A$2:$A$122,MATCH(H871,'[1]Sector list'!$B$2:$B$122,0)),"")</f>
        <v/>
      </c>
      <c r="J871" s="172"/>
    </row>
    <row r="872" spans="9:10" x14ac:dyDescent="0.3">
      <c r="I872" t="str">
        <f>_xlfn.IFNA(INDEX('[1]Sector list'!$A$2:$A$122,MATCH(H872,'[1]Sector list'!$B$2:$B$122,0)),"")</f>
        <v/>
      </c>
      <c r="J872" s="172"/>
    </row>
    <row r="873" spans="9:10" x14ac:dyDescent="0.3">
      <c r="I873" t="str">
        <f>_xlfn.IFNA(INDEX('[1]Sector list'!$A$2:$A$122,MATCH(H873,'[1]Sector list'!$B$2:$B$122,0)),"")</f>
        <v/>
      </c>
      <c r="J873" s="172"/>
    </row>
    <row r="874" spans="9:10" x14ac:dyDescent="0.3">
      <c r="I874" t="str">
        <f>_xlfn.IFNA(INDEX('[1]Sector list'!$A$2:$A$122,MATCH(H874,'[1]Sector list'!$B$2:$B$122,0)),"")</f>
        <v/>
      </c>
      <c r="J874" s="172"/>
    </row>
    <row r="875" spans="9:10" x14ac:dyDescent="0.3">
      <c r="I875" t="str">
        <f>_xlfn.IFNA(INDEX('[1]Sector list'!$A$2:$A$122,MATCH(H875,'[1]Sector list'!$B$2:$B$122,0)),"")</f>
        <v/>
      </c>
      <c r="J875" s="172"/>
    </row>
    <row r="876" spans="9:10" x14ac:dyDescent="0.3">
      <c r="I876" t="str">
        <f>_xlfn.IFNA(INDEX('[1]Sector list'!$A$2:$A$122,MATCH(H876,'[1]Sector list'!$B$2:$B$122,0)),"")</f>
        <v/>
      </c>
      <c r="J876" s="172"/>
    </row>
    <row r="877" spans="9:10" x14ac:dyDescent="0.3">
      <c r="I877" t="str">
        <f>_xlfn.IFNA(INDEX('[1]Sector list'!$A$2:$A$122,MATCH(H877,'[1]Sector list'!$B$2:$B$122,0)),"")</f>
        <v/>
      </c>
      <c r="J877" s="172"/>
    </row>
    <row r="878" spans="9:10" x14ac:dyDescent="0.3">
      <c r="I878" t="str">
        <f>_xlfn.IFNA(INDEX('[1]Sector list'!$A$2:$A$122,MATCH(H878,'[1]Sector list'!$B$2:$B$122,0)),"")</f>
        <v/>
      </c>
      <c r="J878" s="172"/>
    </row>
    <row r="879" spans="9:10" x14ac:dyDescent="0.3">
      <c r="I879" t="str">
        <f>_xlfn.IFNA(INDEX('[1]Sector list'!$A$2:$A$122,MATCH(H879,'[1]Sector list'!$B$2:$B$122,0)),"")</f>
        <v/>
      </c>
      <c r="J879" s="172"/>
    </row>
    <row r="880" spans="9:10" x14ac:dyDescent="0.3">
      <c r="I880" t="str">
        <f>_xlfn.IFNA(INDEX('[1]Sector list'!$A$2:$A$122,MATCH(H880,'[1]Sector list'!$B$2:$B$122,0)),"")</f>
        <v/>
      </c>
      <c r="J880" s="172"/>
    </row>
    <row r="881" spans="9:10" x14ac:dyDescent="0.3">
      <c r="I881" t="str">
        <f>_xlfn.IFNA(INDEX('[1]Sector list'!$A$2:$A$122,MATCH(H881,'[1]Sector list'!$B$2:$B$122,0)),"")</f>
        <v/>
      </c>
      <c r="J881" s="172"/>
    </row>
    <row r="882" spans="9:10" x14ac:dyDescent="0.3">
      <c r="I882" t="str">
        <f>_xlfn.IFNA(INDEX('[1]Sector list'!$A$2:$A$122,MATCH(H882,'[1]Sector list'!$B$2:$B$122,0)),"")</f>
        <v/>
      </c>
      <c r="J882" s="172"/>
    </row>
    <row r="883" spans="9:10" x14ac:dyDescent="0.3">
      <c r="I883" t="str">
        <f>_xlfn.IFNA(INDEX('[1]Sector list'!$A$2:$A$122,MATCH(H883,'[1]Sector list'!$B$2:$B$122,0)),"")</f>
        <v/>
      </c>
      <c r="J883" s="172"/>
    </row>
    <row r="884" spans="9:10" x14ac:dyDescent="0.3">
      <c r="I884" t="str">
        <f>_xlfn.IFNA(INDEX('[1]Sector list'!$A$2:$A$122,MATCH(H884,'[1]Sector list'!$B$2:$B$122,0)),"")</f>
        <v/>
      </c>
      <c r="J884" s="172"/>
    </row>
    <row r="885" spans="9:10" x14ac:dyDescent="0.3">
      <c r="I885" t="str">
        <f>_xlfn.IFNA(INDEX('[1]Sector list'!$A$2:$A$122,MATCH(H885,'[1]Sector list'!$B$2:$B$122,0)),"")</f>
        <v/>
      </c>
      <c r="J885" s="172"/>
    </row>
    <row r="886" spans="9:10" x14ac:dyDescent="0.3">
      <c r="I886" t="str">
        <f>_xlfn.IFNA(INDEX('[1]Sector list'!$A$2:$A$122,MATCH(H886,'[1]Sector list'!$B$2:$B$122,0)),"")</f>
        <v/>
      </c>
      <c r="J886" s="172"/>
    </row>
    <row r="887" spans="9:10" x14ac:dyDescent="0.3">
      <c r="I887" t="str">
        <f>_xlfn.IFNA(INDEX('[1]Sector list'!$A$2:$A$122,MATCH(H887,'[1]Sector list'!$B$2:$B$122,0)),"")</f>
        <v/>
      </c>
      <c r="J887" s="172"/>
    </row>
    <row r="888" spans="9:10" x14ac:dyDescent="0.3">
      <c r="I888" t="str">
        <f>_xlfn.IFNA(INDEX('[1]Sector list'!$A$2:$A$122,MATCH(H888,'[1]Sector list'!$B$2:$B$122,0)),"")</f>
        <v/>
      </c>
      <c r="J888" s="172"/>
    </row>
    <row r="889" spans="9:10" x14ac:dyDescent="0.3">
      <c r="I889" t="str">
        <f>_xlfn.IFNA(INDEX('[1]Sector list'!$A$2:$A$122,MATCH(H889,'[1]Sector list'!$B$2:$B$122,0)),"")</f>
        <v/>
      </c>
      <c r="J889" s="172"/>
    </row>
    <row r="890" spans="9:10" x14ac:dyDescent="0.3">
      <c r="I890" t="str">
        <f>_xlfn.IFNA(INDEX('[1]Sector list'!$A$2:$A$122,MATCH(H890,'[1]Sector list'!$B$2:$B$122,0)),"")</f>
        <v/>
      </c>
      <c r="J890" s="172"/>
    </row>
    <row r="891" spans="9:10" x14ac:dyDescent="0.3">
      <c r="I891" t="str">
        <f>_xlfn.IFNA(INDEX('[1]Sector list'!$A$2:$A$122,MATCH(H891,'[1]Sector list'!$B$2:$B$122,0)),"")</f>
        <v/>
      </c>
      <c r="J891" s="172"/>
    </row>
    <row r="892" spans="9:10" x14ac:dyDescent="0.3">
      <c r="I892" t="str">
        <f>_xlfn.IFNA(INDEX('[1]Sector list'!$A$2:$A$122,MATCH(H892,'[1]Sector list'!$B$2:$B$122,0)),"")</f>
        <v/>
      </c>
      <c r="J892" s="172"/>
    </row>
    <row r="893" spans="9:10" x14ac:dyDescent="0.3">
      <c r="I893" t="str">
        <f>_xlfn.IFNA(INDEX('[1]Sector list'!$A$2:$A$122,MATCH(H893,'[1]Sector list'!$B$2:$B$122,0)),"")</f>
        <v/>
      </c>
      <c r="J893" s="172"/>
    </row>
    <row r="894" spans="9:10" x14ac:dyDescent="0.3">
      <c r="I894" t="str">
        <f>_xlfn.IFNA(INDEX('[1]Sector list'!$A$2:$A$122,MATCH(H894,'[1]Sector list'!$B$2:$B$122,0)),"")</f>
        <v/>
      </c>
      <c r="J894" s="172"/>
    </row>
    <row r="895" spans="9:10" x14ac:dyDescent="0.3">
      <c r="I895" t="str">
        <f>_xlfn.IFNA(INDEX('[1]Sector list'!$A$2:$A$122,MATCH(H895,'[1]Sector list'!$B$2:$B$122,0)),"")</f>
        <v/>
      </c>
      <c r="J895" s="172"/>
    </row>
    <row r="896" spans="9:10" x14ac:dyDescent="0.3">
      <c r="I896" t="str">
        <f>_xlfn.IFNA(INDEX('[1]Sector list'!$A$2:$A$122,MATCH(H896,'[1]Sector list'!$B$2:$B$122,0)),"")</f>
        <v/>
      </c>
      <c r="J896" s="172"/>
    </row>
    <row r="897" spans="9:10" x14ac:dyDescent="0.3">
      <c r="I897" t="str">
        <f>_xlfn.IFNA(INDEX('[1]Sector list'!$A$2:$A$122,MATCH(H897,'[1]Sector list'!$B$2:$B$122,0)),"")</f>
        <v/>
      </c>
      <c r="J897" s="172"/>
    </row>
    <row r="898" spans="9:10" x14ac:dyDescent="0.3">
      <c r="I898" t="str">
        <f>_xlfn.IFNA(INDEX('[1]Sector list'!$A$2:$A$122,MATCH(H898,'[1]Sector list'!$B$2:$B$122,0)),"")</f>
        <v/>
      </c>
      <c r="J898" s="172"/>
    </row>
    <row r="899" spans="9:10" x14ac:dyDescent="0.3">
      <c r="I899" t="str">
        <f>_xlfn.IFNA(INDEX('[1]Sector list'!$A$2:$A$122,MATCH(H899,'[1]Sector list'!$B$2:$B$122,0)),"")</f>
        <v/>
      </c>
      <c r="J899" s="172"/>
    </row>
    <row r="900" spans="9:10" x14ac:dyDescent="0.3">
      <c r="I900" t="str">
        <f>_xlfn.IFNA(INDEX('[1]Sector list'!$A$2:$A$122,MATCH(H900,'[1]Sector list'!$B$2:$B$122,0)),"")</f>
        <v/>
      </c>
      <c r="J900" s="172"/>
    </row>
    <row r="901" spans="9:10" x14ac:dyDescent="0.3">
      <c r="I901" t="str">
        <f>_xlfn.IFNA(INDEX('[1]Sector list'!$A$2:$A$122,MATCH(H901,'[1]Sector list'!$B$2:$B$122,0)),"")</f>
        <v/>
      </c>
      <c r="J901" s="172"/>
    </row>
    <row r="902" spans="9:10" x14ac:dyDescent="0.3">
      <c r="I902" t="str">
        <f>_xlfn.IFNA(INDEX('[1]Sector list'!$A$2:$A$122,MATCH(H902,'[1]Sector list'!$B$2:$B$122,0)),"")</f>
        <v/>
      </c>
      <c r="J902" s="172"/>
    </row>
    <row r="903" spans="9:10" x14ac:dyDescent="0.3">
      <c r="I903" t="str">
        <f>_xlfn.IFNA(INDEX('[1]Sector list'!$A$2:$A$122,MATCH(H903,'[1]Sector list'!$B$2:$B$122,0)),"")</f>
        <v/>
      </c>
      <c r="J903" s="172"/>
    </row>
    <row r="904" spans="9:10" x14ac:dyDescent="0.3">
      <c r="I904" t="str">
        <f>_xlfn.IFNA(INDEX('[1]Sector list'!$A$2:$A$122,MATCH(H904,'[1]Sector list'!$B$2:$B$122,0)),"")</f>
        <v/>
      </c>
      <c r="J904" s="172"/>
    </row>
    <row r="905" spans="9:10" x14ac:dyDescent="0.3">
      <c r="I905" t="str">
        <f>_xlfn.IFNA(INDEX('[1]Sector list'!$A$2:$A$122,MATCH(H905,'[1]Sector list'!$B$2:$B$122,0)),"")</f>
        <v/>
      </c>
      <c r="J905" s="172"/>
    </row>
    <row r="906" spans="9:10" x14ac:dyDescent="0.3">
      <c r="J906" s="172"/>
    </row>
    <row r="907" spans="9:10" x14ac:dyDescent="0.3">
      <c r="J907" s="172"/>
    </row>
    <row r="908" spans="9:10" x14ac:dyDescent="0.3">
      <c r="J908" s="172"/>
    </row>
    <row r="909" spans="9:10" x14ac:dyDescent="0.3">
      <c r="J909" s="172"/>
    </row>
    <row r="910" spans="9:10" x14ac:dyDescent="0.3">
      <c r="J910" s="172"/>
    </row>
    <row r="911" spans="9:10" x14ac:dyDescent="0.3">
      <c r="J911" s="172"/>
    </row>
    <row r="912" spans="9:10" x14ac:dyDescent="0.3">
      <c r="J912" s="172"/>
    </row>
    <row r="913" spans="10:10" x14ac:dyDescent="0.3">
      <c r="J913" s="172"/>
    </row>
    <row r="914" spans="10:10" x14ac:dyDescent="0.3">
      <c r="J914" s="172"/>
    </row>
    <row r="915" spans="10:10" x14ac:dyDescent="0.3">
      <c r="J915" s="172"/>
    </row>
    <row r="916" spans="10:10" x14ac:dyDescent="0.3">
      <c r="J916" s="172"/>
    </row>
    <row r="917" spans="10:10" x14ac:dyDescent="0.3">
      <c r="J917" s="172"/>
    </row>
    <row r="918" spans="10:10" x14ac:dyDescent="0.3">
      <c r="J918" s="172"/>
    </row>
    <row r="919" spans="10:10" x14ac:dyDescent="0.3">
      <c r="J919" s="172"/>
    </row>
    <row r="920" spans="10:10" x14ac:dyDescent="0.3">
      <c r="J920" s="172"/>
    </row>
    <row r="921" spans="10:10" x14ac:dyDescent="0.3">
      <c r="J921" s="172"/>
    </row>
    <row r="922" spans="10:10" x14ac:dyDescent="0.3">
      <c r="J922" s="172"/>
    </row>
    <row r="923" spans="10:10" x14ac:dyDescent="0.3">
      <c r="J923" s="172"/>
    </row>
    <row r="924" spans="10:10" x14ac:dyDescent="0.3">
      <c r="J924" s="172"/>
    </row>
    <row r="925" spans="10:10" x14ac:dyDescent="0.3">
      <c r="J925" s="172"/>
    </row>
    <row r="926" spans="10:10" x14ac:dyDescent="0.3">
      <c r="J926" s="172"/>
    </row>
    <row r="927" spans="10:10" x14ac:dyDescent="0.3">
      <c r="J927" s="172"/>
    </row>
    <row r="928" spans="10:10" x14ac:dyDescent="0.3">
      <c r="J928" s="172"/>
    </row>
    <row r="929" spans="10:10" x14ac:dyDescent="0.3">
      <c r="J929" s="172"/>
    </row>
    <row r="930" spans="10:10" x14ac:dyDescent="0.3">
      <c r="J930" s="172"/>
    </row>
    <row r="931" spans="10:10" x14ac:dyDescent="0.3">
      <c r="J931" s="172"/>
    </row>
    <row r="932" spans="10:10" x14ac:dyDescent="0.3">
      <c r="J932" s="172"/>
    </row>
    <row r="933" spans="10:10" x14ac:dyDescent="0.3">
      <c r="J933" s="172"/>
    </row>
    <row r="934" spans="10:10" x14ac:dyDescent="0.3">
      <c r="J934" s="172"/>
    </row>
    <row r="935" spans="10:10" x14ac:dyDescent="0.3">
      <c r="J935" s="172"/>
    </row>
    <row r="936" spans="10:10" x14ac:dyDescent="0.3">
      <c r="J936" s="172"/>
    </row>
    <row r="937" spans="10:10" x14ac:dyDescent="0.3">
      <c r="J937" s="172"/>
    </row>
    <row r="938" spans="10:10" x14ac:dyDescent="0.3">
      <c r="J938" s="172"/>
    </row>
    <row r="939" spans="10:10" x14ac:dyDescent="0.3">
      <c r="J939" s="172"/>
    </row>
    <row r="940" spans="10:10" x14ac:dyDescent="0.3">
      <c r="J940" s="172"/>
    </row>
    <row r="941" spans="10:10" x14ac:dyDescent="0.3">
      <c r="J941" s="172"/>
    </row>
    <row r="942" spans="10:10" x14ac:dyDescent="0.3">
      <c r="J942" s="172"/>
    </row>
    <row r="943" spans="10:10" x14ac:dyDescent="0.3">
      <c r="J943" s="172"/>
    </row>
    <row r="944" spans="10:10" x14ac:dyDescent="0.3">
      <c r="J944" s="172"/>
    </row>
    <row r="945" spans="10:10" x14ac:dyDescent="0.3">
      <c r="J945" s="172"/>
    </row>
    <row r="946" spans="10:10" x14ac:dyDescent="0.3">
      <c r="J946" s="172"/>
    </row>
    <row r="947" spans="10:10" x14ac:dyDescent="0.3">
      <c r="J947" s="172"/>
    </row>
    <row r="948" spans="10:10" x14ac:dyDescent="0.3">
      <c r="J948" s="172"/>
    </row>
    <row r="949" spans="10:10" x14ac:dyDescent="0.3">
      <c r="J949" s="172"/>
    </row>
    <row r="950" spans="10:10" x14ac:dyDescent="0.3">
      <c r="J950" s="172"/>
    </row>
    <row r="951" spans="10:10" x14ac:dyDescent="0.3">
      <c r="J951" s="172"/>
    </row>
    <row r="952" spans="10:10" x14ac:dyDescent="0.3">
      <c r="J952" s="172"/>
    </row>
    <row r="953" spans="10:10" x14ac:dyDescent="0.3">
      <c r="J953" s="172"/>
    </row>
    <row r="954" spans="10:10" x14ac:dyDescent="0.3">
      <c r="J954" s="172"/>
    </row>
    <row r="955" spans="10:10" x14ac:dyDescent="0.3">
      <c r="J955" s="172"/>
    </row>
    <row r="956" spans="10:10" x14ac:dyDescent="0.3">
      <c r="J956" s="172"/>
    </row>
    <row r="957" spans="10:10" x14ac:dyDescent="0.3">
      <c r="J957" s="172"/>
    </row>
    <row r="958" spans="10:10" x14ac:dyDescent="0.3">
      <c r="J958" s="172"/>
    </row>
    <row r="959" spans="10:10" x14ac:dyDescent="0.3">
      <c r="J959" s="172"/>
    </row>
    <row r="960" spans="10:10" x14ac:dyDescent="0.3">
      <c r="J960" s="172"/>
    </row>
    <row r="961" spans="10:10" x14ac:dyDescent="0.3">
      <c r="J961" s="172"/>
    </row>
    <row r="962" spans="10:10" x14ac:dyDescent="0.3">
      <c r="J962" s="172"/>
    </row>
    <row r="963" spans="10:10" x14ac:dyDescent="0.3">
      <c r="J963" s="172"/>
    </row>
    <row r="964" spans="10:10" x14ac:dyDescent="0.3">
      <c r="J964" s="172"/>
    </row>
    <row r="965" spans="10:10" x14ac:dyDescent="0.3">
      <c r="J965" s="172"/>
    </row>
    <row r="966" spans="10:10" x14ac:dyDescent="0.3">
      <c r="J966" s="172"/>
    </row>
    <row r="967" spans="10:10" x14ac:dyDescent="0.3">
      <c r="J967" s="172"/>
    </row>
    <row r="968" spans="10:10" x14ac:dyDescent="0.3">
      <c r="J968" s="172"/>
    </row>
    <row r="969" spans="10:10" x14ac:dyDescent="0.3">
      <c r="J969" s="172"/>
    </row>
    <row r="970" spans="10:10" x14ac:dyDescent="0.3">
      <c r="J970" s="172"/>
    </row>
    <row r="971" spans="10:10" x14ac:dyDescent="0.3">
      <c r="J971" s="172"/>
    </row>
    <row r="972" spans="10:10" x14ac:dyDescent="0.3">
      <c r="J972" s="172"/>
    </row>
    <row r="973" spans="10:10" x14ac:dyDescent="0.3">
      <c r="J973" s="172"/>
    </row>
    <row r="974" spans="10:10" x14ac:dyDescent="0.3">
      <c r="J974" s="172"/>
    </row>
    <row r="975" spans="10:10" x14ac:dyDescent="0.3">
      <c r="J975" s="172"/>
    </row>
    <row r="976" spans="10:10" x14ac:dyDescent="0.3">
      <c r="J976" s="172"/>
    </row>
    <row r="977" spans="10:10" x14ac:dyDescent="0.3">
      <c r="J977" s="172"/>
    </row>
    <row r="978" spans="10:10" x14ac:dyDescent="0.3">
      <c r="J978" s="172"/>
    </row>
    <row r="979" spans="10:10" x14ac:dyDescent="0.3">
      <c r="J979" s="172"/>
    </row>
    <row r="980" spans="10:10" x14ac:dyDescent="0.3">
      <c r="J980" s="172"/>
    </row>
    <row r="981" spans="10:10" x14ac:dyDescent="0.3">
      <c r="J981" s="172"/>
    </row>
    <row r="982" spans="10:10" x14ac:dyDescent="0.3">
      <c r="J982" s="172"/>
    </row>
    <row r="983" spans="10:10" x14ac:dyDescent="0.3">
      <c r="J983" s="172"/>
    </row>
    <row r="984" spans="10:10" x14ac:dyDescent="0.3">
      <c r="J984" s="172"/>
    </row>
    <row r="985" spans="10:10" x14ac:dyDescent="0.3">
      <c r="J985" s="172"/>
    </row>
    <row r="986" spans="10:10" x14ac:dyDescent="0.3">
      <c r="J986" s="172"/>
    </row>
    <row r="987" spans="10:10" x14ac:dyDescent="0.3">
      <c r="J987" s="172"/>
    </row>
    <row r="988" spans="10:10" x14ac:dyDescent="0.3">
      <c r="J988" s="172"/>
    </row>
    <row r="989" spans="10:10" x14ac:dyDescent="0.3">
      <c r="J989" s="172"/>
    </row>
    <row r="990" spans="10:10" x14ac:dyDescent="0.3">
      <c r="J990" s="172"/>
    </row>
    <row r="991" spans="10:10" x14ac:dyDescent="0.3">
      <c r="J991" s="172"/>
    </row>
    <row r="992" spans="10:10" x14ac:dyDescent="0.3">
      <c r="J992" s="172"/>
    </row>
    <row r="993" spans="10:10" x14ac:dyDescent="0.3">
      <c r="J993" s="172"/>
    </row>
    <row r="994" spans="10:10" x14ac:dyDescent="0.3">
      <c r="J994" s="172"/>
    </row>
    <row r="995" spans="10:10" x14ac:dyDescent="0.3">
      <c r="J995" s="172"/>
    </row>
    <row r="996" spans="10:10" x14ac:dyDescent="0.3">
      <c r="J996" s="172"/>
    </row>
    <row r="997" spans="10:10" x14ac:dyDescent="0.3">
      <c r="J997" s="172"/>
    </row>
    <row r="998" spans="10:10" x14ac:dyDescent="0.3">
      <c r="J998" s="172"/>
    </row>
    <row r="999" spans="10:10" x14ac:dyDescent="0.3">
      <c r="J999" s="172"/>
    </row>
    <row r="1000" spans="10:10" x14ac:dyDescent="0.3">
      <c r="J1000" s="172"/>
    </row>
    <row r="1001" spans="10:10" x14ac:dyDescent="0.3">
      <c r="J1001" s="172"/>
    </row>
    <row r="1002" spans="10:10" x14ac:dyDescent="0.3">
      <c r="J1002" s="172"/>
    </row>
    <row r="1003" spans="10:10" x14ac:dyDescent="0.3">
      <c r="J1003" s="172"/>
    </row>
    <row r="1004" spans="10:10" x14ac:dyDescent="0.3">
      <c r="J1004" s="172"/>
    </row>
    <row r="1005" spans="10:10" x14ac:dyDescent="0.3">
      <c r="J1005" s="172"/>
    </row>
    <row r="1006" spans="10:10" x14ac:dyDescent="0.3">
      <c r="J1006" s="172"/>
    </row>
    <row r="1007" spans="10:10" x14ac:dyDescent="0.3">
      <c r="J1007" s="172"/>
    </row>
    <row r="1008" spans="10:10" x14ac:dyDescent="0.3">
      <c r="J1008" s="172"/>
    </row>
    <row r="1009" spans="10:10" x14ac:dyDescent="0.3">
      <c r="J1009" s="172"/>
    </row>
    <row r="1010" spans="10:10" x14ac:dyDescent="0.3">
      <c r="J1010" s="172"/>
    </row>
    <row r="1011" spans="10:10" x14ac:dyDescent="0.3">
      <c r="J1011" s="172"/>
    </row>
    <row r="1012" spans="10:10" x14ac:dyDescent="0.3">
      <c r="J1012" s="172"/>
    </row>
    <row r="1013" spans="10:10" x14ac:dyDescent="0.3">
      <c r="J1013" s="172"/>
    </row>
    <row r="1014" spans="10:10" x14ac:dyDescent="0.3">
      <c r="J1014" s="172"/>
    </row>
    <row r="1015" spans="10:10" x14ac:dyDescent="0.3">
      <c r="J1015" s="172"/>
    </row>
    <row r="1016" spans="10:10" x14ac:dyDescent="0.3">
      <c r="J1016" s="172"/>
    </row>
    <row r="1017" spans="10:10" x14ac:dyDescent="0.3">
      <c r="J1017" s="172"/>
    </row>
    <row r="1018" spans="10:10" x14ac:dyDescent="0.3">
      <c r="J1018" s="172"/>
    </row>
    <row r="1019" spans="10:10" x14ac:dyDescent="0.3">
      <c r="J1019" s="172"/>
    </row>
    <row r="1020" spans="10:10" x14ac:dyDescent="0.3">
      <c r="J1020" s="172"/>
    </row>
    <row r="1021" spans="10:10" x14ac:dyDescent="0.3">
      <c r="J1021" s="172"/>
    </row>
    <row r="1022" spans="10:10" x14ac:dyDescent="0.3">
      <c r="J1022" s="172"/>
    </row>
    <row r="1023" spans="10:10" x14ac:dyDescent="0.3">
      <c r="J1023" s="172"/>
    </row>
    <row r="1024" spans="10:10" x14ac:dyDescent="0.3">
      <c r="J1024" s="172"/>
    </row>
    <row r="1025" spans="10:10" x14ac:dyDescent="0.3">
      <c r="J1025" s="172"/>
    </row>
    <row r="1026" spans="10:10" x14ac:dyDescent="0.3">
      <c r="J1026" s="172"/>
    </row>
    <row r="1027" spans="10:10" x14ac:dyDescent="0.3">
      <c r="J1027" s="172"/>
    </row>
    <row r="1028" spans="10:10" x14ac:dyDescent="0.3">
      <c r="J1028" s="172"/>
    </row>
    <row r="1029" spans="10:10" x14ac:dyDescent="0.3">
      <c r="J1029" s="172"/>
    </row>
    <row r="1030" spans="10:10" x14ac:dyDescent="0.3">
      <c r="J1030" s="172"/>
    </row>
    <row r="1031" spans="10:10" x14ac:dyDescent="0.3">
      <c r="J1031" s="172"/>
    </row>
    <row r="1032" spans="10:10" x14ac:dyDescent="0.3">
      <c r="J1032" s="172"/>
    </row>
    <row r="1033" spans="10:10" x14ac:dyDescent="0.3">
      <c r="J1033" s="172"/>
    </row>
    <row r="1034" spans="10:10" x14ac:dyDescent="0.3">
      <c r="J1034" s="172"/>
    </row>
    <row r="1035" spans="10:10" x14ac:dyDescent="0.3">
      <c r="J1035" s="172"/>
    </row>
    <row r="1036" spans="10:10" x14ac:dyDescent="0.3">
      <c r="J1036" s="172"/>
    </row>
    <row r="1037" spans="10:10" x14ac:dyDescent="0.3">
      <c r="J1037" s="172"/>
    </row>
    <row r="1038" spans="10:10" x14ac:dyDescent="0.3">
      <c r="J1038" s="172"/>
    </row>
    <row r="1039" spans="10:10" x14ac:dyDescent="0.3">
      <c r="J1039" s="17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BC97-FD79-44BC-BDE9-923DFD3FB512}">
  <sheetPr>
    <tabColor theme="1" tint="0.249977111117893"/>
  </sheetPr>
  <dimension ref="A1:AM1028"/>
  <sheetViews>
    <sheetView topLeftCell="G1" zoomScale="70" zoomScaleNormal="70" workbookViewId="0">
      <selection activeCell="C16" sqref="C16:AH21"/>
    </sheetView>
  </sheetViews>
  <sheetFormatPr defaultRowHeight="14.4" x14ac:dyDescent="0.3"/>
  <cols>
    <col min="1" max="1" width="4.33203125" style="16" customWidth="1"/>
    <col min="2" max="4" width="15.6640625" customWidth="1"/>
    <col min="5" max="5" width="20.109375" customWidth="1"/>
    <col min="6" max="6" width="19.5546875" customWidth="1"/>
    <col min="7" max="7" width="24.33203125" customWidth="1"/>
    <col min="9" max="18" width="2.6640625" customWidth="1"/>
    <col min="19" max="19" width="12.6640625" bestFit="1" customWidth="1"/>
    <col min="20" max="20" width="12.5546875" customWidth="1"/>
    <col min="21" max="27" width="12.6640625" bestFit="1" customWidth="1"/>
    <col min="28" max="28" width="13.109375" customWidth="1"/>
    <col min="29" max="29" width="12.6640625" customWidth="1"/>
    <col min="30" max="34" width="12.6640625" bestFit="1" customWidth="1"/>
  </cols>
  <sheetData>
    <row r="1" spans="2:39" s="166" customFormat="1" ht="5.0999999999999996" customHeight="1" x14ac:dyDescent="0.3"/>
    <row r="2" spans="2:39" s="166" customFormat="1" x14ac:dyDescent="0.3">
      <c r="B2" s="167" t="s">
        <v>1313</v>
      </c>
      <c r="G2" s="167" t="str">
        <f>'Final demand(6)'!H2</f>
        <v>G77+C_central</v>
      </c>
      <c r="H2" s="166">
        <f>'Final demand(6)'!H3</f>
        <v>6</v>
      </c>
    </row>
    <row r="3" spans="2:39" s="166" customFormat="1" x14ac:dyDescent="0.3">
      <c r="B3" s="168" t="s">
        <v>1223</v>
      </c>
    </row>
    <row r="4" spans="2:39" s="170" customFormat="1" ht="5.0999999999999996" customHeight="1" thickBot="1" x14ac:dyDescent="0.35">
      <c r="B4" s="169"/>
    </row>
    <row r="5" spans="2:39" s="166" customFormat="1" x14ac:dyDescent="0.3">
      <c r="B5" s="171" t="s">
        <v>1224</v>
      </c>
      <c r="C5" s="171" t="s">
        <v>1225</v>
      </c>
      <c r="D5" s="171" t="s">
        <v>1314</v>
      </c>
      <c r="E5" s="171" t="s">
        <v>1315</v>
      </c>
      <c r="F5" s="171" t="s">
        <v>1230</v>
      </c>
      <c r="G5" s="171" t="s">
        <v>1231</v>
      </c>
    </row>
    <row r="6" spans="2:39" x14ac:dyDescent="0.3">
      <c r="F6" s="205"/>
      <c r="G6" s="37">
        <f>1/3</f>
        <v>0.33333333333333331</v>
      </c>
      <c r="H6" t="s">
        <v>1316</v>
      </c>
    </row>
    <row r="7" spans="2:39" x14ac:dyDescent="0.3">
      <c r="F7" s="205"/>
    </row>
    <row r="8" spans="2:39" x14ac:dyDescent="0.3">
      <c r="B8" t="s">
        <v>579</v>
      </c>
      <c r="C8" t="str">
        <f>_xlfn.IFNA(INDEX('[2]Country list'!$A$2:$A$166,MATCH(B8,'[2]Country list'!$B$2:$B$166,0)),"")</f>
        <v>DEU</v>
      </c>
      <c r="E8" s="4" t="s">
        <v>1238</v>
      </c>
      <c r="F8" t="s">
        <v>1317</v>
      </c>
      <c r="G8" t="s">
        <v>1318</v>
      </c>
    </row>
    <row r="9" spans="2:39" x14ac:dyDescent="0.3">
      <c r="E9" s="4"/>
    </row>
    <row r="10" spans="2:39" x14ac:dyDescent="0.3">
      <c r="E10" s="4"/>
    </row>
    <row r="11" spans="2:39" x14ac:dyDescent="0.3">
      <c r="E11" s="4"/>
    </row>
    <row r="12" spans="2:39" x14ac:dyDescent="0.3">
      <c r="E12" s="4"/>
      <c r="G12" t="s">
        <v>1319</v>
      </c>
    </row>
    <row r="13" spans="2:39" x14ac:dyDescent="0.3">
      <c r="C13" s="174" t="s">
        <v>1246</v>
      </c>
      <c r="D13" s="174"/>
      <c r="E13" s="206" t="s">
        <v>1320</v>
      </c>
      <c r="G13" s="205" t="s">
        <v>1321</v>
      </c>
    </row>
    <row r="14" spans="2:39" s="176" customFormat="1" ht="15" thickBot="1" x14ac:dyDescent="0.35">
      <c r="B14" s="175" t="s">
        <v>1250</v>
      </c>
      <c r="F14" s="207"/>
    </row>
    <row r="15" spans="2:39" s="166" customFormat="1" x14ac:dyDescent="0.3">
      <c r="B15" s="171" t="s">
        <v>1224</v>
      </c>
      <c r="C15" s="171" t="s">
        <v>1225</v>
      </c>
      <c r="D15" s="171" t="s">
        <v>1314</v>
      </c>
      <c r="E15" s="171" t="s">
        <v>1315</v>
      </c>
      <c r="F15" s="171" t="s">
        <v>1230</v>
      </c>
      <c r="G15" s="171" t="s">
        <v>1231</v>
      </c>
      <c r="H15" s="166">
        <v>2019</v>
      </c>
      <c r="I15" s="166">
        <v>2020</v>
      </c>
      <c r="J15" s="166">
        <v>2021</v>
      </c>
      <c r="K15" s="166">
        <v>2022</v>
      </c>
      <c r="L15" s="166">
        <v>2023</v>
      </c>
      <c r="M15" s="166">
        <v>2024</v>
      </c>
      <c r="N15" s="166">
        <v>2025</v>
      </c>
      <c r="O15" s="166">
        <v>2026</v>
      </c>
      <c r="P15" s="166">
        <v>2027</v>
      </c>
      <c r="Q15" s="166">
        <v>2028</v>
      </c>
      <c r="R15" s="166">
        <v>2029</v>
      </c>
      <c r="S15" s="166">
        <v>2030</v>
      </c>
      <c r="T15" s="166">
        <v>2031</v>
      </c>
      <c r="U15" s="166">
        <v>2032</v>
      </c>
      <c r="V15" s="166">
        <v>2033</v>
      </c>
      <c r="W15" s="166">
        <v>2034</v>
      </c>
      <c r="X15" s="166">
        <v>2035</v>
      </c>
      <c r="Y15" s="166">
        <v>2036</v>
      </c>
      <c r="Z15" s="166">
        <v>2037</v>
      </c>
      <c r="AA15" s="166">
        <v>2038</v>
      </c>
      <c r="AB15" s="166">
        <v>2039</v>
      </c>
      <c r="AC15" s="166">
        <v>2040</v>
      </c>
      <c r="AD15" s="166">
        <v>2041</v>
      </c>
      <c r="AE15" s="166">
        <v>2042</v>
      </c>
      <c r="AF15" s="166">
        <v>2043</v>
      </c>
      <c r="AG15" s="166">
        <v>2044</v>
      </c>
      <c r="AH15" s="166">
        <v>2045</v>
      </c>
      <c r="AI15" s="166">
        <v>2046</v>
      </c>
      <c r="AJ15" s="166">
        <v>2047</v>
      </c>
      <c r="AK15" s="166">
        <v>2048</v>
      </c>
      <c r="AL15" s="166">
        <v>2049</v>
      </c>
      <c r="AM15" s="166">
        <v>2050</v>
      </c>
    </row>
    <row r="16" spans="2:39" x14ac:dyDescent="0.3">
      <c r="C16" s="161" t="s">
        <v>1058</v>
      </c>
      <c r="E16" t="s">
        <v>1232</v>
      </c>
      <c r="F16" t="s">
        <v>1240</v>
      </c>
      <c r="G16" s="266">
        <f>SUM(T16:AH16)/1000000</f>
        <v>41.637940354134294</v>
      </c>
      <c r="H16" s="208"/>
      <c r="I16" s="208"/>
      <c r="J16" s="208"/>
      <c r="K16" s="208"/>
      <c r="L16" s="208"/>
      <c r="M16" s="208"/>
      <c r="N16" s="208"/>
      <c r="O16" s="208"/>
      <c r="P16" s="208"/>
      <c r="Q16" s="208"/>
      <c r="R16" s="208"/>
      <c r="T16" s="208">
        <f>VLOOKUP($C16,'MSET pivots'!$B$4:$H$14,$H$2,FALSE)*1000000*$G$6*'MSET pivots'!E$65</f>
        <v>1387952.1640038926</v>
      </c>
      <c r="U16" s="208">
        <f>VLOOKUP($C16,'MSET pivots'!$B$4:$H$14,$H$2,FALSE)*1000000*$G$6*'MSET pivots'!F$65</f>
        <v>1586225.096328425</v>
      </c>
      <c r="V16" s="208">
        <f>VLOOKUP($C16,'MSET pivots'!$B$4:$H$14,$H$2,FALSE)*1000000*$G$6*'MSET pivots'!G$65</f>
        <v>1784498.0286529574</v>
      </c>
      <c r="W16" s="208">
        <f>VLOOKUP($C16,'MSET pivots'!$B$4:$H$14,$H$2,FALSE)*1000000*$G$6*'MSET pivots'!H$65</f>
        <v>1982770.9609774898</v>
      </c>
      <c r="X16" s="208">
        <f>VLOOKUP($C16,'MSET pivots'!$B$4:$H$14,$H$2,FALSE)*1000000*$G$6*'MSET pivots'!I$65</f>
        <v>2181043.8933020225</v>
      </c>
      <c r="Y16" s="208">
        <f>VLOOKUP($C16,'MSET pivots'!$B$4:$H$14,$H$2,FALSE)*1000000*$G$6*'MSET pivots'!J$65</f>
        <v>2379316.8256265549</v>
      </c>
      <c r="Z16" s="208">
        <f>VLOOKUP($C16,'MSET pivots'!$B$4:$H$14,$H$2,FALSE)*1000000*$G$6*'MSET pivots'!K$65</f>
        <v>2577589.7579510873</v>
      </c>
      <c r="AA16" s="208">
        <f>VLOOKUP($C16,'MSET pivots'!$B$4:$H$14,$H$2,FALSE)*1000000*$G$6*'MSET pivots'!L$65</f>
        <v>2775862.6902756193</v>
      </c>
      <c r="AB16" s="208">
        <f>VLOOKUP($C16,'MSET pivots'!$B$4:$H$14,$H$2,FALSE)*1000000*$G$6*'MSET pivots'!M$65</f>
        <v>2974135.6226001517</v>
      </c>
      <c r="AC16" s="208">
        <f>VLOOKUP($C16,'MSET pivots'!$B$4:$H$14,$H$2,FALSE)*1000000*$G$6*'MSET pivots'!N$65</f>
        <v>3172408.5549246836</v>
      </c>
      <c r="AD16" s="208">
        <f>VLOOKUP($C16,'MSET pivots'!$B$4:$H$14,$H$2,FALSE)*1000000*$G$6*'MSET pivots'!O$65</f>
        <v>3370681.4872492161</v>
      </c>
      <c r="AE16" s="208">
        <f>VLOOKUP($C16,'MSET pivots'!$B$4:$H$14,$H$2,FALSE)*1000000*$G$6*'MSET pivots'!P$65</f>
        <v>3568954.419573748</v>
      </c>
      <c r="AF16" s="208">
        <f>VLOOKUP($C16,'MSET pivots'!$B$4:$H$14,$H$2,FALSE)*1000000*$G$6*'MSET pivots'!Q$65</f>
        <v>3767227.3518982804</v>
      </c>
      <c r="AG16" s="208">
        <f>VLOOKUP($C16,'MSET pivots'!$B$4:$H$14,$H$2,FALSE)*1000000*$G$6*'MSET pivots'!R$65</f>
        <v>3965500.2842228124</v>
      </c>
      <c r="AH16" s="208">
        <f>VLOOKUP($C16,'MSET pivots'!$B$4:$H$14,$H$2,FALSE)*1000000*$G$6*'MSET pivots'!S$65</f>
        <v>4163773.2165473462</v>
      </c>
    </row>
    <row r="17" spans="3:34" x14ac:dyDescent="0.3">
      <c r="C17" t="s">
        <v>1048</v>
      </c>
      <c r="E17" t="s">
        <v>1232</v>
      </c>
      <c r="F17" t="s">
        <v>1240</v>
      </c>
      <c r="G17" s="266">
        <f t="shared" ref="G17:G21" si="0">SUM(T17:AH17)/1000000</f>
        <v>30.360582278531545</v>
      </c>
      <c r="H17" s="208"/>
      <c r="I17" s="208"/>
      <c r="J17" s="208"/>
      <c r="K17" s="208"/>
      <c r="L17" s="208"/>
      <c r="M17" s="208"/>
      <c r="N17" s="208"/>
      <c r="O17" s="208"/>
      <c r="P17" s="208"/>
      <c r="Q17" s="208"/>
      <c r="R17" s="208"/>
      <c r="S17" s="208"/>
      <c r="T17" s="208">
        <f>VLOOKUP($C17,'MSET pivots'!$B$4:$H$14,$H$2,FALSE)*1000000*$G$6*'MSET pivots'!E$65</f>
        <v>1012034.5894996229</v>
      </c>
      <c r="U17" s="208">
        <f>VLOOKUP($C17,'MSET pivots'!$B$4:$H$14,$H$2,FALSE)*1000000*$G$6*'MSET pivots'!F$65</f>
        <v>1156606.6222237868</v>
      </c>
      <c r="V17" s="208">
        <f>VLOOKUP($C17,'MSET pivots'!$B$4:$H$14,$H$2,FALSE)*1000000*$G$6*'MSET pivots'!G$65</f>
        <v>1301178.6549479507</v>
      </c>
      <c r="W17" s="208">
        <f>VLOOKUP($C17,'MSET pivots'!$B$4:$H$14,$H$2,FALSE)*1000000*$G$6*'MSET pivots'!H$65</f>
        <v>1445750.6876721145</v>
      </c>
      <c r="X17" s="208">
        <f>VLOOKUP($C17,'MSET pivots'!$B$4:$H$14,$H$2,FALSE)*1000000*$G$6*'MSET pivots'!I$65</f>
        <v>1590322.7203962782</v>
      </c>
      <c r="Y17" s="208">
        <f>VLOOKUP($C17,'MSET pivots'!$B$4:$H$14,$H$2,FALSE)*1000000*$G$6*'MSET pivots'!J$65</f>
        <v>1734894.7531204422</v>
      </c>
      <c r="Z17" s="208">
        <f>VLOOKUP($C17,'MSET pivots'!$B$4:$H$14,$H$2,FALSE)*1000000*$G$6*'MSET pivots'!K$65</f>
        <v>1879466.7858446059</v>
      </c>
      <c r="AA17" s="208">
        <f>VLOOKUP($C17,'MSET pivots'!$B$4:$H$14,$H$2,FALSE)*1000000*$G$6*'MSET pivots'!L$65</f>
        <v>2024038.8185687696</v>
      </c>
      <c r="AB17" s="208">
        <f>VLOOKUP($C17,'MSET pivots'!$B$4:$H$14,$H$2,FALSE)*1000000*$G$6*'MSET pivots'!M$65</f>
        <v>2168610.8512929333</v>
      </c>
      <c r="AC17" s="208">
        <f>VLOOKUP($C17,'MSET pivots'!$B$4:$H$14,$H$2,FALSE)*1000000*$G$6*'MSET pivots'!N$65</f>
        <v>2313182.8840170968</v>
      </c>
      <c r="AD17" s="208">
        <f>VLOOKUP($C17,'MSET pivots'!$B$4:$H$14,$H$2,FALSE)*1000000*$G$6*'MSET pivots'!O$65</f>
        <v>2457754.9167412603</v>
      </c>
      <c r="AE17" s="208">
        <f>VLOOKUP($C17,'MSET pivots'!$B$4:$H$14,$H$2,FALSE)*1000000*$G$6*'MSET pivots'!P$65</f>
        <v>2602326.9494654238</v>
      </c>
      <c r="AF17" s="208">
        <f>VLOOKUP($C17,'MSET pivots'!$B$4:$H$14,$H$2,FALSE)*1000000*$G$6*'MSET pivots'!Q$65</f>
        <v>2746898.9821895878</v>
      </c>
      <c r="AG17" s="208">
        <f>VLOOKUP($C17,'MSET pivots'!$B$4:$H$14,$H$2,FALSE)*1000000*$G$6*'MSET pivots'!R$65</f>
        <v>2891471.0149137513</v>
      </c>
      <c r="AH17" s="208">
        <f>VLOOKUP($C17,'MSET pivots'!$B$4:$H$14,$H$2,FALSE)*1000000*$G$6*'MSET pivots'!S$65</f>
        <v>3036043.0476379162</v>
      </c>
    </row>
    <row r="18" spans="3:34" x14ac:dyDescent="0.3">
      <c r="C18" t="s">
        <v>1011</v>
      </c>
      <c r="E18" t="s">
        <v>1232</v>
      </c>
      <c r="F18" t="s">
        <v>1240</v>
      </c>
      <c r="G18" s="266">
        <f t="shared" si="0"/>
        <v>157.47480652397863</v>
      </c>
      <c r="H18" s="208"/>
      <c r="I18" s="208"/>
      <c r="J18" s="208"/>
      <c r="K18" s="208"/>
      <c r="L18" s="208"/>
      <c r="M18" s="208"/>
      <c r="N18" s="208"/>
      <c r="O18" s="208"/>
      <c r="P18" s="208"/>
      <c r="Q18" s="208"/>
      <c r="R18" s="208"/>
      <c r="S18" s="208"/>
      <c r="T18" s="208">
        <f>VLOOKUP($C18,'MSET pivots'!$B$4:$H$14,$H$2,FALSE)*1000000*$G$6*'MSET pivots'!E$65</f>
        <v>5249238.9544755314</v>
      </c>
      <c r="U18" s="208">
        <f>VLOOKUP($C18,'MSET pivots'!$B$4:$H$14,$H$2,FALSE)*1000000*$G$6*'MSET pivots'!F$65</f>
        <v>5999107.7373978719</v>
      </c>
      <c r="V18" s="208">
        <f>VLOOKUP($C18,'MSET pivots'!$B$4:$H$14,$H$2,FALSE)*1000000*$G$6*'MSET pivots'!G$65</f>
        <v>6748976.5203202115</v>
      </c>
      <c r="W18" s="208">
        <f>VLOOKUP($C18,'MSET pivots'!$B$4:$H$14,$H$2,FALSE)*1000000*$G$6*'MSET pivots'!H$65</f>
        <v>7498845.3032425512</v>
      </c>
      <c r="X18" s="208">
        <f>VLOOKUP($C18,'MSET pivots'!$B$4:$H$14,$H$2,FALSE)*1000000*$G$6*'MSET pivots'!I$65</f>
        <v>8248714.0861648908</v>
      </c>
      <c r="Y18" s="208">
        <f>VLOOKUP($C18,'MSET pivots'!$B$4:$H$14,$H$2,FALSE)*1000000*$G$6*'MSET pivots'!J$65</f>
        <v>8998582.8690872304</v>
      </c>
      <c r="Z18" s="208">
        <f>VLOOKUP($C18,'MSET pivots'!$B$4:$H$14,$H$2,FALSE)*1000000*$G$6*'MSET pivots'!K$65</f>
        <v>9748451.652009571</v>
      </c>
      <c r="AA18" s="208">
        <f>VLOOKUP($C18,'MSET pivots'!$B$4:$H$14,$H$2,FALSE)*1000000*$G$6*'MSET pivots'!L$65</f>
        <v>10498320.43493191</v>
      </c>
      <c r="AB18" s="208">
        <f>VLOOKUP($C18,'MSET pivots'!$B$4:$H$14,$H$2,FALSE)*1000000*$G$6*'MSET pivots'!M$65</f>
        <v>11248189.217854248</v>
      </c>
      <c r="AC18" s="208">
        <f>VLOOKUP($C18,'MSET pivots'!$B$4:$H$14,$H$2,FALSE)*1000000*$G$6*'MSET pivots'!N$65</f>
        <v>11998058.000776587</v>
      </c>
      <c r="AD18" s="208">
        <f>VLOOKUP($C18,'MSET pivots'!$B$4:$H$14,$H$2,FALSE)*1000000*$G$6*'MSET pivots'!O$65</f>
        <v>12747926.783698926</v>
      </c>
      <c r="AE18" s="208">
        <f>VLOOKUP($C18,'MSET pivots'!$B$4:$H$14,$H$2,FALSE)*1000000*$G$6*'MSET pivots'!P$65</f>
        <v>13497795.566621264</v>
      </c>
      <c r="AF18" s="208">
        <f>VLOOKUP($C18,'MSET pivots'!$B$4:$H$14,$H$2,FALSE)*1000000*$G$6*'MSET pivots'!Q$65</f>
        <v>14247664.349543603</v>
      </c>
      <c r="AG18" s="208">
        <f>VLOOKUP($C18,'MSET pivots'!$B$4:$H$14,$H$2,FALSE)*1000000*$G$6*'MSET pivots'!R$65</f>
        <v>14997533.132465942</v>
      </c>
      <c r="AH18" s="208">
        <f>VLOOKUP($C18,'MSET pivots'!$B$4:$H$14,$H$2,FALSE)*1000000*$G$6*'MSET pivots'!S$65</f>
        <v>15747401.915388286</v>
      </c>
    </row>
    <row r="19" spans="3:34" x14ac:dyDescent="0.3">
      <c r="C19" s="161" t="s">
        <v>1052</v>
      </c>
      <c r="E19" t="s">
        <v>1232</v>
      </c>
      <c r="F19" t="s">
        <v>1240</v>
      </c>
      <c r="G19" s="266">
        <f t="shared" si="0"/>
        <v>38.229821206255615</v>
      </c>
      <c r="H19" s="208"/>
      <c r="I19" s="208"/>
      <c r="J19" s="208"/>
      <c r="K19" s="208"/>
      <c r="L19" s="208"/>
      <c r="M19" s="208"/>
      <c r="N19" s="208"/>
      <c r="O19" s="208"/>
      <c r="P19" s="208"/>
      <c r="Q19" s="208"/>
      <c r="R19" s="208"/>
      <c r="S19" s="208"/>
      <c r="T19" s="208">
        <f>VLOOKUP($C19,'MSET pivots'!$B$4:$H$14,$H$2,FALSE)*1000000*$G$6*'MSET pivots'!E$65</f>
        <v>1274346.4883568832</v>
      </c>
      <c r="U19" s="208">
        <f>VLOOKUP($C19,'MSET pivots'!$B$4:$H$14,$H$2,FALSE)*1000000*$G$6*'MSET pivots'!F$65</f>
        <v>1456390.5253178582</v>
      </c>
      <c r="V19" s="208">
        <f>VLOOKUP($C19,'MSET pivots'!$B$4:$H$14,$H$2,FALSE)*1000000*$G$6*'MSET pivots'!G$65</f>
        <v>1638434.5622788332</v>
      </c>
      <c r="W19" s="208">
        <f>VLOOKUP($C19,'MSET pivots'!$B$4:$H$14,$H$2,FALSE)*1000000*$G$6*'MSET pivots'!H$65</f>
        <v>1820478.599239808</v>
      </c>
      <c r="X19" s="208">
        <f>VLOOKUP($C19,'MSET pivots'!$B$4:$H$14,$H$2,FALSE)*1000000*$G$6*'MSET pivots'!I$65</f>
        <v>2002522.6362007831</v>
      </c>
      <c r="Y19" s="208">
        <f>VLOOKUP($C19,'MSET pivots'!$B$4:$H$14,$H$2,FALSE)*1000000*$G$6*'MSET pivots'!J$65</f>
        <v>2184566.6731617581</v>
      </c>
      <c r="Z19" s="208">
        <f>VLOOKUP($C19,'MSET pivots'!$B$4:$H$14,$H$2,FALSE)*1000000*$G$6*'MSET pivots'!K$65</f>
        <v>2366610.7101227334</v>
      </c>
      <c r="AA19" s="208">
        <f>VLOOKUP($C19,'MSET pivots'!$B$4:$H$14,$H$2,FALSE)*1000000*$G$6*'MSET pivots'!L$65</f>
        <v>2548654.7470837082</v>
      </c>
      <c r="AB19" s="208">
        <f>VLOOKUP($C19,'MSET pivots'!$B$4:$H$14,$H$2,FALSE)*1000000*$G$6*'MSET pivots'!M$65</f>
        <v>2730698.784044683</v>
      </c>
      <c r="AC19" s="208">
        <f>VLOOKUP($C19,'MSET pivots'!$B$4:$H$14,$H$2,FALSE)*1000000*$G$6*'MSET pivots'!N$65</f>
        <v>2912742.8210056573</v>
      </c>
      <c r="AD19" s="208">
        <f>VLOOKUP($C19,'MSET pivots'!$B$4:$H$14,$H$2,FALSE)*1000000*$G$6*'MSET pivots'!O$65</f>
        <v>3094786.8579666321</v>
      </c>
      <c r="AE19" s="208">
        <f>VLOOKUP($C19,'MSET pivots'!$B$4:$H$14,$H$2,FALSE)*1000000*$G$6*'MSET pivots'!P$65</f>
        <v>3276830.8949276069</v>
      </c>
      <c r="AF19" s="208">
        <f>VLOOKUP($C19,'MSET pivots'!$B$4:$H$14,$H$2,FALSE)*1000000*$G$6*'MSET pivots'!Q$65</f>
        <v>3458874.9318885817</v>
      </c>
      <c r="AG19" s="208">
        <f>VLOOKUP($C19,'MSET pivots'!$B$4:$H$14,$H$2,FALSE)*1000000*$G$6*'MSET pivots'!R$65</f>
        <v>3640918.9688495565</v>
      </c>
      <c r="AH19" s="208">
        <f>VLOOKUP($C19,'MSET pivots'!$B$4:$H$14,$H$2,FALSE)*1000000*$G$6*'MSET pivots'!S$65</f>
        <v>3822963.0058105327</v>
      </c>
    </row>
    <row r="20" spans="3:34" x14ac:dyDescent="0.3">
      <c r="C20" t="s">
        <v>1021</v>
      </c>
      <c r="E20" t="s">
        <v>1232</v>
      </c>
      <c r="F20" t="s">
        <v>1240</v>
      </c>
      <c r="G20" s="266">
        <f t="shared" si="0"/>
        <v>51.096886877284099</v>
      </c>
      <c r="H20" s="208"/>
      <c r="I20" s="208"/>
      <c r="J20" s="208"/>
      <c r="K20" s="208"/>
      <c r="L20" s="208"/>
      <c r="M20" s="208"/>
      <c r="N20" s="208"/>
      <c r="O20" s="208"/>
      <c r="P20" s="208"/>
      <c r="Q20" s="208"/>
      <c r="R20" s="208"/>
      <c r="S20" s="208">
        <f>'Preliminary results'!$C$31*1000000*G6</f>
        <v>902060.73048874759</v>
      </c>
      <c r="T20" s="208">
        <f>VLOOKUP($C20,'MSET pivots'!$B$4:$H$14,$H$2,FALSE)*1000000*$G$6*'MSET pivots'!E$65</f>
        <v>1703255.1108918339</v>
      </c>
      <c r="U20" s="208">
        <f>VLOOKUP($C20,'MSET pivots'!$B$4:$H$14,$H$2,FALSE)*1000000*$G$6*'MSET pivots'!F$65</f>
        <v>1946569.9700718967</v>
      </c>
      <c r="V20" s="208">
        <f>VLOOKUP($C20,'MSET pivots'!$B$4:$H$14,$H$2,FALSE)*1000000*$G$6*'MSET pivots'!G$65</f>
        <v>2189884.8292519595</v>
      </c>
      <c r="W20" s="208">
        <f>VLOOKUP($C20,'MSET pivots'!$B$4:$H$14,$H$2,FALSE)*1000000*$G$6*'MSET pivots'!H$65</f>
        <v>2433199.6884320225</v>
      </c>
      <c r="X20" s="208">
        <f>VLOOKUP($C20,'MSET pivots'!$B$4:$H$14,$H$2,FALSE)*1000000*$G$6*'MSET pivots'!I$65</f>
        <v>2676514.5476120855</v>
      </c>
      <c r="Y20" s="208">
        <f>VLOOKUP($C20,'MSET pivots'!$B$4:$H$14,$H$2,FALSE)*1000000*$G$6*'MSET pivots'!J$65</f>
        <v>2919829.406792148</v>
      </c>
      <c r="Z20" s="208">
        <f>VLOOKUP($C20,'MSET pivots'!$B$4:$H$14,$H$2,FALSE)*1000000*$G$6*'MSET pivots'!K$65</f>
        <v>3163144.265972211</v>
      </c>
      <c r="AA20" s="208">
        <f>VLOOKUP($C20,'MSET pivots'!$B$4:$H$14,$H$2,FALSE)*1000000*$G$6*'MSET pivots'!L$65</f>
        <v>3406459.1251522736</v>
      </c>
      <c r="AB20" s="208">
        <f>VLOOKUP($C20,'MSET pivots'!$B$4:$H$14,$H$2,FALSE)*1000000*$G$6*'MSET pivots'!M$65</f>
        <v>3649773.9843323361</v>
      </c>
      <c r="AC20" s="208">
        <f>VLOOKUP($C20,'MSET pivots'!$B$4:$H$14,$H$2,FALSE)*1000000*$G$6*'MSET pivots'!N$65</f>
        <v>3893088.8435123987</v>
      </c>
      <c r="AD20" s="208">
        <f>VLOOKUP($C20,'MSET pivots'!$B$4:$H$14,$H$2,FALSE)*1000000*$G$6*'MSET pivots'!O$65</f>
        <v>4136403.7026924612</v>
      </c>
      <c r="AE20" s="208">
        <f>VLOOKUP($C20,'MSET pivots'!$B$4:$H$14,$H$2,FALSE)*1000000*$G$6*'MSET pivots'!P$65</f>
        <v>4379718.5618725233</v>
      </c>
      <c r="AF20" s="208">
        <f>VLOOKUP($C20,'MSET pivots'!$B$4:$H$14,$H$2,FALSE)*1000000*$G$6*'MSET pivots'!Q$65</f>
        <v>4623033.4210525863</v>
      </c>
      <c r="AG20" s="208">
        <f>VLOOKUP($C20,'MSET pivots'!$B$4:$H$14,$H$2,FALSE)*1000000*$G$6*'MSET pivots'!R$65</f>
        <v>4866348.2802326484</v>
      </c>
      <c r="AH20" s="208">
        <f>VLOOKUP($C20,'MSET pivots'!$B$4:$H$14,$H$2,FALSE)*1000000*$G$6*'MSET pivots'!S$65</f>
        <v>5109663.1394127132</v>
      </c>
    </row>
    <row r="21" spans="3:34" x14ac:dyDescent="0.3">
      <c r="C21" t="s">
        <v>1056</v>
      </c>
      <c r="E21" t="s">
        <v>1232</v>
      </c>
      <c r="F21" t="s">
        <v>1240</v>
      </c>
      <c r="G21" s="266">
        <f t="shared" si="0"/>
        <v>18.970318407150629</v>
      </c>
      <c r="H21" s="208"/>
      <c r="I21" s="208"/>
      <c r="J21" s="208"/>
      <c r="K21" s="208"/>
      <c r="L21" s="208"/>
      <c r="M21" s="208"/>
      <c r="N21" s="208"/>
      <c r="O21" s="208"/>
      <c r="P21" s="208"/>
      <c r="Q21" s="208"/>
      <c r="R21" s="208"/>
      <c r="S21" s="208"/>
      <c r="T21" s="208">
        <f>VLOOKUP($C21,'MSET pivots'!$B$4:$H$14,$H$2,FALSE)*1000000*$G$6*'MSET pivots'!E$65</f>
        <v>632353.43201679911</v>
      </c>
      <c r="U21" s="208">
        <f>VLOOKUP($C21,'MSET pivots'!$B$4:$H$14,$H$2,FALSE)*1000000*$G$6*'MSET pivots'!F$65</f>
        <v>722686.92655869096</v>
      </c>
      <c r="V21" s="208">
        <f>VLOOKUP($C21,'MSET pivots'!$B$4:$H$14,$H$2,FALSE)*1000000*$G$6*'MSET pivots'!G$65</f>
        <v>813020.42110058293</v>
      </c>
      <c r="W21" s="208">
        <f>VLOOKUP($C21,'MSET pivots'!$B$4:$H$14,$H$2,FALSE)*1000000*$G$6*'MSET pivots'!H$65</f>
        <v>903353.91564247478</v>
      </c>
      <c r="X21" s="208">
        <f>VLOOKUP($C21,'MSET pivots'!$B$4:$H$14,$H$2,FALSE)*1000000*$G$6*'MSET pivots'!I$65</f>
        <v>993687.41018436663</v>
      </c>
      <c r="Y21" s="208">
        <f>VLOOKUP($C21,'MSET pivots'!$B$4:$H$14,$H$2,FALSE)*1000000*$G$6*'MSET pivots'!J$65</f>
        <v>1084020.9047262585</v>
      </c>
      <c r="Z21" s="208">
        <f>VLOOKUP($C21,'MSET pivots'!$B$4:$H$14,$H$2,FALSE)*1000000*$G$6*'MSET pivots'!K$65</f>
        <v>1174354.3992681503</v>
      </c>
      <c r="AA21" s="208">
        <f>VLOOKUP($C21,'MSET pivots'!$B$4:$H$14,$H$2,FALSE)*1000000*$G$6*'MSET pivots'!L$65</f>
        <v>1264687.8938100422</v>
      </c>
      <c r="AB21" s="208">
        <f>VLOOKUP($C21,'MSET pivots'!$B$4:$H$14,$H$2,FALSE)*1000000*$G$6*'MSET pivots'!M$65</f>
        <v>1355021.388351934</v>
      </c>
      <c r="AC21" s="208">
        <f>VLOOKUP($C21,'MSET pivots'!$B$4:$H$14,$H$2,FALSE)*1000000*$G$6*'MSET pivots'!N$65</f>
        <v>1445354.8828938256</v>
      </c>
      <c r="AD21" s="208">
        <f>VLOOKUP($C21,'MSET pivots'!$B$4:$H$14,$H$2,FALSE)*1000000*$G$6*'MSET pivots'!O$65</f>
        <v>1535688.3774357175</v>
      </c>
      <c r="AE21" s="208">
        <f>VLOOKUP($C21,'MSET pivots'!$B$4:$H$14,$H$2,FALSE)*1000000*$G$6*'MSET pivots'!P$65</f>
        <v>1626021.8719776091</v>
      </c>
      <c r="AF21" s="208">
        <f>VLOOKUP($C21,'MSET pivots'!$B$4:$H$14,$H$2,FALSE)*1000000*$G$6*'MSET pivots'!Q$65</f>
        <v>1716355.366519501</v>
      </c>
      <c r="AG21" s="208">
        <f>VLOOKUP($C21,'MSET pivots'!$B$4:$H$14,$H$2,FALSE)*1000000*$G$6*'MSET pivots'!R$65</f>
        <v>1806688.8610613926</v>
      </c>
      <c r="AH21" s="208">
        <f>VLOOKUP($C21,'MSET pivots'!$B$4:$H$14,$H$2,FALSE)*1000000*$G$6*'MSET pivots'!S$65</f>
        <v>1897022.3556032851</v>
      </c>
    </row>
    <row r="22" spans="3:34" x14ac:dyDescent="0.3">
      <c r="F22" s="205"/>
      <c r="H22" s="208"/>
      <c r="I22" s="208"/>
      <c r="J22" s="208"/>
      <c r="K22" s="208"/>
      <c r="L22" s="208"/>
      <c r="M22" s="208"/>
      <c r="N22" s="208"/>
      <c r="O22" s="208"/>
      <c r="P22" s="208"/>
      <c r="Q22" s="208"/>
      <c r="R22" s="208"/>
      <c r="S22" s="208"/>
      <c r="T22" s="208"/>
      <c r="U22" s="208"/>
      <c r="V22" s="208"/>
      <c r="W22" s="208"/>
      <c r="X22" s="208"/>
      <c r="Y22" s="208"/>
      <c r="Z22" s="208"/>
      <c r="AA22" s="208"/>
      <c r="AB22" s="208"/>
      <c r="AC22" s="208"/>
    </row>
    <row r="23" spans="3:34" x14ac:dyDescent="0.3">
      <c r="F23" s="205"/>
      <c r="H23" s="208"/>
      <c r="I23" s="208"/>
      <c r="J23" s="208"/>
      <c r="K23" s="208"/>
      <c r="L23" s="208"/>
      <c r="M23" s="208"/>
      <c r="N23" s="208"/>
      <c r="O23" s="208"/>
      <c r="P23" s="208"/>
      <c r="Q23" s="208"/>
      <c r="R23" s="208"/>
      <c r="S23" s="208"/>
      <c r="T23" s="208"/>
      <c r="U23" s="208"/>
      <c r="V23" s="208"/>
      <c r="W23" s="208"/>
      <c r="X23" s="208"/>
      <c r="Y23" s="208"/>
      <c r="Z23" s="208"/>
      <c r="AA23" s="208"/>
      <c r="AB23" s="208"/>
      <c r="AC23" s="208"/>
    </row>
    <row r="24" spans="3:34" x14ac:dyDescent="0.3">
      <c r="F24" s="205"/>
      <c r="G24" s="182"/>
      <c r="H24" s="208"/>
      <c r="I24" s="208"/>
      <c r="J24" s="208"/>
      <c r="K24" s="208"/>
      <c r="L24" s="208"/>
      <c r="M24" s="208"/>
      <c r="N24" s="208"/>
      <c r="O24" s="208"/>
      <c r="P24" s="208"/>
      <c r="Q24" s="208"/>
      <c r="R24" s="208"/>
      <c r="S24" s="208"/>
      <c r="T24" s="208"/>
      <c r="U24" s="208"/>
      <c r="V24" s="208"/>
      <c r="W24" s="208"/>
      <c r="X24" s="208"/>
      <c r="Y24" s="208"/>
      <c r="Z24" s="208"/>
      <c r="AA24" s="208"/>
      <c r="AB24" s="208"/>
      <c r="AC24" s="208"/>
    </row>
    <row r="25" spans="3:34" x14ac:dyDescent="0.3">
      <c r="F25" s="205"/>
      <c r="H25" s="208"/>
      <c r="I25" s="208"/>
      <c r="J25" s="208"/>
      <c r="K25" s="208"/>
      <c r="L25" s="208"/>
      <c r="M25" s="208"/>
      <c r="N25" s="208"/>
      <c r="O25" s="208"/>
      <c r="P25" s="208"/>
      <c r="Q25" s="208"/>
      <c r="R25" s="208"/>
      <c r="S25" s="208"/>
      <c r="T25" s="208"/>
      <c r="U25" s="208"/>
      <c r="V25" s="208"/>
      <c r="W25" s="208"/>
      <c r="X25" s="208"/>
      <c r="Y25" s="208"/>
      <c r="Z25" s="208"/>
      <c r="AA25" s="208"/>
      <c r="AB25" s="208"/>
      <c r="AC25" s="208"/>
    </row>
    <row r="26" spans="3:34" x14ac:dyDescent="0.3">
      <c r="F26" s="205"/>
      <c r="H26" s="208"/>
      <c r="I26" s="208"/>
      <c r="J26" s="208"/>
      <c r="K26" s="208"/>
      <c r="L26" s="208"/>
      <c r="M26" s="208"/>
      <c r="N26" s="208"/>
      <c r="O26" s="208"/>
      <c r="P26" s="208"/>
      <c r="Q26" s="208"/>
      <c r="R26" s="208"/>
      <c r="S26" s="208"/>
      <c r="T26" s="208"/>
      <c r="U26" s="208"/>
      <c r="V26" s="208"/>
      <c r="W26" s="208"/>
      <c r="X26" s="208"/>
      <c r="Y26" s="208"/>
      <c r="Z26" s="208"/>
      <c r="AA26" s="208"/>
      <c r="AB26" s="208"/>
      <c r="AC26" s="208"/>
    </row>
    <row r="27" spans="3:34" x14ac:dyDescent="0.3">
      <c r="F27" s="205"/>
      <c r="H27" s="208"/>
      <c r="I27" s="208"/>
      <c r="J27" s="208"/>
      <c r="K27" s="208"/>
      <c r="L27" s="208"/>
      <c r="M27" s="208"/>
      <c r="N27" s="208"/>
      <c r="O27" s="208"/>
      <c r="P27" s="208"/>
      <c r="Q27" s="208"/>
      <c r="R27" s="208"/>
      <c r="S27" s="208"/>
      <c r="T27" s="208"/>
      <c r="U27" s="208"/>
      <c r="V27" s="208"/>
      <c r="W27" s="208"/>
      <c r="X27" s="208"/>
      <c r="Y27" s="208"/>
      <c r="Z27" s="208"/>
      <c r="AA27" s="208"/>
      <c r="AB27" s="208"/>
      <c r="AC27" s="208"/>
    </row>
    <row r="28" spans="3:34" x14ac:dyDescent="0.3">
      <c r="F28" s="205"/>
      <c r="H28" s="208"/>
      <c r="I28" s="208"/>
      <c r="J28" s="208"/>
      <c r="K28" s="208"/>
      <c r="L28" s="208"/>
      <c r="M28" s="208"/>
      <c r="N28" s="208"/>
      <c r="O28" s="208"/>
      <c r="P28" s="208"/>
      <c r="Q28" s="208"/>
      <c r="R28" s="208"/>
      <c r="S28" s="208"/>
      <c r="T28" s="208"/>
      <c r="U28" s="208"/>
      <c r="V28" s="208"/>
      <c r="W28" s="208"/>
      <c r="X28" s="208"/>
      <c r="Y28" s="208"/>
      <c r="Z28" s="208"/>
      <c r="AA28" s="208"/>
      <c r="AB28" s="208"/>
      <c r="AC28" s="208"/>
    </row>
    <row r="29" spans="3:34" x14ac:dyDescent="0.3">
      <c r="F29" s="205"/>
      <c r="H29" s="208"/>
      <c r="I29" s="208"/>
      <c r="J29" s="208"/>
      <c r="K29" s="208"/>
      <c r="L29" s="208"/>
      <c r="M29" s="208"/>
      <c r="N29" s="208"/>
      <c r="O29" s="208"/>
      <c r="P29" s="208"/>
      <c r="Q29" s="208"/>
      <c r="R29" s="208"/>
      <c r="S29" s="208"/>
      <c r="T29" s="208"/>
      <c r="U29" s="208"/>
      <c r="V29" s="208"/>
      <c r="W29" s="208"/>
      <c r="X29" s="208"/>
      <c r="Y29" s="208"/>
      <c r="Z29" s="208"/>
      <c r="AA29" s="208"/>
      <c r="AB29" s="208"/>
      <c r="AC29" s="208"/>
    </row>
    <row r="30" spans="3:34" x14ac:dyDescent="0.3">
      <c r="F30" s="205"/>
      <c r="H30" s="209"/>
      <c r="I30" s="209"/>
      <c r="J30" s="209"/>
      <c r="K30" s="209"/>
      <c r="L30" s="209"/>
      <c r="M30" s="209"/>
      <c r="N30" s="209"/>
      <c r="O30" s="209"/>
      <c r="P30" s="209"/>
      <c r="Q30" s="209"/>
      <c r="R30" s="209"/>
      <c r="S30" s="209"/>
      <c r="T30" s="209"/>
      <c r="U30" s="209"/>
      <c r="V30" s="209"/>
      <c r="W30" s="209"/>
      <c r="X30" s="209"/>
      <c r="Y30" s="209"/>
      <c r="Z30" s="209"/>
      <c r="AA30" s="209"/>
      <c r="AB30" s="209"/>
      <c r="AC30" s="209"/>
    </row>
    <row r="31" spans="3:34" x14ac:dyDescent="0.3">
      <c r="F31" s="205"/>
    </row>
    <row r="32" spans="3:34" x14ac:dyDescent="0.3">
      <c r="F32" s="205"/>
    </row>
    <row r="33" spans="6:6" x14ac:dyDescent="0.3">
      <c r="F33" s="205"/>
    </row>
    <row r="34" spans="6:6" x14ac:dyDescent="0.3">
      <c r="F34" s="205"/>
    </row>
    <row r="35" spans="6:6" x14ac:dyDescent="0.3">
      <c r="F35" s="205"/>
    </row>
    <row r="36" spans="6:6" x14ac:dyDescent="0.3">
      <c r="F36" s="205"/>
    </row>
    <row r="37" spans="6:6" x14ac:dyDescent="0.3">
      <c r="F37" s="205"/>
    </row>
    <row r="38" spans="6:6" x14ac:dyDescent="0.3">
      <c r="F38" s="205"/>
    </row>
    <row r="39" spans="6:6" x14ac:dyDescent="0.3">
      <c r="F39" s="205"/>
    </row>
    <row r="40" spans="6:6" x14ac:dyDescent="0.3">
      <c r="F40" s="205"/>
    </row>
    <row r="41" spans="6:6" x14ac:dyDescent="0.3">
      <c r="F41" s="205"/>
    </row>
    <row r="42" spans="6:6" x14ac:dyDescent="0.3">
      <c r="F42" s="205"/>
    </row>
    <row r="43" spans="6:6" x14ac:dyDescent="0.3">
      <c r="F43" s="205"/>
    </row>
    <row r="44" spans="6:6" x14ac:dyDescent="0.3">
      <c r="F44" s="205"/>
    </row>
    <row r="45" spans="6:6" x14ac:dyDescent="0.3">
      <c r="F45" s="205"/>
    </row>
    <row r="46" spans="6:6" x14ac:dyDescent="0.3">
      <c r="F46" s="205"/>
    </row>
    <row r="47" spans="6:6" x14ac:dyDescent="0.3">
      <c r="F47" s="205"/>
    </row>
    <row r="48" spans="6:6" x14ac:dyDescent="0.3">
      <c r="F48" s="205"/>
    </row>
    <row r="49" spans="6:6" x14ac:dyDescent="0.3">
      <c r="F49" s="205"/>
    </row>
    <row r="50" spans="6:6" x14ac:dyDescent="0.3">
      <c r="F50" s="205"/>
    </row>
    <row r="51" spans="6:6" x14ac:dyDescent="0.3">
      <c r="F51" s="205"/>
    </row>
    <row r="52" spans="6:6" x14ac:dyDescent="0.3">
      <c r="F52" s="205"/>
    </row>
    <row r="53" spans="6:6" x14ac:dyDescent="0.3">
      <c r="F53" s="205"/>
    </row>
    <row r="54" spans="6:6" x14ac:dyDescent="0.3">
      <c r="F54" s="205"/>
    </row>
    <row r="55" spans="6:6" x14ac:dyDescent="0.3">
      <c r="F55" s="205"/>
    </row>
    <row r="56" spans="6:6" x14ac:dyDescent="0.3">
      <c r="F56" s="205"/>
    </row>
    <row r="57" spans="6:6" x14ac:dyDescent="0.3">
      <c r="F57" s="205"/>
    </row>
    <row r="58" spans="6:6" x14ac:dyDescent="0.3">
      <c r="F58" s="205"/>
    </row>
    <row r="59" spans="6:6" x14ac:dyDescent="0.3">
      <c r="F59" s="205"/>
    </row>
    <row r="60" spans="6:6" x14ac:dyDescent="0.3">
      <c r="F60" s="205"/>
    </row>
    <row r="61" spans="6:6" x14ac:dyDescent="0.3">
      <c r="F61" s="205"/>
    </row>
    <row r="62" spans="6:6" x14ac:dyDescent="0.3">
      <c r="F62" s="205"/>
    </row>
    <row r="63" spans="6:6" x14ac:dyDescent="0.3">
      <c r="F63" s="205"/>
    </row>
    <row r="64" spans="6:6" x14ac:dyDescent="0.3">
      <c r="F64" s="205"/>
    </row>
    <row r="65" spans="6:6" x14ac:dyDescent="0.3">
      <c r="F65" s="205"/>
    </row>
    <row r="66" spans="6:6" x14ac:dyDescent="0.3">
      <c r="F66" s="205"/>
    </row>
    <row r="67" spans="6:6" x14ac:dyDescent="0.3">
      <c r="F67" s="205"/>
    </row>
    <row r="68" spans="6:6" x14ac:dyDescent="0.3">
      <c r="F68" s="205"/>
    </row>
    <row r="69" spans="6:6" x14ac:dyDescent="0.3">
      <c r="F69" s="205"/>
    </row>
    <row r="70" spans="6:6" x14ac:dyDescent="0.3">
      <c r="F70" s="205"/>
    </row>
    <row r="71" spans="6:6" x14ac:dyDescent="0.3">
      <c r="F71" s="205"/>
    </row>
    <row r="72" spans="6:6" x14ac:dyDescent="0.3">
      <c r="F72" s="205"/>
    </row>
    <row r="73" spans="6:6" x14ac:dyDescent="0.3">
      <c r="F73" s="205"/>
    </row>
    <row r="74" spans="6:6" x14ac:dyDescent="0.3">
      <c r="F74" s="205"/>
    </row>
    <row r="75" spans="6:6" x14ac:dyDescent="0.3">
      <c r="F75" s="205"/>
    </row>
    <row r="76" spans="6:6" x14ac:dyDescent="0.3">
      <c r="F76" s="205"/>
    </row>
    <row r="77" spans="6:6" x14ac:dyDescent="0.3">
      <c r="F77" s="205"/>
    </row>
    <row r="78" spans="6:6" x14ac:dyDescent="0.3">
      <c r="F78" s="205"/>
    </row>
    <row r="79" spans="6:6" x14ac:dyDescent="0.3">
      <c r="F79" s="205"/>
    </row>
    <row r="80" spans="6:6" x14ac:dyDescent="0.3">
      <c r="F80" s="205"/>
    </row>
    <row r="81" spans="6:6" x14ac:dyDescent="0.3">
      <c r="F81" s="205"/>
    </row>
    <row r="82" spans="6:6" x14ac:dyDescent="0.3">
      <c r="F82" s="205"/>
    </row>
    <row r="83" spans="6:6" x14ac:dyDescent="0.3">
      <c r="F83" s="205"/>
    </row>
    <row r="84" spans="6:6" x14ac:dyDescent="0.3">
      <c r="F84" s="205"/>
    </row>
    <row r="85" spans="6:6" x14ac:dyDescent="0.3">
      <c r="F85" s="205"/>
    </row>
    <row r="86" spans="6:6" x14ac:dyDescent="0.3">
      <c r="F86" s="205"/>
    </row>
    <row r="87" spans="6:6" x14ac:dyDescent="0.3">
      <c r="F87" s="205"/>
    </row>
    <row r="88" spans="6:6" x14ac:dyDescent="0.3">
      <c r="F88" s="205"/>
    </row>
    <row r="89" spans="6:6" x14ac:dyDescent="0.3">
      <c r="F89" s="205"/>
    </row>
    <row r="90" spans="6:6" x14ac:dyDescent="0.3">
      <c r="F90" s="205"/>
    </row>
    <row r="91" spans="6:6" x14ac:dyDescent="0.3">
      <c r="F91" s="205"/>
    </row>
    <row r="92" spans="6:6" x14ac:dyDescent="0.3">
      <c r="F92" s="205"/>
    </row>
    <row r="93" spans="6:6" x14ac:dyDescent="0.3">
      <c r="F93" s="205"/>
    </row>
    <row r="94" spans="6:6" x14ac:dyDescent="0.3">
      <c r="F94" s="205"/>
    </row>
    <row r="95" spans="6:6" x14ac:dyDescent="0.3">
      <c r="F95" s="205"/>
    </row>
    <row r="96" spans="6:6" x14ac:dyDescent="0.3">
      <c r="F96" s="205"/>
    </row>
    <row r="97" spans="6:6" x14ac:dyDescent="0.3">
      <c r="F97" s="205"/>
    </row>
    <row r="98" spans="6:6" x14ac:dyDescent="0.3">
      <c r="F98" s="205"/>
    </row>
    <row r="99" spans="6:6" x14ac:dyDescent="0.3">
      <c r="F99" s="205"/>
    </row>
    <row r="100" spans="6:6" x14ac:dyDescent="0.3">
      <c r="F100" s="205"/>
    </row>
    <row r="101" spans="6:6" x14ac:dyDescent="0.3">
      <c r="F101" s="205"/>
    </row>
    <row r="102" spans="6:6" x14ac:dyDescent="0.3">
      <c r="F102" s="205"/>
    </row>
    <row r="103" spans="6:6" x14ac:dyDescent="0.3">
      <c r="F103" s="205"/>
    </row>
    <row r="104" spans="6:6" x14ac:dyDescent="0.3">
      <c r="F104" s="205"/>
    </row>
    <row r="105" spans="6:6" x14ac:dyDescent="0.3">
      <c r="F105" s="205"/>
    </row>
    <row r="106" spans="6:6" x14ac:dyDescent="0.3">
      <c r="F106" s="205"/>
    </row>
    <row r="107" spans="6:6" x14ac:dyDescent="0.3">
      <c r="F107" s="205"/>
    </row>
    <row r="108" spans="6:6" x14ac:dyDescent="0.3">
      <c r="F108" s="205"/>
    </row>
    <row r="109" spans="6:6" x14ac:dyDescent="0.3">
      <c r="F109" s="205"/>
    </row>
    <row r="110" spans="6:6" x14ac:dyDescent="0.3">
      <c r="F110" s="205"/>
    </row>
    <row r="111" spans="6:6" x14ac:dyDescent="0.3">
      <c r="F111" s="205"/>
    </row>
    <row r="112" spans="6:6" x14ac:dyDescent="0.3">
      <c r="F112" s="205"/>
    </row>
    <row r="113" spans="6:6" x14ac:dyDescent="0.3">
      <c r="F113" s="205"/>
    </row>
    <row r="114" spans="6:6" x14ac:dyDescent="0.3">
      <c r="F114" s="205"/>
    </row>
    <row r="115" spans="6:6" x14ac:dyDescent="0.3">
      <c r="F115" s="205"/>
    </row>
    <row r="116" spans="6:6" x14ac:dyDescent="0.3">
      <c r="F116" s="205"/>
    </row>
    <row r="117" spans="6:6" x14ac:dyDescent="0.3">
      <c r="F117" s="205"/>
    </row>
    <row r="118" spans="6:6" x14ac:dyDescent="0.3">
      <c r="F118" s="205"/>
    </row>
    <row r="119" spans="6:6" x14ac:dyDescent="0.3">
      <c r="F119" s="205"/>
    </row>
    <row r="120" spans="6:6" x14ac:dyDescent="0.3">
      <c r="F120" s="205"/>
    </row>
    <row r="121" spans="6:6" x14ac:dyDescent="0.3">
      <c r="F121" s="205"/>
    </row>
    <row r="122" spans="6:6" x14ac:dyDescent="0.3">
      <c r="F122" s="205"/>
    </row>
    <row r="123" spans="6:6" x14ac:dyDescent="0.3">
      <c r="F123" s="205"/>
    </row>
    <row r="124" spans="6:6" x14ac:dyDescent="0.3">
      <c r="F124" s="205"/>
    </row>
    <row r="125" spans="6:6" x14ac:dyDescent="0.3">
      <c r="F125" s="205"/>
    </row>
    <row r="126" spans="6:6" x14ac:dyDescent="0.3">
      <c r="F126" s="205"/>
    </row>
    <row r="127" spans="6:6" x14ac:dyDescent="0.3">
      <c r="F127" s="205"/>
    </row>
    <row r="128" spans="6:6" x14ac:dyDescent="0.3">
      <c r="F128" s="205"/>
    </row>
    <row r="129" spans="6:6" x14ac:dyDescent="0.3">
      <c r="F129" s="205"/>
    </row>
    <row r="130" spans="6:6" x14ac:dyDescent="0.3">
      <c r="F130" s="205"/>
    </row>
    <row r="131" spans="6:6" x14ac:dyDescent="0.3">
      <c r="F131" s="205"/>
    </row>
    <row r="132" spans="6:6" x14ac:dyDescent="0.3">
      <c r="F132" s="205"/>
    </row>
    <row r="133" spans="6:6" x14ac:dyDescent="0.3">
      <c r="F133" s="205"/>
    </row>
    <row r="134" spans="6:6" x14ac:dyDescent="0.3">
      <c r="F134" s="205"/>
    </row>
    <row r="135" spans="6:6" x14ac:dyDescent="0.3">
      <c r="F135" s="205"/>
    </row>
    <row r="136" spans="6:6" x14ac:dyDescent="0.3">
      <c r="F136" s="205"/>
    </row>
    <row r="137" spans="6:6" x14ac:dyDescent="0.3">
      <c r="F137" s="205"/>
    </row>
    <row r="138" spans="6:6" x14ac:dyDescent="0.3">
      <c r="F138" s="205"/>
    </row>
    <row r="139" spans="6:6" x14ac:dyDescent="0.3">
      <c r="F139" s="205"/>
    </row>
    <row r="140" spans="6:6" x14ac:dyDescent="0.3">
      <c r="F140" s="205"/>
    </row>
    <row r="141" spans="6:6" x14ac:dyDescent="0.3">
      <c r="F141" s="205"/>
    </row>
    <row r="142" spans="6:6" x14ac:dyDescent="0.3">
      <c r="F142" s="205"/>
    </row>
    <row r="143" spans="6:6" x14ac:dyDescent="0.3">
      <c r="F143" s="205"/>
    </row>
    <row r="144" spans="6:6" x14ac:dyDescent="0.3">
      <c r="F144" s="205"/>
    </row>
    <row r="145" spans="6:6" x14ac:dyDescent="0.3">
      <c r="F145" s="205"/>
    </row>
    <row r="146" spans="6:6" x14ac:dyDescent="0.3">
      <c r="F146" s="205"/>
    </row>
    <row r="147" spans="6:6" x14ac:dyDescent="0.3">
      <c r="F147" s="205"/>
    </row>
    <row r="148" spans="6:6" x14ac:dyDescent="0.3">
      <c r="F148" s="205"/>
    </row>
    <row r="149" spans="6:6" x14ac:dyDescent="0.3">
      <c r="F149" s="205"/>
    </row>
    <row r="150" spans="6:6" x14ac:dyDescent="0.3">
      <c r="F150" s="205"/>
    </row>
    <row r="151" spans="6:6" x14ac:dyDescent="0.3">
      <c r="F151" s="205"/>
    </row>
    <row r="152" spans="6:6" x14ac:dyDescent="0.3">
      <c r="F152" s="205"/>
    </row>
    <row r="153" spans="6:6" x14ac:dyDescent="0.3">
      <c r="F153" s="205"/>
    </row>
    <row r="154" spans="6:6" x14ac:dyDescent="0.3">
      <c r="F154" s="205"/>
    </row>
    <row r="155" spans="6:6" x14ac:dyDescent="0.3">
      <c r="F155" s="205"/>
    </row>
    <row r="156" spans="6:6" x14ac:dyDescent="0.3">
      <c r="F156" s="205"/>
    </row>
    <row r="157" spans="6:6" x14ac:dyDescent="0.3">
      <c r="F157" s="205"/>
    </row>
    <row r="158" spans="6:6" x14ac:dyDescent="0.3">
      <c r="F158" s="205"/>
    </row>
    <row r="159" spans="6:6" x14ac:dyDescent="0.3">
      <c r="F159" s="205"/>
    </row>
    <row r="160" spans="6:6" x14ac:dyDescent="0.3">
      <c r="F160" s="205"/>
    </row>
    <row r="161" spans="6:6" x14ac:dyDescent="0.3">
      <c r="F161" s="205"/>
    </row>
    <row r="162" spans="6:6" x14ac:dyDescent="0.3">
      <c r="F162" s="205"/>
    </row>
    <row r="163" spans="6:6" x14ac:dyDescent="0.3">
      <c r="F163" s="205"/>
    </row>
    <row r="164" spans="6:6" x14ac:dyDescent="0.3">
      <c r="F164" s="205"/>
    </row>
    <row r="165" spans="6:6" x14ac:dyDescent="0.3">
      <c r="F165" s="205"/>
    </row>
    <row r="166" spans="6:6" x14ac:dyDescent="0.3">
      <c r="F166" s="205"/>
    </row>
    <row r="167" spans="6:6" x14ac:dyDescent="0.3">
      <c r="F167" s="205"/>
    </row>
    <row r="168" spans="6:6" x14ac:dyDescent="0.3">
      <c r="F168" s="205"/>
    </row>
    <row r="169" spans="6:6" x14ac:dyDescent="0.3">
      <c r="F169" s="205"/>
    </row>
    <row r="170" spans="6:6" x14ac:dyDescent="0.3">
      <c r="F170" s="205"/>
    </row>
    <row r="171" spans="6:6" x14ac:dyDescent="0.3">
      <c r="F171" s="205"/>
    </row>
    <row r="172" spans="6:6" x14ac:dyDescent="0.3">
      <c r="F172" s="205"/>
    </row>
    <row r="173" spans="6:6" x14ac:dyDescent="0.3">
      <c r="F173" s="205"/>
    </row>
    <row r="174" spans="6:6" x14ac:dyDescent="0.3">
      <c r="F174" s="205"/>
    </row>
    <row r="175" spans="6:6" x14ac:dyDescent="0.3">
      <c r="F175" s="205"/>
    </row>
    <row r="176" spans="6:6" x14ac:dyDescent="0.3">
      <c r="F176" s="205"/>
    </row>
    <row r="177" spans="6:6" x14ac:dyDescent="0.3">
      <c r="F177" s="205"/>
    </row>
    <row r="178" spans="6:6" x14ac:dyDescent="0.3">
      <c r="F178" s="205"/>
    </row>
    <row r="179" spans="6:6" x14ac:dyDescent="0.3">
      <c r="F179" s="205"/>
    </row>
    <row r="180" spans="6:6" x14ac:dyDescent="0.3">
      <c r="F180" s="205"/>
    </row>
    <row r="181" spans="6:6" x14ac:dyDescent="0.3">
      <c r="F181" s="205"/>
    </row>
    <row r="182" spans="6:6" x14ac:dyDescent="0.3">
      <c r="F182" s="205"/>
    </row>
    <row r="183" spans="6:6" x14ac:dyDescent="0.3">
      <c r="F183" s="205"/>
    </row>
    <row r="184" spans="6:6" x14ac:dyDescent="0.3">
      <c r="F184" s="205"/>
    </row>
    <row r="185" spans="6:6" x14ac:dyDescent="0.3">
      <c r="F185" s="205"/>
    </row>
    <row r="186" spans="6:6" x14ac:dyDescent="0.3">
      <c r="F186" s="205"/>
    </row>
    <row r="187" spans="6:6" x14ac:dyDescent="0.3">
      <c r="F187" s="205"/>
    </row>
    <row r="188" spans="6:6" x14ac:dyDescent="0.3">
      <c r="F188" s="205"/>
    </row>
    <row r="189" spans="6:6" x14ac:dyDescent="0.3">
      <c r="F189" s="205"/>
    </row>
    <row r="190" spans="6:6" x14ac:dyDescent="0.3">
      <c r="F190" s="205"/>
    </row>
    <row r="191" spans="6:6" x14ac:dyDescent="0.3">
      <c r="F191" s="205"/>
    </row>
    <row r="192" spans="6:6" x14ac:dyDescent="0.3">
      <c r="F192" s="205"/>
    </row>
    <row r="193" spans="6:6" x14ac:dyDescent="0.3">
      <c r="F193" s="205"/>
    </row>
    <row r="194" spans="6:6" x14ac:dyDescent="0.3">
      <c r="F194" s="205"/>
    </row>
    <row r="195" spans="6:6" x14ac:dyDescent="0.3">
      <c r="F195" s="205"/>
    </row>
    <row r="196" spans="6:6" x14ac:dyDescent="0.3">
      <c r="F196" s="205"/>
    </row>
    <row r="197" spans="6:6" x14ac:dyDescent="0.3">
      <c r="F197" s="205"/>
    </row>
    <row r="198" spans="6:6" x14ac:dyDescent="0.3">
      <c r="F198" s="205"/>
    </row>
    <row r="199" spans="6:6" x14ac:dyDescent="0.3">
      <c r="F199" s="205"/>
    </row>
    <row r="200" spans="6:6" x14ac:dyDescent="0.3">
      <c r="F200" s="205"/>
    </row>
    <row r="201" spans="6:6" x14ac:dyDescent="0.3">
      <c r="F201" s="205"/>
    </row>
    <row r="202" spans="6:6" x14ac:dyDescent="0.3">
      <c r="F202" s="205"/>
    </row>
    <row r="203" spans="6:6" x14ac:dyDescent="0.3">
      <c r="F203" s="205"/>
    </row>
    <row r="204" spans="6:6" x14ac:dyDescent="0.3">
      <c r="F204" s="205"/>
    </row>
    <row r="205" spans="6:6" x14ac:dyDescent="0.3">
      <c r="F205" s="205"/>
    </row>
    <row r="206" spans="6:6" x14ac:dyDescent="0.3">
      <c r="F206" s="205"/>
    </row>
    <row r="207" spans="6:6" x14ac:dyDescent="0.3">
      <c r="F207" s="205"/>
    </row>
    <row r="208" spans="6:6" x14ac:dyDescent="0.3">
      <c r="F208" s="205"/>
    </row>
    <row r="209" spans="6:6" x14ac:dyDescent="0.3">
      <c r="F209" s="205"/>
    </row>
    <row r="210" spans="6:6" x14ac:dyDescent="0.3">
      <c r="F210" s="205"/>
    </row>
    <row r="211" spans="6:6" x14ac:dyDescent="0.3">
      <c r="F211" s="205"/>
    </row>
    <row r="212" spans="6:6" x14ac:dyDescent="0.3">
      <c r="F212" s="205"/>
    </row>
    <row r="213" spans="6:6" x14ac:dyDescent="0.3">
      <c r="F213" s="205"/>
    </row>
    <row r="214" spans="6:6" x14ac:dyDescent="0.3">
      <c r="F214" s="205"/>
    </row>
    <row r="215" spans="6:6" x14ac:dyDescent="0.3">
      <c r="F215" s="205"/>
    </row>
    <row r="216" spans="6:6" x14ac:dyDescent="0.3">
      <c r="F216" s="205"/>
    </row>
    <row r="217" spans="6:6" x14ac:dyDescent="0.3">
      <c r="F217" s="205"/>
    </row>
    <row r="218" spans="6:6" x14ac:dyDescent="0.3">
      <c r="F218" s="205"/>
    </row>
    <row r="219" spans="6:6" x14ac:dyDescent="0.3">
      <c r="F219" s="205"/>
    </row>
    <row r="220" spans="6:6" x14ac:dyDescent="0.3">
      <c r="F220" s="205"/>
    </row>
    <row r="221" spans="6:6" x14ac:dyDescent="0.3">
      <c r="F221" s="205"/>
    </row>
    <row r="222" spans="6:6" x14ac:dyDescent="0.3">
      <c r="F222" s="205"/>
    </row>
    <row r="223" spans="6:6" x14ac:dyDescent="0.3">
      <c r="F223" s="205"/>
    </row>
    <row r="224" spans="6:6" x14ac:dyDescent="0.3">
      <c r="F224" s="205"/>
    </row>
    <row r="225" spans="6:6" x14ac:dyDescent="0.3">
      <c r="F225" s="205"/>
    </row>
    <row r="226" spans="6:6" x14ac:dyDescent="0.3">
      <c r="F226" s="205"/>
    </row>
    <row r="227" spans="6:6" x14ac:dyDescent="0.3">
      <c r="F227" s="205"/>
    </row>
    <row r="228" spans="6:6" x14ac:dyDescent="0.3">
      <c r="F228" s="205"/>
    </row>
    <row r="229" spans="6:6" x14ac:dyDescent="0.3">
      <c r="F229" s="205"/>
    </row>
    <row r="230" spans="6:6" x14ac:dyDescent="0.3">
      <c r="F230" s="205"/>
    </row>
    <row r="231" spans="6:6" x14ac:dyDescent="0.3">
      <c r="F231" s="205"/>
    </row>
    <row r="232" spans="6:6" x14ac:dyDescent="0.3">
      <c r="F232" s="205"/>
    </row>
    <row r="233" spans="6:6" x14ac:dyDescent="0.3">
      <c r="F233" s="205"/>
    </row>
    <row r="234" spans="6:6" x14ac:dyDescent="0.3">
      <c r="F234" s="205"/>
    </row>
    <row r="235" spans="6:6" x14ac:dyDescent="0.3">
      <c r="F235" s="205"/>
    </row>
    <row r="236" spans="6:6" x14ac:dyDescent="0.3">
      <c r="F236" s="205"/>
    </row>
    <row r="237" spans="6:6" x14ac:dyDescent="0.3">
      <c r="F237" s="205"/>
    </row>
    <row r="238" spans="6:6" x14ac:dyDescent="0.3">
      <c r="F238" s="205"/>
    </row>
    <row r="239" spans="6:6" x14ac:dyDescent="0.3">
      <c r="F239" s="205"/>
    </row>
    <row r="240" spans="6:6" x14ac:dyDescent="0.3">
      <c r="F240" s="205"/>
    </row>
    <row r="241" spans="6:6" x14ac:dyDescent="0.3">
      <c r="F241" s="205"/>
    </row>
    <row r="242" spans="6:6" x14ac:dyDescent="0.3">
      <c r="F242" s="205"/>
    </row>
    <row r="243" spans="6:6" x14ac:dyDescent="0.3">
      <c r="F243" s="205"/>
    </row>
    <row r="244" spans="6:6" x14ac:dyDescent="0.3">
      <c r="F244" s="205"/>
    </row>
    <row r="245" spans="6:6" x14ac:dyDescent="0.3">
      <c r="F245" s="205"/>
    </row>
    <row r="246" spans="6:6" x14ac:dyDescent="0.3">
      <c r="F246" s="205"/>
    </row>
    <row r="247" spans="6:6" x14ac:dyDescent="0.3">
      <c r="F247" s="205"/>
    </row>
    <row r="248" spans="6:6" x14ac:dyDescent="0.3">
      <c r="F248" s="205"/>
    </row>
    <row r="249" spans="6:6" x14ac:dyDescent="0.3">
      <c r="F249" s="205"/>
    </row>
    <row r="250" spans="6:6" x14ac:dyDescent="0.3">
      <c r="F250" s="205"/>
    </row>
    <row r="251" spans="6:6" x14ac:dyDescent="0.3">
      <c r="F251" s="205"/>
    </row>
    <row r="252" spans="6:6" x14ac:dyDescent="0.3">
      <c r="F252" s="205"/>
    </row>
    <row r="253" spans="6:6" x14ac:dyDescent="0.3">
      <c r="F253" s="205"/>
    </row>
    <row r="254" spans="6:6" x14ac:dyDescent="0.3">
      <c r="F254" s="205"/>
    </row>
    <row r="255" spans="6:6" x14ac:dyDescent="0.3">
      <c r="F255" s="205"/>
    </row>
    <row r="256" spans="6:6" x14ac:dyDescent="0.3">
      <c r="F256" s="205"/>
    </row>
    <row r="257" spans="6:6" x14ac:dyDescent="0.3">
      <c r="F257" s="205"/>
    </row>
    <row r="258" spans="6:6" x14ac:dyDescent="0.3">
      <c r="F258" s="205"/>
    </row>
    <row r="259" spans="6:6" x14ac:dyDescent="0.3">
      <c r="F259" s="205"/>
    </row>
    <row r="260" spans="6:6" x14ac:dyDescent="0.3">
      <c r="F260" s="205"/>
    </row>
    <row r="261" spans="6:6" x14ac:dyDescent="0.3">
      <c r="F261" s="205"/>
    </row>
    <row r="262" spans="6:6" x14ac:dyDescent="0.3">
      <c r="F262" s="205"/>
    </row>
    <row r="263" spans="6:6" x14ac:dyDescent="0.3">
      <c r="F263" s="205"/>
    </row>
    <row r="264" spans="6:6" x14ac:dyDescent="0.3">
      <c r="F264" s="205"/>
    </row>
    <row r="265" spans="6:6" x14ac:dyDescent="0.3">
      <c r="F265" s="205"/>
    </row>
    <row r="266" spans="6:6" x14ac:dyDescent="0.3">
      <c r="F266" s="205"/>
    </row>
    <row r="267" spans="6:6" x14ac:dyDescent="0.3">
      <c r="F267" s="205"/>
    </row>
    <row r="268" spans="6:6" x14ac:dyDescent="0.3">
      <c r="F268" s="205"/>
    </row>
    <row r="269" spans="6:6" x14ac:dyDescent="0.3">
      <c r="F269" s="205"/>
    </row>
    <row r="270" spans="6:6" x14ac:dyDescent="0.3">
      <c r="F270" s="205"/>
    </row>
    <row r="271" spans="6:6" x14ac:dyDescent="0.3">
      <c r="F271" s="205"/>
    </row>
    <row r="272" spans="6:6" x14ac:dyDescent="0.3">
      <c r="F272" s="205"/>
    </row>
    <row r="273" spans="6:6" x14ac:dyDescent="0.3">
      <c r="F273" s="205"/>
    </row>
    <row r="274" spans="6:6" x14ac:dyDescent="0.3">
      <c r="F274" s="205"/>
    </row>
    <row r="275" spans="6:6" x14ac:dyDescent="0.3">
      <c r="F275" s="205"/>
    </row>
    <row r="276" spans="6:6" x14ac:dyDescent="0.3">
      <c r="F276" s="205"/>
    </row>
    <row r="277" spans="6:6" x14ac:dyDescent="0.3">
      <c r="F277" s="205"/>
    </row>
    <row r="278" spans="6:6" x14ac:dyDescent="0.3">
      <c r="F278" s="205"/>
    </row>
    <row r="279" spans="6:6" x14ac:dyDescent="0.3">
      <c r="F279" s="205"/>
    </row>
    <row r="280" spans="6:6" x14ac:dyDescent="0.3">
      <c r="F280" s="205"/>
    </row>
    <row r="281" spans="6:6" x14ac:dyDescent="0.3">
      <c r="F281" s="205"/>
    </row>
    <row r="282" spans="6:6" x14ac:dyDescent="0.3">
      <c r="F282" s="205"/>
    </row>
    <row r="283" spans="6:6" x14ac:dyDescent="0.3">
      <c r="F283" s="205"/>
    </row>
    <row r="284" spans="6:6" x14ac:dyDescent="0.3">
      <c r="F284" s="205"/>
    </row>
    <row r="285" spans="6:6" x14ac:dyDescent="0.3">
      <c r="F285" s="205"/>
    </row>
    <row r="286" spans="6:6" x14ac:dyDescent="0.3">
      <c r="F286" s="205"/>
    </row>
    <row r="287" spans="6:6" x14ac:dyDescent="0.3">
      <c r="F287" s="205"/>
    </row>
    <row r="288" spans="6:6" x14ac:dyDescent="0.3">
      <c r="F288" s="205"/>
    </row>
    <row r="289" spans="6:6" x14ac:dyDescent="0.3">
      <c r="F289" s="205"/>
    </row>
    <row r="290" spans="6:6" x14ac:dyDescent="0.3">
      <c r="F290" s="205"/>
    </row>
    <row r="291" spans="6:6" x14ac:dyDescent="0.3">
      <c r="F291" s="205"/>
    </row>
    <row r="292" spans="6:6" x14ac:dyDescent="0.3">
      <c r="F292" s="205"/>
    </row>
    <row r="293" spans="6:6" x14ac:dyDescent="0.3">
      <c r="F293" s="205"/>
    </row>
    <row r="294" spans="6:6" x14ac:dyDescent="0.3">
      <c r="F294" s="205"/>
    </row>
    <row r="295" spans="6:6" x14ac:dyDescent="0.3">
      <c r="F295" s="205"/>
    </row>
    <row r="296" spans="6:6" x14ac:dyDescent="0.3">
      <c r="F296" s="205"/>
    </row>
    <row r="297" spans="6:6" x14ac:dyDescent="0.3">
      <c r="F297" s="205"/>
    </row>
    <row r="298" spans="6:6" x14ac:dyDescent="0.3">
      <c r="F298" s="205"/>
    </row>
    <row r="299" spans="6:6" x14ac:dyDescent="0.3">
      <c r="F299" s="205"/>
    </row>
    <row r="300" spans="6:6" x14ac:dyDescent="0.3">
      <c r="F300" s="205"/>
    </row>
    <row r="301" spans="6:6" x14ac:dyDescent="0.3">
      <c r="F301" s="205"/>
    </row>
    <row r="302" spans="6:6" x14ac:dyDescent="0.3">
      <c r="F302" s="205"/>
    </row>
    <row r="303" spans="6:6" x14ac:dyDescent="0.3">
      <c r="F303" s="205"/>
    </row>
    <row r="304" spans="6:6" x14ac:dyDescent="0.3">
      <c r="F304" s="205"/>
    </row>
    <row r="305" spans="6:6" x14ac:dyDescent="0.3">
      <c r="F305" s="205"/>
    </row>
    <row r="306" spans="6:6" x14ac:dyDescent="0.3">
      <c r="F306" s="205"/>
    </row>
    <row r="307" spans="6:6" x14ac:dyDescent="0.3">
      <c r="F307" s="205"/>
    </row>
    <row r="308" spans="6:6" x14ac:dyDescent="0.3">
      <c r="F308" s="205"/>
    </row>
    <row r="309" spans="6:6" x14ac:dyDescent="0.3">
      <c r="F309" s="205"/>
    </row>
    <row r="310" spans="6:6" x14ac:dyDescent="0.3">
      <c r="F310" s="205"/>
    </row>
    <row r="311" spans="6:6" x14ac:dyDescent="0.3">
      <c r="F311" s="205"/>
    </row>
    <row r="312" spans="6:6" x14ac:dyDescent="0.3">
      <c r="F312" s="205"/>
    </row>
    <row r="313" spans="6:6" x14ac:dyDescent="0.3">
      <c r="F313" s="205"/>
    </row>
    <row r="314" spans="6:6" x14ac:dyDescent="0.3">
      <c r="F314" s="205"/>
    </row>
    <row r="315" spans="6:6" x14ac:dyDescent="0.3">
      <c r="F315" s="205"/>
    </row>
    <row r="316" spans="6:6" x14ac:dyDescent="0.3">
      <c r="F316" s="205"/>
    </row>
    <row r="317" spans="6:6" x14ac:dyDescent="0.3">
      <c r="F317" s="205"/>
    </row>
    <row r="318" spans="6:6" x14ac:dyDescent="0.3">
      <c r="F318" s="205"/>
    </row>
    <row r="319" spans="6:6" x14ac:dyDescent="0.3">
      <c r="F319" s="205"/>
    </row>
    <row r="320" spans="6:6" x14ac:dyDescent="0.3">
      <c r="F320" s="205"/>
    </row>
    <row r="321" spans="6:6" x14ac:dyDescent="0.3">
      <c r="F321" s="205"/>
    </row>
    <row r="322" spans="6:6" x14ac:dyDescent="0.3">
      <c r="F322" s="205"/>
    </row>
    <row r="323" spans="6:6" x14ac:dyDescent="0.3">
      <c r="F323" s="205"/>
    </row>
    <row r="324" spans="6:6" x14ac:dyDescent="0.3">
      <c r="F324" s="205"/>
    </row>
    <row r="325" spans="6:6" x14ac:dyDescent="0.3">
      <c r="F325" s="205"/>
    </row>
    <row r="326" spans="6:6" x14ac:dyDescent="0.3">
      <c r="F326" s="205"/>
    </row>
    <row r="327" spans="6:6" x14ac:dyDescent="0.3">
      <c r="F327" s="205"/>
    </row>
    <row r="328" spans="6:6" x14ac:dyDescent="0.3">
      <c r="F328" s="205"/>
    </row>
    <row r="329" spans="6:6" x14ac:dyDescent="0.3">
      <c r="F329" s="205"/>
    </row>
    <row r="330" spans="6:6" x14ac:dyDescent="0.3">
      <c r="F330" s="205"/>
    </row>
    <row r="331" spans="6:6" x14ac:dyDescent="0.3">
      <c r="F331" s="205"/>
    </row>
    <row r="332" spans="6:6" x14ac:dyDescent="0.3">
      <c r="F332" s="205"/>
    </row>
    <row r="333" spans="6:6" x14ac:dyDescent="0.3">
      <c r="F333" s="205"/>
    </row>
    <row r="334" spans="6:6" x14ac:dyDescent="0.3">
      <c r="F334" s="205"/>
    </row>
    <row r="335" spans="6:6" x14ac:dyDescent="0.3">
      <c r="F335" s="205"/>
    </row>
    <row r="336" spans="6:6" x14ac:dyDescent="0.3">
      <c r="F336" s="205"/>
    </row>
    <row r="337" spans="6:6" x14ac:dyDescent="0.3">
      <c r="F337" s="205"/>
    </row>
    <row r="338" spans="6:6" x14ac:dyDescent="0.3">
      <c r="F338" s="205"/>
    </row>
    <row r="339" spans="6:6" x14ac:dyDescent="0.3">
      <c r="F339" s="205"/>
    </row>
    <row r="340" spans="6:6" x14ac:dyDescent="0.3">
      <c r="F340" s="205"/>
    </row>
    <row r="341" spans="6:6" x14ac:dyDescent="0.3">
      <c r="F341" s="205"/>
    </row>
    <row r="342" spans="6:6" x14ac:dyDescent="0.3">
      <c r="F342" s="205"/>
    </row>
    <row r="343" spans="6:6" x14ac:dyDescent="0.3">
      <c r="F343" s="205"/>
    </row>
    <row r="344" spans="6:6" x14ac:dyDescent="0.3">
      <c r="F344" s="205"/>
    </row>
    <row r="345" spans="6:6" x14ac:dyDescent="0.3">
      <c r="F345" s="205"/>
    </row>
    <row r="346" spans="6:6" x14ac:dyDescent="0.3">
      <c r="F346" s="205"/>
    </row>
    <row r="347" spans="6:6" x14ac:dyDescent="0.3">
      <c r="F347" s="205"/>
    </row>
    <row r="348" spans="6:6" x14ac:dyDescent="0.3">
      <c r="F348" s="205"/>
    </row>
    <row r="349" spans="6:6" x14ac:dyDescent="0.3">
      <c r="F349" s="205"/>
    </row>
    <row r="350" spans="6:6" x14ac:dyDescent="0.3">
      <c r="F350" s="205"/>
    </row>
    <row r="351" spans="6:6" x14ac:dyDescent="0.3">
      <c r="F351" s="205"/>
    </row>
    <row r="352" spans="6:6" x14ac:dyDescent="0.3">
      <c r="F352" s="205"/>
    </row>
    <row r="353" spans="6:6" x14ac:dyDescent="0.3">
      <c r="F353" s="205"/>
    </row>
    <row r="354" spans="6:6" x14ac:dyDescent="0.3">
      <c r="F354" s="205"/>
    </row>
    <row r="355" spans="6:6" x14ac:dyDescent="0.3">
      <c r="F355" s="205"/>
    </row>
    <row r="356" spans="6:6" x14ac:dyDescent="0.3">
      <c r="F356" s="205"/>
    </row>
    <row r="357" spans="6:6" x14ac:dyDescent="0.3">
      <c r="F357" s="205"/>
    </row>
    <row r="358" spans="6:6" x14ac:dyDescent="0.3">
      <c r="F358" s="205"/>
    </row>
    <row r="359" spans="6:6" x14ac:dyDescent="0.3">
      <c r="F359" s="205"/>
    </row>
    <row r="360" spans="6:6" x14ac:dyDescent="0.3">
      <c r="F360" s="205"/>
    </row>
    <row r="361" spans="6:6" x14ac:dyDescent="0.3">
      <c r="F361" s="205"/>
    </row>
    <row r="362" spans="6:6" x14ac:dyDescent="0.3">
      <c r="F362" s="205"/>
    </row>
    <row r="363" spans="6:6" x14ac:dyDescent="0.3">
      <c r="F363" s="205"/>
    </row>
    <row r="364" spans="6:6" x14ac:dyDescent="0.3">
      <c r="F364" s="205"/>
    </row>
    <row r="365" spans="6:6" x14ac:dyDescent="0.3">
      <c r="F365" s="205"/>
    </row>
    <row r="366" spans="6:6" x14ac:dyDescent="0.3">
      <c r="F366" s="205"/>
    </row>
    <row r="367" spans="6:6" x14ac:dyDescent="0.3">
      <c r="F367" s="205"/>
    </row>
    <row r="368" spans="6:6" x14ac:dyDescent="0.3">
      <c r="F368" s="205"/>
    </row>
    <row r="369" spans="6:6" x14ac:dyDescent="0.3">
      <c r="F369" s="205"/>
    </row>
    <row r="370" spans="6:6" x14ac:dyDescent="0.3">
      <c r="F370" s="205"/>
    </row>
    <row r="371" spans="6:6" x14ac:dyDescent="0.3">
      <c r="F371" s="205"/>
    </row>
    <row r="372" spans="6:6" x14ac:dyDescent="0.3">
      <c r="F372" s="205"/>
    </row>
    <row r="373" spans="6:6" x14ac:dyDescent="0.3">
      <c r="F373" s="205"/>
    </row>
    <row r="374" spans="6:6" x14ac:dyDescent="0.3">
      <c r="F374" s="205"/>
    </row>
    <row r="375" spans="6:6" x14ac:dyDescent="0.3">
      <c r="F375" s="205"/>
    </row>
    <row r="376" spans="6:6" x14ac:dyDescent="0.3">
      <c r="F376" s="205"/>
    </row>
    <row r="377" spans="6:6" x14ac:dyDescent="0.3">
      <c r="F377" s="205"/>
    </row>
    <row r="378" spans="6:6" x14ac:dyDescent="0.3">
      <c r="F378" s="205"/>
    </row>
    <row r="379" spans="6:6" x14ac:dyDescent="0.3">
      <c r="F379" s="205"/>
    </row>
    <row r="380" spans="6:6" x14ac:dyDescent="0.3">
      <c r="F380" s="205"/>
    </row>
    <row r="381" spans="6:6" x14ac:dyDescent="0.3">
      <c r="F381" s="205"/>
    </row>
    <row r="382" spans="6:6" x14ac:dyDescent="0.3">
      <c r="F382" s="205"/>
    </row>
    <row r="383" spans="6:6" x14ac:dyDescent="0.3">
      <c r="F383" s="205"/>
    </row>
    <row r="384" spans="6:6" x14ac:dyDescent="0.3">
      <c r="F384" s="205"/>
    </row>
    <row r="385" spans="6:6" x14ac:dyDescent="0.3">
      <c r="F385" s="205"/>
    </row>
    <row r="386" spans="6:6" x14ac:dyDescent="0.3">
      <c r="F386" s="205"/>
    </row>
    <row r="387" spans="6:6" x14ac:dyDescent="0.3">
      <c r="F387" s="205"/>
    </row>
    <row r="388" spans="6:6" x14ac:dyDescent="0.3">
      <c r="F388" s="205"/>
    </row>
    <row r="389" spans="6:6" x14ac:dyDescent="0.3">
      <c r="F389" s="205"/>
    </row>
    <row r="390" spans="6:6" x14ac:dyDescent="0.3">
      <c r="F390" s="205"/>
    </row>
    <row r="391" spans="6:6" x14ac:dyDescent="0.3">
      <c r="F391" s="205"/>
    </row>
    <row r="392" spans="6:6" x14ac:dyDescent="0.3">
      <c r="F392" s="205"/>
    </row>
    <row r="393" spans="6:6" x14ac:dyDescent="0.3">
      <c r="F393" s="205"/>
    </row>
    <row r="394" spans="6:6" x14ac:dyDescent="0.3">
      <c r="F394" s="205"/>
    </row>
    <row r="395" spans="6:6" x14ac:dyDescent="0.3">
      <c r="F395" s="205"/>
    </row>
    <row r="396" spans="6:6" x14ac:dyDescent="0.3">
      <c r="F396" s="205"/>
    </row>
    <row r="397" spans="6:6" x14ac:dyDescent="0.3">
      <c r="F397" s="205"/>
    </row>
    <row r="398" spans="6:6" x14ac:dyDescent="0.3">
      <c r="F398" s="205"/>
    </row>
    <row r="399" spans="6:6" x14ac:dyDescent="0.3">
      <c r="F399" s="205"/>
    </row>
    <row r="400" spans="6:6" x14ac:dyDescent="0.3">
      <c r="F400" s="205"/>
    </row>
    <row r="401" spans="6:6" x14ac:dyDescent="0.3">
      <c r="F401" s="205"/>
    </row>
    <row r="402" spans="6:6" x14ac:dyDescent="0.3">
      <c r="F402" s="205"/>
    </row>
    <row r="403" spans="6:6" x14ac:dyDescent="0.3">
      <c r="F403" s="205"/>
    </row>
    <row r="404" spans="6:6" x14ac:dyDescent="0.3">
      <c r="F404" s="205"/>
    </row>
    <row r="405" spans="6:6" x14ac:dyDescent="0.3">
      <c r="F405" s="205"/>
    </row>
    <row r="406" spans="6:6" x14ac:dyDescent="0.3">
      <c r="F406" s="205"/>
    </row>
    <row r="407" spans="6:6" x14ac:dyDescent="0.3">
      <c r="F407" s="205"/>
    </row>
    <row r="408" spans="6:6" x14ac:dyDescent="0.3">
      <c r="F408" s="205"/>
    </row>
    <row r="409" spans="6:6" x14ac:dyDescent="0.3">
      <c r="F409" s="205"/>
    </row>
    <row r="410" spans="6:6" x14ac:dyDescent="0.3">
      <c r="F410" s="205"/>
    </row>
    <row r="411" spans="6:6" x14ac:dyDescent="0.3">
      <c r="F411" s="205"/>
    </row>
    <row r="412" spans="6:6" x14ac:dyDescent="0.3">
      <c r="F412" s="205"/>
    </row>
    <row r="413" spans="6:6" x14ac:dyDescent="0.3">
      <c r="F413" s="205"/>
    </row>
    <row r="414" spans="6:6" x14ac:dyDescent="0.3">
      <c r="F414" s="205"/>
    </row>
    <row r="415" spans="6:6" x14ac:dyDescent="0.3">
      <c r="F415" s="205"/>
    </row>
    <row r="416" spans="6:6" x14ac:dyDescent="0.3">
      <c r="F416" s="205"/>
    </row>
    <row r="417" spans="6:6" x14ac:dyDescent="0.3">
      <c r="F417" s="205"/>
    </row>
    <row r="418" spans="6:6" x14ac:dyDescent="0.3">
      <c r="F418" s="205"/>
    </row>
    <row r="419" spans="6:6" x14ac:dyDescent="0.3">
      <c r="F419" s="205"/>
    </row>
    <row r="420" spans="6:6" x14ac:dyDescent="0.3">
      <c r="F420" s="205"/>
    </row>
    <row r="421" spans="6:6" x14ac:dyDescent="0.3">
      <c r="F421" s="205"/>
    </row>
    <row r="422" spans="6:6" x14ac:dyDescent="0.3">
      <c r="F422" s="205"/>
    </row>
    <row r="423" spans="6:6" x14ac:dyDescent="0.3">
      <c r="F423" s="205"/>
    </row>
    <row r="424" spans="6:6" x14ac:dyDescent="0.3">
      <c r="F424" s="205"/>
    </row>
    <row r="425" spans="6:6" x14ac:dyDescent="0.3">
      <c r="F425" s="205"/>
    </row>
    <row r="426" spans="6:6" x14ac:dyDescent="0.3">
      <c r="F426" s="205"/>
    </row>
    <row r="427" spans="6:6" x14ac:dyDescent="0.3">
      <c r="F427" s="205"/>
    </row>
    <row r="428" spans="6:6" x14ac:dyDescent="0.3">
      <c r="F428" s="205"/>
    </row>
    <row r="429" spans="6:6" x14ac:dyDescent="0.3">
      <c r="F429" s="205"/>
    </row>
    <row r="430" spans="6:6" x14ac:dyDescent="0.3">
      <c r="F430" s="205"/>
    </row>
    <row r="431" spans="6:6" x14ac:dyDescent="0.3">
      <c r="F431" s="205"/>
    </row>
    <row r="432" spans="6:6" x14ac:dyDescent="0.3">
      <c r="F432" s="205"/>
    </row>
    <row r="433" spans="6:6" x14ac:dyDescent="0.3">
      <c r="F433" s="205"/>
    </row>
    <row r="434" spans="6:6" x14ac:dyDescent="0.3">
      <c r="F434" s="205"/>
    </row>
    <row r="435" spans="6:6" x14ac:dyDescent="0.3">
      <c r="F435" s="205"/>
    </row>
    <row r="436" spans="6:6" x14ac:dyDescent="0.3">
      <c r="F436" s="205"/>
    </row>
    <row r="437" spans="6:6" x14ac:dyDescent="0.3">
      <c r="F437" s="205"/>
    </row>
    <row r="438" spans="6:6" x14ac:dyDescent="0.3">
      <c r="F438" s="205"/>
    </row>
    <row r="439" spans="6:6" x14ac:dyDescent="0.3">
      <c r="F439" s="205"/>
    </row>
    <row r="440" spans="6:6" x14ac:dyDescent="0.3">
      <c r="F440" s="205"/>
    </row>
    <row r="441" spans="6:6" x14ac:dyDescent="0.3">
      <c r="F441" s="205"/>
    </row>
    <row r="442" spans="6:6" x14ac:dyDescent="0.3">
      <c r="F442" s="205"/>
    </row>
    <row r="443" spans="6:6" x14ac:dyDescent="0.3">
      <c r="F443" s="205"/>
    </row>
    <row r="444" spans="6:6" x14ac:dyDescent="0.3">
      <c r="F444" s="205"/>
    </row>
    <row r="445" spans="6:6" x14ac:dyDescent="0.3">
      <c r="F445" s="205"/>
    </row>
    <row r="446" spans="6:6" x14ac:dyDescent="0.3">
      <c r="F446" s="205"/>
    </row>
    <row r="447" spans="6:6" x14ac:dyDescent="0.3">
      <c r="F447" s="205"/>
    </row>
    <row r="448" spans="6:6" x14ac:dyDescent="0.3">
      <c r="F448" s="205"/>
    </row>
    <row r="449" spans="6:6" x14ac:dyDescent="0.3">
      <c r="F449" s="205"/>
    </row>
    <row r="450" spans="6:6" x14ac:dyDescent="0.3">
      <c r="F450" s="205"/>
    </row>
    <row r="451" spans="6:6" x14ac:dyDescent="0.3">
      <c r="F451" s="205"/>
    </row>
    <row r="452" spans="6:6" x14ac:dyDescent="0.3">
      <c r="F452" s="205"/>
    </row>
    <row r="453" spans="6:6" x14ac:dyDescent="0.3">
      <c r="F453" s="205"/>
    </row>
    <row r="454" spans="6:6" x14ac:dyDescent="0.3">
      <c r="F454" s="205"/>
    </row>
    <row r="455" spans="6:6" x14ac:dyDescent="0.3">
      <c r="F455" s="205"/>
    </row>
    <row r="456" spans="6:6" x14ac:dyDescent="0.3">
      <c r="F456" s="205"/>
    </row>
    <row r="457" spans="6:6" x14ac:dyDescent="0.3">
      <c r="F457" s="205"/>
    </row>
    <row r="458" spans="6:6" x14ac:dyDescent="0.3">
      <c r="F458" s="205"/>
    </row>
    <row r="459" spans="6:6" x14ac:dyDescent="0.3">
      <c r="F459" s="205"/>
    </row>
    <row r="460" spans="6:6" x14ac:dyDescent="0.3">
      <c r="F460" s="205"/>
    </row>
    <row r="461" spans="6:6" x14ac:dyDescent="0.3">
      <c r="F461" s="205"/>
    </row>
    <row r="462" spans="6:6" x14ac:dyDescent="0.3">
      <c r="F462" s="205"/>
    </row>
    <row r="463" spans="6:6" x14ac:dyDescent="0.3">
      <c r="F463" s="205"/>
    </row>
    <row r="464" spans="6:6" x14ac:dyDescent="0.3">
      <c r="F464" s="205"/>
    </row>
    <row r="465" spans="6:6" x14ac:dyDescent="0.3">
      <c r="F465" s="205"/>
    </row>
    <row r="466" spans="6:6" x14ac:dyDescent="0.3">
      <c r="F466" s="205"/>
    </row>
    <row r="467" spans="6:6" x14ac:dyDescent="0.3">
      <c r="F467" s="205"/>
    </row>
    <row r="468" spans="6:6" x14ac:dyDescent="0.3">
      <c r="F468" s="205"/>
    </row>
    <row r="469" spans="6:6" x14ac:dyDescent="0.3">
      <c r="F469" s="205"/>
    </row>
    <row r="470" spans="6:6" x14ac:dyDescent="0.3">
      <c r="F470" s="205"/>
    </row>
    <row r="471" spans="6:6" x14ac:dyDescent="0.3">
      <c r="F471" s="205"/>
    </row>
    <row r="472" spans="6:6" x14ac:dyDescent="0.3">
      <c r="F472" s="205"/>
    </row>
    <row r="473" spans="6:6" x14ac:dyDescent="0.3">
      <c r="F473" s="205"/>
    </row>
    <row r="474" spans="6:6" x14ac:dyDescent="0.3">
      <c r="F474" s="205"/>
    </row>
    <row r="475" spans="6:6" x14ac:dyDescent="0.3">
      <c r="F475" s="205"/>
    </row>
    <row r="476" spans="6:6" x14ac:dyDescent="0.3">
      <c r="F476" s="205"/>
    </row>
    <row r="477" spans="6:6" x14ac:dyDescent="0.3">
      <c r="F477" s="205"/>
    </row>
    <row r="478" spans="6:6" x14ac:dyDescent="0.3">
      <c r="F478" s="205"/>
    </row>
    <row r="479" spans="6:6" x14ac:dyDescent="0.3">
      <c r="F479" s="205"/>
    </row>
    <row r="480" spans="6:6" x14ac:dyDescent="0.3">
      <c r="F480" s="205"/>
    </row>
    <row r="481" spans="6:6" x14ac:dyDescent="0.3">
      <c r="F481" s="205"/>
    </row>
    <row r="482" spans="6:6" x14ac:dyDescent="0.3">
      <c r="F482" s="205"/>
    </row>
    <row r="483" spans="6:6" x14ac:dyDescent="0.3">
      <c r="F483" s="205"/>
    </row>
    <row r="484" spans="6:6" x14ac:dyDescent="0.3">
      <c r="F484" s="205"/>
    </row>
    <row r="485" spans="6:6" x14ac:dyDescent="0.3">
      <c r="F485" s="205"/>
    </row>
    <row r="486" spans="6:6" x14ac:dyDescent="0.3">
      <c r="F486" s="205"/>
    </row>
    <row r="487" spans="6:6" x14ac:dyDescent="0.3">
      <c r="F487" s="205"/>
    </row>
    <row r="488" spans="6:6" x14ac:dyDescent="0.3">
      <c r="F488" s="205"/>
    </row>
    <row r="489" spans="6:6" x14ac:dyDescent="0.3">
      <c r="F489" s="205"/>
    </row>
    <row r="490" spans="6:6" x14ac:dyDescent="0.3">
      <c r="F490" s="205"/>
    </row>
    <row r="491" spans="6:6" x14ac:dyDescent="0.3">
      <c r="F491" s="205"/>
    </row>
    <row r="492" spans="6:6" x14ac:dyDescent="0.3">
      <c r="F492" s="205"/>
    </row>
    <row r="493" spans="6:6" x14ac:dyDescent="0.3">
      <c r="F493" s="205"/>
    </row>
    <row r="494" spans="6:6" x14ac:dyDescent="0.3">
      <c r="F494" s="205"/>
    </row>
    <row r="495" spans="6:6" x14ac:dyDescent="0.3">
      <c r="F495" s="205"/>
    </row>
    <row r="496" spans="6:6" x14ac:dyDescent="0.3">
      <c r="F496" s="205"/>
    </row>
    <row r="497" spans="6:6" x14ac:dyDescent="0.3">
      <c r="F497" s="205"/>
    </row>
    <row r="498" spans="6:6" x14ac:dyDescent="0.3">
      <c r="F498" s="205"/>
    </row>
    <row r="499" spans="6:6" x14ac:dyDescent="0.3">
      <c r="F499" s="205"/>
    </row>
    <row r="500" spans="6:6" x14ac:dyDescent="0.3">
      <c r="F500" s="205"/>
    </row>
    <row r="501" spans="6:6" x14ac:dyDescent="0.3">
      <c r="F501" s="205"/>
    </row>
    <row r="502" spans="6:6" x14ac:dyDescent="0.3">
      <c r="F502" s="205"/>
    </row>
    <row r="503" spans="6:6" x14ac:dyDescent="0.3">
      <c r="F503" s="205"/>
    </row>
    <row r="504" spans="6:6" x14ac:dyDescent="0.3">
      <c r="F504" s="205"/>
    </row>
    <row r="505" spans="6:6" x14ac:dyDescent="0.3">
      <c r="F505" s="205"/>
    </row>
    <row r="506" spans="6:6" x14ac:dyDescent="0.3">
      <c r="F506" s="205"/>
    </row>
    <row r="507" spans="6:6" x14ac:dyDescent="0.3">
      <c r="F507" s="205"/>
    </row>
    <row r="508" spans="6:6" x14ac:dyDescent="0.3">
      <c r="F508" s="205"/>
    </row>
    <row r="509" spans="6:6" x14ac:dyDescent="0.3">
      <c r="F509" s="205"/>
    </row>
    <row r="510" spans="6:6" x14ac:dyDescent="0.3">
      <c r="F510" s="205"/>
    </row>
    <row r="511" spans="6:6" x14ac:dyDescent="0.3">
      <c r="F511" s="205"/>
    </row>
    <row r="512" spans="6:6" x14ac:dyDescent="0.3">
      <c r="F512" s="205"/>
    </row>
    <row r="513" spans="6:6" x14ac:dyDescent="0.3">
      <c r="F513" s="205"/>
    </row>
    <row r="514" spans="6:6" x14ac:dyDescent="0.3">
      <c r="F514" s="205"/>
    </row>
    <row r="515" spans="6:6" x14ac:dyDescent="0.3">
      <c r="F515" s="205"/>
    </row>
    <row r="516" spans="6:6" x14ac:dyDescent="0.3">
      <c r="F516" s="205"/>
    </row>
    <row r="517" spans="6:6" x14ac:dyDescent="0.3">
      <c r="F517" s="205"/>
    </row>
    <row r="518" spans="6:6" x14ac:dyDescent="0.3">
      <c r="F518" s="205"/>
    </row>
    <row r="519" spans="6:6" x14ac:dyDescent="0.3">
      <c r="F519" s="205"/>
    </row>
    <row r="520" spans="6:6" x14ac:dyDescent="0.3">
      <c r="F520" s="205"/>
    </row>
    <row r="521" spans="6:6" x14ac:dyDescent="0.3">
      <c r="F521" s="205"/>
    </row>
    <row r="522" spans="6:6" x14ac:dyDescent="0.3">
      <c r="F522" s="205"/>
    </row>
    <row r="523" spans="6:6" x14ac:dyDescent="0.3">
      <c r="F523" s="205"/>
    </row>
    <row r="524" spans="6:6" x14ac:dyDescent="0.3">
      <c r="F524" s="205"/>
    </row>
    <row r="525" spans="6:6" x14ac:dyDescent="0.3">
      <c r="F525" s="205"/>
    </row>
    <row r="526" spans="6:6" x14ac:dyDescent="0.3">
      <c r="F526" s="205"/>
    </row>
    <row r="527" spans="6:6" x14ac:dyDescent="0.3">
      <c r="F527" s="205"/>
    </row>
    <row r="528" spans="6:6" x14ac:dyDescent="0.3">
      <c r="F528" s="205"/>
    </row>
    <row r="529" spans="6:6" x14ac:dyDescent="0.3">
      <c r="F529" s="205"/>
    </row>
    <row r="530" spans="6:6" x14ac:dyDescent="0.3">
      <c r="F530" s="205"/>
    </row>
    <row r="531" spans="6:6" x14ac:dyDescent="0.3">
      <c r="F531" s="205"/>
    </row>
    <row r="532" spans="6:6" x14ac:dyDescent="0.3">
      <c r="F532" s="205"/>
    </row>
    <row r="533" spans="6:6" x14ac:dyDescent="0.3">
      <c r="F533" s="205"/>
    </row>
    <row r="534" spans="6:6" x14ac:dyDescent="0.3">
      <c r="F534" s="205"/>
    </row>
    <row r="535" spans="6:6" x14ac:dyDescent="0.3">
      <c r="F535" s="205"/>
    </row>
    <row r="536" spans="6:6" x14ac:dyDescent="0.3">
      <c r="F536" s="205"/>
    </row>
    <row r="537" spans="6:6" x14ac:dyDescent="0.3">
      <c r="F537" s="205"/>
    </row>
    <row r="538" spans="6:6" x14ac:dyDescent="0.3">
      <c r="F538" s="205"/>
    </row>
    <row r="539" spans="6:6" x14ac:dyDescent="0.3">
      <c r="F539" s="205"/>
    </row>
    <row r="540" spans="6:6" x14ac:dyDescent="0.3">
      <c r="F540" s="205"/>
    </row>
    <row r="541" spans="6:6" x14ac:dyDescent="0.3">
      <c r="F541" s="205"/>
    </row>
    <row r="542" spans="6:6" x14ac:dyDescent="0.3">
      <c r="F542" s="205"/>
    </row>
    <row r="543" spans="6:6" x14ac:dyDescent="0.3">
      <c r="F543" s="205"/>
    </row>
    <row r="544" spans="6:6" x14ac:dyDescent="0.3">
      <c r="F544" s="205"/>
    </row>
    <row r="545" spans="6:6" x14ac:dyDescent="0.3">
      <c r="F545" s="205"/>
    </row>
    <row r="546" spans="6:6" x14ac:dyDescent="0.3">
      <c r="F546" s="205"/>
    </row>
    <row r="547" spans="6:6" x14ac:dyDescent="0.3">
      <c r="F547" s="205"/>
    </row>
    <row r="548" spans="6:6" x14ac:dyDescent="0.3">
      <c r="F548" s="205"/>
    </row>
    <row r="549" spans="6:6" x14ac:dyDescent="0.3">
      <c r="F549" s="205"/>
    </row>
    <row r="550" spans="6:6" x14ac:dyDescent="0.3">
      <c r="F550" s="205"/>
    </row>
    <row r="551" spans="6:6" x14ac:dyDescent="0.3">
      <c r="F551" s="205"/>
    </row>
    <row r="552" spans="6:6" x14ac:dyDescent="0.3">
      <c r="F552" s="205"/>
    </row>
    <row r="553" spans="6:6" x14ac:dyDescent="0.3">
      <c r="F553" s="205"/>
    </row>
    <row r="554" spans="6:6" x14ac:dyDescent="0.3">
      <c r="F554" s="205"/>
    </row>
    <row r="555" spans="6:6" x14ac:dyDescent="0.3">
      <c r="F555" s="205"/>
    </row>
    <row r="556" spans="6:6" x14ac:dyDescent="0.3">
      <c r="F556" s="205"/>
    </row>
    <row r="557" spans="6:6" x14ac:dyDescent="0.3">
      <c r="F557" s="205"/>
    </row>
    <row r="558" spans="6:6" x14ac:dyDescent="0.3">
      <c r="F558" s="205"/>
    </row>
    <row r="559" spans="6:6" x14ac:dyDescent="0.3">
      <c r="F559" s="205"/>
    </row>
    <row r="560" spans="6:6" x14ac:dyDescent="0.3">
      <c r="F560" s="205"/>
    </row>
    <row r="561" spans="6:6" x14ac:dyDescent="0.3">
      <c r="F561" s="205"/>
    </row>
    <row r="562" spans="6:6" x14ac:dyDescent="0.3">
      <c r="F562" s="205"/>
    </row>
    <row r="563" spans="6:6" x14ac:dyDescent="0.3">
      <c r="F563" s="205"/>
    </row>
    <row r="564" spans="6:6" x14ac:dyDescent="0.3">
      <c r="F564" s="205"/>
    </row>
    <row r="565" spans="6:6" x14ac:dyDescent="0.3">
      <c r="F565" s="205"/>
    </row>
    <row r="566" spans="6:6" x14ac:dyDescent="0.3">
      <c r="F566" s="205"/>
    </row>
    <row r="567" spans="6:6" x14ac:dyDescent="0.3">
      <c r="F567" s="205"/>
    </row>
    <row r="568" spans="6:6" x14ac:dyDescent="0.3">
      <c r="F568" s="205"/>
    </row>
    <row r="569" spans="6:6" x14ac:dyDescent="0.3">
      <c r="F569" s="205"/>
    </row>
    <row r="570" spans="6:6" x14ac:dyDescent="0.3">
      <c r="F570" s="205"/>
    </row>
    <row r="571" spans="6:6" x14ac:dyDescent="0.3">
      <c r="F571" s="205"/>
    </row>
    <row r="572" spans="6:6" x14ac:dyDescent="0.3">
      <c r="F572" s="205"/>
    </row>
    <row r="573" spans="6:6" x14ac:dyDescent="0.3">
      <c r="F573" s="205"/>
    </row>
    <row r="574" spans="6:6" x14ac:dyDescent="0.3">
      <c r="F574" s="205"/>
    </row>
    <row r="575" spans="6:6" x14ac:dyDescent="0.3">
      <c r="F575" s="205"/>
    </row>
    <row r="576" spans="6:6" x14ac:dyDescent="0.3">
      <c r="F576" s="205"/>
    </row>
    <row r="577" spans="6:6" x14ac:dyDescent="0.3">
      <c r="F577" s="205"/>
    </row>
    <row r="578" spans="6:6" x14ac:dyDescent="0.3">
      <c r="F578" s="205"/>
    </row>
    <row r="579" spans="6:6" x14ac:dyDescent="0.3">
      <c r="F579" s="205"/>
    </row>
    <row r="580" spans="6:6" x14ac:dyDescent="0.3">
      <c r="F580" s="205"/>
    </row>
    <row r="581" spans="6:6" x14ac:dyDescent="0.3">
      <c r="F581" s="205"/>
    </row>
    <row r="582" spans="6:6" x14ac:dyDescent="0.3">
      <c r="F582" s="205"/>
    </row>
    <row r="583" spans="6:6" x14ac:dyDescent="0.3">
      <c r="F583" s="205"/>
    </row>
    <row r="584" spans="6:6" x14ac:dyDescent="0.3">
      <c r="F584" s="205"/>
    </row>
    <row r="585" spans="6:6" x14ac:dyDescent="0.3">
      <c r="F585" s="205"/>
    </row>
    <row r="586" spans="6:6" x14ac:dyDescent="0.3">
      <c r="F586" s="205"/>
    </row>
    <row r="587" spans="6:6" x14ac:dyDescent="0.3">
      <c r="F587" s="205"/>
    </row>
    <row r="588" spans="6:6" x14ac:dyDescent="0.3">
      <c r="F588" s="205"/>
    </row>
    <row r="589" spans="6:6" x14ac:dyDescent="0.3">
      <c r="F589" s="205"/>
    </row>
    <row r="590" spans="6:6" x14ac:dyDescent="0.3">
      <c r="F590" s="205"/>
    </row>
    <row r="591" spans="6:6" x14ac:dyDescent="0.3">
      <c r="F591" s="205"/>
    </row>
    <row r="592" spans="6:6" x14ac:dyDescent="0.3">
      <c r="F592" s="205"/>
    </row>
    <row r="593" spans="6:6" x14ac:dyDescent="0.3">
      <c r="F593" s="205"/>
    </row>
    <row r="594" spans="6:6" x14ac:dyDescent="0.3">
      <c r="F594" s="205"/>
    </row>
    <row r="595" spans="6:6" x14ac:dyDescent="0.3">
      <c r="F595" s="205"/>
    </row>
    <row r="596" spans="6:6" x14ac:dyDescent="0.3">
      <c r="F596" s="205"/>
    </row>
    <row r="597" spans="6:6" x14ac:dyDescent="0.3">
      <c r="F597" s="205"/>
    </row>
    <row r="598" spans="6:6" x14ac:dyDescent="0.3">
      <c r="F598" s="205"/>
    </row>
    <row r="599" spans="6:6" x14ac:dyDescent="0.3">
      <c r="F599" s="205"/>
    </row>
    <row r="600" spans="6:6" x14ac:dyDescent="0.3">
      <c r="F600" s="205"/>
    </row>
    <row r="601" spans="6:6" x14ac:dyDescent="0.3">
      <c r="F601" s="205"/>
    </row>
    <row r="602" spans="6:6" x14ac:dyDescent="0.3">
      <c r="F602" s="205"/>
    </row>
    <row r="603" spans="6:6" x14ac:dyDescent="0.3">
      <c r="F603" s="205"/>
    </row>
    <row r="604" spans="6:6" x14ac:dyDescent="0.3">
      <c r="F604" s="205"/>
    </row>
    <row r="605" spans="6:6" x14ac:dyDescent="0.3">
      <c r="F605" s="205"/>
    </row>
    <row r="606" spans="6:6" x14ac:dyDescent="0.3">
      <c r="F606" s="205"/>
    </row>
    <row r="607" spans="6:6" x14ac:dyDescent="0.3">
      <c r="F607" s="205"/>
    </row>
    <row r="608" spans="6:6" x14ac:dyDescent="0.3">
      <c r="F608" s="205"/>
    </row>
    <row r="609" spans="6:6" x14ac:dyDescent="0.3">
      <c r="F609" s="205"/>
    </row>
    <row r="610" spans="6:6" x14ac:dyDescent="0.3">
      <c r="F610" s="205"/>
    </row>
    <row r="611" spans="6:6" x14ac:dyDescent="0.3">
      <c r="F611" s="205"/>
    </row>
    <row r="612" spans="6:6" x14ac:dyDescent="0.3">
      <c r="F612" s="205"/>
    </row>
    <row r="613" spans="6:6" x14ac:dyDescent="0.3">
      <c r="F613" s="205"/>
    </row>
    <row r="614" spans="6:6" x14ac:dyDescent="0.3">
      <c r="F614" s="205"/>
    </row>
    <row r="615" spans="6:6" x14ac:dyDescent="0.3">
      <c r="F615" s="205"/>
    </row>
    <row r="616" spans="6:6" x14ac:dyDescent="0.3">
      <c r="F616" s="205"/>
    </row>
    <row r="617" spans="6:6" x14ac:dyDescent="0.3">
      <c r="F617" s="205"/>
    </row>
    <row r="618" spans="6:6" x14ac:dyDescent="0.3">
      <c r="F618" s="205"/>
    </row>
    <row r="619" spans="6:6" x14ac:dyDescent="0.3">
      <c r="F619" s="205"/>
    </row>
    <row r="620" spans="6:6" x14ac:dyDescent="0.3">
      <c r="F620" s="205"/>
    </row>
    <row r="621" spans="6:6" x14ac:dyDescent="0.3">
      <c r="F621" s="205"/>
    </row>
    <row r="622" spans="6:6" x14ac:dyDescent="0.3">
      <c r="F622" s="205"/>
    </row>
    <row r="623" spans="6:6" x14ac:dyDescent="0.3">
      <c r="F623" s="205"/>
    </row>
    <row r="624" spans="6:6" x14ac:dyDescent="0.3">
      <c r="F624" s="205"/>
    </row>
    <row r="625" spans="6:6" x14ac:dyDescent="0.3">
      <c r="F625" s="205"/>
    </row>
    <row r="626" spans="6:6" x14ac:dyDescent="0.3">
      <c r="F626" s="205"/>
    </row>
    <row r="627" spans="6:6" x14ac:dyDescent="0.3">
      <c r="F627" s="205"/>
    </row>
    <row r="628" spans="6:6" x14ac:dyDescent="0.3">
      <c r="F628" s="205"/>
    </row>
    <row r="629" spans="6:6" x14ac:dyDescent="0.3">
      <c r="F629" s="205"/>
    </row>
    <row r="630" spans="6:6" x14ac:dyDescent="0.3">
      <c r="F630" s="205"/>
    </row>
    <row r="631" spans="6:6" x14ac:dyDescent="0.3">
      <c r="F631" s="205"/>
    </row>
    <row r="632" spans="6:6" x14ac:dyDescent="0.3">
      <c r="F632" s="205"/>
    </row>
    <row r="633" spans="6:6" x14ac:dyDescent="0.3">
      <c r="F633" s="205"/>
    </row>
    <row r="634" spans="6:6" x14ac:dyDescent="0.3">
      <c r="F634" s="205"/>
    </row>
    <row r="635" spans="6:6" x14ac:dyDescent="0.3">
      <c r="F635" s="205"/>
    </row>
    <row r="636" spans="6:6" x14ac:dyDescent="0.3">
      <c r="F636" s="205"/>
    </row>
    <row r="637" spans="6:6" x14ac:dyDescent="0.3">
      <c r="F637" s="205"/>
    </row>
    <row r="638" spans="6:6" x14ac:dyDescent="0.3">
      <c r="F638" s="205"/>
    </row>
    <row r="639" spans="6:6" x14ac:dyDescent="0.3">
      <c r="F639" s="205"/>
    </row>
    <row r="640" spans="6:6" x14ac:dyDescent="0.3">
      <c r="F640" s="205"/>
    </row>
    <row r="641" spans="6:6" x14ac:dyDescent="0.3">
      <c r="F641" s="205"/>
    </row>
    <row r="642" spans="6:6" x14ac:dyDescent="0.3">
      <c r="F642" s="205"/>
    </row>
    <row r="643" spans="6:6" x14ac:dyDescent="0.3">
      <c r="F643" s="205"/>
    </row>
    <row r="644" spans="6:6" x14ac:dyDescent="0.3">
      <c r="F644" s="205"/>
    </row>
    <row r="645" spans="6:6" x14ac:dyDescent="0.3">
      <c r="F645" s="205"/>
    </row>
    <row r="646" spans="6:6" x14ac:dyDescent="0.3">
      <c r="F646" s="205"/>
    </row>
    <row r="647" spans="6:6" x14ac:dyDescent="0.3">
      <c r="F647" s="205"/>
    </row>
    <row r="648" spans="6:6" x14ac:dyDescent="0.3">
      <c r="F648" s="205"/>
    </row>
    <row r="649" spans="6:6" x14ac:dyDescent="0.3">
      <c r="F649" s="205"/>
    </row>
    <row r="650" spans="6:6" x14ac:dyDescent="0.3">
      <c r="F650" s="205"/>
    </row>
    <row r="651" spans="6:6" x14ac:dyDescent="0.3">
      <c r="F651" s="205"/>
    </row>
    <row r="652" spans="6:6" x14ac:dyDescent="0.3">
      <c r="F652" s="205"/>
    </row>
    <row r="653" spans="6:6" x14ac:dyDescent="0.3">
      <c r="F653" s="205"/>
    </row>
    <row r="654" spans="6:6" x14ac:dyDescent="0.3">
      <c r="F654" s="205"/>
    </row>
    <row r="655" spans="6:6" x14ac:dyDescent="0.3">
      <c r="F655" s="205"/>
    </row>
    <row r="656" spans="6:6" x14ac:dyDescent="0.3">
      <c r="F656" s="205"/>
    </row>
    <row r="657" spans="6:6" x14ac:dyDescent="0.3">
      <c r="F657" s="205"/>
    </row>
    <row r="658" spans="6:6" x14ac:dyDescent="0.3">
      <c r="F658" s="205"/>
    </row>
    <row r="659" spans="6:6" x14ac:dyDescent="0.3">
      <c r="F659" s="205"/>
    </row>
    <row r="660" spans="6:6" x14ac:dyDescent="0.3">
      <c r="F660" s="205"/>
    </row>
    <row r="661" spans="6:6" x14ac:dyDescent="0.3">
      <c r="F661" s="205"/>
    </row>
    <row r="662" spans="6:6" x14ac:dyDescent="0.3">
      <c r="F662" s="205"/>
    </row>
    <row r="663" spans="6:6" x14ac:dyDescent="0.3">
      <c r="F663" s="205"/>
    </row>
    <row r="664" spans="6:6" x14ac:dyDescent="0.3">
      <c r="F664" s="205"/>
    </row>
    <row r="665" spans="6:6" x14ac:dyDescent="0.3">
      <c r="F665" s="205"/>
    </row>
    <row r="666" spans="6:6" x14ac:dyDescent="0.3">
      <c r="F666" s="205"/>
    </row>
    <row r="667" spans="6:6" x14ac:dyDescent="0.3">
      <c r="F667" s="205"/>
    </row>
    <row r="668" spans="6:6" x14ac:dyDescent="0.3">
      <c r="F668" s="205"/>
    </row>
    <row r="669" spans="6:6" x14ac:dyDescent="0.3">
      <c r="F669" s="205"/>
    </row>
    <row r="670" spans="6:6" x14ac:dyDescent="0.3">
      <c r="F670" s="205"/>
    </row>
    <row r="671" spans="6:6" x14ac:dyDescent="0.3">
      <c r="F671" s="205"/>
    </row>
    <row r="672" spans="6:6" x14ac:dyDescent="0.3">
      <c r="F672" s="205"/>
    </row>
    <row r="673" spans="6:6" x14ac:dyDescent="0.3">
      <c r="F673" s="205"/>
    </row>
    <row r="674" spans="6:6" x14ac:dyDescent="0.3">
      <c r="F674" s="205"/>
    </row>
    <row r="675" spans="6:6" x14ac:dyDescent="0.3">
      <c r="F675" s="205"/>
    </row>
    <row r="676" spans="6:6" x14ac:dyDescent="0.3">
      <c r="F676" s="205"/>
    </row>
    <row r="677" spans="6:6" x14ac:dyDescent="0.3">
      <c r="F677" s="205"/>
    </row>
    <row r="678" spans="6:6" x14ac:dyDescent="0.3">
      <c r="F678" s="205"/>
    </row>
    <row r="679" spans="6:6" x14ac:dyDescent="0.3">
      <c r="F679" s="205"/>
    </row>
    <row r="680" spans="6:6" x14ac:dyDescent="0.3">
      <c r="F680" s="205"/>
    </row>
    <row r="681" spans="6:6" x14ac:dyDescent="0.3">
      <c r="F681" s="205"/>
    </row>
    <row r="682" spans="6:6" x14ac:dyDescent="0.3">
      <c r="F682" s="205"/>
    </row>
    <row r="683" spans="6:6" x14ac:dyDescent="0.3">
      <c r="F683" s="205"/>
    </row>
    <row r="684" spans="6:6" x14ac:dyDescent="0.3">
      <c r="F684" s="205"/>
    </row>
    <row r="685" spans="6:6" x14ac:dyDescent="0.3">
      <c r="F685" s="205"/>
    </row>
    <row r="686" spans="6:6" x14ac:dyDescent="0.3">
      <c r="F686" s="205"/>
    </row>
    <row r="687" spans="6:6" x14ac:dyDescent="0.3">
      <c r="F687" s="205"/>
    </row>
    <row r="688" spans="6:6" x14ac:dyDescent="0.3">
      <c r="F688" s="205"/>
    </row>
    <row r="689" spans="6:6" x14ac:dyDescent="0.3">
      <c r="F689" s="205"/>
    </row>
    <row r="690" spans="6:6" x14ac:dyDescent="0.3">
      <c r="F690" s="205"/>
    </row>
    <row r="691" spans="6:6" x14ac:dyDescent="0.3">
      <c r="F691" s="205"/>
    </row>
    <row r="692" spans="6:6" x14ac:dyDescent="0.3">
      <c r="F692" s="205"/>
    </row>
    <row r="693" spans="6:6" x14ac:dyDescent="0.3">
      <c r="F693" s="205"/>
    </row>
    <row r="694" spans="6:6" x14ac:dyDescent="0.3">
      <c r="F694" s="205"/>
    </row>
    <row r="695" spans="6:6" x14ac:dyDescent="0.3">
      <c r="F695" s="205"/>
    </row>
    <row r="696" spans="6:6" x14ac:dyDescent="0.3">
      <c r="F696" s="205"/>
    </row>
    <row r="697" spans="6:6" x14ac:dyDescent="0.3">
      <c r="F697" s="205"/>
    </row>
    <row r="698" spans="6:6" x14ac:dyDescent="0.3">
      <c r="F698" s="205"/>
    </row>
    <row r="699" spans="6:6" x14ac:dyDescent="0.3">
      <c r="F699" s="205"/>
    </row>
    <row r="700" spans="6:6" x14ac:dyDescent="0.3">
      <c r="F700" s="205"/>
    </row>
    <row r="701" spans="6:6" x14ac:dyDescent="0.3">
      <c r="F701" s="205"/>
    </row>
    <row r="702" spans="6:6" x14ac:dyDescent="0.3">
      <c r="F702" s="205"/>
    </row>
    <row r="703" spans="6:6" x14ac:dyDescent="0.3">
      <c r="F703" s="205"/>
    </row>
    <row r="704" spans="6:6" x14ac:dyDescent="0.3">
      <c r="F704" s="205"/>
    </row>
    <row r="705" spans="6:6" x14ac:dyDescent="0.3">
      <c r="F705" s="205"/>
    </row>
    <row r="706" spans="6:6" x14ac:dyDescent="0.3">
      <c r="F706" s="205"/>
    </row>
    <row r="707" spans="6:6" x14ac:dyDescent="0.3">
      <c r="F707" s="205"/>
    </row>
    <row r="708" spans="6:6" x14ac:dyDescent="0.3">
      <c r="F708" s="205"/>
    </row>
    <row r="709" spans="6:6" x14ac:dyDescent="0.3">
      <c r="F709" s="205"/>
    </row>
    <row r="710" spans="6:6" x14ac:dyDescent="0.3">
      <c r="F710" s="205"/>
    </row>
    <row r="711" spans="6:6" x14ac:dyDescent="0.3">
      <c r="F711" s="205"/>
    </row>
    <row r="712" spans="6:6" x14ac:dyDescent="0.3">
      <c r="F712" s="205"/>
    </row>
    <row r="713" spans="6:6" x14ac:dyDescent="0.3">
      <c r="F713" s="205"/>
    </row>
    <row r="714" spans="6:6" x14ac:dyDescent="0.3">
      <c r="F714" s="205"/>
    </row>
    <row r="715" spans="6:6" x14ac:dyDescent="0.3">
      <c r="F715" s="205"/>
    </row>
    <row r="716" spans="6:6" x14ac:dyDescent="0.3">
      <c r="F716" s="205"/>
    </row>
    <row r="717" spans="6:6" x14ac:dyDescent="0.3">
      <c r="F717" s="205"/>
    </row>
    <row r="718" spans="6:6" x14ac:dyDescent="0.3">
      <c r="F718" s="205"/>
    </row>
    <row r="719" spans="6:6" x14ac:dyDescent="0.3">
      <c r="F719" s="205"/>
    </row>
    <row r="720" spans="6:6" x14ac:dyDescent="0.3">
      <c r="F720" s="205"/>
    </row>
    <row r="721" spans="6:6" x14ac:dyDescent="0.3">
      <c r="F721" s="205"/>
    </row>
    <row r="722" spans="6:6" x14ac:dyDescent="0.3">
      <c r="F722" s="205"/>
    </row>
    <row r="723" spans="6:6" x14ac:dyDescent="0.3">
      <c r="F723" s="205"/>
    </row>
    <row r="724" spans="6:6" x14ac:dyDescent="0.3">
      <c r="F724" s="205"/>
    </row>
    <row r="725" spans="6:6" x14ac:dyDescent="0.3">
      <c r="F725" s="205"/>
    </row>
    <row r="726" spans="6:6" x14ac:dyDescent="0.3">
      <c r="F726" s="205"/>
    </row>
    <row r="727" spans="6:6" x14ac:dyDescent="0.3">
      <c r="F727" s="205"/>
    </row>
    <row r="728" spans="6:6" x14ac:dyDescent="0.3">
      <c r="F728" s="205"/>
    </row>
    <row r="729" spans="6:6" x14ac:dyDescent="0.3">
      <c r="F729" s="205"/>
    </row>
    <row r="730" spans="6:6" x14ac:dyDescent="0.3">
      <c r="F730" s="205"/>
    </row>
    <row r="731" spans="6:6" x14ac:dyDescent="0.3">
      <c r="F731" s="205"/>
    </row>
    <row r="732" spans="6:6" x14ac:dyDescent="0.3">
      <c r="F732" s="205"/>
    </row>
    <row r="733" spans="6:6" x14ac:dyDescent="0.3">
      <c r="F733" s="205"/>
    </row>
    <row r="734" spans="6:6" x14ac:dyDescent="0.3">
      <c r="F734" s="205"/>
    </row>
    <row r="735" spans="6:6" x14ac:dyDescent="0.3">
      <c r="F735" s="205"/>
    </row>
    <row r="736" spans="6:6" x14ac:dyDescent="0.3">
      <c r="F736" s="205"/>
    </row>
    <row r="737" spans="6:6" x14ac:dyDescent="0.3">
      <c r="F737" s="205"/>
    </row>
    <row r="738" spans="6:6" x14ac:dyDescent="0.3">
      <c r="F738" s="205"/>
    </row>
    <row r="739" spans="6:6" x14ac:dyDescent="0.3">
      <c r="F739" s="205"/>
    </row>
    <row r="740" spans="6:6" x14ac:dyDescent="0.3">
      <c r="F740" s="205"/>
    </row>
    <row r="741" spans="6:6" x14ac:dyDescent="0.3">
      <c r="F741" s="205"/>
    </row>
    <row r="742" spans="6:6" x14ac:dyDescent="0.3">
      <c r="F742" s="205"/>
    </row>
    <row r="743" spans="6:6" x14ac:dyDescent="0.3">
      <c r="F743" s="205"/>
    </row>
    <row r="744" spans="6:6" x14ac:dyDescent="0.3">
      <c r="F744" s="205"/>
    </row>
    <row r="745" spans="6:6" x14ac:dyDescent="0.3">
      <c r="F745" s="205"/>
    </row>
    <row r="746" spans="6:6" x14ac:dyDescent="0.3">
      <c r="F746" s="205"/>
    </row>
    <row r="747" spans="6:6" x14ac:dyDescent="0.3">
      <c r="F747" s="205"/>
    </row>
    <row r="748" spans="6:6" x14ac:dyDescent="0.3">
      <c r="F748" s="205"/>
    </row>
    <row r="749" spans="6:6" x14ac:dyDescent="0.3">
      <c r="F749" s="205"/>
    </row>
    <row r="750" spans="6:6" x14ac:dyDescent="0.3">
      <c r="F750" s="205"/>
    </row>
    <row r="751" spans="6:6" x14ac:dyDescent="0.3">
      <c r="F751" s="205"/>
    </row>
    <row r="752" spans="6:6" x14ac:dyDescent="0.3">
      <c r="F752" s="205"/>
    </row>
    <row r="753" spans="6:6" x14ac:dyDescent="0.3">
      <c r="F753" s="205"/>
    </row>
    <row r="754" spans="6:6" x14ac:dyDescent="0.3">
      <c r="F754" s="205"/>
    </row>
    <row r="755" spans="6:6" x14ac:dyDescent="0.3">
      <c r="F755" s="205"/>
    </row>
    <row r="756" spans="6:6" x14ac:dyDescent="0.3">
      <c r="F756" s="205"/>
    </row>
    <row r="757" spans="6:6" x14ac:dyDescent="0.3">
      <c r="F757" s="205"/>
    </row>
    <row r="758" spans="6:6" x14ac:dyDescent="0.3">
      <c r="F758" s="205"/>
    </row>
    <row r="759" spans="6:6" x14ac:dyDescent="0.3">
      <c r="F759" s="205"/>
    </row>
    <row r="760" spans="6:6" x14ac:dyDescent="0.3">
      <c r="F760" s="205"/>
    </row>
    <row r="761" spans="6:6" x14ac:dyDescent="0.3">
      <c r="F761" s="205"/>
    </row>
    <row r="762" spans="6:6" x14ac:dyDescent="0.3">
      <c r="F762" s="205"/>
    </row>
    <row r="763" spans="6:6" x14ac:dyDescent="0.3">
      <c r="F763" s="205"/>
    </row>
    <row r="764" spans="6:6" x14ac:dyDescent="0.3">
      <c r="F764" s="205"/>
    </row>
    <row r="765" spans="6:6" x14ac:dyDescent="0.3">
      <c r="F765" s="205"/>
    </row>
    <row r="766" spans="6:6" x14ac:dyDescent="0.3">
      <c r="F766" s="205"/>
    </row>
    <row r="767" spans="6:6" x14ac:dyDescent="0.3">
      <c r="F767" s="205"/>
    </row>
    <row r="768" spans="6:6" x14ac:dyDescent="0.3">
      <c r="F768" s="205"/>
    </row>
    <row r="769" spans="6:6" x14ac:dyDescent="0.3">
      <c r="F769" s="205"/>
    </row>
    <row r="770" spans="6:6" x14ac:dyDescent="0.3">
      <c r="F770" s="205"/>
    </row>
    <row r="771" spans="6:6" x14ac:dyDescent="0.3">
      <c r="F771" s="205"/>
    </row>
    <row r="772" spans="6:6" x14ac:dyDescent="0.3">
      <c r="F772" s="205"/>
    </row>
    <row r="773" spans="6:6" x14ac:dyDescent="0.3">
      <c r="F773" s="205"/>
    </row>
    <row r="774" spans="6:6" x14ac:dyDescent="0.3">
      <c r="F774" s="205"/>
    </row>
    <row r="775" spans="6:6" x14ac:dyDescent="0.3">
      <c r="F775" s="205"/>
    </row>
    <row r="776" spans="6:6" x14ac:dyDescent="0.3">
      <c r="F776" s="205"/>
    </row>
    <row r="777" spans="6:6" x14ac:dyDescent="0.3">
      <c r="F777" s="205"/>
    </row>
    <row r="778" spans="6:6" x14ac:dyDescent="0.3">
      <c r="F778" s="205"/>
    </row>
    <row r="779" spans="6:6" x14ac:dyDescent="0.3">
      <c r="F779" s="205"/>
    </row>
    <row r="780" spans="6:6" x14ac:dyDescent="0.3">
      <c r="F780" s="205"/>
    </row>
    <row r="781" spans="6:6" x14ac:dyDescent="0.3">
      <c r="F781" s="205"/>
    </row>
    <row r="782" spans="6:6" x14ac:dyDescent="0.3">
      <c r="F782" s="205"/>
    </row>
    <row r="783" spans="6:6" x14ac:dyDescent="0.3">
      <c r="F783" s="205"/>
    </row>
    <row r="784" spans="6:6" x14ac:dyDescent="0.3">
      <c r="F784" s="205"/>
    </row>
    <row r="785" spans="6:6" x14ac:dyDescent="0.3">
      <c r="F785" s="205"/>
    </row>
    <row r="786" spans="6:6" x14ac:dyDescent="0.3">
      <c r="F786" s="205"/>
    </row>
    <row r="787" spans="6:6" x14ac:dyDescent="0.3">
      <c r="F787" s="205"/>
    </row>
    <row r="788" spans="6:6" x14ac:dyDescent="0.3">
      <c r="F788" s="205"/>
    </row>
    <row r="789" spans="6:6" x14ac:dyDescent="0.3">
      <c r="F789" s="205"/>
    </row>
    <row r="790" spans="6:6" x14ac:dyDescent="0.3">
      <c r="F790" s="205"/>
    </row>
    <row r="791" spans="6:6" x14ac:dyDescent="0.3">
      <c r="F791" s="205"/>
    </row>
    <row r="792" spans="6:6" x14ac:dyDescent="0.3">
      <c r="F792" s="205"/>
    </row>
    <row r="793" spans="6:6" x14ac:dyDescent="0.3">
      <c r="F793" s="205"/>
    </row>
    <row r="794" spans="6:6" x14ac:dyDescent="0.3">
      <c r="F794" s="205"/>
    </row>
    <row r="795" spans="6:6" x14ac:dyDescent="0.3">
      <c r="F795" s="205"/>
    </row>
    <row r="796" spans="6:6" x14ac:dyDescent="0.3">
      <c r="F796" s="205"/>
    </row>
    <row r="797" spans="6:6" x14ac:dyDescent="0.3">
      <c r="F797" s="205"/>
    </row>
    <row r="798" spans="6:6" x14ac:dyDescent="0.3">
      <c r="F798" s="205"/>
    </row>
    <row r="799" spans="6:6" x14ac:dyDescent="0.3">
      <c r="F799" s="205"/>
    </row>
    <row r="800" spans="6:6" x14ac:dyDescent="0.3">
      <c r="F800" s="205"/>
    </row>
    <row r="801" spans="6:6" x14ac:dyDescent="0.3">
      <c r="F801" s="205"/>
    </row>
    <row r="802" spans="6:6" x14ac:dyDescent="0.3">
      <c r="F802" s="205"/>
    </row>
    <row r="803" spans="6:6" x14ac:dyDescent="0.3">
      <c r="F803" s="205"/>
    </row>
    <row r="804" spans="6:6" x14ac:dyDescent="0.3">
      <c r="F804" s="205"/>
    </row>
    <row r="805" spans="6:6" x14ac:dyDescent="0.3">
      <c r="F805" s="205"/>
    </row>
    <row r="806" spans="6:6" x14ac:dyDescent="0.3">
      <c r="F806" s="205"/>
    </row>
    <row r="807" spans="6:6" x14ac:dyDescent="0.3">
      <c r="F807" s="205"/>
    </row>
    <row r="808" spans="6:6" x14ac:dyDescent="0.3">
      <c r="F808" s="205"/>
    </row>
    <row r="809" spans="6:6" x14ac:dyDescent="0.3">
      <c r="F809" s="205"/>
    </row>
    <row r="810" spans="6:6" x14ac:dyDescent="0.3">
      <c r="F810" s="205"/>
    </row>
    <row r="811" spans="6:6" x14ac:dyDescent="0.3">
      <c r="F811" s="205"/>
    </row>
    <row r="812" spans="6:6" x14ac:dyDescent="0.3">
      <c r="F812" s="205"/>
    </row>
    <row r="813" spans="6:6" x14ac:dyDescent="0.3">
      <c r="F813" s="205"/>
    </row>
    <row r="814" spans="6:6" x14ac:dyDescent="0.3">
      <c r="F814" s="205"/>
    </row>
    <row r="815" spans="6:6" x14ac:dyDescent="0.3">
      <c r="F815" s="205"/>
    </row>
    <row r="816" spans="6:6" x14ac:dyDescent="0.3">
      <c r="F816" s="205"/>
    </row>
    <row r="817" spans="6:6" x14ac:dyDescent="0.3">
      <c r="F817" s="205"/>
    </row>
    <row r="818" spans="6:6" x14ac:dyDescent="0.3">
      <c r="F818" s="205"/>
    </row>
    <row r="819" spans="6:6" x14ac:dyDescent="0.3">
      <c r="F819" s="205"/>
    </row>
    <row r="820" spans="6:6" x14ac:dyDescent="0.3">
      <c r="F820" s="205"/>
    </row>
    <row r="821" spans="6:6" x14ac:dyDescent="0.3">
      <c r="F821" s="205"/>
    </row>
    <row r="822" spans="6:6" x14ac:dyDescent="0.3">
      <c r="F822" s="205"/>
    </row>
    <row r="823" spans="6:6" x14ac:dyDescent="0.3">
      <c r="F823" s="205"/>
    </row>
    <row r="824" spans="6:6" x14ac:dyDescent="0.3">
      <c r="F824" s="205"/>
    </row>
    <row r="825" spans="6:6" x14ac:dyDescent="0.3">
      <c r="F825" s="205"/>
    </row>
    <row r="826" spans="6:6" x14ac:dyDescent="0.3">
      <c r="F826" s="205"/>
    </row>
    <row r="827" spans="6:6" x14ac:dyDescent="0.3">
      <c r="F827" s="205"/>
    </row>
    <row r="828" spans="6:6" x14ac:dyDescent="0.3">
      <c r="F828" s="205"/>
    </row>
    <row r="829" spans="6:6" x14ac:dyDescent="0.3">
      <c r="F829" s="205"/>
    </row>
    <row r="830" spans="6:6" x14ac:dyDescent="0.3">
      <c r="F830" s="205"/>
    </row>
    <row r="831" spans="6:6" x14ac:dyDescent="0.3">
      <c r="F831" s="205"/>
    </row>
    <row r="832" spans="6:6" x14ac:dyDescent="0.3">
      <c r="F832" s="205"/>
    </row>
    <row r="833" spans="6:6" x14ac:dyDescent="0.3">
      <c r="F833" s="205"/>
    </row>
    <row r="834" spans="6:6" x14ac:dyDescent="0.3">
      <c r="F834" s="205"/>
    </row>
    <row r="835" spans="6:6" x14ac:dyDescent="0.3">
      <c r="F835" s="205"/>
    </row>
    <row r="836" spans="6:6" x14ac:dyDescent="0.3">
      <c r="F836" s="205"/>
    </row>
    <row r="837" spans="6:6" x14ac:dyDescent="0.3">
      <c r="F837" s="205"/>
    </row>
    <row r="838" spans="6:6" x14ac:dyDescent="0.3">
      <c r="F838" s="205"/>
    </row>
    <row r="839" spans="6:6" x14ac:dyDescent="0.3">
      <c r="F839" s="205"/>
    </row>
    <row r="840" spans="6:6" x14ac:dyDescent="0.3">
      <c r="F840" s="205"/>
    </row>
    <row r="841" spans="6:6" x14ac:dyDescent="0.3">
      <c r="F841" s="205"/>
    </row>
    <row r="842" spans="6:6" x14ac:dyDescent="0.3">
      <c r="F842" s="205"/>
    </row>
    <row r="843" spans="6:6" x14ac:dyDescent="0.3">
      <c r="F843" s="205"/>
    </row>
    <row r="844" spans="6:6" x14ac:dyDescent="0.3">
      <c r="F844" s="205"/>
    </row>
    <row r="845" spans="6:6" x14ac:dyDescent="0.3">
      <c r="F845" s="205"/>
    </row>
    <row r="846" spans="6:6" x14ac:dyDescent="0.3">
      <c r="F846" s="205"/>
    </row>
    <row r="847" spans="6:6" x14ac:dyDescent="0.3">
      <c r="F847" s="205"/>
    </row>
    <row r="848" spans="6:6" x14ac:dyDescent="0.3">
      <c r="F848" s="205"/>
    </row>
    <row r="849" spans="6:6" x14ac:dyDescent="0.3">
      <c r="F849" s="205"/>
    </row>
    <row r="850" spans="6:6" x14ac:dyDescent="0.3">
      <c r="F850" s="205"/>
    </row>
    <row r="851" spans="6:6" x14ac:dyDescent="0.3">
      <c r="F851" s="205"/>
    </row>
    <row r="852" spans="6:6" x14ac:dyDescent="0.3">
      <c r="F852" s="205"/>
    </row>
    <row r="853" spans="6:6" x14ac:dyDescent="0.3">
      <c r="F853" s="205"/>
    </row>
    <row r="854" spans="6:6" x14ac:dyDescent="0.3">
      <c r="F854" s="205"/>
    </row>
    <row r="855" spans="6:6" x14ac:dyDescent="0.3">
      <c r="F855" s="205"/>
    </row>
    <row r="856" spans="6:6" x14ac:dyDescent="0.3">
      <c r="F856" s="205"/>
    </row>
    <row r="857" spans="6:6" x14ac:dyDescent="0.3">
      <c r="F857" s="205"/>
    </row>
    <row r="858" spans="6:6" x14ac:dyDescent="0.3">
      <c r="F858" s="205"/>
    </row>
    <row r="859" spans="6:6" x14ac:dyDescent="0.3">
      <c r="F859" s="205"/>
    </row>
    <row r="860" spans="6:6" x14ac:dyDescent="0.3">
      <c r="F860" s="205"/>
    </row>
    <row r="861" spans="6:6" x14ac:dyDescent="0.3">
      <c r="F861" s="205"/>
    </row>
    <row r="862" spans="6:6" x14ac:dyDescent="0.3">
      <c r="F862" s="205"/>
    </row>
    <row r="863" spans="6:6" x14ac:dyDescent="0.3">
      <c r="F863" s="205"/>
    </row>
    <row r="864" spans="6:6" x14ac:dyDescent="0.3">
      <c r="F864" s="205"/>
    </row>
    <row r="865" spans="6:6" x14ac:dyDescent="0.3">
      <c r="F865" s="205"/>
    </row>
    <row r="866" spans="6:6" x14ac:dyDescent="0.3">
      <c r="F866" s="205"/>
    </row>
    <row r="867" spans="6:6" x14ac:dyDescent="0.3">
      <c r="F867" s="205"/>
    </row>
    <row r="868" spans="6:6" x14ac:dyDescent="0.3">
      <c r="F868" s="205"/>
    </row>
    <row r="869" spans="6:6" x14ac:dyDescent="0.3">
      <c r="F869" s="205"/>
    </row>
    <row r="870" spans="6:6" x14ac:dyDescent="0.3">
      <c r="F870" s="205"/>
    </row>
    <row r="871" spans="6:6" x14ac:dyDescent="0.3">
      <c r="F871" s="205"/>
    </row>
    <row r="872" spans="6:6" x14ac:dyDescent="0.3">
      <c r="F872" s="205"/>
    </row>
    <row r="873" spans="6:6" x14ac:dyDescent="0.3">
      <c r="F873" s="205"/>
    </row>
    <row r="874" spans="6:6" x14ac:dyDescent="0.3">
      <c r="F874" s="205"/>
    </row>
    <row r="875" spans="6:6" x14ac:dyDescent="0.3">
      <c r="F875" s="205"/>
    </row>
    <row r="876" spans="6:6" x14ac:dyDescent="0.3">
      <c r="F876" s="205"/>
    </row>
    <row r="877" spans="6:6" x14ac:dyDescent="0.3">
      <c r="F877" s="205"/>
    </row>
    <row r="878" spans="6:6" x14ac:dyDescent="0.3">
      <c r="F878" s="205"/>
    </row>
    <row r="879" spans="6:6" x14ac:dyDescent="0.3">
      <c r="F879" s="205"/>
    </row>
    <row r="880" spans="6:6" x14ac:dyDescent="0.3">
      <c r="F880" s="205"/>
    </row>
    <row r="881" spans="6:6" x14ac:dyDescent="0.3">
      <c r="F881" s="205"/>
    </row>
    <row r="882" spans="6:6" x14ac:dyDescent="0.3">
      <c r="F882" s="205"/>
    </row>
    <row r="883" spans="6:6" x14ac:dyDescent="0.3">
      <c r="F883" s="205"/>
    </row>
    <row r="884" spans="6:6" x14ac:dyDescent="0.3">
      <c r="F884" s="205"/>
    </row>
    <row r="885" spans="6:6" x14ac:dyDescent="0.3">
      <c r="F885" s="205"/>
    </row>
    <row r="886" spans="6:6" x14ac:dyDescent="0.3">
      <c r="F886" s="205"/>
    </row>
    <row r="887" spans="6:6" x14ac:dyDescent="0.3">
      <c r="F887" s="205"/>
    </row>
    <row r="888" spans="6:6" x14ac:dyDescent="0.3">
      <c r="F888" s="205"/>
    </row>
    <row r="889" spans="6:6" x14ac:dyDescent="0.3">
      <c r="F889" s="205"/>
    </row>
    <row r="890" spans="6:6" x14ac:dyDescent="0.3">
      <c r="F890" s="205"/>
    </row>
    <row r="891" spans="6:6" x14ac:dyDescent="0.3">
      <c r="F891" s="205"/>
    </row>
    <row r="892" spans="6:6" x14ac:dyDescent="0.3">
      <c r="F892" s="205"/>
    </row>
    <row r="893" spans="6:6" x14ac:dyDescent="0.3">
      <c r="F893" s="205"/>
    </row>
    <row r="894" spans="6:6" x14ac:dyDescent="0.3">
      <c r="F894" s="205"/>
    </row>
    <row r="895" spans="6:6" x14ac:dyDescent="0.3">
      <c r="F895" s="205"/>
    </row>
    <row r="896" spans="6:6" x14ac:dyDescent="0.3">
      <c r="F896" s="205"/>
    </row>
    <row r="897" spans="6:6" x14ac:dyDescent="0.3">
      <c r="F897" s="205"/>
    </row>
    <row r="898" spans="6:6" x14ac:dyDescent="0.3">
      <c r="F898" s="205"/>
    </row>
    <row r="899" spans="6:6" x14ac:dyDescent="0.3">
      <c r="F899" s="205"/>
    </row>
    <row r="900" spans="6:6" x14ac:dyDescent="0.3">
      <c r="F900" s="205"/>
    </row>
    <row r="901" spans="6:6" x14ac:dyDescent="0.3">
      <c r="F901" s="205"/>
    </row>
    <row r="902" spans="6:6" x14ac:dyDescent="0.3">
      <c r="F902" s="205"/>
    </row>
    <row r="903" spans="6:6" x14ac:dyDescent="0.3">
      <c r="F903" s="205"/>
    </row>
    <row r="904" spans="6:6" x14ac:dyDescent="0.3">
      <c r="F904" s="205"/>
    </row>
    <row r="905" spans="6:6" x14ac:dyDescent="0.3">
      <c r="F905" s="205"/>
    </row>
    <row r="906" spans="6:6" x14ac:dyDescent="0.3">
      <c r="F906" s="205"/>
    </row>
    <row r="907" spans="6:6" x14ac:dyDescent="0.3">
      <c r="F907" s="205"/>
    </row>
    <row r="908" spans="6:6" x14ac:dyDescent="0.3">
      <c r="F908" s="205"/>
    </row>
    <row r="909" spans="6:6" x14ac:dyDescent="0.3">
      <c r="F909" s="205"/>
    </row>
    <row r="910" spans="6:6" x14ac:dyDescent="0.3">
      <c r="F910" s="205"/>
    </row>
    <row r="911" spans="6:6" x14ac:dyDescent="0.3">
      <c r="F911" s="205"/>
    </row>
    <row r="912" spans="6:6" x14ac:dyDescent="0.3">
      <c r="F912" s="205"/>
    </row>
    <row r="913" spans="6:6" x14ac:dyDescent="0.3">
      <c r="F913" s="205"/>
    </row>
    <row r="914" spans="6:6" x14ac:dyDescent="0.3">
      <c r="F914" s="205"/>
    </row>
    <row r="915" spans="6:6" x14ac:dyDescent="0.3">
      <c r="F915" s="205"/>
    </row>
    <row r="916" spans="6:6" x14ac:dyDescent="0.3">
      <c r="F916" s="205"/>
    </row>
    <row r="917" spans="6:6" x14ac:dyDescent="0.3">
      <c r="F917" s="205"/>
    </row>
    <row r="918" spans="6:6" x14ac:dyDescent="0.3">
      <c r="F918" s="205"/>
    </row>
    <row r="919" spans="6:6" x14ac:dyDescent="0.3">
      <c r="F919" s="205"/>
    </row>
    <row r="920" spans="6:6" x14ac:dyDescent="0.3">
      <c r="F920" s="205"/>
    </row>
    <row r="921" spans="6:6" x14ac:dyDescent="0.3">
      <c r="F921" s="205"/>
    </row>
    <row r="922" spans="6:6" x14ac:dyDescent="0.3">
      <c r="F922" s="205"/>
    </row>
    <row r="923" spans="6:6" x14ac:dyDescent="0.3">
      <c r="F923" s="205"/>
    </row>
    <row r="924" spans="6:6" x14ac:dyDescent="0.3">
      <c r="F924" s="205"/>
    </row>
    <row r="925" spans="6:6" x14ac:dyDescent="0.3">
      <c r="F925" s="205"/>
    </row>
    <row r="926" spans="6:6" x14ac:dyDescent="0.3">
      <c r="F926" s="205"/>
    </row>
    <row r="927" spans="6:6" x14ac:dyDescent="0.3">
      <c r="F927" s="205"/>
    </row>
    <row r="928" spans="6:6" x14ac:dyDescent="0.3">
      <c r="F928" s="205"/>
    </row>
    <row r="929" spans="6:6" x14ac:dyDescent="0.3">
      <c r="F929" s="205"/>
    </row>
    <row r="930" spans="6:6" x14ac:dyDescent="0.3">
      <c r="F930" s="205"/>
    </row>
    <row r="931" spans="6:6" x14ac:dyDescent="0.3">
      <c r="F931" s="205"/>
    </row>
    <row r="932" spans="6:6" x14ac:dyDescent="0.3">
      <c r="F932" s="205"/>
    </row>
    <row r="933" spans="6:6" x14ac:dyDescent="0.3">
      <c r="F933" s="205"/>
    </row>
    <row r="934" spans="6:6" x14ac:dyDescent="0.3">
      <c r="F934" s="205"/>
    </row>
    <row r="935" spans="6:6" x14ac:dyDescent="0.3">
      <c r="F935" s="205"/>
    </row>
    <row r="936" spans="6:6" x14ac:dyDescent="0.3">
      <c r="F936" s="205"/>
    </row>
    <row r="937" spans="6:6" x14ac:dyDescent="0.3">
      <c r="F937" s="205"/>
    </row>
    <row r="938" spans="6:6" x14ac:dyDescent="0.3">
      <c r="F938" s="205"/>
    </row>
    <row r="939" spans="6:6" x14ac:dyDescent="0.3">
      <c r="F939" s="205"/>
    </row>
    <row r="940" spans="6:6" x14ac:dyDescent="0.3">
      <c r="F940" s="205"/>
    </row>
    <row r="941" spans="6:6" x14ac:dyDescent="0.3">
      <c r="F941" s="205"/>
    </row>
    <row r="942" spans="6:6" x14ac:dyDescent="0.3">
      <c r="F942" s="205"/>
    </row>
    <row r="943" spans="6:6" x14ac:dyDescent="0.3">
      <c r="F943" s="205"/>
    </row>
    <row r="944" spans="6:6" x14ac:dyDescent="0.3">
      <c r="F944" s="205"/>
    </row>
    <row r="945" spans="6:6" x14ac:dyDescent="0.3">
      <c r="F945" s="205"/>
    </row>
    <row r="946" spans="6:6" x14ac:dyDescent="0.3">
      <c r="F946" s="205"/>
    </row>
    <row r="947" spans="6:6" x14ac:dyDescent="0.3">
      <c r="F947" s="205"/>
    </row>
    <row r="948" spans="6:6" x14ac:dyDescent="0.3">
      <c r="F948" s="205"/>
    </row>
    <row r="949" spans="6:6" x14ac:dyDescent="0.3">
      <c r="F949" s="205"/>
    </row>
    <row r="950" spans="6:6" x14ac:dyDescent="0.3">
      <c r="F950" s="205"/>
    </row>
    <row r="951" spans="6:6" x14ac:dyDescent="0.3">
      <c r="F951" s="205"/>
    </row>
    <row r="952" spans="6:6" x14ac:dyDescent="0.3">
      <c r="F952" s="205"/>
    </row>
    <row r="953" spans="6:6" x14ac:dyDescent="0.3">
      <c r="F953" s="205"/>
    </row>
    <row r="954" spans="6:6" x14ac:dyDescent="0.3">
      <c r="F954" s="205"/>
    </row>
    <row r="955" spans="6:6" x14ac:dyDescent="0.3">
      <c r="F955" s="205"/>
    </row>
    <row r="956" spans="6:6" x14ac:dyDescent="0.3">
      <c r="F956" s="205"/>
    </row>
    <row r="957" spans="6:6" x14ac:dyDescent="0.3">
      <c r="F957" s="205"/>
    </row>
    <row r="958" spans="6:6" x14ac:dyDescent="0.3">
      <c r="F958" s="205"/>
    </row>
    <row r="959" spans="6:6" x14ac:dyDescent="0.3">
      <c r="F959" s="205"/>
    </row>
    <row r="960" spans="6:6" x14ac:dyDescent="0.3">
      <c r="F960" s="205"/>
    </row>
    <row r="961" spans="6:6" x14ac:dyDescent="0.3">
      <c r="F961" s="205"/>
    </row>
    <row r="962" spans="6:6" x14ac:dyDescent="0.3">
      <c r="F962" s="205"/>
    </row>
    <row r="963" spans="6:6" x14ac:dyDescent="0.3">
      <c r="F963" s="205"/>
    </row>
    <row r="964" spans="6:6" x14ac:dyDescent="0.3">
      <c r="F964" s="205"/>
    </row>
    <row r="965" spans="6:6" x14ac:dyDescent="0.3">
      <c r="F965" s="205"/>
    </row>
    <row r="966" spans="6:6" x14ac:dyDescent="0.3">
      <c r="F966" s="205"/>
    </row>
    <row r="967" spans="6:6" x14ac:dyDescent="0.3">
      <c r="F967" s="205"/>
    </row>
    <row r="968" spans="6:6" x14ac:dyDescent="0.3">
      <c r="F968" s="205"/>
    </row>
    <row r="969" spans="6:6" x14ac:dyDescent="0.3">
      <c r="F969" s="205"/>
    </row>
    <row r="970" spans="6:6" x14ac:dyDescent="0.3">
      <c r="F970" s="205"/>
    </row>
    <row r="971" spans="6:6" x14ac:dyDescent="0.3">
      <c r="F971" s="205"/>
    </row>
    <row r="972" spans="6:6" x14ac:dyDescent="0.3">
      <c r="F972" s="205"/>
    </row>
    <row r="973" spans="6:6" x14ac:dyDescent="0.3">
      <c r="F973" s="205"/>
    </row>
    <row r="974" spans="6:6" x14ac:dyDescent="0.3">
      <c r="F974" s="205"/>
    </row>
    <row r="975" spans="6:6" x14ac:dyDescent="0.3">
      <c r="F975" s="205"/>
    </row>
    <row r="976" spans="6:6" x14ac:dyDescent="0.3">
      <c r="F976" s="205"/>
    </row>
    <row r="977" spans="6:6" x14ac:dyDescent="0.3">
      <c r="F977" s="205"/>
    </row>
    <row r="978" spans="6:6" x14ac:dyDescent="0.3">
      <c r="F978" s="205"/>
    </row>
    <row r="979" spans="6:6" x14ac:dyDescent="0.3">
      <c r="F979" s="205"/>
    </row>
    <row r="980" spans="6:6" x14ac:dyDescent="0.3">
      <c r="F980" s="205"/>
    </row>
    <row r="981" spans="6:6" x14ac:dyDescent="0.3">
      <c r="F981" s="205"/>
    </row>
    <row r="982" spans="6:6" x14ac:dyDescent="0.3">
      <c r="F982" s="205"/>
    </row>
    <row r="983" spans="6:6" x14ac:dyDescent="0.3">
      <c r="F983" s="205"/>
    </row>
    <row r="984" spans="6:6" x14ac:dyDescent="0.3">
      <c r="F984" s="205"/>
    </row>
    <row r="985" spans="6:6" x14ac:dyDescent="0.3">
      <c r="F985" s="205"/>
    </row>
    <row r="986" spans="6:6" x14ac:dyDescent="0.3">
      <c r="F986" s="205"/>
    </row>
    <row r="987" spans="6:6" x14ac:dyDescent="0.3">
      <c r="F987" s="205"/>
    </row>
    <row r="988" spans="6:6" x14ac:dyDescent="0.3">
      <c r="F988" s="205"/>
    </row>
    <row r="989" spans="6:6" x14ac:dyDescent="0.3">
      <c r="F989" s="205"/>
    </row>
    <row r="990" spans="6:6" x14ac:dyDescent="0.3">
      <c r="F990" s="205"/>
    </row>
    <row r="991" spans="6:6" x14ac:dyDescent="0.3">
      <c r="F991" s="205"/>
    </row>
    <row r="992" spans="6:6" x14ac:dyDescent="0.3">
      <c r="F992" s="205"/>
    </row>
    <row r="993" spans="6:6" x14ac:dyDescent="0.3">
      <c r="F993" s="205"/>
    </row>
    <row r="994" spans="6:6" x14ac:dyDescent="0.3">
      <c r="F994" s="205"/>
    </row>
    <row r="995" spans="6:6" x14ac:dyDescent="0.3">
      <c r="F995" s="205"/>
    </row>
    <row r="996" spans="6:6" x14ac:dyDescent="0.3">
      <c r="F996" s="205"/>
    </row>
    <row r="997" spans="6:6" x14ac:dyDescent="0.3">
      <c r="F997" s="205"/>
    </row>
    <row r="998" spans="6:6" x14ac:dyDescent="0.3">
      <c r="F998" s="205"/>
    </row>
    <row r="999" spans="6:6" x14ac:dyDescent="0.3">
      <c r="F999" s="205"/>
    </row>
    <row r="1000" spans="6:6" x14ac:dyDescent="0.3">
      <c r="F1000" s="205"/>
    </row>
    <row r="1001" spans="6:6" x14ac:dyDescent="0.3">
      <c r="F1001" s="205"/>
    </row>
    <row r="1002" spans="6:6" x14ac:dyDescent="0.3">
      <c r="F1002" s="205"/>
    </row>
    <row r="1003" spans="6:6" x14ac:dyDescent="0.3">
      <c r="F1003" s="205"/>
    </row>
    <row r="1004" spans="6:6" x14ac:dyDescent="0.3">
      <c r="F1004" s="205"/>
    </row>
    <row r="1005" spans="6:6" x14ac:dyDescent="0.3">
      <c r="F1005" s="205"/>
    </row>
    <row r="1006" spans="6:6" x14ac:dyDescent="0.3">
      <c r="F1006" s="205"/>
    </row>
    <row r="1007" spans="6:6" x14ac:dyDescent="0.3">
      <c r="F1007" s="205"/>
    </row>
    <row r="1008" spans="6:6" x14ac:dyDescent="0.3">
      <c r="F1008" s="205"/>
    </row>
    <row r="1009" spans="6:6" x14ac:dyDescent="0.3">
      <c r="F1009" s="205"/>
    </row>
    <row r="1010" spans="6:6" x14ac:dyDescent="0.3">
      <c r="F1010" s="205"/>
    </row>
    <row r="1011" spans="6:6" x14ac:dyDescent="0.3">
      <c r="F1011" s="205"/>
    </row>
    <row r="1012" spans="6:6" x14ac:dyDescent="0.3">
      <c r="F1012" s="205"/>
    </row>
    <row r="1013" spans="6:6" x14ac:dyDescent="0.3">
      <c r="F1013" s="205"/>
    </row>
    <row r="1014" spans="6:6" x14ac:dyDescent="0.3">
      <c r="F1014" s="205"/>
    </row>
    <row r="1015" spans="6:6" x14ac:dyDescent="0.3">
      <c r="F1015" s="205"/>
    </row>
    <row r="1016" spans="6:6" x14ac:dyDescent="0.3">
      <c r="F1016" s="205"/>
    </row>
    <row r="1017" spans="6:6" x14ac:dyDescent="0.3">
      <c r="F1017" s="205"/>
    </row>
    <row r="1018" spans="6:6" x14ac:dyDescent="0.3">
      <c r="F1018" s="205"/>
    </row>
    <row r="1019" spans="6:6" x14ac:dyDescent="0.3">
      <c r="F1019" s="205"/>
    </row>
    <row r="1020" spans="6:6" x14ac:dyDescent="0.3">
      <c r="F1020" s="205"/>
    </row>
    <row r="1021" spans="6:6" x14ac:dyDescent="0.3">
      <c r="F1021" s="205"/>
    </row>
    <row r="1022" spans="6:6" x14ac:dyDescent="0.3">
      <c r="F1022" s="205"/>
    </row>
    <row r="1023" spans="6:6" x14ac:dyDescent="0.3">
      <c r="F1023" s="205"/>
    </row>
    <row r="1024" spans="6:6" x14ac:dyDescent="0.3">
      <c r="F1024" s="205"/>
    </row>
    <row r="1025" spans="6:6" x14ac:dyDescent="0.3">
      <c r="F1025" s="205"/>
    </row>
    <row r="1026" spans="6:6" x14ac:dyDescent="0.3">
      <c r="F1026" s="205"/>
    </row>
    <row r="1027" spans="6:6" x14ac:dyDescent="0.3">
      <c r="F1027" s="205"/>
    </row>
    <row r="1028" spans="6:6" x14ac:dyDescent="0.3">
      <c r="F1028" s="20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1691F-5762-4E59-A61D-0572CA577558}">
  <sheetPr>
    <tabColor theme="1" tint="0.249977111117893"/>
  </sheetPr>
  <dimension ref="A1:AQ1039"/>
  <sheetViews>
    <sheetView zoomScale="85" zoomScaleNormal="85" workbookViewId="0">
      <pane xSplit="3" ySplit="15" topLeftCell="AD16" activePane="bottomRight" state="frozen"/>
      <selection activeCell="H39" sqref="H39"/>
      <selection pane="topRight" activeCell="H39" sqref="H39"/>
      <selection pane="bottomLeft" activeCell="H39" sqref="H39"/>
      <selection pane="bottomRight" activeCell="B16" sqref="B16:AL31"/>
    </sheetView>
  </sheetViews>
  <sheetFormatPr defaultRowHeight="14.4" outlineLevelCol="1" x14ac:dyDescent="0.3"/>
  <cols>
    <col min="1" max="1" width="4.33203125" style="16" customWidth="1"/>
    <col min="2" max="7" width="15.6640625" customWidth="1"/>
    <col min="8" max="8" width="27.88671875" customWidth="1"/>
    <col min="9" max="9" width="15.6640625" customWidth="1"/>
    <col min="10" max="10" width="19.5546875" customWidth="1"/>
    <col min="11" max="11" width="19.109375" customWidth="1"/>
    <col min="12" max="12" width="20.6640625" hidden="1" customWidth="1" outlineLevel="1"/>
    <col min="13" max="22" width="7.33203125" hidden="1" customWidth="1" outlineLevel="1"/>
    <col min="23" max="23" width="18" bestFit="1" customWidth="1" collapsed="1"/>
    <col min="24" max="24" width="20.5546875" bestFit="1" customWidth="1"/>
    <col min="25" max="25" width="18.6640625" customWidth="1"/>
    <col min="26" max="38" width="18.6640625" bestFit="1" customWidth="1"/>
  </cols>
  <sheetData>
    <row r="1" spans="2:43" s="166" customFormat="1" ht="5.0999999999999996" customHeight="1" x14ac:dyDescent="0.3"/>
    <row r="2" spans="2:43" s="166" customFormat="1" x14ac:dyDescent="0.3">
      <c r="B2" s="167" t="s">
        <v>1222</v>
      </c>
      <c r="H2" s="270" t="s">
        <v>1357</v>
      </c>
      <c r="I2" s="201">
        <f>1/3</f>
        <v>0.33333333333333331</v>
      </c>
      <c r="J2" s="166" t="s">
        <v>1302</v>
      </c>
    </row>
    <row r="3" spans="2:43" s="166" customFormat="1" x14ac:dyDescent="0.3">
      <c r="B3" s="168" t="s">
        <v>1223</v>
      </c>
      <c r="H3" s="271">
        <v>7</v>
      </c>
      <c r="I3" s="201">
        <f>1/3</f>
        <v>0.33333333333333331</v>
      </c>
      <c r="J3" s="166" t="s">
        <v>1303</v>
      </c>
    </row>
    <row r="4" spans="2:43" s="170" customFormat="1" ht="5.0999999999999996" customHeight="1" thickBot="1" x14ac:dyDescent="0.35">
      <c r="B4" s="169"/>
    </row>
    <row r="5" spans="2:43" s="166" customFormat="1" ht="14.4" customHeight="1" x14ac:dyDescent="0.3">
      <c r="B5" s="171" t="s">
        <v>1224</v>
      </c>
      <c r="C5" s="171" t="s">
        <v>1225</v>
      </c>
      <c r="D5" s="171"/>
      <c r="E5" s="171"/>
      <c r="F5" s="171" t="s">
        <v>1226</v>
      </c>
      <c r="G5" s="171" t="s">
        <v>1227</v>
      </c>
      <c r="H5" s="171" t="s">
        <v>1228</v>
      </c>
      <c r="I5" s="171" t="s">
        <v>1229</v>
      </c>
      <c r="J5" s="171" t="s">
        <v>1230</v>
      </c>
      <c r="K5" s="171" t="s">
        <v>1231</v>
      </c>
    </row>
    <row r="6" spans="2:43" x14ac:dyDescent="0.3">
      <c r="B6" t="s">
        <v>590</v>
      </c>
      <c r="C6" t="str">
        <f>_xlfn.IFNA(INDEX('[1]Country list'!$A$2:$A$166,MATCH(B6,'[1]Country list'!$B$2:$B$166,0)),"")</f>
        <v>ITA</v>
      </c>
      <c r="F6" t="s">
        <v>1232</v>
      </c>
      <c r="G6" t="str">
        <f>_xlfn.IFNA(INDEX('[1]Sector list'!$A$2:$A$122,MATCH(F6,'[1]Sector list'!$B$2:$B$122,0)),"")</f>
        <v>ALL</v>
      </c>
      <c r="H6" t="s">
        <v>1233</v>
      </c>
      <c r="I6" t="str">
        <f>_xlfn.IFNA(INDEX('[1]FD list'!$A$2:$A$122,MATCH(H6,'[1]FD list'!$B$2:$B$122,0)),"")</f>
        <v>FD_1</v>
      </c>
      <c r="J6" s="172" t="s">
        <v>1234</v>
      </c>
      <c r="K6" t="s">
        <v>1235</v>
      </c>
    </row>
    <row r="7" spans="2:43" x14ac:dyDescent="0.3">
      <c r="C7" t="s">
        <v>589</v>
      </c>
      <c r="F7" t="s">
        <v>1236</v>
      </c>
      <c r="G7">
        <f>_xlfn.IFNA(INDEX('[1]Sector list'!$A$2:$A$122,MATCH(F7,'[1]Sector list'!$B$2:$B$122,0)),"")</f>
        <v>43</v>
      </c>
      <c r="H7" t="s">
        <v>1232</v>
      </c>
      <c r="I7" t="str">
        <f>_xlfn.IFNA(INDEX('[1]FD list'!$A$2:$A$122,MATCH(H7,'[1]FD list'!$B$2:$B$122,0)),"")</f>
        <v>ALL</v>
      </c>
      <c r="J7" s="172" t="s">
        <v>1234</v>
      </c>
      <c r="K7" t="s">
        <v>1237</v>
      </c>
    </row>
    <row r="8" spans="2:43" x14ac:dyDescent="0.3">
      <c r="B8" t="s">
        <v>579</v>
      </c>
      <c r="C8" t="str">
        <f>_xlfn.IFNA(INDEX('[1]Country list'!$A$2:$A$166,MATCH(B8,'[1]Country list'!$B$2:$B$166,0)),"")</f>
        <v>DEU</v>
      </c>
      <c r="G8" s="173" t="s">
        <v>1238</v>
      </c>
      <c r="I8" t="s">
        <v>1239</v>
      </c>
      <c r="J8" t="s">
        <v>1240</v>
      </c>
      <c r="K8" t="s">
        <v>1241</v>
      </c>
    </row>
    <row r="9" spans="2:43" x14ac:dyDescent="0.3">
      <c r="B9" t="s">
        <v>866</v>
      </c>
      <c r="C9" t="str">
        <f>_xlfn.IFNA(INDEX('[1]Country list'!$A$2:$A$166,MATCH(B9,'[1]Country list'!$B$2:$B$166,0)),"")</f>
        <v>MWI</v>
      </c>
      <c r="F9" t="s">
        <v>1242</v>
      </c>
      <c r="G9">
        <f>_xlfn.IFNA(INDEX('[1]Sector list'!$A$2:$A$122,MATCH(F9,'[1]Sector list'!$B$2:$B$122,0)),"")</f>
        <v>98</v>
      </c>
      <c r="H9" t="s">
        <v>1243</v>
      </c>
      <c r="I9" t="str">
        <f>_xlfn.IFNA(INDEX('[1]FD list'!$A$2:$A$122,MATCH(H9,'[1]FD list'!$B$2:$B$122,0)),"")</f>
        <v>FD_4</v>
      </c>
      <c r="J9" s="172" t="s">
        <v>1234</v>
      </c>
      <c r="K9" t="s">
        <v>1244</v>
      </c>
    </row>
    <row r="10" spans="2:43" x14ac:dyDescent="0.3">
      <c r="J10" s="172"/>
    </row>
    <row r="11" spans="2:43" x14ac:dyDescent="0.3">
      <c r="J11" s="172"/>
    </row>
    <row r="12" spans="2:43" x14ac:dyDescent="0.3">
      <c r="J12" s="172"/>
    </row>
    <row r="13" spans="2:43" ht="14.4" customHeight="1" x14ac:dyDescent="0.3">
      <c r="C13" s="174" t="s">
        <v>1245</v>
      </c>
      <c r="E13" s="174" t="s">
        <v>1246</v>
      </c>
      <c r="G13" s="174" t="s">
        <v>1247</v>
      </c>
      <c r="I13" s="174" t="s">
        <v>1248</v>
      </c>
      <c r="J13" s="172" t="s">
        <v>1249</v>
      </c>
    </row>
    <row r="14" spans="2:43" s="176" customFormat="1" ht="14.4" customHeight="1" thickBot="1" x14ac:dyDescent="0.35">
      <c r="B14" s="175" t="s">
        <v>1250</v>
      </c>
      <c r="J14" s="177"/>
    </row>
    <row r="15" spans="2:43" s="166" customFormat="1" ht="14.4" customHeight="1" x14ac:dyDescent="0.3">
      <c r="B15" s="171" t="s">
        <v>1251</v>
      </c>
      <c r="C15" s="171" t="s">
        <v>1252</v>
      </c>
      <c r="D15" s="171" t="s">
        <v>1253</v>
      </c>
      <c r="E15" s="171" t="s">
        <v>1254</v>
      </c>
      <c r="F15" s="171" t="s">
        <v>1226</v>
      </c>
      <c r="G15" s="171" t="s">
        <v>1227</v>
      </c>
      <c r="H15" s="171" t="s">
        <v>1228</v>
      </c>
      <c r="I15" s="171" t="s">
        <v>1229</v>
      </c>
      <c r="J15" s="171" t="s">
        <v>1230</v>
      </c>
      <c r="K15" s="171" t="s">
        <v>1231</v>
      </c>
      <c r="L15" s="166">
        <v>2019</v>
      </c>
      <c r="M15" s="166">
        <v>2020</v>
      </c>
      <c r="N15" s="166">
        <v>2021</v>
      </c>
      <c r="O15" s="166">
        <v>2022</v>
      </c>
      <c r="P15" s="166">
        <v>2023</v>
      </c>
      <c r="Q15" s="166">
        <v>2024</v>
      </c>
      <c r="R15" s="166">
        <v>2025</v>
      </c>
      <c r="S15" s="166">
        <v>2026</v>
      </c>
      <c r="T15" s="166">
        <v>2027</v>
      </c>
      <c r="U15" s="166">
        <v>2028</v>
      </c>
      <c r="V15" s="166">
        <v>2029</v>
      </c>
      <c r="W15" s="166">
        <v>2030</v>
      </c>
      <c r="X15" s="166">
        <v>2031</v>
      </c>
      <c r="Y15" s="166">
        <v>2032</v>
      </c>
      <c r="Z15" s="166">
        <v>2033</v>
      </c>
      <c r="AA15" s="166">
        <v>2034</v>
      </c>
      <c r="AB15" s="166">
        <v>2035</v>
      </c>
      <c r="AC15" s="166">
        <v>2036</v>
      </c>
      <c r="AD15" s="166">
        <v>2037</v>
      </c>
      <c r="AE15" s="166">
        <v>2038</v>
      </c>
      <c r="AF15" s="166">
        <v>2039</v>
      </c>
      <c r="AG15" s="166">
        <v>2040</v>
      </c>
      <c r="AH15" s="166">
        <v>2041</v>
      </c>
      <c r="AI15" s="166">
        <v>2042</v>
      </c>
      <c r="AJ15" s="166">
        <v>2043</v>
      </c>
      <c r="AK15" s="166">
        <v>2044</v>
      </c>
      <c r="AL15" s="166">
        <v>2045</v>
      </c>
      <c r="AM15" s="166">
        <v>2046</v>
      </c>
      <c r="AN15" s="166">
        <v>2047</v>
      </c>
      <c r="AO15" s="166">
        <v>2048</v>
      </c>
      <c r="AP15" s="166">
        <v>2049</v>
      </c>
      <c r="AQ15" s="166">
        <v>2050</v>
      </c>
    </row>
    <row r="16" spans="2:43" x14ac:dyDescent="0.3">
      <c r="C16" s="161" t="s">
        <v>1058</v>
      </c>
      <c r="E16" s="161" t="s">
        <v>1058</v>
      </c>
      <c r="F16" t="s">
        <v>1232</v>
      </c>
      <c r="G16" t="s">
        <v>1232</v>
      </c>
      <c r="H16" t="s">
        <v>1233</v>
      </c>
      <c r="I16" t="s">
        <v>1239</v>
      </c>
      <c r="J16" t="s">
        <v>1240</v>
      </c>
      <c r="K16" s="266">
        <f>SUM(X16:AL16)/1000000</f>
        <v>175.68496500256711</v>
      </c>
      <c r="X16" s="202">
        <f>VLOOKUP($C16,'MSET pivots'!$B$4:$H$14,$H$3,FALSE)*1000000*$I$2*'MSET pivots'!E$65</f>
        <v>5856253.3421288626</v>
      </c>
      <c r="Y16" s="202">
        <f>VLOOKUP($C16,'MSET pivots'!$B$4:$H$14,$H$3,FALSE)*1000000*$I$2*'MSET pivots'!F$65</f>
        <v>6692835.8647063309</v>
      </c>
      <c r="Z16" s="202">
        <f>VLOOKUP($C16,'MSET pivots'!$B$4:$H$14,$H$3,FALSE)*1000000*$I$2*'MSET pivots'!G$65</f>
        <v>7529418.3872838002</v>
      </c>
      <c r="AA16" s="202">
        <f>VLOOKUP($C16,'MSET pivots'!$B$4:$H$14,$H$3,FALSE)*1000000*$I$2*'MSET pivots'!H$65</f>
        <v>8366000.9098612685</v>
      </c>
      <c r="AB16" s="202">
        <f>VLOOKUP($C16,'MSET pivots'!$B$4:$H$14,$H$3,FALSE)*1000000*$I$2*'MSET pivots'!I$65</f>
        <v>9202583.4324387368</v>
      </c>
      <c r="AC16" s="202">
        <f>VLOOKUP($C16,'MSET pivots'!$B$4:$H$14,$H$3,FALSE)*1000000*$I$2*'MSET pivots'!J$65</f>
        <v>10039165.955016207</v>
      </c>
      <c r="AD16" s="202">
        <f>VLOOKUP($C16,'MSET pivots'!$B$4:$H$14,$H$3,FALSE)*1000000*$I$2*'MSET pivots'!K$65</f>
        <v>10875748.477593675</v>
      </c>
      <c r="AE16" s="202">
        <f>VLOOKUP($C16,'MSET pivots'!$B$4:$H$14,$H$3,FALSE)*1000000*$I$2*'MSET pivots'!L$65</f>
        <v>11712331.000171142</v>
      </c>
      <c r="AF16" s="202">
        <f>VLOOKUP($C16,'MSET pivots'!$B$4:$H$14,$H$3,FALSE)*1000000*$I$2*'MSET pivots'!M$65</f>
        <v>12548913.52274861</v>
      </c>
      <c r="AG16" s="202">
        <f>VLOOKUP($C16,'MSET pivots'!$B$4:$H$14,$H$3,FALSE)*1000000*$I$2*'MSET pivots'!N$65</f>
        <v>13385496.045326078</v>
      </c>
      <c r="AH16" s="202">
        <f>VLOOKUP($C16,'MSET pivots'!$B$4:$H$14,$H$3,FALSE)*1000000*$I$2*'MSET pivots'!O$65</f>
        <v>14222078.567903545</v>
      </c>
      <c r="AI16" s="202">
        <f>VLOOKUP($C16,'MSET pivots'!$B$4:$H$14,$H$3,FALSE)*1000000*$I$2*'MSET pivots'!P$65</f>
        <v>15058661.090481013</v>
      </c>
      <c r="AJ16" s="202">
        <f>VLOOKUP($C16,'MSET pivots'!$B$4:$H$14,$H$3,FALSE)*1000000*$I$2*'MSET pivots'!Q$65</f>
        <v>15895243.61305848</v>
      </c>
      <c r="AK16" s="202">
        <f>VLOOKUP($C16,'MSET pivots'!$B$4:$H$14,$H$3,FALSE)*1000000*$I$2*'MSET pivots'!R$65</f>
        <v>16731826.135635948</v>
      </c>
      <c r="AL16" s="202">
        <f>VLOOKUP($C16,'MSET pivots'!$B$4:$H$14,$H$3,FALSE)*1000000*$I$2*'MSET pivots'!S$65</f>
        <v>17568408.658213422</v>
      </c>
    </row>
    <row r="17" spans="1:38" x14ac:dyDescent="0.3">
      <c r="C17" s="161" t="s">
        <v>1058</v>
      </c>
      <c r="E17" s="161" t="s">
        <v>1058</v>
      </c>
      <c r="F17" t="s">
        <v>1232</v>
      </c>
      <c r="G17" t="s">
        <v>1232</v>
      </c>
      <c r="H17" t="s">
        <v>1255</v>
      </c>
      <c r="I17" t="s">
        <v>1256</v>
      </c>
      <c r="J17" t="s">
        <v>1240</v>
      </c>
      <c r="K17" s="266">
        <f t="shared" ref="K17:K27" si="0">SUM(X17:AL17)/1000000</f>
        <v>175.68496500256711</v>
      </c>
      <c r="X17" s="202">
        <f>VLOOKUP($C17,'MSET pivots'!$B$4:$H$14,$H$3,FALSE)*1000000*$I$3*'MSET pivots'!E$65</f>
        <v>5856253.3421288626</v>
      </c>
      <c r="Y17" s="202">
        <f>VLOOKUP($C17,'MSET pivots'!$B$4:$H$14,$H$3,FALSE)*1000000*$I$3*'MSET pivots'!F$65</f>
        <v>6692835.8647063309</v>
      </c>
      <c r="Z17" s="202">
        <f>VLOOKUP($C17,'MSET pivots'!$B$4:$H$14,$H$3,FALSE)*1000000*$I$3*'MSET pivots'!G$65</f>
        <v>7529418.3872838002</v>
      </c>
      <c r="AA17" s="202">
        <f>VLOOKUP($C17,'MSET pivots'!$B$4:$H$14,$H$3,FALSE)*1000000*$I$3*'MSET pivots'!H$65</f>
        <v>8366000.9098612685</v>
      </c>
      <c r="AB17" s="202">
        <f>VLOOKUP($C17,'MSET pivots'!$B$4:$H$14,$H$3,FALSE)*1000000*$I$3*'MSET pivots'!I$65</f>
        <v>9202583.4324387368</v>
      </c>
      <c r="AC17" s="202">
        <f>VLOOKUP($C17,'MSET pivots'!$B$4:$H$14,$H$3,FALSE)*1000000*$I$3*'MSET pivots'!J$65</f>
        <v>10039165.955016207</v>
      </c>
      <c r="AD17" s="202">
        <f>VLOOKUP($C17,'MSET pivots'!$B$4:$H$14,$H$3,FALSE)*1000000*$I$3*'MSET pivots'!K$65</f>
        <v>10875748.477593675</v>
      </c>
      <c r="AE17" s="202">
        <f>VLOOKUP($C17,'MSET pivots'!$B$4:$H$14,$H$3,FALSE)*1000000*$I$3*'MSET pivots'!L$65</f>
        <v>11712331.000171142</v>
      </c>
      <c r="AF17" s="202">
        <f>VLOOKUP($C17,'MSET pivots'!$B$4:$H$14,$H$3,FALSE)*1000000*$I$3*'MSET pivots'!M$65</f>
        <v>12548913.52274861</v>
      </c>
      <c r="AG17" s="202">
        <f>VLOOKUP($C17,'MSET pivots'!$B$4:$H$14,$H$3,FALSE)*1000000*$I$3*'MSET pivots'!N$65</f>
        <v>13385496.045326078</v>
      </c>
      <c r="AH17" s="202">
        <f>VLOOKUP($C17,'MSET pivots'!$B$4:$H$14,$H$3,FALSE)*1000000*$I$3*'MSET pivots'!O$65</f>
        <v>14222078.567903545</v>
      </c>
      <c r="AI17" s="202">
        <f>VLOOKUP($C17,'MSET pivots'!$B$4:$H$14,$H$3,FALSE)*1000000*$I$3*'MSET pivots'!P$65</f>
        <v>15058661.090481013</v>
      </c>
      <c r="AJ17" s="202">
        <f>VLOOKUP($C17,'MSET pivots'!$B$4:$H$14,$H$3,FALSE)*1000000*$I$3*'MSET pivots'!Q$65</f>
        <v>15895243.61305848</v>
      </c>
      <c r="AK17" s="202">
        <f>VLOOKUP($C17,'MSET pivots'!$B$4:$H$14,$H$3,FALSE)*1000000*$I$3*'MSET pivots'!R$65</f>
        <v>16731826.135635948</v>
      </c>
      <c r="AL17" s="202">
        <f>VLOOKUP($C17,'MSET pivots'!$B$4:$H$14,$H$3,FALSE)*1000000*$I$3*'MSET pivots'!S$65</f>
        <v>17568408.658213422</v>
      </c>
    </row>
    <row r="18" spans="1:38" x14ac:dyDescent="0.3">
      <c r="C18" t="s">
        <v>1048</v>
      </c>
      <c r="E18" t="s">
        <v>1048</v>
      </c>
      <c r="F18" t="s">
        <v>1232</v>
      </c>
      <c r="G18" t="s">
        <v>1232</v>
      </c>
      <c r="H18" t="s">
        <v>1233</v>
      </c>
      <c r="I18" t="s">
        <v>1239</v>
      </c>
      <c r="J18" t="s">
        <v>1240</v>
      </c>
      <c r="K18" s="266">
        <f t="shared" si="0"/>
        <v>128.10186550285894</v>
      </c>
      <c r="X18" s="202">
        <f>VLOOKUP($C18,'MSET pivots'!$B$4:$H$14,$H$3,FALSE)*1000000*$I$2*'MSET pivots'!E$65</f>
        <v>4270126.2340411302</v>
      </c>
      <c r="Y18" s="202">
        <f>VLOOKUP($C18,'MSET pivots'!$B$4:$H$14,$H$3,FALSE)*1000000*$I$2*'MSET pivots'!F$65</f>
        <v>4880125.967300578</v>
      </c>
      <c r="Z18" s="202">
        <f>VLOOKUP($C18,'MSET pivots'!$B$4:$H$14,$H$3,FALSE)*1000000*$I$2*'MSET pivots'!G$65</f>
        <v>5490125.7005600259</v>
      </c>
      <c r="AA18" s="202">
        <f>VLOOKUP($C18,'MSET pivots'!$B$4:$H$14,$H$3,FALSE)*1000000*$I$2*'MSET pivots'!H$65</f>
        <v>6100125.4338194737</v>
      </c>
      <c r="AB18" s="202">
        <f>VLOOKUP($C18,'MSET pivots'!$B$4:$H$14,$H$3,FALSE)*1000000*$I$2*'MSET pivots'!I$65</f>
        <v>6710125.1670789216</v>
      </c>
      <c r="AC18" s="202">
        <f>VLOOKUP($C18,'MSET pivots'!$B$4:$H$14,$H$3,FALSE)*1000000*$I$2*'MSET pivots'!J$65</f>
        <v>7320124.9003383694</v>
      </c>
      <c r="AD18" s="202">
        <f>VLOOKUP($C18,'MSET pivots'!$B$4:$H$14,$H$3,FALSE)*1000000*$I$2*'MSET pivots'!K$65</f>
        <v>7930124.6335978163</v>
      </c>
      <c r="AE18" s="202">
        <f>VLOOKUP($C18,'MSET pivots'!$B$4:$H$14,$H$3,FALSE)*1000000*$I$2*'MSET pivots'!L$65</f>
        <v>8540124.3668572642</v>
      </c>
      <c r="AF18" s="202">
        <f>VLOOKUP($C18,'MSET pivots'!$B$4:$H$14,$H$3,FALSE)*1000000*$I$2*'MSET pivots'!M$65</f>
        <v>9150124.1001167111</v>
      </c>
      <c r="AG18" s="202">
        <f>VLOOKUP($C18,'MSET pivots'!$B$4:$H$14,$H$3,FALSE)*1000000*$I$2*'MSET pivots'!N$65</f>
        <v>9760123.833376158</v>
      </c>
      <c r="AH18" s="202">
        <f>VLOOKUP($C18,'MSET pivots'!$B$4:$H$14,$H$3,FALSE)*1000000*$I$2*'MSET pivots'!O$65</f>
        <v>10370123.566635605</v>
      </c>
      <c r="AI18" s="202">
        <f>VLOOKUP($C18,'MSET pivots'!$B$4:$H$14,$H$3,FALSE)*1000000*$I$2*'MSET pivots'!P$65</f>
        <v>10980123.299895052</v>
      </c>
      <c r="AJ18" s="202">
        <f>VLOOKUP($C18,'MSET pivots'!$B$4:$H$14,$H$3,FALSE)*1000000*$I$2*'MSET pivots'!Q$65</f>
        <v>11590123.033154499</v>
      </c>
      <c r="AK18" s="202">
        <f>VLOOKUP($C18,'MSET pivots'!$B$4:$H$14,$H$3,FALSE)*1000000*$I$2*'MSET pivots'!R$65</f>
        <v>12200122.766413946</v>
      </c>
      <c r="AL18" s="202">
        <f>VLOOKUP($C18,'MSET pivots'!$B$4:$H$14,$H$3,FALSE)*1000000*$I$2*'MSET pivots'!S$65</f>
        <v>12810122.499673396</v>
      </c>
    </row>
    <row r="19" spans="1:38" x14ac:dyDescent="0.3">
      <c r="C19" t="s">
        <v>1048</v>
      </c>
      <c r="E19" t="s">
        <v>1048</v>
      </c>
      <c r="F19" t="s">
        <v>1232</v>
      </c>
      <c r="G19" t="s">
        <v>1232</v>
      </c>
      <c r="H19" t="s">
        <v>1255</v>
      </c>
      <c r="I19" t="s">
        <v>1256</v>
      </c>
      <c r="J19" t="s">
        <v>1240</v>
      </c>
      <c r="K19" s="266">
        <f t="shared" si="0"/>
        <v>128.10186550285894</v>
      </c>
      <c r="X19" s="202">
        <f>VLOOKUP($C19,'MSET pivots'!$B$4:$H$14,$H$3,FALSE)*1000000*$I$3*'MSET pivots'!E$65</f>
        <v>4270126.2340411302</v>
      </c>
      <c r="Y19" s="202">
        <f>VLOOKUP($C19,'MSET pivots'!$B$4:$H$14,$H$3,FALSE)*1000000*$I$3*'MSET pivots'!F$65</f>
        <v>4880125.967300578</v>
      </c>
      <c r="Z19" s="202">
        <f>VLOOKUP($C19,'MSET pivots'!$B$4:$H$14,$H$3,FALSE)*1000000*$I$3*'MSET pivots'!G$65</f>
        <v>5490125.7005600259</v>
      </c>
      <c r="AA19" s="202">
        <f>VLOOKUP($C19,'MSET pivots'!$B$4:$H$14,$H$3,FALSE)*1000000*$I$3*'MSET pivots'!H$65</f>
        <v>6100125.4338194737</v>
      </c>
      <c r="AB19" s="202">
        <f>VLOOKUP($C19,'MSET pivots'!$B$4:$H$14,$H$3,FALSE)*1000000*$I$3*'MSET pivots'!I$65</f>
        <v>6710125.1670789216</v>
      </c>
      <c r="AC19" s="202">
        <f>VLOOKUP($C19,'MSET pivots'!$B$4:$H$14,$H$3,FALSE)*1000000*$I$3*'MSET pivots'!J$65</f>
        <v>7320124.9003383694</v>
      </c>
      <c r="AD19" s="202">
        <f>VLOOKUP($C19,'MSET pivots'!$B$4:$H$14,$H$3,FALSE)*1000000*$I$3*'MSET pivots'!K$65</f>
        <v>7930124.6335978163</v>
      </c>
      <c r="AE19" s="202">
        <f>VLOOKUP($C19,'MSET pivots'!$B$4:$H$14,$H$3,FALSE)*1000000*$I$3*'MSET pivots'!L$65</f>
        <v>8540124.3668572642</v>
      </c>
      <c r="AF19" s="202">
        <f>VLOOKUP($C19,'MSET pivots'!$B$4:$H$14,$H$3,FALSE)*1000000*$I$3*'MSET pivots'!M$65</f>
        <v>9150124.1001167111</v>
      </c>
      <c r="AG19" s="202">
        <f>VLOOKUP($C19,'MSET pivots'!$B$4:$H$14,$H$3,FALSE)*1000000*$I$3*'MSET pivots'!N$65</f>
        <v>9760123.833376158</v>
      </c>
      <c r="AH19" s="202">
        <f>VLOOKUP($C19,'MSET pivots'!$B$4:$H$14,$H$3,FALSE)*1000000*$I$3*'MSET pivots'!O$65</f>
        <v>10370123.566635605</v>
      </c>
      <c r="AI19" s="202">
        <f>VLOOKUP($C19,'MSET pivots'!$B$4:$H$14,$H$3,FALSE)*1000000*$I$3*'MSET pivots'!P$65</f>
        <v>10980123.299895052</v>
      </c>
      <c r="AJ19" s="202">
        <f>VLOOKUP($C19,'MSET pivots'!$B$4:$H$14,$H$3,FALSE)*1000000*$I$3*'MSET pivots'!Q$65</f>
        <v>11590123.033154499</v>
      </c>
      <c r="AK19" s="202">
        <f>VLOOKUP($C19,'MSET pivots'!$B$4:$H$14,$H$3,FALSE)*1000000*$I$3*'MSET pivots'!R$65</f>
        <v>12200122.766413946</v>
      </c>
      <c r="AL19" s="202">
        <f>VLOOKUP($C19,'MSET pivots'!$B$4:$H$14,$H$3,FALSE)*1000000*$I$3*'MSET pivots'!S$65</f>
        <v>12810122.499673396</v>
      </c>
    </row>
    <row r="20" spans="1:38" x14ac:dyDescent="0.3">
      <c r="A20" s="180"/>
      <c r="B20" s="180"/>
      <c r="C20" s="272" t="s">
        <v>1011</v>
      </c>
      <c r="D20" s="103"/>
      <c r="E20" s="272" t="s">
        <v>1011</v>
      </c>
      <c r="F20" s="103" t="s">
        <v>1232</v>
      </c>
      <c r="G20" s="103" t="s">
        <v>1232</v>
      </c>
      <c r="H20" t="s">
        <v>1233</v>
      </c>
      <c r="I20" t="s">
        <v>1239</v>
      </c>
      <c r="J20" t="s">
        <v>1240</v>
      </c>
      <c r="K20" s="266">
        <f t="shared" si="0"/>
        <v>664.44102752561423</v>
      </c>
      <c r="X20" s="202">
        <f>VLOOKUP($C20,'MSET pivots'!$B$4:$H$14,$H$3,FALSE)*1000000*$I$2*'MSET pivots'!E$65</f>
        <v>22148366.469706476</v>
      </c>
      <c r="Y20" s="202">
        <f>VLOOKUP($C20,'MSET pivots'!$B$4:$H$14,$H$3,FALSE)*1000000*$I$2*'MSET pivots'!F$65</f>
        <v>25312323.902849499</v>
      </c>
      <c r="Z20" s="202">
        <f>VLOOKUP($C20,'MSET pivots'!$B$4:$H$14,$H$3,FALSE)*1000000*$I$2*'MSET pivots'!G$65</f>
        <v>28476281.335992519</v>
      </c>
      <c r="AA20" s="202">
        <f>VLOOKUP($C20,'MSET pivots'!$B$4:$H$14,$H$3,FALSE)*1000000*$I$2*'MSET pivots'!H$65</f>
        <v>31640238.769135538</v>
      </c>
      <c r="AB20" s="202">
        <f>VLOOKUP($C20,'MSET pivots'!$B$4:$H$14,$H$3,FALSE)*1000000*$I$2*'MSET pivots'!I$65</f>
        <v>34804196.202278562</v>
      </c>
      <c r="AC20" s="202">
        <f>VLOOKUP($C20,'MSET pivots'!$B$4:$H$14,$H$3,FALSE)*1000000*$I$2*'MSET pivots'!J$65</f>
        <v>37968153.635421582</v>
      </c>
      <c r="AD20" s="202">
        <f>VLOOKUP($C20,'MSET pivots'!$B$4:$H$14,$H$3,FALSE)*1000000*$I$2*'MSET pivots'!K$65</f>
        <v>41132111.068564601</v>
      </c>
      <c r="AE20" s="202">
        <f>VLOOKUP($C20,'MSET pivots'!$B$4:$H$14,$H$3,FALSE)*1000000*$I$2*'MSET pivots'!L$65</f>
        <v>44296068.501707613</v>
      </c>
      <c r="AF20" s="202">
        <f>VLOOKUP($C20,'MSET pivots'!$B$4:$H$14,$H$3,FALSE)*1000000*$I$2*'MSET pivots'!M$65</f>
        <v>47460025.934850633</v>
      </c>
      <c r="AG20" s="202">
        <f>VLOOKUP($C20,'MSET pivots'!$B$4:$H$14,$H$3,FALSE)*1000000*$I$2*'MSET pivots'!N$65</f>
        <v>50623983.367993645</v>
      </c>
      <c r="AH20" s="202">
        <f>VLOOKUP($C20,'MSET pivots'!$B$4:$H$14,$H$3,FALSE)*1000000*$I$2*'MSET pivots'!O$65</f>
        <v>53787940.801136665</v>
      </c>
      <c r="AI20" s="202">
        <f>VLOOKUP($C20,'MSET pivots'!$B$4:$H$14,$H$3,FALSE)*1000000*$I$2*'MSET pivots'!P$65</f>
        <v>56951898.234279677</v>
      </c>
      <c r="AJ20" s="202">
        <f>VLOOKUP($C20,'MSET pivots'!$B$4:$H$14,$H$3,FALSE)*1000000*$I$2*'MSET pivots'!Q$65</f>
        <v>60115855.667422697</v>
      </c>
      <c r="AK20" s="202">
        <f>VLOOKUP($C20,'MSET pivots'!$B$4:$H$14,$H$3,FALSE)*1000000*$I$2*'MSET pivots'!R$65</f>
        <v>63279813.100565709</v>
      </c>
      <c r="AL20" s="202">
        <f>VLOOKUP($C20,'MSET pivots'!$B$4:$H$14,$H$3,FALSE)*1000000*$I$2*'MSET pivots'!S$65</f>
        <v>66443770.533708751</v>
      </c>
    </row>
    <row r="21" spans="1:38" x14ac:dyDescent="0.3">
      <c r="A21" s="180"/>
      <c r="B21" s="180"/>
      <c r="C21" s="272" t="s">
        <v>1011</v>
      </c>
      <c r="D21" s="103"/>
      <c r="E21" s="272" t="s">
        <v>1011</v>
      </c>
      <c r="F21" s="103" t="s">
        <v>1232</v>
      </c>
      <c r="G21" s="103" t="s">
        <v>1232</v>
      </c>
      <c r="H21" t="s">
        <v>1255</v>
      </c>
      <c r="I21" t="s">
        <v>1256</v>
      </c>
      <c r="J21" t="s">
        <v>1240</v>
      </c>
      <c r="K21" s="266">
        <f t="shared" si="0"/>
        <v>664.44102752561423</v>
      </c>
      <c r="X21" s="202">
        <f>VLOOKUP($C21,'MSET pivots'!$B$4:$H$14,$H$3,FALSE)*1000000*$I$3*'MSET pivots'!E$65</f>
        <v>22148366.469706476</v>
      </c>
      <c r="Y21" s="202">
        <f>VLOOKUP($C21,'MSET pivots'!$B$4:$H$14,$H$3,FALSE)*1000000*$I$3*'MSET pivots'!F$65</f>
        <v>25312323.902849499</v>
      </c>
      <c r="Z21" s="202">
        <f>VLOOKUP($C21,'MSET pivots'!$B$4:$H$14,$H$3,FALSE)*1000000*$I$3*'MSET pivots'!G$65</f>
        <v>28476281.335992519</v>
      </c>
      <c r="AA21" s="202">
        <f>VLOOKUP($C21,'MSET pivots'!$B$4:$H$14,$H$3,FALSE)*1000000*$I$3*'MSET pivots'!H$65</f>
        <v>31640238.769135538</v>
      </c>
      <c r="AB21" s="202">
        <f>VLOOKUP($C21,'MSET pivots'!$B$4:$H$14,$H$3,FALSE)*1000000*$I$3*'MSET pivots'!I$65</f>
        <v>34804196.202278562</v>
      </c>
      <c r="AC21" s="202">
        <f>VLOOKUP($C21,'MSET pivots'!$B$4:$H$14,$H$3,FALSE)*1000000*$I$3*'MSET pivots'!J$65</f>
        <v>37968153.635421582</v>
      </c>
      <c r="AD21" s="202">
        <f>VLOOKUP($C21,'MSET pivots'!$B$4:$H$14,$H$3,FALSE)*1000000*$I$3*'MSET pivots'!K$65</f>
        <v>41132111.068564601</v>
      </c>
      <c r="AE21" s="202">
        <f>VLOOKUP($C21,'MSET pivots'!$B$4:$H$14,$H$3,FALSE)*1000000*$I$3*'MSET pivots'!L$65</f>
        <v>44296068.501707613</v>
      </c>
      <c r="AF21" s="202">
        <f>VLOOKUP($C21,'MSET pivots'!$B$4:$H$14,$H$3,FALSE)*1000000*$I$3*'MSET pivots'!M$65</f>
        <v>47460025.934850633</v>
      </c>
      <c r="AG21" s="202">
        <f>VLOOKUP($C21,'MSET pivots'!$B$4:$H$14,$H$3,FALSE)*1000000*$I$3*'MSET pivots'!N$65</f>
        <v>50623983.367993645</v>
      </c>
      <c r="AH21" s="202">
        <f>VLOOKUP($C21,'MSET pivots'!$B$4:$H$14,$H$3,FALSE)*1000000*$I$3*'MSET pivots'!O$65</f>
        <v>53787940.801136665</v>
      </c>
      <c r="AI21" s="202">
        <f>VLOOKUP($C21,'MSET pivots'!$B$4:$H$14,$H$3,FALSE)*1000000*$I$3*'MSET pivots'!P$65</f>
        <v>56951898.234279677</v>
      </c>
      <c r="AJ21" s="202">
        <f>VLOOKUP($C21,'MSET pivots'!$B$4:$H$14,$H$3,FALSE)*1000000*$I$3*'MSET pivots'!Q$65</f>
        <v>60115855.667422697</v>
      </c>
      <c r="AK21" s="202">
        <f>VLOOKUP($C21,'MSET pivots'!$B$4:$H$14,$H$3,FALSE)*1000000*$I$3*'MSET pivots'!R$65</f>
        <v>63279813.100565709</v>
      </c>
      <c r="AL21" s="202">
        <f>VLOOKUP($C21,'MSET pivots'!$B$4:$H$14,$H$3,FALSE)*1000000*$I$3*'MSET pivots'!S$65</f>
        <v>66443770.533708751</v>
      </c>
    </row>
    <row r="22" spans="1:38" x14ac:dyDescent="0.3">
      <c r="C22" s="161" t="s">
        <v>1052</v>
      </c>
      <c r="E22" s="161" t="s">
        <v>1052</v>
      </c>
      <c r="F22" t="s">
        <v>1232</v>
      </c>
      <c r="G22" t="s">
        <v>1232</v>
      </c>
      <c r="H22" t="s">
        <v>1233</v>
      </c>
      <c r="I22" t="s">
        <v>1239</v>
      </c>
      <c r="J22" t="s">
        <v>1240</v>
      </c>
      <c r="K22" s="266">
        <f t="shared" si="0"/>
        <v>161.30492391198538</v>
      </c>
      <c r="W22" s="178"/>
      <c r="X22" s="202">
        <f>VLOOKUP($C22,'MSET pivots'!$B$4:$H$14,$H$3,FALSE)*1000000*$I$2*'MSET pivots'!E$65</f>
        <v>5376911.4491248755</v>
      </c>
      <c r="Y22" s="202">
        <f>VLOOKUP($C22,'MSET pivots'!$B$4:$H$14,$H$3,FALSE)*1000000*$I$2*'MSET pivots'!F$65</f>
        <v>6145018.6126973731</v>
      </c>
      <c r="Z22" s="202">
        <f>VLOOKUP($C22,'MSET pivots'!$B$4:$H$14,$H$3,FALSE)*1000000*$I$2*'MSET pivots'!G$65</f>
        <v>6913125.7762698717</v>
      </c>
      <c r="AA22" s="202">
        <f>VLOOKUP($C22,'MSET pivots'!$B$4:$H$14,$H$3,FALSE)*1000000*$I$2*'MSET pivots'!H$65</f>
        <v>7681232.9398423694</v>
      </c>
      <c r="AB22" s="202">
        <f>VLOOKUP($C22,'MSET pivots'!$B$4:$H$14,$H$3,FALSE)*1000000*$I$2*'MSET pivots'!I$65</f>
        <v>8449340.1034148671</v>
      </c>
      <c r="AC22" s="202">
        <f>VLOOKUP($C22,'MSET pivots'!$B$4:$H$14,$H$3,FALSE)*1000000*$I$2*'MSET pivots'!J$65</f>
        <v>9217447.2669873647</v>
      </c>
      <c r="AD22" s="202">
        <f>VLOOKUP($C22,'MSET pivots'!$B$4:$H$14,$H$3,FALSE)*1000000*$I$2*'MSET pivots'!K$65</f>
        <v>9985554.4305598624</v>
      </c>
      <c r="AE22" s="202">
        <f>VLOOKUP($C22,'MSET pivots'!$B$4:$H$14,$H$3,FALSE)*1000000*$I$2*'MSET pivots'!L$65</f>
        <v>10753661.59413236</v>
      </c>
      <c r="AF22" s="202">
        <f>VLOOKUP($C22,'MSET pivots'!$B$4:$H$14,$H$3,FALSE)*1000000*$I$2*'MSET pivots'!M$65</f>
        <v>11521768.757704856</v>
      </c>
      <c r="AG22" s="202">
        <f>VLOOKUP($C22,'MSET pivots'!$B$4:$H$14,$H$3,FALSE)*1000000*$I$2*'MSET pivots'!N$65</f>
        <v>12289875.921277354</v>
      </c>
      <c r="AH22" s="202">
        <f>VLOOKUP($C22,'MSET pivots'!$B$4:$H$14,$H$3,FALSE)*1000000*$I$2*'MSET pivots'!O$65</f>
        <v>13057983.084849849</v>
      </c>
      <c r="AI22" s="202">
        <f>VLOOKUP($C22,'MSET pivots'!$B$4:$H$14,$H$3,FALSE)*1000000*$I$2*'MSET pivots'!P$65</f>
        <v>13826090.248422347</v>
      </c>
      <c r="AJ22" s="202">
        <f>VLOOKUP($C22,'MSET pivots'!$B$4:$H$14,$H$3,FALSE)*1000000*$I$2*'MSET pivots'!Q$65</f>
        <v>14594197.411994843</v>
      </c>
      <c r="AK22" s="202">
        <f>VLOOKUP($C22,'MSET pivots'!$B$4:$H$14,$H$3,FALSE)*1000000*$I$2*'MSET pivots'!R$65</f>
        <v>15362304.57556734</v>
      </c>
      <c r="AL22" s="202">
        <f>VLOOKUP($C22,'MSET pivots'!$B$4:$H$14,$H$3,FALSE)*1000000*$I$2*'MSET pivots'!S$65</f>
        <v>16130411.739139844</v>
      </c>
    </row>
    <row r="23" spans="1:38" x14ac:dyDescent="0.3">
      <c r="C23" s="161" t="s">
        <v>1052</v>
      </c>
      <c r="E23" s="161" t="s">
        <v>1052</v>
      </c>
      <c r="F23" t="s">
        <v>1232</v>
      </c>
      <c r="G23" t="s">
        <v>1232</v>
      </c>
      <c r="H23" t="s">
        <v>1255</v>
      </c>
      <c r="I23" t="s">
        <v>1256</v>
      </c>
      <c r="J23" t="s">
        <v>1240</v>
      </c>
      <c r="K23" s="266">
        <f t="shared" si="0"/>
        <v>161.30492391198538</v>
      </c>
      <c r="W23" s="178"/>
      <c r="X23" s="202">
        <f>VLOOKUP($C23,'MSET pivots'!$B$4:$H$14,$H$3,FALSE)*1000000*$I$3*'MSET pivots'!E$65</f>
        <v>5376911.4491248755</v>
      </c>
      <c r="Y23" s="202">
        <f>VLOOKUP($C23,'MSET pivots'!$B$4:$H$14,$H$3,FALSE)*1000000*$I$3*'MSET pivots'!F$65</f>
        <v>6145018.6126973731</v>
      </c>
      <c r="Z23" s="202">
        <f>VLOOKUP($C23,'MSET pivots'!$B$4:$H$14,$H$3,FALSE)*1000000*$I$3*'MSET pivots'!G$65</f>
        <v>6913125.7762698717</v>
      </c>
      <c r="AA23" s="202">
        <f>VLOOKUP($C23,'MSET pivots'!$B$4:$H$14,$H$3,FALSE)*1000000*$I$3*'MSET pivots'!H$65</f>
        <v>7681232.9398423694</v>
      </c>
      <c r="AB23" s="202">
        <f>VLOOKUP($C23,'MSET pivots'!$B$4:$H$14,$H$3,FALSE)*1000000*$I$3*'MSET pivots'!I$65</f>
        <v>8449340.1034148671</v>
      </c>
      <c r="AC23" s="202">
        <f>VLOOKUP($C23,'MSET pivots'!$B$4:$H$14,$H$3,FALSE)*1000000*$I$3*'MSET pivots'!J$65</f>
        <v>9217447.2669873647</v>
      </c>
      <c r="AD23" s="202">
        <f>VLOOKUP($C23,'MSET pivots'!$B$4:$H$14,$H$3,FALSE)*1000000*$I$3*'MSET pivots'!K$65</f>
        <v>9985554.4305598624</v>
      </c>
      <c r="AE23" s="202">
        <f>VLOOKUP($C23,'MSET pivots'!$B$4:$H$14,$H$3,FALSE)*1000000*$I$3*'MSET pivots'!L$65</f>
        <v>10753661.59413236</v>
      </c>
      <c r="AF23" s="202">
        <f>VLOOKUP($C23,'MSET pivots'!$B$4:$H$14,$H$3,FALSE)*1000000*$I$3*'MSET pivots'!M$65</f>
        <v>11521768.757704856</v>
      </c>
      <c r="AG23" s="202">
        <f>VLOOKUP($C23,'MSET pivots'!$B$4:$H$14,$H$3,FALSE)*1000000*$I$3*'MSET pivots'!N$65</f>
        <v>12289875.921277354</v>
      </c>
      <c r="AH23" s="202">
        <f>VLOOKUP($C23,'MSET pivots'!$B$4:$H$14,$H$3,FALSE)*1000000*$I$3*'MSET pivots'!O$65</f>
        <v>13057983.084849849</v>
      </c>
      <c r="AI23" s="202">
        <f>VLOOKUP($C23,'MSET pivots'!$B$4:$H$14,$H$3,FALSE)*1000000*$I$3*'MSET pivots'!P$65</f>
        <v>13826090.248422347</v>
      </c>
      <c r="AJ23" s="202">
        <f>VLOOKUP($C23,'MSET pivots'!$B$4:$H$14,$H$3,FALSE)*1000000*$I$3*'MSET pivots'!Q$65</f>
        <v>14594197.411994843</v>
      </c>
      <c r="AK23" s="202">
        <f>VLOOKUP($C23,'MSET pivots'!$B$4:$H$14,$H$3,FALSE)*1000000*$I$3*'MSET pivots'!R$65</f>
        <v>15362304.57556734</v>
      </c>
      <c r="AL23" s="202">
        <f>VLOOKUP($C23,'MSET pivots'!$B$4:$H$14,$H$3,FALSE)*1000000*$I$3*'MSET pivots'!S$65</f>
        <v>16130411.739139844</v>
      </c>
    </row>
    <row r="24" spans="1:38" x14ac:dyDescent="0.3">
      <c r="A24" s="180"/>
      <c r="B24" s="180"/>
      <c r="C24" s="272" t="s">
        <v>1056</v>
      </c>
      <c r="D24" s="103"/>
      <c r="E24" s="272" t="s">
        <v>1056</v>
      </c>
      <c r="F24" s="103" t="s">
        <v>1232</v>
      </c>
      <c r="G24" s="103" t="s">
        <v>1232</v>
      </c>
      <c r="H24" t="s">
        <v>1233</v>
      </c>
      <c r="I24" t="s">
        <v>1239</v>
      </c>
      <c r="J24" t="s">
        <v>1240</v>
      </c>
      <c r="K24" s="266">
        <f>SUM(X24:AL24)/1000000</f>
        <v>80.042377146949747</v>
      </c>
      <c r="X24" s="202">
        <f>VLOOKUP($C24,'MSET pivots'!$B$4:$H$14,$H$3,FALSE)*1000000*$I$2*'MSET pivots'!E$65</f>
        <v>2668119.259220127</v>
      </c>
      <c r="Y24" s="202">
        <f>VLOOKUP($C24,'MSET pivots'!$B$4:$H$14,$H$3,FALSE)*1000000*$I$2*'MSET pivots'!F$65</f>
        <v>3049267.7188262972</v>
      </c>
      <c r="Z24" s="202">
        <f>VLOOKUP($C24,'MSET pivots'!$B$4:$H$14,$H$3,FALSE)*1000000*$I$2*'MSET pivots'!G$65</f>
        <v>3430416.1784324674</v>
      </c>
      <c r="AA24" s="202">
        <f>VLOOKUP($C24,'MSET pivots'!$B$4:$H$14,$H$3,FALSE)*1000000*$I$2*'MSET pivots'!H$65</f>
        <v>3811564.6380386371</v>
      </c>
      <c r="AB24" s="202">
        <f>VLOOKUP($C24,'MSET pivots'!$B$4:$H$14,$H$3,FALSE)*1000000*$I$2*'MSET pivots'!I$65</f>
        <v>4192713.0976448073</v>
      </c>
      <c r="AC24" s="202">
        <f>VLOOKUP($C24,'MSET pivots'!$B$4:$H$14,$H$3,FALSE)*1000000*$I$2*'MSET pivots'!J$65</f>
        <v>4573861.5572509775</v>
      </c>
      <c r="AD24" s="202">
        <f>VLOOKUP($C24,'MSET pivots'!$B$4:$H$14,$H$3,FALSE)*1000000*$I$2*'MSET pivots'!K$65</f>
        <v>4955010.0168571472</v>
      </c>
      <c r="AE24" s="202">
        <f>VLOOKUP($C24,'MSET pivots'!$B$4:$H$14,$H$3,FALSE)*1000000*$I$2*'MSET pivots'!L$65</f>
        <v>5336158.4764633169</v>
      </c>
      <c r="AF24" s="202">
        <f>VLOOKUP($C24,'MSET pivots'!$B$4:$H$14,$H$3,FALSE)*1000000*$I$2*'MSET pivots'!M$65</f>
        <v>5717306.9360694867</v>
      </c>
      <c r="AG24" s="202">
        <f>VLOOKUP($C24,'MSET pivots'!$B$4:$H$14,$H$3,FALSE)*1000000*$I$2*'MSET pivots'!N$65</f>
        <v>6098455.3956756564</v>
      </c>
      <c r="AH24" s="202">
        <f>VLOOKUP($C24,'MSET pivots'!$B$4:$H$14,$H$3,FALSE)*1000000*$I$2*'MSET pivots'!O$65</f>
        <v>6479603.8552818252</v>
      </c>
      <c r="AI24" s="202">
        <f>VLOOKUP($C24,'MSET pivots'!$B$4:$H$14,$H$3,FALSE)*1000000*$I$2*'MSET pivots'!P$65</f>
        <v>6860752.3148879949</v>
      </c>
      <c r="AJ24" s="202">
        <f>VLOOKUP($C24,'MSET pivots'!$B$4:$H$14,$H$3,FALSE)*1000000*$I$2*'MSET pivots'!Q$65</f>
        <v>7241900.7744941646</v>
      </c>
      <c r="AK24" s="202">
        <f>VLOOKUP($C24,'MSET pivots'!$B$4:$H$14,$H$3,FALSE)*1000000*$I$2*'MSET pivots'!R$65</f>
        <v>7623049.2341003343</v>
      </c>
      <c r="AL24" s="202">
        <f>VLOOKUP($C24,'MSET pivots'!$B$4:$H$14,$H$3,FALSE)*1000000*$I$2*'MSET pivots'!S$65</f>
        <v>8004197.6937065069</v>
      </c>
    </row>
    <row r="25" spans="1:38" x14ac:dyDescent="0.3">
      <c r="A25" s="180"/>
      <c r="B25" s="180"/>
      <c r="C25" s="272" t="s">
        <v>1056</v>
      </c>
      <c r="D25" s="103"/>
      <c r="E25" s="272" t="s">
        <v>1056</v>
      </c>
      <c r="F25" s="103" t="s">
        <v>1232</v>
      </c>
      <c r="G25" s="103" t="s">
        <v>1232</v>
      </c>
      <c r="H25" t="s">
        <v>1255</v>
      </c>
      <c r="I25" t="s">
        <v>1256</v>
      </c>
      <c r="J25" t="s">
        <v>1240</v>
      </c>
      <c r="K25" s="266">
        <f t="shared" ref="K25" si="1">SUM(X25:AL25)/1000000</f>
        <v>80.042377146949747</v>
      </c>
      <c r="X25" s="202">
        <f>VLOOKUP($C25,'MSET pivots'!$B$4:$H$14,$H$3,FALSE)*1000000*$I$3*'MSET pivots'!E$65</f>
        <v>2668119.259220127</v>
      </c>
      <c r="Y25" s="202">
        <f>VLOOKUP($C25,'MSET pivots'!$B$4:$H$14,$H$3,FALSE)*1000000*$I$3*'MSET pivots'!F$65</f>
        <v>3049267.7188262972</v>
      </c>
      <c r="Z25" s="202">
        <f>VLOOKUP($C25,'MSET pivots'!$B$4:$H$14,$H$3,FALSE)*1000000*$I$3*'MSET pivots'!G$65</f>
        <v>3430416.1784324674</v>
      </c>
      <c r="AA25" s="202">
        <f>VLOOKUP($C25,'MSET pivots'!$B$4:$H$14,$H$3,FALSE)*1000000*$I$3*'MSET pivots'!H$65</f>
        <v>3811564.6380386371</v>
      </c>
      <c r="AB25" s="202">
        <f>VLOOKUP($C25,'MSET pivots'!$B$4:$H$14,$H$3,FALSE)*1000000*$I$3*'MSET pivots'!I$65</f>
        <v>4192713.0976448073</v>
      </c>
      <c r="AC25" s="202">
        <f>VLOOKUP($C25,'MSET pivots'!$B$4:$H$14,$H$3,FALSE)*1000000*$I$3*'MSET pivots'!J$65</f>
        <v>4573861.5572509775</v>
      </c>
      <c r="AD25" s="202">
        <f>VLOOKUP($C25,'MSET pivots'!$B$4:$H$14,$H$3,FALSE)*1000000*$I$3*'MSET pivots'!K$65</f>
        <v>4955010.0168571472</v>
      </c>
      <c r="AE25" s="202">
        <f>VLOOKUP($C25,'MSET pivots'!$B$4:$H$14,$H$3,FALSE)*1000000*$I$3*'MSET pivots'!L$65</f>
        <v>5336158.4764633169</v>
      </c>
      <c r="AF25" s="202">
        <f>VLOOKUP($C25,'MSET pivots'!$B$4:$H$14,$H$3,FALSE)*1000000*$I$3*'MSET pivots'!M$65</f>
        <v>5717306.9360694867</v>
      </c>
      <c r="AG25" s="202">
        <f>VLOOKUP($C25,'MSET pivots'!$B$4:$H$14,$H$3,FALSE)*1000000*$I$3*'MSET pivots'!N$65</f>
        <v>6098455.3956756564</v>
      </c>
      <c r="AH25" s="202">
        <f>VLOOKUP($C25,'MSET pivots'!$B$4:$H$14,$H$3,FALSE)*1000000*$I$3*'MSET pivots'!O$65</f>
        <v>6479603.8552818252</v>
      </c>
      <c r="AI25" s="202">
        <f>VLOOKUP($C25,'MSET pivots'!$B$4:$H$14,$H$3,FALSE)*1000000*$I$3*'MSET pivots'!P$65</f>
        <v>6860752.3148879949</v>
      </c>
      <c r="AJ25" s="202">
        <f>VLOOKUP($C25,'MSET pivots'!$B$4:$H$14,$H$3,FALSE)*1000000*$I$3*'MSET pivots'!Q$65</f>
        <v>7241900.7744941646</v>
      </c>
      <c r="AK25" s="202">
        <f>VLOOKUP($C25,'MSET pivots'!$B$4:$H$14,$H$3,FALSE)*1000000*$I$3*'MSET pivots'!R$65</f>
        <v>7623049.2341003343</v>
      </c>
      <c r="AL25" s="202">
        <f>VLOOKUP($C25,'MSET pivots'!$B$4:$H$14,$H$3,FALSE)*1000000*$I$3*'MSET pivots'!S$65</f>
        <v>8004197.6937065069</v>
      </c>
    </row>
    <row r="26" spans="1:38" x14ac:dyDescent="0.3">
      <c r="B26" t="s">
        <v>653</v>
      </c>
      <c r="C26" t="s">
        <v>1021</v>
      </c>
      <c r="E26" t="s">
        <v>1021</v>
      </c>
      <c r="F26" t="s">
        <v>1232</v>
      </c>
      <c r="G26" t="s">
        <v>1232</v>
      </c>
      <c r="H26" t="s">
        <v>1233</v>
      </c>
      <c r="I26" t="s">
        <v>1239</v>
      </c>
      <c r="J26" t="s">
        <v>1240</v>
      </c>
      <c r="K26" s="266">
        <f t="shared" si="0"/>
        <v>215.59555315238964</v>
      </c>
      <c r="W26" s="261">
        <f>'Preliminary results'!$C$31*1000000*I2</f>
        <v>902060.73048874759</v>
      </c>
      <c r="X26" s="202">
        <f>VLOOKUP($C26,'MSET pivots'!$B$4:$H$14,$H$3,FALSE)*1000000*$I$2*'MSET pivots'!E$65</f>
        <v>7186626.2356505776</v>
      </c>
      <c r="Y26" s="202">
        <f>VLOOKUP($C26,'MSET pivots'!$B$4:$H$14,$H$3,FALSE)*1000000*$I$2*'MSET pivots'!F$65</f>
        <v>8213256.3272470636</v>
      </c>
      <c r="Z26" s="202">
        <f>VLOOKUP($C26,'MSET pivots'!$B$4:$H$14,$H$3,FALSE)*1000000*$I$2*'MSET pivots'!G$65</f>
        <v>9239886.4188435487</v>
      </c>
      <c r="AA26" s="202">
        <f>VLOOKUP($C26,'MSET pivots'!$B$4:$H$14,$H$3,FALSE)*1000000*$I$2*'MSET pivots'!H$65</f>
        <v>10266516.510440035</v>
      </c>
      <c r="AB26" s="202">
        <f>VLOOKUP($C26,'MSET pivots'!$B$4:$H$14,$H$3,FALSE)*1000000*$I$2*'MSET pivots'!I$65</f>
        <v>11293146.602036521</v>
      </c>
      <c r="AC26" s="202">
        <f>VLOOKUP($C26,'MSET pivots'!$B$4:$H$14,$H$3,FALSE)*1000000*$I$2*'MSET pivots'!J$65</f>
        <v>12319776.693633005</v>
      </c>
      <c r="AD26" s="202">
        <f>VLOOKUP($C26,'MSET pivots'!$B$4:$H$14,$H$3,FALSE)*1000000*$I$2*'MSET pivots'!K$65</f>
        <v>13346406.785229491</v>
      </c>
      <c r="AE26" s="202">
        <f>VLOOKUP($C26,'MSET pivots'!$B$4:$H$14,$H$3,FALSE)*1000000*$I$2*'MSET pivots'!L$65</f>
        <v>14373036.876825975</v>
      </c>
      <c r="AF26" s="202">
        <f>VLOOKUP($C26,'MSET pivots'!$B$4:$H$14,$H$3,FALSE)*1000000*$I$2*'MSET pivots'!M$65</f>
        <v>15399666.968422459</v>
      </c>
      <c r="AG26" s="202">
        <f>VLOOKUP($C26,'MSET pivots'!$B$4:$H$14,$H$3,FALSE)*1000000*$I$2*'MSET pivots'!N$65</f>
        <v>16426297.060018944</v>
      </c>
      <c r="AH26" s="202">
        <f>VLOOKUP($C26,'MSET pivots'!$B$4:$H$14,$H$3,FALSE)*1000000*$I$2*'MSET pivots'!O$65</f>
        <v>17452927.151615426</v>
      </c>
      <c r="AI26" s="202">
        <f>VLOOKUP($C26,'MSET pivots'!$B$4:$H$14,$H$3,FALSE)*1000000*$I$2*'MSET pivots'!P$65</f>
        <v>18479557.24321191</v>
      </c>
      <c r="AJ26" s="202">
        <f>VLOOKUP($C26,'MSET pivots'!$B$4:$H$14,$H$3,FALSE)*1000000*$I$2*'MSET pivots'!Q$65</f>
        <v>19506187.334808394</v>
      </c>
      <c r="AK26" s="202">
        <f>VLOOKUP($C26,'MSET pivots'!$B$4:$H$14,$H$3,FALSE)*1000000*$I$2*'MSET pivots'!R$65</f>
        <v>20532817.426404878</v>
      </c>
      <c r="AL26" s="202">
        <f>VLOOKUP($C26,'MSET pivots'!$B$4:$H$14,$H$3,FALSE)*1000000*$I$2*'MSET pivots'!S$65</f>
        <v>21559447.518001374</v>
      </c>
    </row>
    <row r="27" spans="1:38" x14ac:dyDescent="0.3">
      <c r="B27" t="s">
        <v>653</v>
      </c>
      <c r="C27" t="s">
        <v>1021</v>
      </c>
      <c r="E27" t="s">
        <v>1021</v>
      </c>
      <c r="F27" t="s">
        <v>1232</v>
      </c>
      <c r="G27" t="s">
        <v>1232</v>
      </c>
      <c r="H27" t="s">
        <v>1255</v>
      </c>
      <c r="I27" t="s">
        <v>1256</v>
      </c>
      <c r="J27" t="s">
        <v>1240</v>
      </c>
      <c r="K27" s="266">
        <f t="shared" si="0"/>
        <v>215.59555315238964</v>
      </c>
      <c r="W27" s="261">
        <f>'Preliminary results'!$C$31*1000000*I3</f>
        <v>902060.73048874759</v>
      </c>
      <c r="X27" s="202">
        <f>VLOOKUP($C27,'MSET pivots'!$B$4:$H$14,$H$3,FALSE)*1000000*$I$3*'MSET pivots'!E$65</f>
        <v>7186626.2356505776</v>
      </c>
      <c r="Y27" s="202">
        <f>VLOOKUP($C27,'MSET pivots'!$B$4:$H$14,$H$3,FALSE)*1000000*$I$3*'MSET pivots'!F$65</f>
        <v>8213256.3272470636</v>
      </c>
      <c r="Z27" s="202">
        <f>VLOOKUP($C27,'MSET pivots'!$B$4:$H$14,$H$3,FALSE)*1000000*$I$3*'MSET pivots'!G$65</f>
        <v>9239886.4188435487</v>
      </c>
      <c r="AA27" s="202">
        <f>VLOOKUP($C27,'MSET pivots'!$B$4:$H$14,$H$3,FALSE)*1000000*$I$3*'MSET pivots'!H$65</f>
        <v>10266516.510440035</v>
      </c>
      <c r="AB27" s="202">
        <f>VLOOKUP($C27,'MSET pivots'!$B$4:$H$14,$H$3,FALSE)*1000000*$I$3*'MSET pivots'!I$65</f>
        <v>11293146.602036521</v>
      </c>
      <c r="AC27" s="202">
        <f>VLOOKUP($C27,'MSET pivots'!$B$4:$H$14,$H$3,FALSE)*1000000*$I$3*'MSET pivots'!J$65</f>
        <v>12319776.693633005</v>
      </c>
      <c r="AD27" s="202">
        <f>VLOOKUP($C27,'MSET pivots'!$B$4:$H$14,$H$3,FALSE)*1000000*$I$3*'MSET pivots'!K$65</f>
        <v>13346406.785229491</v>
      </c>
      <c r="AE27" s="202">
        <f>VLOOKUP($C27,'MSET pivots'!$B$4:$H$14,$H$3,FALSE)*1000000*$I$3*'MSET pivots'!L$65</f>
        <v>14373036.876825975</v>
      </c>
      <c r="AF27" s="202">
        <f>VLOOKUP($C27,'MSET pivots'!$B$4:$H$14,$H$3,FALSE)*1000000*$I$3*'MSET pivots'!M$65</f>
        <v>15399666.968422459</v>
      </c>
      <c r="AG27" s="202">
        <f>VLOOKUP($C27,'MSET pivots'!$B$4:$H$14,$H$3,FALSE)*1000000*$I$3*'MSET pivots'!N$65</f>
        <v>16426297.060018944</v>
      </c>
      <c r="AH27" s="202">
        <f>VLOOKUP($C27,'MSET pivots'!$B$4:$H$14,$H$3,FALSE)*1000000*$I$3*'MSET pivots'!O$65</f>
        <v>17452927.151615426</v>
      </c>
      <c r="AI27" s="202">
        <f>VLOOKUP($C27,'MSET pivots'!$B$4:$H$14,$H$3,FALSE)*1000000*$I$3*'MSET pivots'!P$65</f>
        <v>18479557.24321191</v>
      </c>
      <c r="AJ27" s="202">
        <f>VLOOKUP($C27,'MSET pivots'!$B$4:$H$14,$H$3,FALSE)*1000000*$I$3*'MSET pivots'!Q$65</f>
        <v>19506187.334808394</v>
      </c>
      <c r="AK27" s="202">
        <f>VLOOKUP($C27,'MSET pivots'!$B$4:$H$14,$H$3,FALSE)*1000000*$I$3*'MSET pivots'!R$65</f>
        <v>20532817.426404878</v>
      </c>
      <c r="AL27" s="202">
        <f>VLOOKUP($C27,'MSET pivots'!$B$4:$H$14,$H$3,FALSE)*1000000*$I$3*'MSET pivots'!S$65</f>
        <v>21559447.518001374</v>
      </c>
    </row>
    <row r="28" spans="1:38" x14ac:dyDescent="0.3">
      <c r="A28" s="180"/>
      <c r="B28" s="180"/>
      <c r="C28" s="179" t="s">
        <v>1054</v>
      </c>
      <c r="D28" s="180"/>
      <c r="E28" s="179" t="s">
        <v>1054</v>
      </c>
      <c r="F28" s="180" t="s">
        <v>1232</v>
      </c>
      <c r="G28" s="180" t="s">
        <v>1232</v>
      </c>
      <c r="H28" s="180" t="s">
        <v>1255</v>
      </c>
      <c r="I28" s="180" t="s">
        <v>1256</v>
      </c>
      <c r="J28" s="181" t="s">
        <v>1234</v>
      </c>
      <c r="K28" s="231">
        <f t="shared" ref="K28:K31" si="2">SUM(X28:AL28)</f>
        <v>-0.33778872295457951</v>
      </c>
      <c r="L28" s="180"/>
      <c r="M28" s="180"/>
      <c r="N28" s="180"/>
      <c r="O28" s="180"/>
      <c r="P28" s="180"/>
      <c r="Q28" s="180"/>
      <c r="R28" s="180"/>
      <c r="S28" s="180"/>
      <c r="T28" s="180"/>
      <c r="U28" s="180"/>
      <c r="V28" s="180"/>
      <c r="W28" s="180"/>
      <c r="X28" s="203">
        <f>VLOOKUP($C28,'MSET pivots'!$J$4:$P$14,'Final demand(7)'!$H$3,FALSE)*'MSET pivots'!E$65</f>
        <v>-1.1259792992002995E-2</v>
      </c>
      <c r="Y28" s="203">
        <f>VLOOKUP($C28,'MSET pivots'!$J$4:$P$14,'Final demand(7)'!$H$3,FALSE)*'MSET pivots'!F$65</f>
        <v>-1.2868286592712847E-2</v>
      </c>
      <c r="Z28" s="203">
        <f>VLOOKUP($C28,'MSET pivots'!$J$4:$P$14,'Final demand(7)'!$H$3,FALSE)*'MSET pivots'!G$65</f>
        <v>-1.4476780193422701E-2</v>
      </c>
      <c r="AA28" s="203">
        <f>VLOOKUP($C28,'MSET pivots'!$J$4:$P$14,'Final demand(7)'!$H$3,FALSE)*'MSET pivots'!H$65</f>
        <v>-1.6085273794132555E-2</v>
      </c>
      <c r="AB28" s="203">
        <f>VLOOKUP($C28,'MSET pivots'!$J$4:$P$14,'Final demand(7)'!$H$3,FALSE)*'MSET pivots'!I$65</f>
        <v>-1.7693767394842408E-2</v>
      </c>
      <c r="AC28" s="203">
        <f>VLOOKUP($C28,'MSET pivots'!$J$4:$P$14,'Final demand(7)'!$H$3,FALSE)*'MSET pivots'!J$65</f>
        <v>-1.9302260995552264E-2</v>
      </c>
      <c r="AD28" s="203">
        <f>VLOOKUP($C28,'MSET pivots'!$J$4:$P$14,'Final demand(7)'!$H$3,FALSE)*'MSET pivots'!K$65</f>
        <v>-2.0910754596262116E-2</v>
      </c>
      <c r="AE28" s="203">
        <f>VLOOKUP($C28,'MSET pivots'!$J$4:$P$14,'Final demand(7)'!$H$3,FALSE)*'MSET pivots'!L$65</f>
        <v>-2.2519248196971969E-2</v>
      </c>
      <c r="AF28" s="203">
        <f>VLOOKUP($C28,'MSET pivots'!$J$4:$P$14,'Final demand(7)'!$H$3,FALSE)*'MSET pivots'!M$65</f>
        <v>-2.4127741797681821E-2</v>
      </c>
      <c r="AG28" s="203">
        <f>VLOOKUP($C28,'MSET pivots'!$J$4:$P$14,'Final demand(7)'!$H$3,FALSE)*'MSET pivots'!N$65</f>
        <v>-2.573623539839167E-2</v>
      </c>
      <c r="AH28" s="203">
        <f>VLOOKUP($C28,'MSET pivots'!$J$4:$P$14,'Final demand(7)'!$H$3,FALSE)*'MSET pivots'!O$65</f>
        <v>-2.7344728999101522E-2</v>
      </c>
      <c r="AI28" s="203">
        <f>VLOOKUP($C28,'MSET pivots'!$J$4:$P$14,'Final demand(7)'!$H$3,FALSE)*'MSET pivots'!P$65</f>
        <v>-2.8953222599811375E-2</v>
      </c>
      <c r="AJ28" s="203">
        <f>VLOOKUP($C28,'MSET pivots'!$J$4:$P$14,'Final demand(7)'!$H$3,FALSE)*'MSET pivots'!Q$65</f>
        <v>-3.0561716200521224E-2</v>
      </c>
      <c r="AK28" s="203">
        <f>VLOOKUP($C28,'MSET pivots'!$J$4:$P$14,'Final demand(7)'!$H$3,FALSE)*'MSET pivots'!R$65</f>
        <v>-3.217020980123108E-2</v>
      </c>
      <c r="AL28" s="203">
        <f>VLOOKUP($C28,'MSET pivots'!$J$4:$P$14,'Final demand(7)'!$H$3,FALSE)*'MSET pivots'!S$65</f>
        <v>-3.3778703401940939E-2</v>
      </c>
    </row>
    <row r="29" spans="1:38" x14ac:dyDescent="0.3">
      <c r="A29" s="180"/>
      <c r="B29" s="180"/>
      <c r="C29" s="179" t="s">
        <v>1053</v>
      </c>
      <c r="D29" s="180"/>
      <c r="E29" s="179" t="s">
        <v>1053</v>
      </c>
      <c r="F29" s="180" t="s">
        <v>1232</v>
      </c>
      <c r="G29" s="180" t="s">
        <v>1232</v>
      </c>
      <c r="H29" s="180" t="s">
        <v>1255</v>
      </c>
      <c r="I29" s="180" t="s">
        <v>1256</v>
      </c>
      <c r="J29" s="181" t="s">
        <v>1234</v>
      </c>
      <c r="K29" s="231">
        <f t="shared" si="2"/>
        <v>-0.38204830054449745</v>
      </c>
      <c r="L29" s="180"/>
      <c r="M29" s="180"/>
      <c r="N29" s="180"/>
      <c r="O29" s="180"/>
      <c r="P29" s="180"/>
      <c r="Q29" s="180"/>
      <c r="R29" s="180"/>
      <c r="S29" s="180"/>
      <c r="T29" s="180"/>
      <c r="U29" s="180"/>
      <c r="V29" s="180"/>
      <c r="W29" s="180"/>
      <c r="X29" s="203">
        <f>VLOOKUP($C29,'MSET pivots'!$J$4:$P$14,'Final demand(7)'!$H$3,FALSE)*'MSET pivots'!E$65</f>
        <v>-1.2735134374678407E-2</v>
      </c>
      <c r="Y29" s="203">
        <f>VLOOKUP($C29,'MSET pivots'!$J$4:$P$14,'Final demand(7)'!$H$3,FALSE)*'MSET pivots'!F$65</f>
        <v>-1.4554384707290993E-2</v>
      </c>
      <c r="Z29" s="203">
        <f>VLOOKUP($C29,'MSET pivots'!$J$4:$P$14,'Final demand(7)'!$H$3,FALSE)*'MSET pivots'!G$65</f>
        <v>-1.6373635039903578E-2</v>
      </c>
      <c r="AA29" s="203">
        <f>VLOOKUP($C29,'MSET pivots'!$J$4:$P$14,'Final demand(7)'!$H$3,FALSE)*'MSET pivots'!H$65</f>
        <v>-1.8192885372516163E-2</v>
      </c>
      <c r="AB29" s="203">
        <f>VLOOKUP($C29,'MSET pivots'!$J$4:$P$14,'Final demand(7)'!$H$3,FALSE)*'MSET pivots'!I$65</f>
        <v>-2.0012135705128747E-2</v>
      </c>
      <c r="AC29" s="203">
        <f>VLOOKUP($C29,'MSET pivots'!$J$4:$P$14,'Final demand(7)'!$H$3,FALSE)*'MSET pivots'!J$65</f>
        <v>-2.1831386037741336E-2</v>
      </c>
      <c r="AD29" s="203">
        <f>VLOOKUP($C29,'MSET pivots'!$J$4:$P$14,'Final demand(7)'!$H$3,FALSE)*'MSET pivots'!K$65</f>
        <v>-2.365063637035392E-2</v>
      </c>
      <c r="AE29" s="203">
        <f>VLOOKUP($C29,'MSET pivots'!$J$4:$P$14,'Final demand(7)'!$H$3,FALSE)*'MSET pivots'!L$65</f>
        <v>-2.5469886702966502E-2</v>
      </c>
      <c r="AF29" s="203">
        <f>VLOOKUP($C29,'MSET pivots'!$J$4:$P$14,'Final demand(7)'!$H$3,FALSE)*'MSET pivots'!M$65</f>
        <v>-2.7289137035579086E-2</v>
      </c>
      <c r="AG29" s="203">
        <f>VLOOKUP($C29,'MSET pivots'!$J$4:$P$14,'Final demand(7)'!$H$3,FALSE)*'MSET pivots'!N$65</f>
        <v>-2.9108387368191668E-2</v>
      </c>
      <c r="AH29" s="203">
        <f>VLOOKUP($C29,'MSET pivots'!$J$4:$P$14,'Final demand(7)'!$H$3,FALSE)*'MSET pivots'!O$65</f>
        <v>-3.0927637700804249E-2</v>
      </c>
      <c r="AI29" s="203">
        <f>VLOOKUP($C29,'MSET pivots'!$J$4:$P$14,'Final demand(7)'!$H$3,FALSE)*'MSET pivots'!P$65</f>
        <v>-3.2746888033416834E-2</v>
      </c>
      <c r="AJ29" s="203">
        <f>VLOOKUP($C29,'MSET pivots'!$J$4:$P$14,'Final demand(7)'!$H$3,FALSE)*'MSET pivots'!Q$65</f>
        <v>-3.4566138366029418E-2</v>
      </c>
      <c r="AK29" s="203">
        <f>VLOOKUP($C29,'MSET pivots'!$J$4:$P$14,'Final demand(7)'!$H$3,FALSE)*'MSET pivots'!R$65</f>
        <v>-3.6385388698641996E-2</v>
      </c>
      <c r="AL29" s="203">
        <f>VLOOKUP($C29,'MSET pivots'!$J$4:$P$14,'Final demand(7)'!$H$3,FALSE)*'MSET pivots'!S$65</f>
        <v>-3.8204639031254595E-2</v>
      </c>
    </row>
    <row r="30" spans="1:38" x14ac:dyDescent="0.3">
      <c r="A30" s="180"/>
      <c r="B30" s="180" t="s">
        <v>317</v>
      </c>
      <c r="C30" s="180" t="s">
        <v>1046</v>
      </c>
      <c r="D30" s="180"/>
      <c r="E30" s="180" t="s">
        <v>1046</v>
      </c>
      <c r="F30" s="180" t="s">
        <v>1232</v>
      </c>
      <c r="G30" s="180" t="s">
        <v>1232</v>
      </c>
      <c r="H30" s="180" t="s">
        <v>1255</v>
      </c>
      <c r="I30" s="180" t="s">
        <v>1256</v>
      </c>
      <c r="J30" s="181" t="s">
        <v>1234</v>
      </c>
      <c r="K30" s="231">
        <f t="shared" si="2"/>
        <v>-0.2701568756885333</v>
      </c>
      <c r="L30" s="180"/>
      <c r="M30" s="180"/>
      <c r="N30" s="180"/>
      <c r="O30" s="180"/>
      <c r="P30" s="180"/>
      <c r="Q30" s="180"/>
      <c r="R30" s="180"/>
      <c r="S30" s="180"/>
      <c r="T30" s="180"/>
      <c r="U30" s="180"/>
      <c r="V30" s="180"/>
      <c r="W30" s="204">
        <f>('Preliminary results'!$C$31)/'Baseline govt spend'!$E$51</f>
        <v>6.6729533221219594E-4</v>
      </c>
      <c r="X30" s="203">
        <f>VLOOKUP($C30,'MSET pivots'!$J$4:$P$14,'Final demand(7)'!$H$3,FALSE)*'MSET pivots'!E$65</f>
        <v>-9.0053642673802326E-3</v>
      </c>
      <c r="Y30" s="203">
        <f>VLOOKUP($C30,'MSET pivots'!$J$4:$P$14,'Final demand(7)'!$H$3,FALSE)*'MSET pivots'!F$65</f>
        <v>-1.0291806283359564E-2</v>
      </c>
      <c r="Z30" s="203">
        <f>VLOOKUP($C30,'MSET pivots'!$J$4:$P$14,'Final demand(7)'!$H$3,FALSE)*'MSET pivots'!G$65</f>
        <v>-1.1578248299338895E-2</v>
      </c>
      <c r="AA30" s="203">
        <f>VLOOKUP($C30,'MSET pivots'!$J$4:$P$14,'Final demand(7)'!$H$3,FALSE)*'MSET pivots'!H$65</f>
        <v>-1.2864690315318228E-2</v>
      </c>
      <c r="AB30" s="203">
        <f>VLOOKUP($C30,'MSET pivots'!$J$4:$P$14,'Final demand(7)'!$H$3,FALSE)*'MSET pivots'!I$65</f>
        <v>-1.4151132331297559E-2</v>
      </c>
      <c r="AC30" s="203">
        <f>VLOOKUP($C30,'MSET pivots'!$J$4:$P$14,'Final demand(7)'!$H$3,FALSE)*'MSET pivots'!J$65</f>
        <v>-1.543757434727689E-2</v>
      </c>
      <c r="AD30" s="203">
        <f>VLOOKUP($C30,'MSET pivots'!$J$4:$P$14,'Final demand(7)'!$H$3,FALSE)*'MSET pivots'!K$65</f>
        <v>-1.6724016363256222E-2</v>
      </c>
      <c r="AE30" s="203">
        <f>VLOOKUP($C30,'MSET pivots'!$J$4:$P$14,'Final demand(7)'!$H$3,FALSE)*'MSET pivots'!L$65</f>
        <v>-1.8010458379235553E-2</v>
      </c>
      <c r="AF30" s="203">
        <f>VLOOKUP($C30,'MSET pivots'!$J$4:$P$14,'Final demand(7)'!$H$3,FALSE)*'MSET pivots'!M$65</f>
        <v>-1.9296900395214884E-2</v>
      </c>
      <c r="AG30" s="203">
        <f>VLOOKUP($C30,'MSET pivots'!$J$4:$P$14,'Final demand(7)'!$H$3,FALSE)*'MSET pivots'!N$65</f>
        <v>-2.0583342411194212E-2</v>
      </c>
      <c r="AH30" s="203">
        <f>VLOOKUP($C30,'MSET pivots'!$J$4:$P$14,'Final demand(7)'!$H$3,FALSE)*'MSET pivots'!O$65</f>
        <v>-2.1869784427173543E-2</v>
      </c>
      <c r="AI30" s="203">
        <f>VLOOKUP($C30,'MSET pivots'!$J$4:$P$14,'Final demand(7)'!$H$3,FALSE)*'MSET pivots'!P$65</f>
        <v>-2.3156226443152871E-2</v>
      </c>
      <c r="AJ30" s="203">
        <f>VLOOKUP($C30,'MSET pivots'!$J$4:$P$14,'Final demand(7)'!$H$3,FALSE)*'MSET pivots'!Q$65</f>
        <v>-2.4442668459132202E-2</v>
      </c>
      <c r="AK30" s="203">
        <f>VLOOKUP($C30,'MSET pivots'!$J$4:$P$14,'Final demand(7)'!$H$3,FALSE)*'MSET pivots'!R$65</f>
        <v>-2.5729110475111533E-2</v>
      </c>
      <c r="AL30" s="203">
        <f>VLOOKUP($C30,'MSET pivots'!$J$4:$P$14,'Final demand(7)'!$H$3,FALSE)*'MSET pivots'!S$65</f>
        <v>-2.7015552491090875E-2</v>
      </c>
    </row>
    <row r="31" spans="1:38" x14ac:dyDescent="0.3">
      <c r="A31" s="180"/>
      <c r="B31" s="180"/>
      <c r="C31" s="179" t="s">
        <v>861</v>
      </c>
      <c r="D31" s="180"/>
      <c r="E31" s="179" t="s">
        <v>861</v>
      </c>
      <c r="F31" s="180" t="s">
        <v>1232</v>
      </c>
      <c r="G31" s="180" t="s">
        <v>1232</v>
      </c>
      <c r="H31" s="180" t="s">
        <v>1255</v>
      </c>
      <c r="I31" s="180" t="s">
        <v>1256</v>
      </c>
      <c r="J31" s="181" t="s">
        <v>1234</v>
      </c>
      <c r="K31" s="231">
        <f t="shared" si="2"/>
        <v>-0.73052569153480462</v>
      </c>
      <c r="L31" s="180"/>
      <c r="M31" s="180"/>
      <c r="N31" s="180"/>
      <c r="O31" s="180"/>
      <c r="P31" s="180"/>
      <c r="Q31" s="180"/>
      <c r="R31" s="180"/>
      <c r="S31" s="180"/>
      <c r="T31" s="180"/>
      <c r="U31" s="180"/>
      <c r="V31" s="180"/>
      <c r="W31" s="180"/>
      <c r="X31" s="203">
        <f>VLOOKUP($C31,'MSET pivots'!$J$4:$P$14,'Final demand(7)'!$H$3,FALSE)*'MSET pivots'!E$65</f>
        <v>-2.4351221645512951E-2</v>
      </c>
      <c r="Y31" s="203">
        <f>VLOOKUP($C31,'MSET pivots'!$J$4:$P$14,'Final demand(7)'!$H$3,FALSE)*'MSET pivots'!F$65</f>
        <v>-2.7829863234580671E-2</v>
      </c>
      <c r="Z31" s="203">
        <f>VLOOKUP($C31,'MSET pivots'!$J$4:$P$14,'Final demand(7)'!$H$3,FALSE)*'MSET pivots'!G$65</f>
        <v>-3.1308504823648386E-2</v>
      </c>
      <c r="AA31" s="203">
        <f>VLOOKUP($C31,'MSET pivots'!$J$4:$P$14,'Final demand(7)'!$H$3,FALSE)*'MSET pivots'!H$65</f>
        <v>-3.4787146412716109E-2</v>
      </c>
      <c r="AB31" s="203">
        <f>VLOOKUP($C31,'MSET pivots'!$J$4:$P$14,'Final demand(7)'!$H$3,FALSE)*'MSET pivots'!I$65</f>
        <v>-3.8265788001783825E-2</v>
      </c>
      <c r="AC31" s="203">
        <f>VLOOKUP($C31,'MSET pivots'!$J$4:$P$14,'Final demand(7)'!$H$3,FALSE)*'MSET pivots'!J$65</f>
        <v>-4.1744429590851548E-2</v>
      </c>
      <c r="AD31" s="203">
        <f>VLOOKUP($C31,'MSET pivots'!$J$4:$P$14,'Final demand(7)'!$H$3,FALSE)*'MSET pivots'!K$65</f>
        <v>-4.5223071179919264E-2</v>
      </c>
      <c r="AE31" s="203">
        <f>VLOOKUP($C31,'MSET pivots'!$J$4:$P$14,'Final demand(7)'!$H$3,FALSE)*'MSET pivots'!L$65</f>
        <v>-4.8701712768986979E-2</v>
      </c>
      <c r="AF31" s="203">
        <f>VLOOKUP($C31,'MSET pivots'!$J$4:$P$14,'Final demand(7)'!$H$3,FALSE)*'MSET pivots'!M$65</f>
        <v>-5.2180354358054688E-2</v>
      </c>
      <c r="AG31" s="203">
        <f>VLOOKUP($C31,'MSET pivots'!$J$4:$P$14,'Final demand(7)'!$H$3,FALSE)*'MSET pivots'!N$65</f>
        <v>-5.5658995947122404E-2</v>
      </c>
      <c r="AH31" s="203">
        <f>VLOOKUP($C31,'MSET pivots'!$J$4:$P$14,'Final demand(7)'!$H$3,FALSE)*'MSET pivots'!O$65</f>
        <v>-5.913763753619012E-2</v>
      </c>
      <c r="AI31" s="203">
        <f>VLOOKUP($C31,'MSET pivots'!$J$4:$P$14,'Final demand(7)'!$H$3,FALSE)*'MSET pivots'!P$65</f>
        <v>-6.2616279125257829E-2</v>
      </c>
      <c r="AJ31" s="203">
        <f>VLOOKUP($C31,'MSET pivots'!$J$4:$P$14,'Final demand(7)'!$H$3,FALSE)*'MSET pivots'!Q$65</f>
        <v>-6.6094920714325545E-2</v>
      </c>
      <c r="AK31" s="203">
        <f>VLOOKUP($C31,'MSET pivots'!$J$4:$P$14,'Final demand(7)'!$H$3,FALSE)*'MSET pivots'!R$65</f>
        <v>-6.957356230339326E-2</v>
      </c>
      <c r="AL31" s="203">
        <f>VLOOKUP($C31,'MSET pivots'!$J$4:$P$14,'Final demand(7)'!$H$3,FALSE)*'MSET pivots'!S$65</f>
        <v>-7.3052203892461004E-2</v>
      </c>
    </row>
    <row r="32" spans="1:38" x14ac:dyDescent="0.3">
      <c r="J32" s="172"/>
    </row>
    <row r="33" spans="7:10" x14ac:dyDescent="0.3">
      <c r="J33" s="172"/>
    </row>
    <row r="34" spans="7:10" x14ac:dyDescent="0.3">
      <c r="J34" s="172"/>
    </row>
    <row r="35" spans="7:10" x14ac:dyDescent="0.3">
      <c r="J35" s="172"/>
    </row>
    <row r="36" spans="7:10" x14ac:dyDescent="0.3">
      <c r="J36" s="172"/>
    </row>
    <row r="37" spans="7:10" x14ac:dyDescent="0.3">
      <c r="G37" s="94"/>
      <c r="J37" s="172"/>
    </row>
    <row r="38" spans="7:10" x14ac:dyDescent="0.3">
      <c r="G38" s="94"/>
      <c r="J38" s="172"/>
    </row>
    <row r="39" spans="7:10" x14ac:dyDescent="0.3">
      <c r="G39" s="94"/>
      <c r="J39" s="172"/>
    </row>
    <row r="40" spans="7:10" x14ac:dyDescent="0.3">
      <c r="G40" s="94"/>
      <c r="J40" s="172"/>
    </row>
    <row r="41" spans="7:10" x14ac:dyDescent="0.3">
      <c r="G41" s="94"/>
      <c r="J41" s="172"/>
    </row>
    <row r="42" spans="7:10" x14ac:dyDescent="0.3">
      <c r="G42" s="94"/>
      <c r="J42" s="172"/>
    </row>
    <row r="43" spans="7:10" x14ac:dyDescent="0.3">
      <c r="G43" s="94"/>
      <c r="J43" s="172"/>
    </row>
    <row r="44" spans="7:10" x14ac:dyDescent="0.3">
      <c r="G44" t="str">
        <f>_xlfn.IFNA(INDEX('[1]Sector list'!$A$2:$A$122,MATCH(F44,'[1]Sector list'!$B$2:$B$122,0)),"")</f>
        <v/>
      </c>
      <c r="I44" t="str">
        <f>_xlfn.IFNA(INDEX('[1]FD list'!$A$2:$A$122,MATCH(H44,'[1]FD list'!$B$2:$B$122,0)),"")</f>
        <v/>
      </c>
      <c r="J44" s="172"/>
    </row>
    <row r="45" spans="7:10" x14ac:dyDescent="0.3">
      <c r="G45" t="str">
        <f>_xlfn.IFNA(INDEX('[1]Sector list'!$A$2:$A$122,MATCH(F45,'[1]Sector list'!$B$2:$B$122,0)),"")</f>
        <v/>
      </c>
      <c r="I45" t="str">
        <f>_xlfn.IFNA(INDEX('[1]FD list'!$A$2:$A$122,MATCH(H45,'[1]FD list'!$B$2:$B$122,0)),"")</f>
        <v/>
      </c>
      <c r="J45" s="172"/>
    </row>
    <row r="46" spans="7:10" x14ac:dyDescent="0.3">
      <c r="G46" t="str">
        <f>_xlfn.IFNA(INDEX('[1]Sector list'!$A$2:$A$122,MATCH(F46,'[1]Sector list'!$B$2:$B$122,0)),"")</f>
        <v/>
      </c>
      <c r="I46" t="str">
        <f>_xlfn.IFNA(INDEX('[1]FD list'!$A$2:$A$122,MATCH(H46,'[1]FD list'!$B$2:$B$122,0)),"")</f>
        <v/>
      </c>
      <c r="J46" s="172"/>
    </row>
    <row r="47" spans="7:10" x14ac:dyDescent="0.3">
      <c r="G47" t="str">
        <f>_xlfn.IFNA(INDEX('[1]Sector list'!$A$2:$A$122,MATCH(F47,'[1]Sector list'!$B$2:$B$122,0)),"")</f>
        <v/>
      </c>
      <c r="I47" t="str">
        <f>_xlfn.IFNA(INDEX('[1]FD list'!$A$2:$A$122,MATCH(H47,'[1]FD list'!$B$2:$B$122,0)),"")</f>
        <v/>
      </c>
      <c r="J47" s="172"/>
    </row>
    <row r="48" spans="7:10" x14ac:dyDescent="0.3">
      <c r="G48" t="str">
        <f>_xlfn.IFNA(INDEX('[1]Sector list'!$A$2:$A$122,MATCH(F48,'[1]Sector list'!$B$2:$B$122,0)),"")</f>
        <v/>
      </c>
      <c r="I48" t="str">
        <f>_xlfn.IFNA(INDEX('[1]FD list'!$A$2:$A$122,MATCH(H48,'[1]FD list'!$B$2:$B$122,0)),"")</f>
        <v/>
      </c>
      <c r="J48" s="172"/>
    </row>
    <row r="49" spans="7:10" x14ac:dyDescent="0.3">
      <c r="G49" t="str">
        <f>_xlfn.IFNA(INDEX('[1]Sector list'!$A$2:$A$122,MATCH(F49,'[1]Sector list'!$B$2:$B$122,0)),"")</f>
        <v/>
      </c>
      <c r="I49" t="str">
        <f>_xlfn.IFNA(INDEX('[1]FD list'!$A$2:$A$122,MATCH(H49,'[1]FD list'!$B$2:$B$122,0)),"")</f>
        <v/>
      </c>
      <c r="J49" s="172"/>
    </row>
    <row r="50" spans="7:10" x14ac:dyDescent="0.3">
      <c r="G50" t="str">
        <f>_xlfn.IFNA(INDEX('[1]Sector list'!$A$2:$A$122,MATCH(F50,'[1]Sector list'!$B$2:$B$122,0)),"")</f>
        <v/>
      </c>
      <c r="I50" t="str">
        <f>_xlfn.IFNA(INDEX('[1]FD list'!$A$2:$A$122,MATCH(H50,'[1]FD list'!$B$2:$B$122,0)),"")</f>
        <v/>
      </c>
      <c r="J50" s="172"/>
    </row>
    <row r="51" spans="7:10" x14ac:dyDescent="0.3">
      <c r="G51" t="str">
        <f>_xlfn.IFNA(INDEX('[1]Sector list'!$A$2:$A$122,MATCH(F51,'[1]Sector list'!$B$2:$B$122,0)),"")</f>
        <v/>
      </c>
      <c r="I51" t="str">
        <f>_xlfn.IFNA(INDEX('[1]FD list'!$A$2:$A$122,MATCH(H51,'[1]FD list'!$B$2:$B$122,0)),"")</f>
        <v/>
      </c>
      <c r="J51" s="172"/>
    </row>
    <row r="52" spans="7:10" x14ac:dyDescent="0.3">
      <c r="G52" t="str">
        <f>_xlfn.IFNA(INDEX('[1]Sector list'!$A$2:$A$122,MATCH(F52,'[1]Sector list'!$B$2:$B$122,0)),"")</f>
        <v/>
      </c>
      <c r="I52" t="str">
        <f>_xlfn.IFNA(INDEX('[1]FD list'!$A$2:$A$122,MATCH(H52,'[1]FD list'!$B$2:$B$122,0)),"")</f>
        <v/>
      </c>
      <c r="J52" s="172"/>
    </row>
    <row r="53" spans="7:10" x14ac:dyDescent="0.3">
      <c r="G53" t="str">
        <f>_xlfn.IFNA(INDEX('[1]Sector list'!$A$2:$A$122,MATCH(F53,'[1]Sector list'!$B$2:$B$122,0)),"")</f>
        <v/>
      </c>
      <c r="I53" t="str">
        <f>_xlfn.IFNA(INDEX('[1]FD list'!$A$2:$A$122,MATCH(H53,'[1]FD list'!$B$2:$B$122,0)),"")</f>
        <v/>
      </c>
      <c r="J53" s="172"/>
    </row>
    <row r="54" spans="7:10" x14ac:dyDescent="0.3">
      <c r="G54" t="str">
        <f>_xlfn.IFNA(INDEX('[1]Sector list'!$A$2:$A$122,MATCH(F54,'[1]Sector list'!$B$2:$B$122,0)),"")</f>
        <v/>
      </c>
      <c r="I54" t="str">
        <f>_xlfn.IFNA(INDEX('[1]FD list'!$A$2:$A$122,MATCH(H54,'[1]FD list'!$B$2:$B$122,0)),"")</f>
        <v/>
      </c>
      <c r="J54" s="172"/>
    </row>
    <row r="55" spans="7:10" x14ac:dyDescent="0.3">
      <c r="G55" t="str">
        <f>_xlfn.IFNA(INDEX('[1]Sector list'!$A$2:$A$122,MATCH(F55,'[1]Sector list'!$B$2:$B$122,0)),"")</f>
        <v/>
      </c>
      <c r="I55" t="str">
        <f>_xlfn.IFNA(INDEX('[1]FD list'!$A$2:$A$122,MATCH(H55,'[1]FD list'!$B$2:$B$122,0)),"")</f>
        <v/>
      </c>
      <c r="J55" s="172"/>
    </row>
    <row r="56" spans="7:10" x14ac:dyDescent="0.3">
      <c r="G56" t="str">
        <f>_xlfn.IFNA(INDEX('[1]Sector list'!$A$2:$A$122,MATCH(F56,'[1]Sector list'!$B$2:$B$122,0)),"")</f>
        <v/>
      </c>
      <c r="I56" t="str">
        <f>_xlfn.IFNA(INDEX('[1]FD list'!$A$2:$A$122,MATCH(H56,'[1]FD list'!$B$2:$B$122,0)),"")</f>
        <v/>
      </c>
      <c r="J56" s="172"/>
    </row>
    <row r="57" spans="7:10" x14ac:dyDescent="0.3">
      <c r="G57" t="str">
        <f>_xlfn.IFNA(INDEX('[1]Sector list'!$A$2:$A$122,MATCH(F57,'[1]Sector list'!$B$2:$B$122,0)),"")</f>
        <v/>
      </c>
      <c r="I57" t="str">
        <f>_xlfn.IFNA(INDEX('[1]FD list'!$A$2:$A$122,MATCH(H57,'[1]FD list'!$B$2:$B$122,0)),"")</f>
        <v/>
      </c>
      <c r="J57" s="172"/>
    </row>
    <row r="58" spans="7:10" x14ac:dyDescent="0.3">
      <c r="G58" t="str">
        <f>_xlfn.IFNA(INDEX('[1]Sector list'!$A$2:$A$122,MATCH(F58,'[1]Sector list'!$B$2:$B$122,0)),"")</f>
        <v/>
      </c>
      <c r="I58" t="str">
        <f>_xlfn.IFNA(INDEX('[1]FD list'!$A$2:$A$122,MATCH(H58,'[1]FD list'!$B$2:$B$122,0)),"")</f>
        <v/>
      </c>
      <c r="J58" s="172"/>
    </row>
    <row r="59" spans="7:10" x14ac:dyDescent="0.3">
      <c r="G59" t="str">
        <f>_xlfn.IFNA(INDEX('[1]Sector list'!$A$2:$A$122,MATCH(F59,'[1]Sector list'!$B$2:$B$122,0)),"")</f>
        <v/>
      </c>
      <c r="I59" t="str">
        <f>_xlfn.IFNA(INDEX('[1]FD list'!$A$2:$A$122,MATCH(H59,'[1]FD list'!$B$2:$B$122,0)),"")</f>
        <v/>
      </c>
      <c r="J59" s="172"/>
    </row>
    <row r="60" spans="7:10" x14ac:dyDescent="0.3">
      <c r="G60" t="str">
        <f>_xlfn.IFNA(INDEX('[1]Sector list'!$A$2:$A$122,MATCH(F60,'[1]Sector list'!$B$2:$B$122,0)),"")</f>
        <v/>
      </c>
      <c r="I60" t="str">
        <f>_xlfn.IFNA(INDEX('[1]FD list'!$A$2:$A$122,MATCH(H60,'[1]FD list'!$B$2:$B$122,0)),"")</f>
        <v/>
      </c>
      <c r="J60" s="172"/>
    </row>
    <row r="61" spans="7:10" x14ac:dyDescent="0.3">
      <c r="G61" t="str">
        <f>_xlfn.IFNA(INDEX('[1]Sector list'!$A$2:$A$122,MATCH(F61,'[1]Sector list'!$B$2:$B$122,0)),"")</f>
        <v/>
      </c>
      <c r="I61" t="str">
        <f>_xlfn.IFNA(INDEX('[1]FD list'!$A$2:$A$122,MATCH(H61,'[1]FD list'!$B$2:$B$122,0)),"")</f>
        <v/>
      </c>
      <c r="J61" s="172"/>
    </row>
    <row r="62" spans="7:10" x14ac:dyDescent="0.3">
      <c r="G62" t="str">
        <f>_xlfn.IFNA(INDEX('[1]Sector list'!$A$2:$A$122,MATCH(F62,'[1]Sector list'!$B$2:$B$122,0)),"")</f>
        <v/>
      </c>
      <c r="I62" t="str">
        <f>_xlfn.IFNA(INDEX('[1]FD list'!$A$2:$A$122,MATCH(H62,'[1]FD list'!$B$2:$B$122,0)),"")</f>
        <v/>
      </c>
      <c r="J62" s="172"/>
    </row>
    <row r="63" spans="7:10" x14ac:dyDescent="0.3">
      <c r="G63" t="str">
        <f>_xlfn.IFNA(INDEX('[1]Sector list'!$A$2:$A$122,MATCH(F63,'[1]Sector list'!$B$2:$B$122,0)),"")</f>
        <v/>
      </c>
      <c r="I63" t="str">
        <f>_xlfn.IFNA(INDEX('[1]FD list'!$A$2:$A$122,MATCH(H63,'[1]FD list'!$B$2:$B$122,0)),"")</f>
        <v/>
      </c>
      <c r="J63" s="172"/>
    </row>
    <row r="64" spans="7:10" x14ac:dyDescent="0.3">
      <c r="G64" t="str">
        <f>_xlfn.IFNA(INDEX('[1]Sector list'!$A$2:$A$122,MATCH(F64,'[1]Sector list'!$B$2:$B$122,0)),"")</f>
        <v/>
      </c>
      <c r="I64" t="str">
        <f>_xlfn.IFNA(INDEX('[1]FD list'!$A$2:$A$122,MATCH(H64,'[1]FD list'!$B$2:$B$122,0)),"")</f>
        <v/>
      </c>
      <c r="J64" s="172"/>
    </row>
    <row r="65" spans="7:10" x14ac:dyDescent="0.3">
      <c r="G65" t="str">
        <f>_xlfn.IFNA(INDEX('[1]Sector list'!$A$2:$A$122,MATCH(F65,'[1]Sector list'!$B$2:$B$122,0)),"")</f>
        <v/>
      </c>
      <c r="I65" t="str">
        <f>_xlfn.IFNA(INDEX('[1]FD list'!$A$2:$A$122,MATCH(H65,'[1]FD list'!$B$2:$B$122,0)),"")</f>
        <v/>
      </c>
      <c r="J65" s="172"/>
    </row>
    <row r="66" spans="7:10" x14ac:dyDescent="0.3">
      <c r="G66" t="str">
        <f>_xlfn.IFNA(INDEX('[1]Sector list'!$A$2:$A$122,MATCH(F66,'[1]Sector list'!$B$2:$B$122,0)),"")</f>
        <v/>
      </c>
      <c r="I66" t="str">
        <f>_xlfn.IFNA(INDEX('[1]FD list'!$A$2:$A$122,MATCH(H66,'[1]FD list'!$B$2:$B$122,0)),"")</f>
        <v/>
      </c>
      <c r="J66" s="172"/>
    </row>
    <row r="67" spans="7:10" x14ac:dyDescent="0.3">
      <c r="G67" t="str">
        <f>_xlfn.IFNA(INDEX('[1]Sector list'!$A$2:$A$122,MATCH(F67,'[1]Sector list'!$B$2:$B$122,0)),"")</f>
        <v/>
      </c>
      <c r="I67" t="str">
        <f>_xlfn.IFNA(INDEX('[1]FD list'!$A$2:$A$122,MATCH(H67,'[1]FD list'!$B$2:$B$122,0)),"")</f>
        <v/>
      </c>
      <c r="J67" s="172"/>
    </row>
    <row r="68" spans="7:10" x14ac:dyDescent="0.3">
      <c r="G68" t="str">
        <f>_xlfn.IFNA(INDEX('[1]Sector list'!$A$2:$A$122,MATCH(F68,'[1]Sector list'!$B$2:$B$122,0)),"")</f>
        <v/>
      </c>
      <c r="I68" t="str">
        <f>_xlfn.IFNA(INDEX('[1]FD list'!$A$2:$A$122,MATCH(H68,'[1]FD list'!$B$2:$B$122,0)),"")</f>
        <v/>
      </c>
      <c r="J68" s="172"/>
    </row>
    <row r="69" spans="7:10" x14ac:dyDescent="0.3">
      <c r="G69" t="str">
        <f>_xlfn.IFNA(INDEX('[1]Sector list'!$A$2:$A$122,MATCH(F69,'[1]Sector list'!$B$2:$B$122,0)),"")</f>
        <v/>
      </c>
      <c r="I69" t="str">
        <f>_xlfn.IFNA(INDEX('[1]FD list'!$A$2:$A$122,MATCH(H69,'[1]FD list'!$B$2:$B$122,0)),"")</f>
        <v/>
      </c>
      <c r="J69" s="172"/>
    </row>
    <row r="70" spans="7:10" x14ac:dyDescent="0.3">
      <c r="I70" t="str">
        <f>_xlfn.IFNA(INDEX('[1]FD list'!$A$2:$A$122,MATCH(H70,'[1]FD list'!$B$2:$B$122,0)),"")</f>
        <v/>
      </c>
      <c r="J70" s="172"/>
    </row>
    <row r="71" spans="7:10" x14ac:dyDescent="0.3">
      <c r="I71" t="str">
        <f>_xlfn.IFNA(INDEX('[1]FD list'!$A$2:$A$122,MATCH(H71,'[1]FD list'!$B$2:$B$122,0)),"")</f>
        <v/>
      </c>
      <c r="J71" s="172"/>
    </row>
    <row r="72" spans="7:10" x14ac:dyDescent="0.3">
      <c r="I72" t="str">
        <f>_xlfn.IFNA(INDEX('[1]FD list'!$A$2:$A$122,MATCH(H72,'[1]FD list'!$B$2:$B$122,0)),"")</f>
        <v/>
      </c>
      <c r="J72" s="172"/>
    </row>
    <row r="73" spans="7:10" x14ac:dyDescent="0.3">
      <c r="I73" t="str">
        <f>_xlfn.IFNA(INDEX('[1]FD list'!$A$2:$A$122,MATCH(H73,'[1]FD list'!$B$2:$B$122,0)),"")</f>
        <v/>
      </c>
      <c r="J73" s="172"/>
    </row>
    <row r="74" spans="7:10" x14ac:dyDescent="0.3">
      <c r="I74" t="str">
        <f>_xlfn.IFNA(INDEX('[1]FD list'!$A$2:$A$122,MATCH(H74,'[1]FD list'!$B$2:$B$122,0)),"")</f>
        <v/>
      </c>
      <c r="J74" s="172"/>
    </row>
    <row r="75" spans="7:10" x14ac:dyDescent="0.3">
      <c r="I75" t="str">
        <f>_xlfn.IFNA(INDEX('[1]FD list'!$A$2:$A$122,MATCH(H75,'[1]FD list'!$B$2:$B$122,0)),"")</f>
        <v/>
      </c>
      <c r="J75" s="172"/>
    </row>
    <row r="76" spans="7:10" x14ac:dyDescent="0.3">
      <c r="I76" t="str">
        <f>_xlfn.IFNA(INDEX('[1]FD list'!$A$2:$A$122,MATCH(H76,'[1]FD list'!$B$2:$B$122,0)),"")</f>
        <v/>
      </c>
      <c r="J76" s="172"/>
    </row>
    <row r="77" spans="7:10" x14ac:dyDescent="0.3">
      <c r="I77" t="str">
        <f>_xlfn.IFNA(INDEX('[1]FD list'!$A$2:$A$122,MATCH(H77,'[1]FD list'!$B$2:$B$122,0)),"")</f>
        <v/>
      </c>
      <c r="J77" s="172"/>
    </row>
    <row r="78" spans="7:10" x14ac:dyDescent="0.3">
      <c r="I78" t="str">
        <f>_xlfn.IFNA(INDEX('[1]FD list'!$A$2:$A$122,MATCH(H78,'[1]FD list'!$B$2:$B$122,0)),"")</f>
        <v/>
      </c>
      <c r="J78" s="172"/>
    </row>
    <row r="79" spans="7:10" x14ac:dyDescent="0.3">
      <c r="I79" t="str">
        <f>_xlfn.IFNA(INDEX('[1]FD list'!$A$2:$A$122,MATCH(H79,'[1]FD list'!$B$2:$B$122,0)),"")</f>
        <v/>
      </c>
      <c r="J79" s="172"/>
    </row>
    <row r="80" spans="7:10" x14ac:dyDescent="0.3">
      <c r="I80" t="str">
        <f>_xlfn.IFNA(INDEX('[1]FD list'!$A$2:$A$122,MATCH(H80,'[1]FD list'!$B$2:$B$122,0)),"")</f>
        <v/>
      </c>
      <c r="J80" s="172"/>
    </row>
    <row r="81" spans="9:10" x14ac:dyDescent="0.3">
      <c r="I81" t="str">
        <f>_xlfn.IFNA(INDEX('[1]FD list'!$A$2:$A$122,MATCH(H81,'[1]FD list'!$B$2:$B$122,0)),"")</f>
        <v/>
      </c>
      <c r="J81" s="172"/>
    </row>
    <row r="82" spans="9:10" x14ac:dyDescent="0.3">
      <c r="I82" t="str">
        <f>_xlfn.IFNA(INDEX('[1]FD list'!$A$2:$A$122,MATCH(H82,'[1]FD list'!$B$2:$B$122,0)),"")</f>
        <v/>
      </c>
      <c r="J82" s="172"/>
    </row>
    <row r="83" spans="9:10" x14ac:dyDescent="0.3">
      <c r="I83" t="str">
        <f>_xlfn.IFNA(INDEX('[1]FD list'!$A$2:$A$122,MATCH(H83,'[1]FD list'!$B$2:$B$122,0)),"")</f>
        <v/>
      </c>
      <c r="J83" s="172"/>
    </row>
    <row r="84" spans="9:10" x14ac:dyDescent="0.3">
      <c r="I84" t="str">
        <f>_xlfn.IFNA(INDEX('[1]FD list'!$A$2:$A$122,MATCH(H84,'[1]FD list'!$B$2:$B$122,0)),"")</f>
        <v/>
      </c>
      <c r="J84" s="172"/>
    </row>
    <row r="85" spans="9:10" x14ac:dyDescent="0.3">
      <c r="I85" t="str">
        <f>_xlfn.IFNA(INDEX('[1]FD list'!$A$2:$A$122,MATCH(H85,'[1]FD list'!$B$2:$B$122,0)),"")</f>
        <v/>
      </c>
      <c r="J85" s="172"/>
    </row>
    <row r="86" spans="9:10" x14ac:dyDescent="0.3">
      <c r="I86" t="str">
        <f>_xlfn.IFNA(INDEX('[1]FD list'!$A$2:$A$122,MATCH(H86,'[1]FD list'!$B$2:$B$122,0)),"")</f>
        <v/>
      </c>
      <c r="J86" s="172"/>
    </row>
    <row r="87" spans="9:10" x14ac:dyDescent="0.3">
      <c r="I87" t="str">
        <f>_xlfn.IFNA(INDEX('[1]FD list'!$A$2:$A$122,MATCH(H87,'[1]FD list'!$B$2:$B$122,0)),"")</f>
        <v/>
      </c>
      <c r="J87" s="172"/>
    </row>
    <row r="88" spans="9:10" x14ac:dyDescent="0.3">
      <c r="I88" t="str">
        <f>_xlfn.IFNA(INDEX('[1]FD list'!$A$2:$A$122,MATCH(H88,'[1]FD list'!$B$2:$B$122,0)),"")</f>
        <v/>
      </c>
      <c r="J88" s="172"/>
    </row>
    <row r="89" spans="9:10" x14ac:dyDescent="0.3">
      <c r="I89" t="str">
        <f>_xlfn.IFNA(INDEX('[1]FD list'!$A$2:$A$122,MATCH(H89,'[1]FD list'!$B$2:$B$122,0)),"")</f>
        <v/>
      </c>
      <c r="J89" s="172"/>
    </row>
    <row r="90" spans="9:10" x14ac:dyDescent="0.3">
      <c r="I90" t="str">
        <f>_xlfn.IFNA(INDEX('[1]FD list'!$A$2:$A$122,MATCH(H90,'[1]FD list'!$B$2:$B$122,0)),"")</f>
        <v/>
      </c>
      <c r="J90" s="172"/>
    </row>
    <row r="91" spans="9:10" x14ac:dyDescent="0.3">
      <c r="I91" t="str">
        <f>_xlfn.IFNA(INDEX('[1]FD list'!$A$2:$A$122,MATCH(H91,'[1]FD list'!$B$2:$B$122,0)),"")</f>
        <v/>
      </c>
      <c r="J91" s="172"/>
    </row>
    <row r="92" spans="9:10" x14ac:dyDescent="0.3">
      <c r="I92" t="str">
        <f>_xlfn.IFNA(INDEX('[1]FD list'!$A$2:$A$122,MATCH(H92,'[1]FD list'!$B$2:$B$122,0)),"")</f>
        <v/>
      </c>
      <c r="J92" s="172"/>
    </row>
    <row r="93" spans="9:10" x14ac:dyDescent="0.3">
      <c r="I93" t="str">
        <f>_xlfn.IFNA(INDEX('[1]FD list'!$A$2:$A$122,MATCH(H93,'[1]FD list'!$B$2:$B$122,0)),"")</f>
        <v/>
      </c>
      <c r="J93" s="172"/>
    </row>
    <row r="94" spans="9:10" x14ac:dyDescent="0.3">
      <c r="I94" t="str">
        <f>_xlfn.IFNA(INDEX('[1]FD list'!$A$2:$A$122,MATCH(H94,'[1]FD list'!$B$2:$B$122,0)),"")</f>
        <v/>
      </c>
      <c r="J94" s="172"/>
    </row>
    <row r="95" spans="9:10" x14ac:dyDescent="0.3">
      <c r="I95" t="str">
        <f>_xlfn.IFNA(INDEX('[1]FD list'!$A$2:$A$122,MATCH(H95,'[1]FD list'!$B$2:$B$122,0)),"")</f>
        <v/>
      </c>
      <c r="J95" s="172"/>
    </row>
    <row r="96" spans="9:10" x14ac:dyDescent="0.3">
      <c r="I96" t="str">
        <f>_xlfn.IFNA(INDEX('[1]FD list'!$A$2:$A$122,MATCH(H96,'[1]FD list'!$B$2:$B$122,0)),"")</f>
        <v/>
      </c>
      <c r="J96" s="172"/>
    </row>
    <row r="97" spans="9:10" x14ac:dyDescent="0.3">
      <c r="I97" t="str">
        <f>_xlfn.IFNA(INDEX('[1]FD list'!$A$2:$A$122,MATCH(H97,'[1]FD list'!$B$2:$B$122,0)),"")</f>
        <v/>
      </c>
      <c r="J97" s="172"/>
    </row>
    <row r="98" spans="9:10" x14ac:dyDescent="0.3">
      <c r="I98" t="str">
        <f>_xlfn.IFNA(INDEX('[1]Sector list'!$A$2:$A$122,MATCH(H98,'[1]Sector list'!$B$2:$B$122,0)),"")</f>
        <v/>
      </c>
      <c r="J98" s="172"/>
    </row>
    <row r="99" spans="9:10" x14ac:dyDescent="0.3">
      <c r="I99" t="str">
        <f>_xlfn.IFNA(INDEX('[1]Sector list'!$A$2:$A$122,MATCH(H99,'[1]Sector list'!$B$2:$B$122,0)),"")</f>
        <v/>
      </c>
      <c r="J99" s="172"/>
    </row>
    <row r="100" spans="9:10" x14ac:dyDescent="0.3">
      <c r="I100" t="str">
        <f>_xlfn.IFNA(INDEX('[1]Sector list'!$A$2:$A$122,MATCH(H100,'[1]Sector list'!$B$2:$B$122,0)),"")</f>
        <v/>
      </c>
      <c r="J100" s="172"/>
    </row>
    <row r="101" spans="9:10" x14ac:dyDescent="0.3">
      <c r="I101" t="str">
        <f>_xlfn.IFNA(INDEX('[1]Sector list'!$A$2:$A$122,MATCH(H101,'[1]Sector list'!$B$2:$B$122,0)),"")</f>
        <v/>
      </c>
      <c r="J101" s="172"/>
    </row>
    <row r="102" spans="9:10" x14ac:dyDescent="0.3">
      <c r="I102" t="str">
        <f>_xlfn.IFNA(INDEX('[1]Sector list'!$A$2:$A$122,MATCH(H102,'[1]Sector list'!$B$2:$B$122,0)),"")</f>
        <v/>
      </c>
      <c r="J102" s="172"/>
    </row>
    <row r="103" spans="9:10" x14ac:dyDescent="0.3">
      <c r="I103" t="str">
        <f>_xlfn.IFNA(INDEX('[1]Sector list'!$A$2:$A$122,MATCH(H103,'[1]Sector list'!$B$2:$B$122,0)),"")</f>
        <v/>
      </c>
      <c r="J103" s="172"/>
    </row>
    <row r="104" spans="9:10" x14ac:dyDescent="0.3">
      <c r="I104" t="str">
        <f>_xlfn.IFNA(INDEX('[1]Sector list'!$A$2:$A$122,MATCH(H104,'[1]Sector list'!$B$2:$B$122,0)),"")</f>
        <v/>
      </c>
      <c r="J104" s="172"/>
    </row>
    <row r="105" spans="9:10" x14ac:dyDescent="0.3">
      <c r="I105" t="str">
        <f>_xlfn.IFNA(INDEX('[1]Sector list'!$A$2:$A$122,MATCH(H105,'[1]Sector list'!$B$2:$B$122,0)),"")</f>
        <v/>
      </c>
      <c r="J105" s="172"/>
    </row>
    <row r="106" spans="9:10" x14ac:dyDescent="0.3">
      <c r="I106" t="str">
        <f>_xlfn.IFNA(INDEX('[1]Sector list'!$A$2:$A$122,MATCH(H106,'[1]Sector list'!$B$2:$B$122,0)),"")</f>
        <v/>
      </c>
      <c r="J106" s="172"/>
    </row>
    <row r="107" spans="9:10" x14ac:dyDescent="0.3">
      <c r="I107" t="str">
        <f>_xlfn.IFNA(INDEX('[1]Sector list'!$A$2:$A$122,MATCH(H107,'[1]Sector list'!$B$2:$B$122,0)),"")</f>
        <v/>
      </c>
      <c r="J107" s="172"/>
    </row>
    <row r="108" spans="9:10" x14ac:dyDescent="0.3">
      <c r="I108" t="str">
        <f>_xlfn.IFNA(INDEX('[1]Sector list'!$A$2:$A$122,MATCH(H108,'[1]Sector list'!$B$2:$B$122,0)),"")</f>
        <v/>
      </c>
      <c r="J108" s="172"/>
    </row>
    <row r="109" spans="9:10" x14ac:dyDescent="0.3">
      <c r="I109" t="str">
        <f>_xlfn.IFNA(INDEX('[1]Sector list'!$A$2:$A$122,MATCH(H109,'[1]Sector list'!$B$2:$B$122,0)),"")</f>
        <v/>
      </c>
      <c r="J109" s="172"/>
    </row>
    <row r="110" spans="9:10" x14ac:dyDescent="0.3">
      <c r="I110" t="str">
        <f>_xlfn.IFNA(INDEX('[1]Sector list'!$A$2:$A$122,MATCH(H110,'[1]Sector list'!$B$2:$B$122,0)),"")</f>
        <v/>
      </c>
      <c r="J110" s="172"/>
    </row>
    <row r="111" spans="9:10" x14ac:dyDescent="0.3">
      <c r="I111" t="str">
        <f>_xlfn.IFNA(INDEX('[1]Sector list'!$A$2:$A$122,MATCH(H111,'[1]Sector list'!$B$2:$B$122,0)),"")</f>
        <v/>
      </c>
      <c r="J111" s="172"/>
    </row>
    <row r="112" spans="9:10" x14ac:dyDescent="0.3">
      <c r="I112" t="str">
        <f>_xlfn.IFNA(INDEX('[1]Sector list'!$A$2:$A$122,MATCH(H112,'[1]Sector list'!$B$2:$B$122,0)),"")</f>
        <v/>
      </c>
      <c r="J112" s="172"/>
    </row>
    <row r="113" spans="9:10" x14ac:dyDescent="0.3">
      <c r="I113" t="str">
        <f>_xlfn.IFNA(INDEX('[1]Sector list'!$A$2:$A$122,MATCH(H113,'[1]Sector list'!$B$2:$B$122,0)),"")</f>
        <v/>
      </c>
      <c r="J113" s="172"/>
    </row>
    <row r="114" spans="9:10" x14ac:dyDescent="0.3">
      <c r="I114" t="str">
        <f>_xlfn.IFNA(INDEX('[1]Sector list'!$A$2:$A$122,MATCH(H114,'[1]Sector list'!$B$2:$B$122,0)),"")</f>
        <v/>
      </c>
      <c r="J114" s="172"/>
    </row>
    <row r="115" spans="9:10" x14ac:dyDescent="0.3">
      <c r="I115" t="str">
        <f>_xlfn.IFNA(INDEX('[1]Sector list'!$A$2:$A$122,MATCH(H115,'[1]Sector list'!$B$2:$B$122,0)),"")</f>
        <v/>
      </c>
      <c r="J115" s="172"/>
    </row>
    <row r="116" spans="9:10" x14ac:dyDescent="0.3">
      <c r="I116" t="str">
        <f>_xlfn.IFNA(INDEX('[1]Sector list'!$A$2:$A$122,MATCH(H116,'[1]Sector list'!$B$2:$B$122,0)),"")</f>
        <v/>
      </c>
      <c r="J116" s="172"/>
    </row>
    <row r="117" spans="9:10" x14ac:dyDescent="0.3">
      <c r="I117" t="str">
        <f>_xlfn.IFNA(INDEX('[1]Sector list'!$A$2:$A$122,MATCH(H117,'[1]Sector list'!$B$2:$B$122,0)),"")</f>
        <v/>
      </c>
      <c r="J117" s="172"/>
    </row>
    <row r="118" spans="9:10" x14ac:dyDescent="0.3">
      <c r="I118" t="str">
        <f>_xlfn.IFNA(INDEX('[1]Sector list'!$A$2:$A$122,MATCH(H118,'[1]Sector list'!$B$2:$B$122,0)),"")</f>
        <v/>
      </c>
      <c r="J118" s="172"/>
    </row>
    <row r="119" spans="9:10" x14ac:dyDescent="0.3">
      <c r="I119" t="str">
        <f>_xlfn.IFNA(INDEX('[1]Sector list'!$A$2:$A$122,MATCH(H119,'[1]Sector list'!$B$2:$B$122,0)),"")</f>
        <v/>
      </c>
      <c r="J119" s="172"/>
    </row>
    <row r="120" spans="9:10" x14ac:dyDescent="0.3">
      <c r="I120" t="str">
        <f>_xlfn.IFNA(INDEX('[1]Sector list'!$A$2:$A$122,MATCH(H120,'[1]Sector list'!$B$2:$B$122,0)),"")</f>
        <v/>
      </c>
      <c r="J120" s="172"/>
    </row>
    <row r="121" spans="9:10" x14ac:dyDescent="0.3">
      <c r="I121" t="str">
        <f>_xlfn.IFNA(INDEX('[1]Sector list'!$A$2:$A$122,MATCH(H121,'[1]Sector list'!$B$2:$B$122,0)),"")</f>
        <v/>
      </c>
      <c r="J121" s="172"/>
    </row>
    <row r="122" spans="9:10" x14ac:dyDescent="0.3">
      <c r="I122" t="str">
        <f>_xlfn.IFNA(INDEX('[1]Sector list'!$A$2:$A$122,MATCH(H122,'[1]Sector list'!$B$2:$B$122,0)),"")</f>
        <v/>
      </c>
      <c r="J122" s="172"/>
    </row>
    <row r="123" spans="9:10" x14ac:dyDescent="0.3">
      <c r="I123" t="str">
        <f>_xlfn.IFNA(INDEX('[1]Sector list'!$A$2:$A$122,MATCH(H123,'[1]Sector list'!$B$2:$B$122,0)),"")</f>
        <v/>
      </c>
      <c r="J123" s="172"/>
    </row>
    <row r="124" spans="9:10" x14ac:dyDescent="0.3">
      <c r="I124" t="str">
        <f>_xlfn.IFNA(INDEX('[1]Sector list'!$A$2:$A$122,MATCH(H124,'[1]Sector list'!$B$2:$B$122,0)),"")</f>
        <v/>
      </c>
      <c r="J124" s="172"/>
    </row>
    <row r="125" spans="9:10" x14ac:dyDescent="0.3">
      <c r="I125" t="str">
        <f>_xlfn.IFNA(INDEX('[1]Sector list'!$A$2:$A$122,MATCH(H125,'[1]Sector list'!$B$2:$B$122,0)),"")</f>
        <v/>
      </c>
      <c r="J125" s="172"/>
    </row>
    <row r="126" spans="9:10" x14ac:dyDescent="0.3">
      <c r="I126" t="str">
        <f>_xlfn.IFNA(INDEX('[1]Sector list'!$A$2:$A$122,MATCH(H126,'[1]Sector list'!$B$2:$B$122,0)),"")</f>
        <v/>
      </c>
      <c r="J126" s="172"/>
    </row>
    <row r="127" spans="9:10" x14ac:dyDescent="0.3">
      <c r="I127" t="str">
        <f>_xlfn.IFNA(INDEX('[1]Sector list'!$A$2:$A$122,MATCH(H127,'[1]Sector list'!$B$2:$B$122,0)),"")</f>
        <v/>
      </c>
      <c r="J127" s="172"/>
    </row>
    <row r="128" spans="9:10" x14ac:dyDescent="0.3">
      <c r="I128" t="str">
        <f>_xlfn.IFNA(INDEX('[1]Sector list'!$A$2:$A$122,MATCH(H128,'[1]Sector list'!$B$2:$B$122,0)),"")</f>
        <v/>
      </c>
      <c r="J128" s="172"/>
    </row>
    <row r="129" spans="9:10" x14ac:dyDescent="0.3">
      <c r="I129" t="str">
        <f>_xlfn.IFNA(INDEX('[1]Sector list'!$A$2:$A$122,MATCH(H129,'[1]Sector list'!$B$2:$B$122,0)),"")</f>
        <v/>
      </c>
      <c r="J129" s="172"/>
    </row>
    <row r="130" spans="9:10" x14ac:dyDescent="0.3">
      <c r="I130" t="str">
        <f>_xlfn.IFNA(INDEX('[1]Sector list'!$A$2:$A$122,MATCH(H130,'[1]Sector list'!$B$2:$B$122,0)),"")</f>
        <v/>
      </c>
      <c r="J130" s="172"/>
    </row>
    <row r="131" spans="9:10" x14ac:dyDescent="0.3">
      <c r="I131" t="str">
        <f>_xlfn.IFNA(INDEX('[1]Sector list'!$A$2:$A$122,MATCH(H131,'[1]Sector list'!$B$2:$B$122,0)),"")</f>
        <v/>
      </c>
      <c r="J131" s="172"/>
    </row>
    <row r="132" spans="9:10" x14ac:dyDescent="0.3">
      <c r="I132" t="str">
        <f>_xlfn.IFNA(INDEX('[1]Sector list'!$A$2:$A$122,MATCH(H132,'[1]Sector list'!$B$2:$B$122,0)),"")</f>
        <v/>
      </c>
      <c r="J132" s="172"/>
    </row>
    <row r="133" spans="9:10" x14ac:dyDescent="0.3">
      <c r="I133" t="str">
        <f>_xlfn.IFNA(INDEX('[1]Sector list'!$A$2:$A$122,MATCH(H133,'[1]Sector list'!$B$2:$B$122,0)),"")</f>
        <v/>
      </c>
      <c r="J133" s="172"/>
    </row>
    <row r="134" spans="9:10" x14ac:dyDescent="0.3">
      <c r="I134" t="str">
        <f>_xlfn.IFNA(INDEX('[1]Sector list'!$A$2:$A$122,MATCH(H134,'[1]Sector list'!$B$2:$B$122,0)),"")</f>
        <v/>
      </c>
      <c r="J134" s="172"/>
    </row>
    <row r="135" spans="9:10" x14ac:dyDescent="0.3">
      <c r="I135" t="str">
        <f>_xlfn.IFNA(INDEX('[1]Sector list'!$A$2:$A$122,MATCH(H135,'[1]Sector list'!$B$2:$B$122,0)),"")</f>
        <v/>
      </c>
      <c r="J135" s="172"/>
    </row>
    <row r="136" spans="9:10" x14ac:dyDescent="0.3">
      <c r="I136" t="str">
        <f>_xlfn.IFNA(INDEX('[1]Sector list'!$A$2:$A$122,MATCH(H136,'[1]Sector list'!$B$2:$B$122,0)),"")</f>
        <v/>
      </c>
      <c r="J136" s="172"/>
    </row>
    <row r="137" spans="9:10" x14ac:dyDescent="0.3">
      <c r="I137" t="str">
        <f>_xlfn.IFNA(INDEX('[1]Sector list'!$A$2:$A$122,MATCH(H137,'[1]Sector list'!$B$2:$B$122,0)),"")</f>
        <v/>
      </c>
      <c r="J137" s="172"/>
    </row>
    <row r="138" spans="9:10" x14ac:dyDescent="0.3">
      <c r="I138" t="str">
        <f>_xlfn.IFNA(INDEX('[1]Sector list'!$A$2:$A$122,MATCH(H138,'[1]Sector list'!$B$2:$B$122,0)),"")</f>
        <v/>
      </c>
      <c r="J138" s="172"/>
    </row>
    <row r="139" spans="9:10" x14ac:dyDescent="0.3">
      <c r="I139" t="str">
        <f>_xlfn.IFNA(INDEX('[1]Sector list'!$A$2:$A$122,MATCH(H139,'[1]Sector list'!$B$2:$B$122,0)),"")</f>
        <v/>
      </c>
      <c r="J139" s="172"/>
    </row>
    <row r="140" spans="9:10" x14ac:dyDescent="0.3">
      <c r="I140" t="str">
        <f>_xlfn.IFNA(INDEX('[1]Sector list'!$A$2:$A$122,MATCH(H140,'[1]Sector list'!$B$2:$B$122,0)),"")</f>
        <v/>
      </c>
      <c r="J140" s="172"/>
    </row>
    <row r="141" spans="9:10" x14ac:dyDescent="0.3">
      <c r="I141" t="str">
        <f>_xlfn.IFNA(INDEX('[1]Sector list'!$A$2:$A$122,MATCH(H141,'[1]Sector list'!$B$2:$B$122,0)),"")</f>
        <v/>
      </c>
      <c r="J141" s="172"/>
    </row>
    <row r="142" spans="9:10" x14ac:dyDescent="0.3">
      <c r="I142" t="str">
        <f>_xlfn.IFNA(INDEX('[1]Sector list'!$A$2:$A$122,MATCH(H142,'[1]Sector list'!$B$2:$B$122,0)),"")</f>
        <v/>
      </c>
      <c r="J142" s="172"/>
    </row>
    <row r="143" spans="9:10" x14ac:dyDescent="0.3">
      <c r="I143" t="str">
        <f>_xlfn.IFNA(INDEX('[1]Sector list'!$A$2:$A$122,MATCH(H143,'[1]Sector list'!$B$2:$B$122,0)),"")</f>
        <v/>
      </c>
      <c r="J143" s="172"/>
    </row>
    <row r="144" spans="9:10" x14ac:dyDescent="0.3">
      <c r="I144" t="str">
        <f>_xlfn.IFNA(INDEX('[1]Sector list'!$A$2:$A$122,MATCH(H144,'[1]Sector list'!$B$2:$B$122,0)),"")</f>
        <v/>
      </c>
      <c r="J144" s="172"/>
    </row>
    <row r="145" spans="9:10" x14ac:dyDescent="0.3">
      <c r="I145" t="str">
        <f>_xlfn.IFNA(INDEX('[1]Sector list'!$A$2:$A$122,MATCH(H145,'[1]Sector list'!$B$2:$B$122,0)),"")</f>
        <v/>
      </c>
      <c r="J145" s="172"/>
    </row>
    <row r="146" spans="9:10" x14ac:dyDescent="0.3">
      <c r="I146" t="str">
        <f>_xlfn.IFNA(INDEX('[1]Sector list'!$A$2:$A$122,MATCH(H146,'[1]Sector list'!$B$2:$B$122,0)),"")</f>
        <v/>
      </c>
      <c r="J146" s="172"/>
    </row>
    <row r="147" spans="9:10" x14ac:dyDescent="0.3">
      <c r="I147" t="str">
        <f>_xlfn.IFNA(INDEX('[1]Sector list'!$A$2:$A$122,MATCH(H147,'[1]Sector list'!$B$2:$B$122,0)),"")</f>
        <v/>
      </c>
      <c r="J147" s="172"/>
    </row>
    <row r="148" spans="9:10" x14ac:dyDescent="0.3">
      <c r="I148" t="str">
        <f>_xlfn.IFNA(INDEX('[1]Sector list'!$A$2:$A$122,MATCH(H148,'[1]Sector list'!$B$2:$B$122,0)),"")</f>
        <v/>
      </c>
      <c r="J148" s="172"/>
    </row>
    <row r="149" spans="9:10" x14ac:dyDescent="0.3">
      <c r="I149" t="str">
        <f>_xlfn.IFNA(INDEX('[1]Sector list'!$A$2:$A$122,MATCH(H149,'[1]Sector list'!$B$2:$B$122,0)),"")</f>
        <v/>
      </c>
      <c r="J149" s="172"/>
    </row>
    <row r="150" spans="9:10" x14ac:dyDescent="0.3">
      <c r="I150" t="str">
        <f>_xlfn.IFNA(INDEX('[1]Sector list'!$A$2:$A$122,MATCH(H150,'[1]Sector list'!$B$2:$B$122,0)),"")</f>
        <v/>
      </c>
      <c r="J150" s="172"/>
    </row>
    <row r="151" spans="9:10" x14ac:dyDescent="0.3">
      <c r="I151" t="str">
        <f>_xlfn.IFNA(INDEX('[1]Sector list'!$A$2:$A$122,MATCH(H151,'[1]Sector list'!$B$2:$B$122,0)),"")</f>
        <v/>
      </c>
      <c r="J151" s="172"/>
    </row>
    <row r="152" spans="9:10" x14ac:dyDescent="0.3">
      <c r="I152" t="str">
        <f>_xlfn.IFNA(INDEX('[1]Sector list'!$A$2:$A$122,MATCH(H152,'[1]Sector list'!$B$2:$B$122,0)),"")</f>
        <v/>
      </c>
      <c r="J152" s="172"/>
    </row>
    <row r="153" spans="9:10" x14ac:dyDescent="0.3">
      <c r="I153" t="str">
        <f>_xlfn.IFNA(INDEX('[1]Sector list'!$A$2:$A$122,MATCH(H153,'[1]Sector list'!$B$2:$B$122,0)),"")</f>
        <v/>
      </c>
      <c r="J153" s="172"/>
    </row>
    <row r="154" spans="9:10" x14ac:dyDescent="0.3">
      <c r="I154" t="str">
        <f>_xlfn.IFNA(INDEX('[1]Sector list'!$A$2:$A$122,MATCH(H154,'[1]Sector list'!$B$2:$B$122,0)),"")</f>
        <v/>
      </c>
      <c r="J154" s="172"/>
    </row>
    <row r="155" spans="9:10" x14ac:dyDescent="0.3">
      <c r="I155" t="str">
        <f>_xlfn.IFNA(INDEX('[1]Sector list'!$A$2:$A$122,MATCH(H155,'[1]Sector list'!$B$2:$B$122,0)),"")</f>
        <v/>
      </c>
      <c r="J155" s="172"/>
    </row>
    <row r="156" spans="9:10" x14ac:dyDescent="0.3">
      <c r="I156" t="str">
        <f>_xlfn.IFNA(INDEX('[1]Sector list'!$A$2:$A$122,MATCH(H156,'[1]Sector list'!$B$2:$B$122,0)),"")</f>
        <v/>
      </c>
      <c r="J156" s="172"/>
    </row>
    <row r="157" spans="9:10" x14ac:dyDescent="0.3">
      <c r="I157" t="str">
        <f>_xlfn.IFNA(INDEX('[1]Sector list'!$A$2:$A$122,MATCH(H157,'[1]Sector list'!$B$2:$B$122,0)),"")</f>
        <v/>
      </c>
      <c r="J157" s="172"/>
    </row>
    <row r="158" spans="9:10" x14ac:dyDescent="0.3">
      <c r="I158" t="str">
        <f>_xlfn.IFNA(INDEX('[1]Sector list'!$A$2:$A$122,MATCH(H158,'[1]Sector list'!$B$2:$B$122,0)),"")</f>
        <v/>
      </c>
      <c r="J158" s="172"/>
    </row>
    <row r="159" spans="9:10" x14ac:dyDescent="0.3">
      <c r="I159" t="str">
        <f>_xlfn.IFNA(INDEX('[1]Sector list'!$A$2:$A$122,MATCH(H159,'[1]Sector list'!$B$2:$B$122,0)),"")</f>
        <v/>
      </c>
      <c r="J159" s="172"/>
    </row>
    <row r="160" spans="9:10" x14ac:dyDescent="0.3">
      <c r="I160" t="str">
        <f>_xlfn.IFNA(INDEX('[1]Sector list'!$A$2:$A$122,MATCH(H160,'[1]Sector list'!$B$2:$B$122,0)),"")</f>
        <v/>
      </c>
      <c r="J160" s="172"/>
    </row>
    <row r="161" spans="9:10" x14ac:dyDescent="0.3">
      <c r="I161" t="str">
        <f>_xlfn.IFNA(INDEX('[1]Sector list'!$A$2:$A$122,MATCH(H161,'[1]Sector list'!$B$2:$B$122,0)),"")</f>
        <v/>
      </c>
      <c r="J161" s="172"/>
    </row>
    <row r="162" spans="9:10" x14ac:dyDescent="0.3">
      <c r="I162" t="str">
        <f>_xlfn.IFNA(INDEX('[1]Sector list'!$A$2:$A$122,MATCH(H162,'[1]Sector list'!$B$2:$B$122,0)),"")</f>
        <v/>
      </c>
      <c r="J162" s="172"/>
    </row>
    <row r="163" spans="9:10" x14ac:dyDescent="0.3">
      <c r="I163" t="str">
        <f>_xlfn.IFNA(INDEX('[1]Sector list'!$A$2:$A$122,MATCH(H163,'[1]Sector list'!$B$2:$B$122,0)),"")</f>
        <v/>
      </c>
      <c r="J163" s="172"/>
    </row>
    <row r="164" spans="9:10" x14ac:dyDescent="0.3">
      <c r="I164" t="str">
        <f>_xlfn.IFNA(INDEX('[1]Sector list'!$A$2:$A$122,MATCH(H164,'[1]Sector list'!$B$2:$B$122,0)),"")</f>
        <v/>
      </c>
      <c r="J164" s="172"/>
    </row>
    <row r="165" spans="9:10" x14ac:dyDescent="0.3">
      <c r="I165" t="str">
        <f>_xlfn.IFNA(INDEX('[1]Sector list'!$A$2:$A$122,MATCH(H165,'[1]Sector list'!$B$2:$B$122,0)),"")</f>
        <v/>
      </c>
      <c r="J165" s="172"/>
    </row>
    <row r="166" spans="9:10" x14ac:dyDescent="0.3">
      <c r="I166" t="str">
        <f>_xlfn.IFNA(INDEX('[1]Sector list'!$A$2:$A$122,MATCH(H166,'[1]Sector list'!$B$2:$B$122,0)),"")</f>
        <v/>
      </c>
      <c r="J166" s="172"/>
    </row>
    <row r="167" spans="9:10" x14ac:dyDescent="0.3">
      <c r="I167" t="str">
        <f>_xlfn.IFNA(INDEX('[1]Sector list'!$A$2:$A$122,MATCH(H167,'[1]Sector list'!$B$2:$B$122,0)),"")</f>
        <v/>
      </c>
      <c r="J167" s="172"/>
    </row>
    <row r="168" spans="9:10" x14ac:dyDescent="0.3">
      <c r="I168" t="str">
        <f>_xlfn.IFNA(INDEX('[1]Sector list'!$A$2:$A$122,MATCH(H168,'[1]Sector list'!$B$2:$B$122,0)),"")</f>
        <v/>
      </c>
      <c r="J168" s="172"/>
    </row>
    <row r="169" spans="9:10" x14ac:dyDescent="0.3">
      <c r="I169" t="str">
        <f>_xlfn.IFNA(INDEX('[1]Sector list'!$A$2:$A$122,MATCH(H169,'[1]Sector list'!$B$2:$B$122,0)),"")</f>
        <v/>
      </c>
      <c r="J169" s="172"/>
    </row>
    <row r="170" spans="9:10" x14ac:dyDescent="0.3">
      <c r="I170" t="str">
        <f>_xlfn.IFNA(INDEX('[1]Sector list'!$A$2:$A$122,MATCH(H170,'[1]Sector list'!$B$2:$B$122,0)),"")</f>
        <v/>
      </c>
      <c r="J170" s="172"/>
    </row>
    <row r="171" spans="9:10" x14ac:dyDescent="0.3">
      <c r="I171" t="str">
        <f>_xlfn.IFNA(INDEX('[1]Sector list'!$A$2:$A$122,MATCH(H171,'[1]Sector list'!$B$2:$B$122,0)),"")</f>
        <v/>
      </c>
      <c r="J171" s="172"/>
    </row>
    <row r="172" spans="9:10" x14ac:dyDescent="0.3">
      <c r="I172" t="str">
        <f>_xlfn.IFNA(INDEX('[1]Sector list'!$A$2:$A$122,MATCH(H172,'[1]Sector list'!$B$2:$B$122,0)),"")</f>
        <v/>
      </c>
      <c r="J172" s="172"/>
    </row>
    <row r="173" spans="9:10" x14ac:dyDescent="0.3">
      <c r="I173" t="str">
        <f>_xlfn.IFNA(INDEX('[1]Sector list'!$A$2:$A$122,MATCH(H173,'[1]Sector list'!$B$2:$B$122,0)),"")</f>
        <v/>
      </c>
      <c r="J173" s="172"/>
    </row>
    <row r="174" spans="9:10" x14ac:dyDescent="0.3">
      <c r="I174" t="str">
        <f>_xlfn.IFNA(INDEX('[1]Sector list'!$A$2:$A$122,MATCH(H174,'[1]Sector list'!$B$2:$B$122,0)),"")</f>
        <v/>
      </c>
      <c r="J174" s="172"/>
    </row>
    <row r="175" spans="9:10" x14ac:dyDescent="0.3">
      <c r="I175" t="str">
        <f>_xlfn.IFNA(INDEX('[1]Sector list'!$A$2:$A$122,MATCH(H175,'[1]Sector list'!$B$2:$B$122,0)),"")</f>
        <v/>
      </c>
      <c r="J175" s="172"/>
    </row>
    <row r="176" spans="9:10" x14ac:dyDescent="0.3">
      <c r="I176" t="str">
        <f>_xlfn.IFNA(INDEX('[1]Sector list'!$A$2:$A$122,MATCH(H176,'[1]Sector list'!$B$2:$B$122,0)),"")</f>
        <v/>
      </c>
      <c r="J176" s="172"/>
    </row>
    <row r="177" spans="9:10" x14ac:dyDescent="0.3">
      <c r="I177" t="str">
        <f>_xlfn.IFNA(INDEX('[1]Sector list'!$A$2:$A$122,MATCH(H177,'[1]Sector list'!$B$2:$B$122,0)),"")</f>
        <v/>
      </c>
      <c r="J177" s="172"/>
    </row>
    <row r="178" spans="9:10" x14ac:dyDescent="0.3">
      <c r="I178" t="str">
        <f>_xlfn.IFNA(INDEX('[1]Sector list'!$A$2:$A$122,MATCH(H178,'[1]Sector list'!$B$2:$B$122,0)),"")</f>
        <v/>
      </c>
      <c r="J178" s="172"/>
    </row>
    <row r="179" spans="9:10" x14ac:dyDescent="0.3">
      <c r="I179" t="str">
        <f>_xlfn.IFNA(INDEX('[1]Sector list'!$A$2:$A$122,MATCH(H179,'[1]Sector list'!$B$2:$B$122,0)),"")</f>
        <v/>
      </c>
      <c r="J179" s="172"/>
    </row>
    <row r="180" spans="9:10" x14ac:dyDescent="0.3">
      <c r="I180" t="str">
        <f>_xlfn.IFNA(INDEX('[1]Sector list'!$A$2:$A$122,MATCH(H180,'[1]Sector list'!$B$2:$B$122,0)),"")</f>
        <v/>
      </c>
      <c r="J180" s="172"/>
    </row>
    <row r="181" spans="9:10" x14ac:dyDescent="0.3">
      <c r="I181" t="str">
        <f>_xlfn.IFNA(INDEX('[1]Sector list'!$A$2:$A$122,MATCH(H181,'[1]Sector list'!$B$2:$B$122,0)),"")</f>
        <v/>
      </c>
      <c r="J181" s="172"/>
    </row>
    <row r="182" spans="9:10" x14ac:dyDescent="0.3">
      <c r="I182" t="str">
        <f>_xlfn.IFNA(INDEX('[1]Sector list'!$A$2:$A$122,MATCH(H182,'[1]Sector list'!$B$2:$B$122,0)),"")</f>
        <v/>
      </c>
      <c r="J182" s="172"/>
    </row>
    <row r="183" spans="9:10" x14ac:dyDescent="0.3">
      <c r="I183" t="str">
        <f>_xlfn.IFNA(INDEX('[1]Sector list'!$A$2:$A$122,MATCH(H183,'[1]Sector list'!$B$2:$B$122,0)),"")</f>
        <v/>
      </c>
      <c r="J183" s="172"/>
    </row>
    <row r="184" spans="9:10" x14ac:dyDescent="0.3">
      <c r="I184" t="str">
        <f>_xlfn.IFNA(INDEX('[1]Sector list'!$A$2:$A$122,MATCH(H184,'[1]Sector list'!$B$2:$B$122,0)),"")</f>
        <v/>
      </c>
      <c r="J184" s="172"/>
    </row>
    <row r="185" spans="9:10" x14ac:dyDescent="0.3">
      <c r="I185" t="str">
        <f>_xlfn.IFNA(INDEX('[1]Sector list'!$A$2:$A$122,MATCH(H185,'[1]Sector list'!$B$2:$B$122,0)),"")</f>
        <v/>
      </c>
      <c r="J185" s="172"/>
    </row>
    <row r="186" spans="9:10" x14ac:dyDescent="0.3">
      <c r="I186" t="str">
        <f>_xlfn.IFNA(INDEX('[1]Sector list'!$A$2:$A$122,MATCH(H186,'[1]Sector list'!$B$2:$B$122,0)),"")</f>
        <v/>
      </c>
      <c r="J186" s="172"/>
    </row>
    <row r="187" spans="9:10" x14ac:dyDescent="0.3">
      <c r="I187" t="str">
        <f>_xlfn.IFNA(INDEX('[1]Sector list'!$A$2:$A$122,MATCH(H187,'[1]Sector list'!$B$2:$B$122,0)),"")</f>
        <v/>
      </c>
      <c r="J187" s="172"/>
    </row>
    <row r="188" spans="9:10" x14ac:dyDescent="0.3">
      <c r="I188" t="str">
        <f>_xlfn.IFNA(INDEX('[1]Sector list'!$A$2:$A$122,MATCH(H188,'[1]Sector list'!$B$2:$B$122,0)),"")</f>
        <v/>
      </c>
      <c r="J188" s="172"/>
    </row>
    <row r="189" spans="9:10" x14ac:dyDescent="0.3">
      <c r="I189" t="str">
        <f>_xlfn.IFNA(INDEX('[1]Sector list'!$A$2:$A$122,MATCH(H189,'[1]Sector list'!$B$2:$B$122,0)),"")</f>
        <v/>
      </c>
      <c r="J189" s="172"/>
    </row>
    <row r="190" spans="9:10" x14ac:dyDescent="0.3">
      <c r="I190" t="str">
        <f>_xlfn.IFNA(INDEX('[1]Sector list'!$A$2:$A$122,MATCH(H190,'[1]Sector list'!$B$2:$B$122,0)),"")</f>
        <v/>
      </c>
      <c r="J190" s="172"/>
    </row>
    <row r="191" spans="9:10" x14ac:dyDescent="0.3">
      <c r="I191" t="str">
        <f>_xlfn.IFNA(INDEX('[1]Sector list'!$A$2:$A$122,MATCH(H191,'[1]Sector list'!$B$2:$B$122,0)),"")</f>
        <v/>
      </c>
      <c r="J191" s="172"/>
    </row>
    <row r="192" spans="9:10" x14ac:dyDescent="0.3">
      <c r="I192" t="str">
        <f>_xlfn.IFNA(INDEX('[1]Sector list'!$A$2:$A$122,MATCH(H192,'[1]Sector list'!$B$2:$B$122,0)),"")</f>
        <v/>
      </c>
      <c r="J192" s="172"/>
    </row>
    <row r="193" spans="9:10" x14ac:dyDescent="0.3">
      <c r="I193" t="str">
        <f>_xlfn.IFNA(INDEX('[1]Sector list'!$A$2:$A$122,MATCH(H193,'[1]Sector list'!$B$2:$B$122,0)),"")</f>
        <v/>
      </c>
      <c r="J193" s="172"/>
    </row>
    <row r="194" spans="9:10" x14ac:dyDescent="0.3">
      <c r="I194" t="str">
        <f>_xlfn.IFNA(INDEX('[1]Sector list'!$A$2:$A$122,MATCH(H194,'[1]Sector list'!$B$2:$B$122,0)),"")</f>
        <v/>
      </c>
      <c r="J194" s="172"/>
    </row>
    <row r="195" spans="9:10" x14ac:dyDescent="0.3">
      <c r="I195" t="str">
        <f>_xlfn.IFNA(INDEX('[1]Sector list'!$A$2:$A$122,MATCH(H195,'[1]Sector list'!$B$2:$B$122,0)),"")</f>
        <v/>
      </c>
      <c r="J195" s="172"/>
    </row>
    <row r="196" spans="9:10" x14ac:dyDescent="0.3">
      <c r="I196" t="str">
        <f>_xlfn.IFNA(INDEX('[1]Sector list'!$A$2:$A$122,MATCH(H196,'[1]Sector list'!$B$2:$B$122,0)),"")</f>
        <v/>
      </c>
      <c r="J196" s="172"/>
    </row>
    <row r="197" spans="9:10" x14ac:dyDescent="0.3">
      <c r="I197" t="str">
        <f>_xlfn.IFNA(INDEX('[1]Sector list'!$A$2:$A$122,MATCH(H197,'[1]Sector list'!$B$2:$B$122,0)),"")</f>
        <v/>
      </c>
      <c r="J197" s="172"/>
    </row>
    <row r="198" spans="9:10" x14ac:dyDescent="0.3">
      <c r="I198" t="str">
        <f>_xlfn.IFNA(INDEX('[1]Sector list'!$A$2:$A$122,MATCH(H198,'[1]Sector list'!$B$2:$B$122,0)),"")</f>
        <v/>
      </c>
      <c r="J198" s="172"/>
    </row>
    <row r="199" spans="9:10" x14ac:dyDescent="0.3">
      <c r="I199" t="str">
        <f>_xlfn.IFNA(INDEX('[1]Sector list'!$A$2:$A$122,MATCH(H199,'[1]Sector list'!$B$2:$B$122,0)),"")</f>
        <v/>
      </c>
      <c r="J199" s="172"/>
    </row>
    <row r="200" spans="9:10" x14ac:dyDescent="0.3">
      <c r="I200" t="str">
        <f>_xlfn.IFNA(INDEX('[1]Sector list'!$A$2:$A$122,MATCH(H200,'[1]Sector list'!$B$2:$B$122,0)),"")</f>
        <v/>
      </c>
      <c r="J200" s="172"/>
    </row>
    <row r="201" spans="9:10" x14ac:dyDescent="0.3">
      <c r="I201" t="str">
        <f>_xlfn.IFNA(INDEX('[1]Sector list'!$A$2:$A$122,MATCH(H201,'[1]Sector list'!$B$2:$B$122,0)),"")</f>
        <v/>
      </c>
      <c r="J201" s="172"/>
    </row>
    <row r="202" spans="9:10" x14ac:dyDescent="0.3">
      <c r="I202" t="str">
        <f>_xlfn.IFNA(INDEX('[1]Sector list'!$A$2:$A$122,MATCH(H202,'[1]Sector list'!$B$2:$B$122,0)),"")</f>
        <v/>
      </c>
      <c r="J202" s="172"/>
    </row>
    <row r="203" spans="9:10" x14ac:dyDescent="0.3">
      <c r="I203" t="str">
        <f>_xlfn.IFNA(INDEX('[1]Sector list'!$A$2:$A$122,MATCH(H203,'[1]Sector list'!$B$2:$B$122,0)),"")</f>
        <v/>
      </c>
      <c r="J203" s="172"/>
    </row>
    <row r="204" spans="9:10" x14ac:dyDescent="0.3">
      <c r="I204" t="str">
        <f>_xlfn.IFNA(INDEX('[1]Sector list'!$A$2:$A$122,MATCH(H204,'[1]Sector list'!$B$2:$B$122,0)),"")</f>
        <v/>
      </c>
      <c r="J204" s="172"/>
    </row>
    <row r="205" spans="9:10" x14ac:dyDescent="0.3">
      <c r="I205" t="str">
        <f>_xlfn.IFNA(INDEX('[1]Sector list'!$A$2:$A$122,MATCH(H205,'[1]Sector list'!$B$2:$B$122,0)),"")</f>
        <v/>
      </c>
      <c r="J205" s="172"/>
    </row>
    <row r="206" spans="9:10" x14ac:dyDescent="0.3">
      <c r="I206" t="str">
        <f>_xlfn.IFNA(INDEX('[1]Sector list'!$A$2:$A$122,MATCH(H206,'[1]Sector list'!$B$2:$B$122,0)),"")</f>
        <v/>
      </c>
      <c r="J206" s="172"/>
    </row>
    <row r="207" spans="9:10" x14ac:dyDescent="0.3">
      <c r="I207" t="str">
        <f>_xlfn.IFNA(INDEX('[1]Sector list'!$A$2:$A$122,MATCH(H207,'[1]Sector list'!$B$2:$B$122,0)),"")</f>
        <v/>
      </c>
      <c r="J207" s="172"/>
    </row>
    <row r="208" spans="9:10" x14ac:dyDescent="0.3">
      <c r="I208" t="str">
        <f>_xlfn.IFNA(INDEX('[1]Sector list'!$A$2:$A$122,MATCH(H208,'[1]Sector list'!$B$2:$B$122,0)),"")</f>
        <v/>
      </c>
      <c r="J208" s="172"/>
    </row>
    <row r="209" spans="9:10" x14ac:dyDescent="0.3">
      <c r="I209" t="str">
        <f>_xlfn.IFNA(INDEX('[1]Sector list'!$A$2:$A$122,MATCH(H209,'[1]Sector list'!$B$2:$B$122,0)),"")</f>
        <v/>
      </c>
      <c r="J209" s="172"/>
    </row>
    <row r="210" spans="9:10" x14ac:dyDescent="0.3">
      <c r="I210" t="str">
        <f>_xlfn.IFNA(INDEX('[1]Sector list'!$A$2:$A$122,MATCH(H210,'[1]Sector list'!$B$2:$B$122,0)),"")</f>
        <v/>
      </c>
      <c r="J210" s="172"/>
    </row>
    <row r="211" spans="9:10" x14ac:dyDescent="0.3">
      <c r="I211" t="str">
        <f>_xlfn.IFNA(INDEX('[1]Sector list'!$A$2:$A$122,MATCH(H211,'[1]Sector list'!$B$2:$B$122,0)),"")</f>
        <v/>
      </c>
      <c r="J211" s="172"/>
    </row>
    <row r="212" spans="9:10" x14ac:dyDescent="0.3">
      <c r="I212" t="str">
        <f>_xlfn.IFNA(INDEX('[1]Sector list'!$A$2:$A$122,MATCH(H212,'[1]Sector list'!$B$2:$B$122,0)),"")</f>
        <v/>
      </c>
      <c r="J212" s="172"/>
    </row>
    <row r="213" spans="9:10" x14ac:dyDescent="0.3">
      <c r="I213" t="str">
        <f>_xlfn.IFNA(INDEX('[1]Sector list'!$A$2:$A$122,MATCH(H213,'[1]Sector list'!$B$2:$B$122,0)),"")</f>
        <v/>
      </c>
      <c r="J213" s="172"/>
    </row>
    <row r="214" spans="9:10" x14ac:dyDescent="0.3">
      <c r="I214" t="str">
        <f>_xlfn.IFNA(INDEX('[1]Sector list'!$A$2:$A$122,MATCH(H214,'[1]Sector list'!$B$2:$B$122,0)),"")</f>
        <v/>
      </c>
      <c r="J214" s="172"/>
    </row>
    <row r="215" spans="9:10" x14ac:dyDescent="0.3">
      <c r="I215" t="str">
        <f>_xlfn.IFNA(INDEX('[1]Sector list'!$A$2:$A$122,MATCH(H215,'[1]Sector list'!$B$2:$B$122,0)),"")</f>
        <v/>
      </c>
      <c r="J215" s="172"/>
    </row>
    <row r="216" spans="9:10" x14ac:dyDescent="0.3">
      <c r="I216" t="str">
        <f>_xlfn.IFNA(INDEX('[1]Sector list'!$A$2:$A$122,MATCH(H216,'[1]Sector list'!$B$2:$B$122,0)),"")</f>
        <v/>
      </c>
      <c r="J216" s="172"/>
    </row>
    <row r="217" spans="9:10" x14ac:dyDescent="0.3">
      <c r="I217" t="str">
        <f>_xlfn.IFNA(INDEX('[1]Sector list'!$A$2:$A$122,MATCH(H217,'[1]Sector list'!$B$2:$B$122,0)),"")</f>
        <v/>
      </c>
      <c r="J217" s="172"/>
    </row>
    <row r="218" spans="9:10" x14ac:dyDescent="0.3">
      <c r="I218" t="str">
        <f>_xlfn.IFNA(INDEX('[1]Sector list'!$A$2:$A$122,MATCH(H218,'[1]Sector list'!$B$2:$B$122,0)),"")</f>
        <v/>
      </c>
      <c r="J218" s="172"/>
    </row>
    <row r="219" spans="9:10" x14ac:dyDescent="0.3">
      <c r="I219" t="str">
        <f>_xlfn.IFNA(INDEX('[1]Sector list'!$A$2:$A$122,MATCH(H219,'[1]Sector list'!$B$2:$B$122,0)),"")</f>
        <v/>
      </c>
      <c r="J219" s="172"/>
    </row>
    <row r="220" spans="9:10" x14ac:dyDescent="0.3">
      <c r="I220" t="str">
        <f>_xlfn.IFNA(INDEX('[1]Sector list'!$A$2:$A$122,MATCH(H220,'[1]Sector list'!$B$2:$B$122,0)),"")</f>
        <v/>
      </c>
      <c r="J220" s="172"/>
    </row>
    <row r="221" spans="9:10" x14ac:dyDescent="0.3">
      <c r="I221" t="str">
        <f>_xlfn.IFNA(INDEX('[1]Sector list'!$A$2:$A$122,MATCH(H221,'[1]Sector list'!$B$2:$B$122,0)),"")</f>
        <v/>
      </c>
      <c r="J221" s="172"/>
    </row>
    <row r="222" spans="9:10" x14ac:dyDescent="0.3">
      <c r="I222" t="str">
        <f>_xlfn.IFNA(INDEX('[1]Sector list'!$A$2:$A$122,MATCH(H222,'[1]Sector list'!$B$2:$B$122,0)),"")</f>
        <v/>
      </c>
      <c r="J222" s="172"/>
    </row>
    <row r="223" spans="9:10" x14ac:dyDescent="0.3">
      <c r="I223" t="str">
        <f>_xlfn.IFNA(INDEX('[1]Sector list'!$A$2:$A$122,MATCH(H223,'[1]Sector list'!$B$2:$B$122,0)),"")</f>
        <v/>
      </c>
      <c r="J223" s="172"/>
    </row>
    <row r="224" spans="9:10" x14ac:dyDescent="0.3">
      <c r="I224" t="str">
        <f>_xlfn.IFNA(INDEX('[1]Sector list'!$A$2:$A$122,MATCH(H224,'[1]Sector list'!$B$2:$B$122,0)),"")</f>
        <v/>
      </c>
      <c r="J224" s="172"/>
    </row>
    <row r="225" spans="9:10" x14ac:dyDescent="0.3">
      <c r="I225" t="str">
        <f>_xlfn.IFNA(INDEX('[1]Sector list'!$A$2:$A$122,MATCH(H225,'[1]Sector list'!$B$2:$B$122,0)),"")</f>
        <v/>
      </c>
      <c r="J225" s="172"/>
    </row>
    <row r="226" spans="9:10" x14ac:dyDescent="0.3">
      <c r="I226" t="str">
        <f>_xlfn.IFNA(INDEX('[1]Sector list'!$A$2:$A$122,MATCH(H226,'[1]Sector list'!$B$2:$B$122,0)),"")</f>
        <v/>
      </c>
      <c r="J226" s="172"/>
    </row>
    <row r="227" spans="9:10" x14ac:dyDescent="0.3">
      <c r="I227" t="str">
        <f>_xlfn.IFNA(INDEX('[1]Sector list'!$A$2:$A$122,MATCH(H227,'[1]Sector list'!$B$2:$B$122,0)),"")</f>
        <v/>
      </c>
      <c r="J227" s="172"/>
    </row>
    <row r="228" spans="9:10" x14ac:dyDescent="0.3">
      <c r="I228" t="str">
        <f>_xlfn.IFNA(INDEX('[1]Sector list'!$A$2:$A$122,MATCH(H228,'[1]Sector list'!$B$2:$B$122,0)),"")</f>
        <v/>
      </c>
      <c r="J228" s="172"/>
    </row>
    <row r="229" spans="9:10" x14ac:dyDescent="0.3">
      <c r="I229" t="str">
        <f>_xlfn.IFNA(INDEX('[1]Sector list'!$A$2:$A$122,MATCH(H229,'[1]Sector list'!$B$2:$B$122,0)),"")</f>
        <v/>
      </c>
      <c r="J229" s="172"/>
    </row>
    <row r="230" spans="9:10" x14ac:dyDescent="0.3">
      <c r="I230" t="str">
        <f>_xlfn.IFNA(INDEX('[1]Sector list'!$A$2:$A$122,MATCH(H230,'[1]Sector list'!$B$2:$B$122,0)),"")</f>
        <v/>
      </c>
      <c r="J230" s="172"/>
    </row>
    <row r="231" spans="9:10" x14ac:dyDescent="0.3">
      <c r="I231" t="str">
        <f>_xlfn.IFNA(INDEX('[1]Sector list'!$A$2:$A$122,MATCH(H231,'[1]Sector list'!$B$2:$B$122,0)),"")</f>
        <v/>
      </c>
      <c r="J231" s="172"/>
    </row>
    <row r="232" spans="9:10" x14ac:dyDescent="0.3">
      <c r="I232" t="str">
        <f>_xlfn.IFNA(INDEX('[1]Sector list'!$A$2:$A$122,MATCH(H232,'[1]Sector list'!$B$2:$B$122,0)),"")</f>
        <v/>
      </c>
      <c r="J232" s="172"/>
    </row>
    <row r="233" spans="9:10" x14ac:dyDescent="0.3">
      <c r="I233" t="str">
        <f>_xlfn.IFNA(INDEX('[1]Sector list'!$A$2:$A$122,MATCH(H233,'[1]Sector list'!$B$2:$B$122,0)),"")</f>
        <v/>
      </c>
      <c r="J233" s="172"/>
    </row>
    <row r="234" spans="9:10" x14ac:dyDescent="0.3">
      <c r="I234" t="str">
        <f>_xlfn.IFNA(INDEX('[1]Sector list'!$A$2:$A$122,MATCH(H234,'[1]Sector list'!$B$2:$B$122,0)),"")</f>
        <v/>
      </c>
      <c r="J234" s="172"/>
    </row>
    <row r="235" spans="9:10" x14ac:dyDescent="0.3">
      <c r="I235" t="str">
        <f>_xlfn.IFNA(INDEX('[1]Sector list'!$A$2:$A$122,MATCH(H235,'[1]Sector list'!$B$2:$B$122,0)),"")</f>
        <v/>
      </c>
      <c r="J235" s="172"/>
    </row>
    <row r="236" spans="9:10" x14ac:dyDescent="0.3">
      <c r="I236" t="str">
        <f>_xlfn.IFNA(INDEX('[1]Sector list'!$A$2:$A$122,MATCH(H236,'[1]Sector list'!$B$2:$B$122,0)),"")</f>
        <v/>
      </c>
      <c r="J236" s="172"/>
    </row>
    <row r="237" spans="9:10" x14ac:dyDescent="0.3">
      <c r="I237" t="str">
        <f>_xlfn.IFNA(INDEX('[1]Sector list'!$A$2:$A$122,MATCH(H237,'[1]Sector list'!$B$2:$B$122,0)),"")</f>
        <v/>
      </c>
      <c r="J237" s="172"/>
    </row>
    <row r="238" spans="9:10" x14ac:dyDescent="0.3">
      <c r="I238" t="str">
        <f>_xlfn.IFNA(INDEX('[1]Sector list'!$A$2:$A$122,MATCH(H238,'[1]Sector list'!$B$2:$B$122,0)),"")</f>
        <v/>
      </c>
      <c r="J238" s="172"/>
    </row>
    <row r="239" spans="9:10" x14ac:dyDescent="0.3">
      <c r="I239" t="str">
        <f>_xlfn.IFNA(INDEX('[1]Sector list'!$A$2:$A$122,MATCH(H239,'[1]Sector list'!$B$2:$B$122,0)),"")</f>
        <v/>
      </c>
      <c r="J239" s="172"/>
    </row>
    <row r="240" spans="9:10" x14ac:dyDescent="0.3">
      <c r="I240" t="str">
        <f>_xlfn.IFNA(INDEX('[1]Sector list'!$A$2:$A$122,MATCH(H240,'[1]Sector list'!$B$2:$B$122,0)),"")</f>
        <v/>
      </c>
      <c r="J240" s="172"/>
    </row>
    <row r="241" spans="9:10" x14ac:dyDescent="0.3">
      <c r="I241" t="str">
        <f>_xlfn.IFNA(INDEX('[1]Sector list'!$A$2:$A$122,MATCH(H241,'[1]Sector list'!$B$2:$B$122,0)),"")</f>
        <v/>
      </c>
      <c r="J241" s="172"/>
    </row>
    <row r="242" spans="9:10" x14ac:dyDescent="0.3">
      <c r="I242" t="str">
        <f>_xlfn.IFNA(INDEX('[1]Sector list'!$A$2:$A$122,MATCH(H242,'[1]Sector list'!$B$2:$B$122,0)),"")</f>
        <v/>
      </c>
      <c r="J242" s="172"/>
    </row>
    <row r="243" spans="9:10" x14ac:dyDescent="0.3">
      <c r="I243" t="str">
        <f>_xlfn.IFNA(INDEX('[1]Sector list'!$A$2:$A$122,MATCH(H243,'[1]Sector list'!$B$2:$B$122,0)),"")</f>
        <v/>
      </c>
      <c r="J243" s="172"/>
    </row>
    <row r="244" spans="9:10" x14ac:dyDescent="0.3">
      <c r="I244" t="str">
        <f>_xlfn.IFNA(INDEX('[1]Sector list'!$A$2:$A$122,MATCH(H244,'[1]Sector list'!$B$2:$B$122,0)),"")</f>
        <v/>
      </c>
      <c r="J244" s="172"/>
    </row>
    <row r="245" spans="9:10" x14ac:dyDescent="0.3">
      <c r="I245" t="str">
        <f>_xlfn.IFNA(INDEX('[1]Sector list'!$A$2:$A$122,MATCH(H245,'[1]Sector list'!$B$2:$B$122,0)),"")</f>
        <v/>
      </c>
      <c r="J245" s="172"/>
    </row>
    <row r="246" spans="9:10" x14ac:dyDescent="0.3">
      <c r="I246" t="str">
        <f>_xlfn.IFNA(INDEX('[1]Sector list'!$A$2:$A$122,MATCH(H246,'[1]Sector list'!$B$2:$B$122,0)),"")</f>
        <v/>
      </c>
      <c r="J246" s="172"/>
    </row>
    <row r="247" spans="9:10" x14ac:dyDescent="0.3">
      <c r="I247" t="str">
        <f>_xlfn.IFNA(INDEX('[1]Sector list'!$A$2:$A$122,MATCH(H247,'[1]Sector list'!$B$2:$B$122,0)),"")</f>
        <v/>
      </c>
      <c r="J247" s="172"/>
    </row>
    <row r="248" spans="9:10" x14ac:dyDescent="0.3">
      <c r="I248" t="str">
        <f>_xlfn.IFNA(INDEX('[1]Sector list'!$A$2:$A$122,MATCH(H248,'[1]Sector list'!$B$2:$B$122,0)),"")</f>
        <v/>
      </c>
      <c r="J248" s="172"/>
    </row>
    <row r="249" spans="9:10" x14ac:dyDescent="0.3">
      <c r="I249" t="str">
        <f>_xlfn.IFNA(INDEX('[1]Sector list'!$A$2:$A$122,MATCH(H249,'[1]Sector list'!$B$2:$B$122,0)),"")</f>
        <v/>
      </c>
      <c r="J249" s="172"/>
    </row>
    <row r="250" spans="9:10" x14ac:dyDescent="0.3">
      <c r="I250" t="str">
        <f>_xlfn.IFNA(INDEX('[1]Sector list'!$A$2:$A$122,MATCH(H250,'[1]Sector list'!$B$2:$B$122,0)),"")</f>
        <v/>
      </c>
      <c r="J250" s="172"/>
    </row>
    <row r="251" spans="9:10" x14ac:dyDescent="0.3">
      <c r="I251" t="str">
        <f>_xlfn.IFNA(INDEX('[1]Sector list'!$A$2:$A$122,MATCH(H251,'[1]Sector list'!$B$2:$B$122,0)),"")</f>
        <v/>
      </c>
      <c r="J251" s="172"/>
    </row>
    <row r="252" spans="9:10" x14ac:dyDescent="0.3">
      <c r="I252" t="str">
        <f>_xlfn.IFNA(INDEX('[1]Sector list'!$A$2:$A$122,MATCH(H252,'[1]Sector list'!$B$2:$B$122,0)),"")</f>
        <v/>
      </c>
      <c r="J252" s="172"/>
    </row>
    <row r="253" spans="9:10" x14ac:dyDescent="0.3">
      <c r="I253" t="str">
        <f>_xlfn.IFNA(INDEX('[1]Sector list'!$A$2:$A$122,MATCH(H253,'[1]Sector list'!$B$2:$B$122,0)),"")</f>
        <v/>
      </c>
      <c r="J253" s="172"/>
    </row>
    <row r="254" spans="9:10" x14ac:dyDescent="0.3">
      <c r="I254" t="str">
        <f>_xlfn.IFNA(INDEX('[1]Sector list'!$A$2:$A$122,MATCH(H254,'[1]Sector list'!$B$2:$B$122,0)),"")</f>
        <v/>
      </c>
      <c r="J254" s="172"/>
    </row>
    <row r="255" spans="9:10" x14ac:dyDescent="0.3">
      <c r="I255" t="str">
        <f>_xlfn.IFNA(INDEX('[1]Sector list'!$A$2:$A$122,MATCH(H255,'[1]Sector list'!$B$2:$B$122,0)),"")</f>
        <v/>
      </c>
      <c r="J255" s="172"/>
    </row>
    <row r="256" spans="9:10" x14ac:dyDescent="0.3">
      <c r="I256" t="str">
        <f>_xlfn.IFNA(INDEX('[1]Sector list'!$A$2:$A$122,MATCH(H256,'[1]Sector list'!$B$2:$B$122,0)),"")</f>
        <v/>
      </c>
      <c r="J256" s="172"/>
    </row>
    <row r="257" spans="9:10" x14ac:dyDescent="0.3">
      <c r="I257" t="str">
        <f>_xlfn.IFNA(INDEX('[1]Sector list'!$A$2:$A$122,MATCH(H257,'[1]Sector list'!$B$2:$B$122,0)),"")</f>
        <v/>
      </c>
      <c r="J257" s="172"/>
    </row>
    <row r="258" spans="9:10" x14ac:dyDescent="0.3">
      <c r="I258" t="str">
        <f>_xlfn.IFNA(INDEX('[1]Sector list'!$A$2:$A$122,MATCH(H258,'[1]Sector list'!$B$2:$B$122,0)),"")</f>
        <v/>
      </c>
      <c r="J258" s="172"/>
    </row>
    <row r="259" spans="9:10" x14ac:dyDescent="0.3">
      <c r="I259" t="str">
        <f>_xlfn.IFNA(INDEX('[1]Sector list'!$A$2:$A$122,MATCH(H259,'[1]Sector list'!$B$2:$B$122,0)),"")</f>
        <v/>
      </c>
      <c r="J259" s="172"/>
    </row>
    <row r="260" spans="9:10" x14ac:dyDescent="0.3">
      <c r="I260" t="str">
        <f>_xlfn.IFNA(INDEX('[1]Sector list'!$A$2:$A$122,MATCH(H260,'[1]Sector list'!$B$2:$B$122,0)),"")</f>
        <v/>
      </c>
      <c r="J260" s="172"/>
    </row>
    <row r="261" spans="9:10" x14ac:dyDescent="0.3">
      <c r="I261" t="str">
        <f>_xlfn.IFNA(INDEX('[1]Sector list'!$A$2:$A$122,MATCH(H261,'[1]Sector list'!$B$2:$B$122,0)),"")</f>
        <v/>
      </c>
      <c r="J261" s="172"/>
    </row>
    <row r="262" spans="9:10" x14ac:dyDescent="0.3">
      <c r="I262" t="str">
        <f>_xlfn.IFNA(INDEX('[1]Sector list'!$A$2:$A$122,MATCH(H262,'[1]Sector list'!$B$2:$B$122,0)),"")</f>
        <v/>
      </c>
      <c r="J262" s="172"/>
    </row>
    <row r="263" spans="9:10" x14ac:dyDescent="0.3">
      <c r="I263" t="str">
        <f>_xlfn.IFNA(INDEX('[1]Sector list'!$A$2:$A$122,MATCH(H263,'[1]Sector list'!$B$2:$B$122,0)),"")</f>
        <v/>
      </c>
      <c r="J263" s="172"/>
    </row>
    <row r="264" spans="9:10" x14ac:dyDescent="0.3">
      <c r="I264" t="str">
        <f>_xlfn.IFNA(INDEX('[1]Sector list'!$A$2:$A$122,MATCH(H264,'[1]Sector list'!$B$2:$B$122,0)),"")</f>
        <v/>
      </c>
      <c r="J264" s="172"/>
    </row>
    <row r="265" spans="9:10" x14ac:dyDescent="0.3">
      <c r="I265" t="str">
        <f>_xlfn.IFNA(INDEX('[1]Sector list'!$A$2:$A$122,MATCH(H265,'[1]Sector list'!$B$2:$B$122,0)),"")</f>
        <v/>
      </c>
      <c r="J265" s="172"/>
    </row>
    <row r="266" spans="9:10" x14ac:dyDescent="0.3">
      <c r="I266" t="str">
        <f>_xlfn.IFNA(INDEX('[1]Sector list'!$A$2:$A$122,MATCH(H266,'[1]Sector list'!$B$2:$B$122,0)),"")</f>
        <v/>
      </c>
      <c r="J266" s="172"/>
    </row>
    <row r="267" spans="9:10" x14ac:dyDescent="0.3">
      <c r="I267" t="str">
        <f>_xlfn.IFNA(INDEX('[1]Sector list'!$A$2:$A$122,MATCH(H267,'[1]Sector list'!$B$2:$B$122,0)),"")</f>
        <v/>
      </c>
      <c r="J267" s="172"/>
    </row>
    <row r="268" spans="9:10" x14ac:dyDescent="0.3">
      <c r="I268" t="str">
        <f>_xlfn.IFNA(INDEX('[1]Sector list'!$A$2:$A$122,MATCH(H268,'[1]Sector list'!$B$2:$B$122,0)),"")</f>
        <v/>
      </c>
      <c r="J268" s="172"/>
    </row>
    <row r="269" spans="9:10" x14ac:dyDescent="0.3">
      <c r="I269" t="str">
        <f>_xlfn.IFNA(INDEX('[1]Sector list'!$A$2:$A$122,MATCH(H269,'[1]Sector list'!$B$2:$B$122,0)),"")</f>
        <v/>
      </c>
      <c r="J269" s="172"/>
    </row>
    <row r="270" spans="9:10" x14ac:dyDescent="0.3">
      <c r="I270" t="str">
        <f>_xlfn.IFNA(INDEX('[1]Sector list'!$A$2:$A$122,MATCH(H270,'[1]Sector list'!$B$2:$B$122,0)),"")</f>
        <v/>
      </c>
      <c r="J270" s="172"/>
    </row>
    <row r="271" spans="9:10" x14ac:dyDescent="0.3">
      <c r="I271" t="str">
        <f>_xlfn.IFNA(INDEX('[1]Sector list'!$A$2:$A$122,MATCH(H271,'[1]Sector list'!$B$2:$B$122,0)),"")</f>
        <v/>
      </c>
      <c r="J271" s="172"/>
    </row>
    <row r="272" spans="9:10" x14ac:dyDescent="0.3">
      <c r="I272" t="str">
        <f>_xlfn.IFNA(INDEX('[1]Sector list'!$A$2:$A$122,MATCH(H272,'[1]Sector list'!$B$2:$B$122,0)),"")</f>
        <v/>
      </c>
      <c r="J272" s="172"/>
    </row>
    <row r="273" spans="9:10" x14ac:dyDescent="0.3">
      <c r="I273" t="str">
        <f>_xlfn.IFNA(INDEX('[1]Sector list'!$A$2:$A$122,MATCH(H273,'[1]Sector list'!$B$2:$B$122,0)),"")</f>
        <v/>
      </c>
      <c r="J273" s="172"/>
    </row>
    <row r="274" spans="9:10" x14ac:dyDescent="0.3">
      <c r="I274" t="str">
        <f>_xlfn.IFNA(INDEX('[1]Sector list'!$A$2:$A$122,MATCH(H274,'[1]Sector list'!$B$2:$B$122,0)),"")</f>
        <v/>
      </c>
      <c r="J274" s="172"/>
    </row>
    <row r="275" spans="9:10" x14ac:dyDescent="0.3">
      <c r="I275" t="str">
        <f>_xlfn.IFNA(INDEX('[1]Sector list'!$A$2:$A$122,MATCH(H275,'[1]Sector list'!$B$2:$B$122,0)),"")</f>
        <v/>
      </c>
      <c r="J275" s="172"/>
    </row>
    <row r="276" spans="9:10" x14ac:dyDescent="0.3">
      <c r="I276" t="str">
        <f>_xlfn.IFNA(INDEX('[1]Sector list'!$A$2:$A$122,MATCH(H276,'[1]Sector list'!$B$2:$B$122,0)),"")</f>
        <v/>
      </c>
      <c r="J276" s="172"/>
    </row>
    <row r="277" spans="9:10" x14ac:dyDescent="0.3">
      <c r="I277" t="str">
        <f>_xlfn.IFNA(INDEX('[1]Sector list'!$A$2:$A$122,MATCH(H277,'[1]Sector list'!$B$2:$B$122,0)),"")</f>
        <v/>
      </c>
      <c r="J277" s="172"/>
    </row>
    <row r="278" spans="9:10" x14ac:dyDescent="0.3">
      <c r="I278" t="str">
        <f>_xlfn.IFNA(INDEX('[1]Sector list'!$A$2:$A$122,MATCH(H278,'[1]Sector list'!$B$2:$B$122,0)),"")</f>
        <v/>
      </c>
      <c r="J278" s="172"/>
    </row>
    <row r="279" spans="9:10" x14ac:dyDescent="0.3">
      <c r="I279" t="str">
        <f>_xlfn.IFNA(INDEX('[1]Sector list'!$A$2:$A$122,MATCH(H279,'[1]Sector list'!$B$2:$B$122,0)),"")</f>
        <v/>
      </c>
      <c r="J279" s="172"/>
    </row>
    <row r="280" spans="9:10" x14ac:dyDescent="0.3">
      <c r="I280" t="str">
        <f>_xlfn.IFNA(INDEX('[1]Sector list'!$A$2:$A$122,MATCH(H280,'[1]Sector list'!$B$2:$B$122,0)),"")</f>
        <v/>
      </c>
      <c r="J280" s="172"/>
    </row>
    <row r="281" spans="9:10" x14ac:dyDescent="0.3">
      <c r="I281" t="str">
        <f>_xlfn.IFNA(INDEX('[1]Sector list'!$A$2:$A$122,MATCH(H281,'[1]Sector list'!$B$2:$B$122,0)),"")</f>
        <v/>
      </c>
      <c r="J281" s="172"/>
    </row>
    <row r="282" spans="9:10" x14ac:dyDescent="0.3">
      <c r="I282" t="str">
        <f>_xlfn.IFNA(INDEX('[1]Sector list'!$A$2:$A$122,MATCH(H282,'[1]Sector list'!$B$2:$B$122,0)),"")</f>
        <v/>
      </c>
      <c r="J282" s="172"/>
    </row>
    <row r="283" spans="9:10" x14ac:dyDescent="0.3">
      <c r="I283" t="str">
        <f>_xlfn.IFNA(INDEX('[1]Sector list'!$A$2:$A$122,MATCH(H283,'[1]Sector list'!$B$2:$B$122,0)),"")</f>
        <v/>
      </c>
      <c r="J283" s="172"/>
    </row>
    <row r="284" spans="9:10" x14ac:dyDescent="0.3">
      <c r="I284" t="str">
        <f>_xlfn.IFNA(INDEX('[1]Sector list'!$A$2:$A$122,MATCH(H284,'[1]Sector list'!$B$2:$B$122,0)),"")</f>
        <v/>
      </c>
      <c r="J284" s="172"/>
    </row>
    <row r="285" spans="9:10" x14ac:dyDescent="0.3">
      <c r="I285" t="str">
        <f>_xlfn.IFNA(INDEX('[1]Sector list'!$A$2:$A$122,MATCH(H285,'[1]Sector list'!$B$2:$B$122,0)),"")</f>
        <v/>
      </c>
      <c r="J285" s="172"/>
    </row>
    <row r="286" spans="9:10" x14ac:dyDescent="0.3">
      <c r="I286" t="str">
        <f>_xlfn.IFNA(INDEX('[1]Sector list'!$A$2:$A$122,MATCH(H286,'[1]Sector list'!$B$2:$B$122,0)),"")</f>
        <v/>
      </c>
      <c r="J286" s="172"/>
    </row>
    <row r="287" spans="9:10" x14ac:dyDescent="0.3">
      <c r="I287" t="str">
        <f>_xlfn.IFNA(INDEX('[1]Sector list'!$A$2:$A$122,MATCH(H287,'[1]Sector list'!$B$2:$B$122,0)),"")</f>
        <v/>
      </c>
      <c r="J287" s="172"/>
    </row>
    <row r="288" spans="9:10" x14ac:dyDescent="0.3">
      <c r="I288" t="str">
        <f>_xlfn.IFNA(INDEX('[1]Sector list'!$A$2:$A$122,MATCH(H288,'[1]Sector list'!$B$2:$B$122,0)),"")</f>
        <v/>
      </c>
      <c r="J288" s="172"/>
    </row>
    <row r="289" spans="9:10" x14ac:dyDescent="0.3">
      <c r="I289" t="str">
        <f>_xlfn.IFNA(INDEX('[1]Sector list'!$A$2:$A$122,MATCH(H289,'[1]Sector list'!$B$2:$B$122,0)),"")</f>
        <v/>
      </c>
      <c r="J289" s="172"/>
    </row>
    <row r="290" spans="9:10" x14ac:dyDescent="0.3">
      <c r="I290" t="str">
        <f>_xlfn.IFNA(INDEX('[1]Sector list'!$A$2:$A$122,MATCH(H290,'[1]Sector list'!$B$2:$B$122,0)),"")</f>
        <v/>
      </c>
      <c r="J290" s="172"/>
    </row>
    <row r="291" spans="9:10" x14ac:dyDescent="0.3">
      <c r="I291" t="str">
        <f>_xlfn.IFNA(INDEX('[1]Sector list'!$A$2:$A$122,MATCH(H291,'[1]Sector list'!$B$2:$B$122,0)),"")</f>
        <v/>
      </c>
      <c r="J291" s="172"/>
    </row>
    <row r="292" spans="9:10" x14ac:dyDescent="0.3">
      <c r="I292" t="str">
        <f>_xlfn.IFNA(INDEX('[1]Sector list'!$A$2:$A$122,MATCH(H292,'[1]Sector list'!$B$2:$B$122,0)),"")</f>
        <v/>
      </c>
      <c r="J292" s="172"/>
    </row>
    <row r="293" spans="9:10" x14ac:dyDescent="0.3">
      <c r="I293" t="str">
        <f>_xlfn.IFNA(INDEX('[1]Sector list'!$A$2:$A$122,MATCH(H293,'[1]Sector list'!$B$2:$B$122,0)),"")</f>
        <v/>
      </c>
      <c r="J293" s="172"/>
    </row>
    <row r="294" spans="9:10" x14ac:dyDescent="0.3">
      <c r="I294" t="str">
        <f>_xlfn.IFNA(INDEX('[1]Sector list'!$A$2:$A$122,MATCH(H294,'[1]Sector list'!$B$2:$B$122,0)),"")</f>
        <v/>
      </c>
      <c r="J294" s="172"/>
    </row>
    <row r="295" spans="9:10" x14ac:dyDescent="0.3">
      <c r="I295" t="str">
        <f>_xlfn.IFNA(INDEX('[1]Sector list'!$A$2:$A$122,MATCH(H295,'[1]Sector list'!$B$2:$B$122,0)),"")</f>
        <v/>
      </c>
      <c r="J295" s="172"/>
    </row>
    <row r="296" spans="9:10" x14ac:dyDescent="0.3">
      <c r="I296" t="str">
        <f>_xlfn.IFNA(INDEX('[1]Sector list'!$A$2:$A$122,MATCH(H296,'[1]Sector list'!$B$2:$B$122,0)),"")</f>
        <v/>
      </c>
      <c r="J296" s="172"/>
    </row>
    <row r="297" spans="9:10" x14ac:dyDescent="0.3">
      <c r="I297" t="str">
        <f>_xlfn.IFNA(INDEX('[1]Sector list'!$A$2:$A$122,MATCH(H297,'[1]Sector list'!$B$2:$B$122,0)),"")</f>
        <v/>
      </c>
      <c r="J297" s="172"/>
    </row>
    <row r="298" spans="9:10" x14ac:dyDescent="0.3">
      <c r="I298" t="str">
        <f>_xlfn.IFNA(INDEX('[1]Sector list'!$A$2:$A$122,MATCH(H298,'[1]Sector list'!$B$2:$B$122,0)),"")</f>
        <v/>
      </c>
      <c r="J298" s="172"/>
    </row>
    <row r="299" spans="9:10" x14ac:dyDescent="0.3">
      <c r="I299" t="str">
        <f>_xlfn.IFNA(INDEX('[1]Sector list'!$A$2:$A$122,MATCH(H299,'[1]Sector list'!$B$2:$B$122,0)),"")</f>
        <v/>
      </c>
      <c r="J299" s="172"/>
    </row>
    <row r="300" spans="9:10" x14ac:dyDescent="0.3">
      <c r="I300" t="str">
        <f>_xlfn.IFNA(INDEX('[1]Sector list'!$A$2:$A$122,MATCH(H300,'[1]Sector list'!$B$2:$B$122,0)),"")</f>
        <v/>
      </c>
      <c r="J300" s="172"/>
    </row>
    <row r="301" spans="9:10" x14ac:dyDescent="0.3">
      <c r="I301" t="str">
        <f>_xlfn.IFNA(INDEX('[1]Sector list'!$A$2:$A$122,MATCH(H301,'[1]Sector list'!$B$2:$B$122,0)),"")</f>
        <v/>
      </c>
      <c r="J301" s="172"/>
    </row>
    <row r="302" spans="9:10" x14ac:dyDescent="0.3">
      <c r="I302" t="str">
        <f>_xlfn.IFNA(INDEX('[1]Sector list'!$A$2:$A$122,MATCH(H302,'[1]Sector list'!$B$2:$B$122,0)),"")</f>
        <v/>
      </c>
      <c r="J302" s="172"/>
    </row>
    <row r="303" spans="9:10" x14ac:dyDescent="0.3">
      <c r="I303" t="str">
        <f>_xlfn.IFNA(INDEX('[1]Sector list'!$A$2:$A$122,MATCH(H303,'[1]Sector list'!$B$2:$B$122,0)),"")</f>
        <v/>
      </c>
      <c r="J303" s="172"/>
    </row>
    <row r="304" spans="9:10" x14ac:dyDescent="0.3">
      <c r="I304" t="str">
        <f>_xlfn.IFNA(INDEX('[1]Sector list'!$A$2:$A$122,MATCH(H304,'[1]Sector list'!$B$2:$B$122,0)),"")</f>
        <v/>
      </c>
      <c r="J304" s="172"/>
    </row>
    <row r="305" spans="9:10" x14ac:dyDescent="0.3">
      <c r="I305" t="str">
        <f>_xlfn.IFNA(INDEX('[1]Sector list'!$A$2:$A$122,MATCH(H305,'[1]Sector list'!$B$2:$B$122,0)),"")</f>
        <v/>
      </c>
      <c r="J305" s="172"/>
    </row>
    <row r="306" spans="9:10" x14ac:dyDescent="0.3">
      <c r="I306" t="str">
        <f>_xlfn.IFNA(INDEX('[1]Sector list'!$A$2:$A$122,MATCH(H306,'[1]Sector list'!$B$2:$B$122,0)),"")</f>
        <v/>
      </c>
      <c r="J306" s="172"/>
    </row>
    <row r="307" spans="9:10" x14ac:dyDescent="0.3">
      <c r="I307" t="str">
        <f>_xlfn.IFNA(INDEX('[1]Sector list'!$A$2:$A$122,MATCH(H307,'[1]Sector list'!$B$2:$B$122,0)),"")</f>
        <v/>
      </c>
      <c r="J307" s="172"/>
    </row>
    <row r="308" spans="9:10" x14ac:dyDescent="0.3">
      <c r="I308" t="str">
        <f>_xlfn.IFNA(INDEX('[1]Sector list'!$A$2:$A$122,MATCH(H308,'[1]Sector list'!$B$2:$B$122,0)),"")</f>
        <v/>
      </c>
      <c r="J308" s="172"/>
    </row>
    <row r="309" spans="9:10" x14ac:dyDescent="0.3">
      <c r="I309" t="str">
        <f>_xlfn.IFNA(INDEX('[1]Sector list'!$A$2:$A$122,MATCH(H309,'[1]Sector list'!$B$2:$B$122,0)),"")</f>
        <v/>
      </c>
      <c r="J309" s="172"/>
    </row>
    <row r="310" spans="9:10" x14ac:dyDescent="0.3">
      <c r="I310" t="str">
        <f>_xlfn.IFNA(INDEX('[1]Sector list'!$A$2:$A$122,MATCH(H310,'[1]Sector list'!$B$2:$B$122,0)),"")</f>
        <v/>
      </c>
      <c r="J310" s="172"/>
    </row>
    <row r="311" spans="9:10" x14ac:dyDescent="0.3">
      <c r="I311" t="str">
        <f>_xlfn.IFNA(INDEX('[1]Sector list'!$A$2:$A$122,MATCH(H311,'[1]Sector list'!$B$2:$B$122,0)),"")</f>
        <v/>
      </c>
      <c r="J311" s="172"/>
    </row>
    <row r="312" spans="9:10" x14ac:dyDescent="0.3">
      <c r="I312" t="str">
        <f>_xlfn.IFNA(INDEX('[1]Sector list'!$A$2:$A$122,MATCH(H312,'[1]Sector list'!$B$2:$B$122,0)),"")</f>
        <v/>
      </c>
      <c r="J312" s="172"/>
    </row>
    <row r="313" spans="9:10" x14ac:dyDescent="0.3">
      <c r="I313" t="str">
        <f>_xlfn.IFNA(INDEX('[1]Sector list'!$A$2:$A$122,MATCH(H313,'[1]Sector list'!$B$2:$B$122,0)),"")</f>
        <v/>
      </c>
      <c r="J313" s="172"/>
    </row>
    <row r="314" spans="9:10" x14ac:dyDescent="0.3">
      <c r="I314" t="str">
        <f>_xlfn.IFNA(INDEX('[1]Sector list'!$A$2:$A$122,MATCH(H314,'[1]Sector list'!$B$2:$B$122,0)),"")</f>
        <v/>
      </c>
      <c r="J314" s="172"/>
    </row>
    <row r="315" spans="9:10" x14ac:dyDescent="0.3">
      <c r="I315" t="str">
        <f>_xlfn.IFNA(INDEX('[1]Sector list'!$A$2:$A$122,MATCH(H315,'[1]Sector list'!$B$2:$B$122,0)),"")</f>
        <v/>
      </c>
      <c r="J315" s="172"/>
    </row>
    <row r="316" spans="9:10" x14ac:dyDescent="0.3">
      <c r="I316" t="str">
        <f>_xlfn.IFNA(INDEX('[1]Sector list'!$A$2:$A$122,MATCH(H316,'[1]Sector list'!$B$2:$B$122,0)),"")</f>
        <v/>
      </c>
      <c r="J316" s="172"/>
    </row>
    <row r="317" spans="9:10" x14ac:dyDescent="0.3">
      <c r="I317" t="str">
        <f>_xlfn.IFNA(INDEX('[1]Sector list'!$A$2:$A$122,MATCH(H317,'[1]Sector list'!$B$2:$B$122,0)),"")</f>
        <v/>
      </c>
      <c r="J317" s="172"/>
    </row>
    <row r="318" spans="9:10" x14ac:dyDescent="0.3">
      <c r="I318" t="str">
        <f>_xlfn.IFNA(INDEX('[1]Sector list'!$A$2:$A$122,MATCH(H318,'[1]Sector list'!$B$2:$B$122,0)),"")</f>
        <v/>
      </c>
      <c r="J318" s="172"/>
    </row>
    <row r="319" spans="9:10" x14ac:dyDescent="0.3">
      <c r="I319" t="str">
        <f>_xlfn.IFNA(INDEX('[1]Sector list'!$A$2:$A$122,MATCH(H319,'[1]Sector list'!$B$2:$B$122,0)),"")</f>
        <v/>
      </c>
      <c r="J319" s="172"/>
    </row>
    <row r="320" spans="9:10" x14ac:dyDescent="0.3">
      <c r="I320" t="str">
        <f>_xlfn.IFNA(INDEX('[1]Sector list'!$A$2:$A$122,MATCH(H320,'[1]Sector list'!$B$2:$B$122,0)),"")</f>
        <v/>
      </c>
      <c r="J320" s="172"/>
    </row>
    <row r="321" spans="9:10" x14ac:dyDescent="0.3">
      <c r="I321" t="str">
        <f>_xlfn.IFNA(INDEX('[1]Sector list'!$A$2:$A$122,MATCH(H321,'[1]Sector list'!$B$2:$B$122,0)),"")</f>
        <v/>
      </c>
      <c r="J321" s="172"/>
    </row>
    <row r="322" spans="9:10" x14ac:dyDescent="0.3">
      <c r="I322" t="str">
        <f>_xlfn.IFNA(INDEX('[1]Sector list'!$A$2:$A$122,MATCH(H322,'[1]Sector list'!$B$2:$B$122,0)),"")</f>
        <v/>
      </c>
      <c r="J322" s="172"/>
    </row>
    <row r="323" spans="9:10" x14ac:dyDescent="0.3">
      <c r="I323" t="str">
        <f>_xlfn.IFNA(INDEX('[1]Sector list'!$A$2:$A$122,MATCH(H323,'[1]Sector list'!$B$2:$B$122,0)),"")</f>
        <v/>
      </c>
      <c r="J323" s="172"/>
    </row>
    <row r="324" spans="9:10" x14ac:dyDescent="0.3">
      <c r="I324" t="str">
        <f>_xlfn.IFNA(INDEX('[1]Sector list'!$A$2:$A$122,MATCH(H324,'[1]Sector list'!$B$2:$B$122,0)),"")</f>
        <v/>
      </c>
      <c r="J324" s="172"/>
    </row>
    <row r="325" spans="9:10" x14ac:dyDescent="0.3">
      <c r="I325" t="str">
        <f>_xlfn.IFNA(INDEX('[1]Sector list'!$A$2:$A$122,MATCH(H325,'[1]Sector list'!$B$2:$B$122,0)),"")</f>
        <v/>
      </c>
      <c r="J325" s="172"/>
    </row>
    <row r="326" spans="9:10" x14ac:dyDescent="0.3">
      <c r="I326" t="str">
        <f>_xlfn.IFNA(INDEX('[1]Sector list'!$A$2:$A$122,MATCH(H326,'[1]Sector list'!$B$2:$B$122,0)),"")</f>
        <v/>
      </c>
      <c r="J326" s="172"/>
    </row>
    <row r="327" spans="9:10" x14ac:dyDescent="0.3">
      <c r="I327" t="str">
        <f>_xlfn.IFNA(INDEX('[1]Sector list'!$A$2:$A$122,MATCH(H327,'[1]Sector list'!$B$2:$B$122,0)),"")</f>
        <v/>
      </c>
      <c r="J327" s="172"/>
    </row>
    <row r="328" spans="9:10" x14ac:dyDescent="0.3">
      <c r="I328" t="str">
        <f>_xlfn.IFNA(INDEX('[1]Sector list'!$A$2:$A$122,MATCH(H328,'[1]Sector list'!$B$2:$B$122,0)),"")</f>
        <v/>
      </c>
      <c r="J328" s="172"/>
    </row>
    <row r="329" spans="9:10" x14ac:dyDescent="0.3">
      <c r="I329" t="str">
        <f>_xlfn.IFNA(INDEX('[1]Sector list'!$A$2:$A$122,MATCH(H329,'[1]Sector list'!$B$2:$B$122,0)),"")</f>
        <v/>
      </c>
      <c r="J329" s="172"/>
    </row>
    <row r="330" spans="9:10" x14ac:dyDescent="0.3">
      <c r="I330" t="str">
        <f>_xlfn.IFNA(INDEX('[1]Sector list'!$A$2:$A$122,MATCH(H330,'[1]Sector list'!$B$2:$B$122,0)),"")</f>
        <v/>
      </c>
      <c r="J330" s="172"/>
    </row>
    <row r="331" spans="9:10" x14ac:dyDescent="0.3">
      <c r="I331" t="str">
        <f>_xlfn.IFNA(INDEX('[1]Sector list'!$A$2:$A$122,MATCH(H331,'[1]Sector list'!$B$2:$B$122,0)),"")</f>
        <v/>
      </c>
      <c r="J331" s="172"/>
    </row>
    <row r="332" spans="9:10" x14ac:dyDescent="0.3">
      <c r="I332" t="str">
        <f>_xlfn.IFNA(INDEX('[1]Sector list'!$A$2:$A$122,MATCH(H332,'[1]Sector list'!$B$2:$B$122,0)),"")</f>
        <v/>
      </c>
      <c r="J332" s="172"/>
    </row>
    <row r="333" spans="9:10" x14ac:dyDescent="0.3">
      <c r="I333" t="str">
        <f>_xlfn.IFNA(INDEX('[1]Sector list'!$A$2:$A$122,MATCH(H333,'[1]Sector list'!$B$2:$B$122,0)),"")</f>
        <v/>
      </c>
      <c r="J333" s="172"/>
    </row>
    <row r="334" spans="9:10" x14ac:dyDescent="0.3">
      <c r="I334" t="str">
        <f>_xlfn.IFNA(INDEX('[1]Sector list'!$A$2:$A$122,MATCH(H334,'[1]Sector list'!$B$2:$B$122,0)),"")</f>
        <v/>
      </c>
      <c r="J334" s="172"/>
    </row>
    <row r="335" spans="9:10" x14ac:dyDescent="0.3">
      <c r="I335" t="str">
        <f>_xlfn.IFNA(INDEX('[1]Sector list'!$A$2:$A$122,MATCH(H335,'[1]Sector list'!$B$2:$B$122,0)),"")</f>
        <v/>
      </c>
      <c r="J335" s="172"/>
    </row>
    <row r="336" spans="9:10" x14ac:dyDescent="0.3">
      <c r="I336" t="str">
        <f>_xlfn.IFNA(INDEX('[1]Sector list'!$A$2:$A$122,MATCH(H336,'[1]Sector list'!$B$2:$B$122,0)),"")</f>
        <v/>
      </c>
      <c r="J336" s="172"/>
    </row>
    <row r="337" spans="9:10" x14ac:dyDescent="0.3">
      <c r="I337" t="str">
        <f>_xlfn.IFNA(INDEX('[1]Sector list'!$A$2:$A$122,MATCH(H337,'[1]Sector list'!$B$2:$B$122,0)),"")</f>
        <v/>
      </c>
      <c r="J337" s="172"/>
    </row>
    <row r="338" spans="9:10" x14ac:dyDescent="0.3">
      <c r="I338" t="str">
        <f>_xlfn.IFNA(INDEX('[1]Sector list'!$A$2:$A$122,MATCH(H338,'[1]Sector list'!$B$2:$B$122,0)),"")</f>
        <v/>
      </c>
      <c r="J338" s="172"/>
    </row>
    <row r="339" spans="9:10" x14ac:dyDescent="0.3">
      <c r="I339" t="str">
        <f>_xlfn.IFNA(INDEX('[1]Sector list'!$A$2:$A$122,MATCH(H339,'[1]Sector list'!$B$2:$B$122,0)),"")</f>
        <v/>
      </c>
      <c r="J339" s="172"/>
    </row>
    <row r="340" spans="9:10" x14ac:dyDescent="0.3">
      <c r="I340" t="str">
        <f>_xlfn.IFNA(INDEX('[1]Sector list'!$A$2:$A$122,MATCH(H340,'[1]Sector list'!$B$2:$B$122,0)),"")</f>
        <v/>
      </c>
      <c r="J340" s="172"/>
    </row>
    <row r="341" spans="9:10" x14ac:dyDescent="0.3">
      <c r="I341" t="str">
        <f>_xlfn.IFNA(INDEX('[1]Sector list'!$A$2:$A$122,MATCH(H341,'[1]Sector list'!$B$2:$B$122,0)),"")</f>
        <v/>
      </c>
      <c r="J341" s="172"/>
    </row>
    <row r="342" spans="9:10" x14ac:dyDescent="0.3">
      <c r="I342" t="str">
        <f>_xlfn.IFNA(INDEX('[1]Sector list'!$A$2:$A$122,MATCH(H342,'[1]Sector list'!$B$2:$B$122,0)),"")</f>
        <v/>
      </c>
      <c r="J342" s="172"/>
    </row>
    <row r="343" spans="9:10" x14ac:dyDescent="0.3">
      <c r="I343" t="str">
        <f>_xlfn.IFNA(INDEX('[1]Sector list'!$A$2:$A$122,MATCH(H343,'[1]Sector list'!$B$2:$B$122,0)),"")</f>
        <v/>
      </c>
      <c r="J343" s="172"/>
    </row>
    <row r="344" spans="9:10" x14ac:dyDescent="0.3">
      <c r="I344" t="str">
        <f>_xlfn.IFNA(INDEX('[1]Sector list'!$A$2:$A$122,MATCH(H344,'[1]Sector list'!$B$2:$B$122,0)),"")</f>
        <v/>
      </c>
      <c r="J344" s="172"/>
    </row>
    <row r="345" spans="9:10" x14ac:dyDescent="0.3">
      <c r="I345" t="str">
        <f>_xlfn.IFNA(INDEX('[1]Sector list'!$A$2:$A$122,MATCH(H345,'[1]Sector list'!$B$2:$B$122,0)),"")</f>
        <v/>
      </c>
      <c r="J345" s="172"/>
    </row>
    <row r="346" spans="9:10" x14ac:dyDescent="0.3">
      <c r="I346" t="str">
        <f>_xlfn.IFNA(INDEX('[1]Sector list'!$A$2:$A$122,MATCH(H346,'[1]Sector list'!$B$2:$B$122,0)),"")</f>
        <v/>
      </c>
      <c r="J346" s="172"/>
    </row>
    <row r="347" spans="9:10" x14ac:dyDescent="0.3">
      <c r="I347" t="str">
        <f>_xlfn.IFNA(INDEX('[1]Sector list'!$A$2:$A$122,MATCH(H347,'[1]Sector list'!$B$2:$B$122,0)),"")</f>
        <v/>
      </c>
      <c r="J347" s="172"/>
    </row>
    <row r="348" spans="9:10" x14ac:dyDescent="0.3">
      <c r="I348" t="str">
        <f>_xlfn.IFNA(INDEX('[1]Sector list'!$A$2:$A$122,MATCH(H348,'[1]Sector list'!$B$2:$B$122,0)),"")</f>
        <v/>
      </c>
      <c r="J348" s="172"/>
    </row>
    <row r="349" spans="9:10" x14ac:dyDescent="0.3">
      <c r="I349" t="str">
        <f>_xlfn.IFNA(INDEX('[1]Sector list'!$A$2:$A$122,MATCH(H349,'[1]Sector list'!$B$2:$B$122,0)),"")</f>
        <v/>
      </c>
      <c r="J349" s="172"/>
    </row>
    <row r="350" spans="9:10" x14ac:dyDescent="0.3">
      <c r="I350" t="str">
        <f>_xlfn.IFNA(INDEX('[1]Sector list'!$A$2:$A$122,MATCH(H350,'[1]Sector list'!$B$2:$B$122,0)),"")</f>
        <v/>
      </c>
      <c r="J350" s="172"/>
    </row>
    <row r="351" spans="9:10" x14ac:dyDescent="0.3">
      <c r="I351" t="str">
        <f>_xlfn.IFNA(INDEX('[1]Sector list'!$A$2:$A$122,MATCH(H351,'[1]Sector list'!$B$2:$B$122,0)),"")</f>
        <v/>
      </c>
      <c r="J351" s="172"/>
    </row>
    <row r="352" spans="9:10" x14ac:dyDescent="0.3">
      <c r="I352" t="str">
        <f>_xlfn.IFNA(INDEX('[1]Sector list'!$A$2:$A$122,MATCH(H352,'[1]Sector list'!$B$2:$B$122,0)),"")</f>
        <v/>
      </c>
      <c r="J352" s="172"/>
    </row>
    <row r="353" spans="9:10" x14ac:dyDescent="0.3">
      <c r="I353" t="str">
        <f>_xlfn.IFNA(INDEX('[1]Sector list'!$A$2:$A$122,MATCH(H353,'[1]Sector list'!$B$2:$B$122,0)),"")</f>
        <v/>
      </c>
      <c r="J353" s="172"/>
    </row>
    <row r="354" spans="9:10" x14ac:dyDescent="0.3">
      <c r="I354" t="str">
        <f>_xlfn.IFNA(INDEX('[1]Sector list'!$A$2:$A$122,MATCH(H354,'[1]Sector list'!$B$2:$B$122,0)),"")</f>
        <v/>
      </c>
      <c r="J354" s="172"/>
    </row>
    <row r="355" spans="9:10" x14ac:dyDescent="0.3">
      <c r="I355" t="str">
        <f>_xlfn.IFNA(INDEX('[1]Sector list'!$A$2:$A$122,MATCH(H355,'[1]Sector list'!$B$2:$B$122,0)),"")</f>
        <v/>
      </c>
      <c r="J355" s="172"/>
    </row>
    <row r="356" spans="9:10" x14ac:dyDescent="0.3">
      <c r="I356" t="str">
        <f>_xlfn.IFNA(INDEX('[1]Sector list'!$A$2:$A$122,MATCH(H356,'[1]Sector list'!$B$2:$B$122,0)),"")</f>
        <v/>
      </c>
      <c r="J356" s="172"/>
    </row>
    <row r="357" spans="9:10" x14ac:dyDescent="0.3">
      <c r="I357" t="str">
        <f>_xlfn.IFNA(INDEX('[1]Sector list'!$A$2:$A$122,MATCH(H357,'[1]Sector list'!$B$2:$B$122,0)),"")</f>
        <v/>
      </c>
      <c r="J357" s="172"/>
    </row>
    <row r="358" spans="9:10" x14ac:dyDescent="0.3">
      <c r="I358" t="str">
        <f>_xlfn.IFNA(INDEX('[1]Sector list'!$A$2:$A$122,MATCH(H358,'[1]Sector list'!$B$2:$B$122,0)),"")</f>
        <v/>
      </c>
      <c r="J358" s="172"/>
    </row>
    <row r="359" spans="9:10" x14ac:dyDescent="0.3">
      <c r="I359" t="str">
        <f>_xlfn.IFNA(INDEX('[1]Sector list'!$A$2:$A$122,MATCH(H359,'[1]Sector list'!$B$2:$B$122,0)),"")</f>
        <v/>
      </c>
      <c r="J359" s="172"/>
    </row>
    <row r="360" spans="9:10" x14ac:dyDescent="0.3">
      <c r="I360" t="str">
        <f>_xlfn.IFNA(INDEX('[1]Sector list'!$A$2:$A$122,MATCH(H360,'[1]Sector list'!$B$2:$B$122,0)),"")</f>
        <v/>
      </c>
      <c r="J360" s="172"/>
    </row>
    <row r="361" spans="9:10" x14ac:dyDescent="0.3">
      <c r="I361" t="str">
        <f>_xlfn.IFNA(INDEX('[1]Sector list'!$A$2:$A$122,MATCH(H361,'[1]Sector list'!$B$2:$B$122,0)),"")</f>
        <v/>
      </c>
      <c r="J361" s="172"/>
    </row>
    <row r="362" spans="9:10" x14ac:dyDescent="0.3">
      <c r="I362" t="str">
        <f>_xlfn.IFNA(INDEX('[1]Sector list'!$A$2:$A$122,MATCH(H362,'[1]Sector list'!$B$2:$B$122,0)),"")</f>
        <v/>
      </c>
      <c r="J362" s="172"/>
    </row>
    <row r="363" spans="9:10" x14ac:dyDescent="0.3">
      <c r="I363" t="str">
        <f>_xlfn.IFNA(INDEX('[1]Sector list'!$A$2:$A$122,MATCH(H363,'[1]Sector list'!$B$2:$B$122,0)),"")</f>
        <v/>
      </c>
      <c r="J363" s="172"/>
    </row>
    <row r="364" spans="9:10" x14ac:dyDescent="0.3">
      <c r="I364" t="str">
        <f>_xlfn.IFNA(INDEX('[1]Sector list'!$A$2:$A$122,MATCH(H364,'[1]Sector list'!$B$2:$B$122,0)),"")</f>
        <v/>
      </c>
      <c r="J364" s="172"/>
    </row>
    <row r="365" spans="9:10" x14ac:dyDescent="0.3">
      <c r="I365" t="str">
        <f>_xlfn.IFNA(INDEX('[1]Sector list'!$A$2:$A$122,MATCH(H365,'[1]Sector list'!$B$2:$B$122,0)),"")</f>
        <v/>
      </c>
      <c r="J365" s="172"/>
    </row>
    <row r="366" spans="9:10" x14ac:dyDescent="0.3">
      <c r="I366" t="str">
        <f>_xlfn.IFNA(INDEX('[1]Sector list'!$A$2:$A$122,MATCH(H366,'[1]Sector list'!$B$2:$B$122,0)),"")</f>
        <v/>
      </c>
      <c r="J366" s="172"/>
    </row>
    <row r="367" spans="9:10" x14ac:dyDescent="0.3">
      <c r="I367" t="str">
        <f>_xlfn.IFNA(INDEX('[1]Sector list'!$A$2:$A$122,MATCH(H367,'[1]Sector list'!$B$2:$B$122,0)),"")</f>
        <v/>
      </c>
      <c r="J367" s="172"/>
    </row>
    <row r="368" spans="9:10" x14ac:dyDescent="0.3">
      <c r="I368" t="str">
        <f>_xlfn.IFNA(INDEX('[1]Sector list'!$A$2:$A$122,MATCH(H368,'[1]Sector list'!$B$2:$B$122,0)),"")</f>
        <v/>
      </c>
      <c r="J368" s="172"/>
    </row>
    <row r="369" spans="9:10" x14ac:dyDescent="0.3">
      <c r="I369" t="str">
        <f>_xlfn.IFNA(INDEX('[1]Sector list'!$A$2:$A$122,MATCH(H369,'[1]Sector list'!$B$2:$B$122,0)),"")</f>
        <v/>
      </c>
      <c r="J369" s="172"/>
    </row>
    <row r="370" spans="9:10" x14ac:dyDescent="0.3">
      <c r="I370" t="str">
        <f>_xlfn.IFNA(INDEX('[1]Sector list'!$A$2:$A$122,MATCH(H370,'[1]Sector list'!$B$2:$B$122,0)),"")</f>
        <v/>
      </c>
      <c r="J370" s="172"/>
    </row>
    <row r="371" spans="9:10" x14ac:dyDescent="0.3">
      <c r="I371" t="str">
        <f>_xlfn.IFNA(INDEX('[1]Sector list'!$A$2:$A$122,MATCH(H371,'[1]Sector list'!$B$2:$B$122,0)),"")</f>
        <v/>
      </c>
      <c r="J371" s="172"/>
    </row>
    <row r="372" spans="9:10" x14ac:dyDescent="0.3">
      <c r="I372" t="str">
        <f>_xlfn.IFNA(INDEX('[1]Sector list'!$A$2:$A$122,MATCH(H372,'[1]Sector list'!$B$2:$B$122,0)),"")</f>
        <v/>
      </c>
      <c r="J372" s="172"/>
    </row>
    <row r="373" spans="9:10" x14ac:dyDescent="0.3">
      <c r="I373" t="str">
        <f>_xlfn.IFNA(INDEX('[1]Sector list'!$A$2:$A$122,MATCH(H373,'[1]Sector list'!$B$2:$B$122,0)),"")</f>
        <v/>
      </c>
      <c r="J373" s="172"/>
    </row>
    <row r="374" spans="9:10" x14ac:dyDescent="0.3">
      <c r="I374" t="str">
        <f>_xlfn.IFNA(INDEX('[1]Sector list'!$A$2:$A$122,MATCH(H374,'[1]Sector list'!$B$2:$B$122,0)),"")</f>
        <v/>
      </c>
      <c r="J374" s="172"/>
    </row>
    <row r="375" spans="9:10" x14ac:dyDescent="0.3">
      <c r="I375" t="str">
        <f>_xlfn.IFNA(INDEX('[1]Sector list'!$A$2:$A$122,MATCH(H375,'[1]Sector list'!$B$2:$B$122,0)),"")</f>
        <v/>
      </c>
      <c r="J375" s="172"/>
    </row>
    <row r="376" spans="9:10" x14ac:dyDescent="0.3">
      <c r="I376" t="str">
        <f>_xlfn.IFNA(INDEX('[1]Sector list'!$A$2:$A$122,MATCH(H376,'[1]Sector list'!$B$2:$B$122,0)),"")</f>
        <v/>
      </c>
      <c r="J376" s="172"/>
    </row>
    <row r="377" spans="9:10" x14ac:dyDescent="0.3">
      <c r="I377" t="str">
        <f>_xlfn.IFNA(INDEX('[1]Sector list'!$A$2:$A$122,MATCH(H377,'[1]Sector list'!$B$2:$B$122,0)),"")</f>
        <v/>
      </c>
      <c r="J377" s="172"/>
    </row>
    <row r="378" spans="9:10" x14ac:dyDescent="0.3">
      <c r="I378" t="str">
        <f>_xlfn.IFNA(INDEX('[1]Sector list'!$A$2:$A$122,MATCH(H378,'[1]Sector list'!$B$2:$B$122,0)),"")</f>
        <v/>
      </c>
      <c r="J378" s="172"/>
    </row>
    <row r="379" spans="9:10" x14ac:dyDescent="0.3">
      <c r="I379" t="str">
        <f>_xlfn.IFNA(INDEX('[1]Sector list'!$A$2:$A$122,MATCH(H379,'[1]Sector list'!$B$2:$B$122,0)),"")</f>
        <v/>
      </c>
      <c r="J379" s="172"/>
    </row>
    <row r="380" spans="9:10" x14ac:dyDescent="0.3">
      <c r="I380" t="str">
        <f>_xlfn.IFNA(INDEX('[1]Sector list'!$A$2:$A$122,MATCH(H380,'[1]Sector list'!$B$2:$B$122,0)),"")</f>
        <v/>
      </c>
      <c r="J380" s="172"/>
    </row>
    <row r="381" spans="9:10" x14ac:dyDescent="0.3">
      <c r="I381" t="str">
        <f>_xlfn.IFNA(INDEX('[1]Sector list'!$A$2:$A$122,MATCH(H381,'[1]Sector list'!$B$2:$B$122,0)),"")</f>
        <v/>
      </c>
      <c r="J381" s="172"/>
    </row>
    <row r="382" spans="9:10" x14ac:dyDescent="0.3">
      <c r="I382" t="str">
        <f>_xlfn.IFNA(INDEX('[1]Sector list'!$A$2:$A$122,MATCH(H382,'[1]Sector list'!$B$2:$B$122,0)),"")</f>
        <v/>
      </c>
      <c r="J382" s="172"/>
    </row>
    <row r="383" spans="9:10" x14ac:dyDescent="0.3">
      <c r="I383" t="str">
        <f>_xlfn.IFNA(INDEX('[1]Sector list'!$A$2:$A$122,MATCH(H383,'[1]Sector list'!$B$2:$B$122,0)),"")</f>
        <v/>
      </c>
      <c r="J383" s="172"/>
    </row>
    <row r="384" spans="9:10" x14ac:dyDescent="0.3">
      <c r="I384" t="str">
        <f>_xlfn.IFNA(INDEX('[1]Sector list'!$A$2:$A$122,MATCH(H384,'[1]Sector list'!$B$2:$B$122,0)),"")</f>
        <v/>
      </c>
      <c r="J384" s="172"/>
    </row>
    <row r="385" spans="9:10" x14ac:dyDescent="0.3">
      <c r="I385" t="str">
        <f>_xlfn.IFNA(INDEX('[1]Sector list'!$A$2:$A$122,MATCH(H385,'[1]Sector list'!$B$2:$B$122,0)),"")</f>
        <v/>
      </c>
      <c r="J385" s="172"/>
    </row>
    <row r="386" spans="9:10" x14ac:dyDescent="0.3">
      <c r="I386" t="str">
        <f>_xlfn.IFNA(INDEX('[1]Sector list'!$A$2:$A$122,MATCH(H386,'[1]Sector list'!$B$2:$B$122,0)),"")</f>
        <v/>
      </c>
      <c r="J386" s="172"/>
    </row>
    <row r="387" spans="9:10" x14ac:dyDescent="0.3">
      <c r="I387" t="str">
        <f>_xlfn.IFNA(INDEX('[1]Sector list'!$A$2:$A$122,MATCH(H387,'[1]Sector list'!$B$2:$B$122,0)),"")</f>
        <v/>
      </c>
      <c r="J387" s="172"/>
    </row>
    <row r="388" spans="9:10" x14ac:dyDescent="0.3">
      <c r="I388" t="str">
        <f>_xlfn.IFNA(INDEX('[1]Sector list'!$A$2:$A$122,MATCH(H388,'[1]Sector list'!$B$2:$B$122,0)),"")</f>
        <v/>
      </c>
      <c r="J388" s="172"/>
    </row>
    <row r="389" spans="9:10" x14ac:dyDescent="0.3">
      <c r="I389" t="str">
        <f>_xlfn.IFNA(INDEX('[1]Sector list'!$A$2:$A$122,MATCH(H389,'[1]Sector list'!$B$2:$B$122,0)),"")</f>
        <v/>
      </c>
      <c r="J389" s="172"/>
    </row>
    <row r="390" spans="9:10" x14ac:dyDescent="0.3">
      <c r="I390" t="str">
        <f>_xlfn.IFNA(INDEX('[1]Sector list'!$A$2:$A$122,MATCH(H390,'[1]Sector list'!$B$2:$B$122,0)),"")</f>
        <v/>
      </c>
      <c r="J390" s="172"/>
    </row>
    <row r="391" spans="9:10" x14ac:dyDescent="0.3">
      <c r="I391" t="str">
        <f>_xlfn.IFNA(INDEX('[1]Sector list'!$A$2:$A$122,MATCH(H391,'[1]Sector list'!$B$2:$B$122,0)),"")</f>
        <v/>
      </c>
      <c r="J391" s="172"/>
    </row>
    <row r="392" spans="9:10" x14ac:dyDescent="0.3">
      <c r="I392" t="str">
        <f>_xlfn.IFNA(INDEX('[1]Sector list'!$A$2:$A$122,MATCH(H392,'[1]Sector list'!$B$2:$B$122,0)),"")</f>
        <v/>
      </c>
      <c r="J392" s="172"/>
    </row>
    <row r="393" spans="9:10" x14ac:dyDescent="0.3">
      <c r="I393" t="str">
        <f>_xlfn.IFNA(INDEX('[1]Sector list'!$A$2:$A$122,MATCH(H393,'[1]Sector list'!$B$2:$B$122,0)),"")</f>
        <v/>
      </c>
      <c r="J393" s="172"/>
    </row>
    <row r="394" spans="9:10" x14ac:dyDescent="0.3">
      <c r="I394" t="str">
        <f>_xlfn.IFNA(INDEX('[1]Sector list'!$A$2:$A$122,MATCH(H394,'[1]Sector list'!$B$2:$B$122,0)),"")</f>
        <v/>
      </c>
      <c r="J394" s="172"/>
    </row>
    <row r="395" spans="9:10" x14ac:dyDescent="0.3">
      <c r="I395" t="str">
        <f>_xlfn.IFNA(INDEX('[1]Sector list'!$A$2:$A$122,MATCH(H395,'[1]Sector list'!$B$2:$B$122,0)),"")</f>
        <v/>
      </c>
      <c r="J395" s="172"/>
    </row>
    <row r="396" spans="9:10" x14ac:dyDescent="0.3">
      <c r="I396" t="str">
        <f>_xlfn.IFNA(INDEX('[1]Sector list'!$A$2:$A$122,MATCH(H396,'[1]Sector list'!$B$2:$B$122,0)),"")</f>
        <v/>
      </c>
      <c r="J396" s="172"/>
    </row>
    <row r="397" spans="9:10" x14ac:dyDescent="0.3">
      <c r="I397" t="str">
        <f>_xlfn.IFNA(INDEX('[1]Sector list'!$A$2:$A$122,MATCH(H397,'[1]Sector list'!$B$2:$B$122,0)),"")</f>
        <v/>
      </c>
      <c r="J397" s="172"/>
    </row>
    <row r="398" spans="9:10" x14ac:dyDescent="0.3">
      <c r="I398" t="str">
        <f>_xlfn.IFNA(INDEX('[1]Sector list'!$A$2:$A$122,MATCH(H398,'[1]Sector list'!$B$2:$B$122,0)),"")</f>
        <v/>
      </c>
      <c r="J398" s="172"/>
    </row>
    <row r="399" spans="9:10" x14ac:dyDescent="0.3">
      <c r="I399" t="str">
        <f>_xlfn.IFNA(INDEX('[1]Sector list'!$A$2:$A$122,MATCH(H399,'[1]Sector list'!$B$2:$B$122,0)),"")</f>
        <v/>
      </c>
      <c r="J399" s="172"/>
    </row>
    <row r="400" spans="9:10" x14ac:dyDescent="0.3">
      <c r="I400" t="str">
        <f>_xlfn.IFNA(INDEX('[1]Sector list'!$A$2:$A$122,MATCH(H400,'[1]Sector list'!$B$2:$B$122,0)),"")</f>
        <v/>
      </c>
      <c r="J400" s="172"/>
    </row>
    <row r="401" spans="9:10" x14ac:dyDescent="0.3">
      <c r="I401" t="str">
        <f>_xlfn.IFNA(INDEX('[1]Sector list'!$A$2:$A$122,MATCH(H401,'[1]Sector list'!$B$2:$B$122,0)),"")</f>
        <v/>
      </c>
      <c r="J401" s="172"/>
    </row>
    <row r="402" spans="9:10" x14ac:dyDescent="0.3">
      <c r="I402" t="str">
        <f>_xlfn.IFNA(INDEX('[1]Sector list'!$A$2:$A$122,MATCH(H402,'[1]Sector list'!$B$2:$B$122,0)),"")</f>
        <v/>
      </c>
      <c r="J402" s="172"/>
    </row>
    <row r="403" spans="9:10" x14ac:dyDescent="0.3">
      <c r="I403" t="str">
        <f>_xlfn.IFNA(INDEX('[1]Sector list'!$A$2:$A$122,MATCH(H403,'[1]Sector list'!$B$2:$B$122,0)),"")</f>
        <v/>
      </c>
      <c r="J403" s="172"/>
    </row>
    <row r="404" spans="9:10" x14ac:dyDescent="0.3">
      <c r="I404" t="str">
        <f>_xlfn.IFNA(INDEX('[1]Sector list'!$A$2:$A$122,MATCH(H404,'[1]Sector list'!$B$2:$B$122,0)),"")</f>
        <v/>
      </c>
      <c r="J404" s="172"/>
    </row>
    <row r="405" spans="9:10" x14ac:dyDescent="0.3">
      <c r="I405" t="str">
        <f>_xlfn.IFNA(INDEX('[1]Sector list'!$A$2:$A$122,MATCH(H405,'[1]Sector list'!$B$2:$B$122,0)),"")</f>
        <v/>
      </c>
      <c r="J405" s="172"/>
    </row>
    <row r="406" spans="9:10" x14ac:dyDescent="0.3">
      <c r="I406" t="str">
        <f>_xlfn.IFNA(INDEX('[1]Sector list'!$A$2:$A$122,MATCH(H406,'[1]Sector list'!$B$2:$B$122,0)),"")</f>
        <v/>
      </c>
      <c r="J406" s="172"/>
    </row>
    <row r="407" spans="9:10" x14ac:dyDescent="0.3">
      <c r="I407" t="str">
        <f>_xlfn.IFNA(INDEX('[1]Sector list'!$A$2:$A$122,MATCH(H407,'[1]Sector list'!$B$2:$B$122,0)),"")</f>
        <v/>
      </c>
      <c r="J407" s="172"/>
    </row>
    <row r="408" spans="9:10" x14ac:dyDescent="0.3">
      <c r="I408" t="str">
        <f>_xlfn.IFNA(INDEX('[1]Sector list'!$A$2:$A$122,MATCH(H408,'[1]Sector list'!$B$2:$B$122,0)),"")</f>
        <v/>
      </c>
      <c r="J408" s="172"/>
    </row>
    <row r="409" spans="9:10" x14ac:dyDescent="0.3">
      <c r="I409" t="str">
        <f>_xlfn.IFNA(INDEX('[1]Sector list'!$A$2:$A$122,MATCH(H409,'[1]Sector list'!$B$2:$B$122,0)),"")</f>
        <v/>
      </c>
      <c r="J409" s="172"/>
    </row>
    <row r="410" spans="9:10" x14ac:dyDescent="0.3">
      <c r="I410" t="str">
        <f>_xlfn.IFNA(INDEX('[1]Sector list'!$A$2:$A$122,MATCH(H410,'[1]Sector list'!$B$2:$B$122,0)),"")</f>
        <v/>
      </c>
      <c r="J410" s="172"/>
    </row>
    <row r="411" spans="9:10" x14ac:dyDescent="0.3">
      <c r="I411" t="str">
        <f>_xlfn.IFNA(INDEX('[1]Sector list'!$A$2:$A$122,MATCH(H411,'[1]Sector list'!$B$2:$B$122,0)),"")</f>
        <v/>
      </c>
      <c r="J411" s="172"/>
    </row>
    <row r="412" spans="9:10" x14ac:dyDescent="0.3">
      <c r="I412" t="str">
        <f>_xlfn.IFNA(INDEX('[1]Sector list'!$A$2:$A$122,MATCH(H412,'[1]Sector list'!$B$2:$B$122,0)),"")</f>
        <v/>
      </c>
      <c r="J412" s="172"/>
    </row>
    <row r="413" spans="9:10" x14ac:dyDescent="0.3">
      <c r="I413" t="str">
        <f>_xlfn.IFNA(INDEX('[1]Sector list'!$A$2:$A$122,MATCH(H413,'[1]Sector list'!$B$2:$B$122,0)),"")</f>
        <v/>
      </c>
      <c r="J413" s="172"/>
    </row>
    <row r="414" spans="9:10" x14ac:dyDescent="0.3">
      <c r="I414" t="str">
        <f>_xlfn.IFNA(INDEX('[1]Sector list'!$A$2:$A$122,MATCH(H414,'[1]Sector list'!$B$2:$B$122,0)),"")</f>
        <v/>
      </c>
      <c r="J414" s="172"/>
    </row>
    <row r="415" spans="9:10" x14ac:dyDescent="0.3">
      <c r="I415" t="str">
        <f>_xlfn.IFNA(INDEX('[1]Sector list'!$A$2:$A$122,MATCH(H415,'[1]Sector list'!$B$2:$B$122,0)),"")</f>
        <v/>
      </c>
      <c r="J415" s="172"/>
    </row>
    <row r="416" spans="9:10" x14ac:dyDescent="0.3">
      <c r="I416" t="str">
        <f>_xlfn.IFNA(INDEX('[1]Sector list'!$A$2:$A$122,MATCH(H416,'[1]Sector list'!$B$2:$B$122,0)),"")</f>
        <v/>
      </c>
      <c r="J416" s="172"/>
    </row>
    <row r="417" spans="9:10" x14ac:dyDescent="0.3">
      <c r="I417" t="str">
        <f>_xlfn.IFNA(INDEX('[1]Sector list'!$A$2:$A$122,MATCH(H417,'[1]Sector list'!$B$2:$B$122,0)),"")</f>
        <v/>
      </c>
      <c r="J417" s="172"/>
    </row>
    <row r="418" spans="9:10" x14ac:dyDescent="0.3">
      <c r="I418" t="str">
        <f>_xlfn.IFNA(INDEX('[1]Sector list'!$A$2:$A$122,MATCH(H418,'[1]Sector list'!$B$2:$B$122,0)),"")</f>
        <v/>
      </c>
      <c r="J418" s="172"/>
    </row>
    <row r="419" spans="9:10" x14ac:dyDescent="0.3">
      <c r="I419" t="str">
        <f>_xlfn.IFNA(INDEX('[1]Sector list'!$A$2:$A$122,MATCH(H419,'[1]Sector list'!$B$2:$B$122,0)),"")</f>
        <v/>
      </c>
      <c r="J419" s="172"/>
    </row>
    <row r="420" spans="9:10" x14ac:dyDescent="0.3">
      <c r="I420" t="str">
        <f>_xlfn.IFNA(INDEX('[1]Sector list'!$A$2:$A$122,MATCH(H420,'[1]Sector list'!$B$2:$B$122,0)),"")</f>
        <v/>
      </c>
      <c r="J420" s="172"/>
    </row>
    <row r="421" spans="9:10" x14ac:dyDescent="0.3">
      <c r="I421" t="str">
        <f>_xlfn.IFNA(INDEX('[1]Sector list'!$A$2:$A$122,MATCH(H421,'[1]Sector list'!$B$2:$B$122,0)),"")</f>
        <v/>
      </c>
      <c r="J421" s="172"/>
    </row>
    <row r="422" spans="9:10" x14ac:dyDescent="0.3">
      <c r="I422" t="str">
        <f>_xlfn.IFNA(INDEX('[1]Sector list'!$A$2:$A$122,MATCH(H422,'[1]Sector list'!$B$2:$B$122,0)),"")</f>
        <v/>
      </c>
      <c r="J422" s="172"/>
    </row>
    <row r="423" spans="9:10" x14ac:dyDescent="0.3">
      <c r="I423" t="str">
        <f>_xlfn.IFNA(INDEX('[1]Sector list'!$A$2:$A$122,MATCH(H423,'[1]Sector list'!$B$2:$B$122,0)),"")</f>
        <v/>
      </c>
      <c r="J423" s="172"/>
    </row>
    <row r="424" spans="9:10" x14ac:dyDescent="0.3">
      <c r="I424" t="str">
        <f>_xlfn.IFNA(INDEX('[1]Sector list'!$A$2:$A$122,MATCH(H424,'[1]Sector list'!$B$2:$B$122,0)),"")</f>
        <v/>
      </c>
      <c r="J424" s="172"/>
    </row>
    <row r="425" spans="9:10" x14ac:dyDescent="0.3">
      <c r="I425" t="str">
        <f>_xlfn.IFNA(INDEX('[1]Sector list'!$A$2:$A$122,MATCH(H425,'[1]Sector list'!$B$2:$B$122,0)),"")</f>
        <v/>
      </c>
      <c r="J425" s="172"/>
    </row>
    <row r="426" spans="9:10" x14ac:dyDescent="0.3">
      <c r="I426" t="str">
        <f>_xlfn.IFNA(INDEX('[1]Sector list'!$A$2:$A$122,MATCH(H426,'[1]Sector list'!$B$2:$B$122,0)),"")</f>
        <v/>
      </c>
      <c r="J426" s="172"/>
    </row>
    <row r="427" spans="9:10" x14ac:dyDescent="0.3">
      <c r="I427" t="str">
        <f>_xlfn.IFNA(INDEX('[1]Sector list'!$A$2:$A$122,MATCH(H427,'[1]Sector list'!$B$2:$B$122,0)),"")</f>
        <v/>
      </c>
      <c r="J427" s="172"/>
    </row>
    <row r="428" spans="9:10" x14ac:dyDescent="0.3">
      <c r="I428" t="str">
        <f>_xlfn.IFNA(INDEX('[1]Sector list'!$A$2:$A$122,MATCH(H428,'[1]Sector list'!$B$2:$B$122,0)),"")</f>
        <v/>
      </c>
      <c r="J428" s="172"/>
    </row>
    <row r="429" spans="9:10" x14ac:dyDescent="0.3">
      <c r="I429" t="str">
        <f>_xlfn.IFNA(INDEX('[1]Sector list'!$A$2:$A$122,MATCH(H429,'[1]Sector list'!$B$2:$B$122,0)),"")</f>
        <v/>
      </c>
      <c r="J429" s="172"/>
    </row>
    <row r="430" spans="9:10" x14ac:dyDescent="0.3">
      <c r="I430" t="str">
        <f>_xlfn.IFNA(INDEX('[1]Sector list'!$A$2:$A$122,MATCH(H430,'[1]Sector list'!$B$2:$B$122,0)),"")</f>
        <v/>
      </c>
      <c r="J430" s="172"/>
    </row>
    <row r="431" spans="9:10" x14ac:dyDescent="0.3">
      <c r="I431" t="str">
        <f>_xlfn.IFNA(INDEX('[1]Sector list'!$A$2:$A$122,MATCH(H431,'[1]Sector list'!$B$2:$B$122,0)),"")</f>
        <v/>
      </c>
      <c r="J431" s="172"/>
    </row>
    <row r="432" spans="9:10" x14ac:dyDescent="0.3">
      <c r="I432" t="str">
        <f>_xlfn.IFNA(INDEX('[1]Sector list'!$A$2:$A$122,MATCH(H432,'[1]Sector list'!$B$2:$B$122,0)),"")</f>
        <v/>
      </c>
      <c r="J432" s="172"/>
    </row>
    <row r="433" spans="9:10" x14ac:dyDescent="0.3">
      <c r="I433" t="str">
        <f>_xlfn.IFNA(INDEX('[1]Sector list'!$A$2:$A$122,MATCH(H433,'[1]Sector list'!$B$2:$B$122,0)),"")</f>
        <v/>
      </c>
      <c r="J433" s="172"/>
    </row>
    <row r="434" spans="9:10" x14ac:dyDescent="0.3">
      <c r="I434" t="str">
        <f>_xlfn.IFNA(INDEX('[1]Sector list'!$A$2:$A$122,MATCH(H434,'[1]Sector list'!$B$2:$B$122,0)),"")</f>
        <v/>
      </c>
      <c r="J434" s="172"/>
    </row>
    <row r="435" spans="9:10" x14ac:dyDescent="0.3">
      <c r="I435" t="str">
        <f>_xlfn.IFNA(INDEX('[1]Sector list'!$A$2:$A$122,MATCH(H435,'[1]Sector list'!$B$2:$B$122,0)),"")</f>
        <v/>
      </c>
      <c r="J435" s="172"/>
    </row>
    <row r="436" spans="9:10" x14ac:dyDescent="0.3">
      <c r="I436" t="str">
        <f>_xlfn.IFNA(INDEX('[1]Sector list'!$A$2:$A$122,MATCH(H436,'[1]Sector list'!$B$2:$B$122,0)),"")</f>
        <v/>
      </c>
      <c r="J436" s="172"/>
    </row>
    <row r="437" spans="9:10" x14ac:dyDescent="0.3">
      <c r="I437" t="str">
        <f>_xlfn.IFNA(INDEX('[1]Sector list'!$A$2:$A$122,MATCH(H437,'[1]Sector list'!$B$2:$B$122,0)),"")</f>
        <v/>
      </c>
      <c r="J437" s="172"/>
    </row>
    <row r="438" spans="9:10" x14ac:dyDescent="0.3">
      <c r="I438" t="str">
        <f>_xlfn.IFNA(INDEX('[1]Sector list'!$A$2:$A$122,MATCH(H438,'[1]Sector list'!$B$2:$B$122,0)),"")</f>
        <v/>
      </c>
      <c r="J438" s="172"/>
    </row>
    <row r="439" spans="9:10" x14ac:dyDescent="0.3">
      <c r="I439" t="str">
        <f>_xlfn.IFNA(INDEX('[1]Sector list'!$A$2:$A$122,MATCH(H439,'[1]Sector list'!$B$2:$B$122,0)),"")</f>
        <v/>
      </c>
      <c r="J439" s="172"/>
    </row>
    <row r="440" spans="9:10" x14ac:dyDescent="0.3">
      <c r="I440" t="str">
        <f>_xlfn.IFNA(INDEX('[1]Sector list'!$A$2:$A$122,MATCH(H440,'[1]Sector list'!$B$2:$B$122,0)),"")</f>
        <v/>
      </c>
      <c r="J440" s="172"/>
    </row>
    <row r="441" spans="9:10" x14ac:dyDescent="0.3">
      <c r="I441" t="str">
        <f>_xlfn.IFNA(INDEX('[1]Sector list'!$A$2:$A$122,MATCH(H441,'[1]Sector list'!$B$2:$B$122,0)),"")</f>
        <v/>
      </c>
      <c r="J441" s="172"/>
    </row>
    <row r="442" spans="9:10" x14ac:dyDescent="0.3">
      <c r="I442" t="str">
        <f>_xlfn.IFNA(INDEX('[1]Sector list'!$A$2:$A$122,MATCH(H442,'[1]Sector list'!$B$2:$B$122,0)),"")</f>
        <v/>
      </c>
      <c r="J442" s="172"/>
    </row>
    <row r="443" spans="9:10" x14ac:dyDescent="0.3">
      <c r="I443" t="str">
        <f>_xlfn.IFNA(INDEX('[1]Sector list'!$A$2:$A$122,MATCH(H443,'[1]Sector list'!$B$2:$B$122,0)),"")</f>
        <v/>
      </c>
      <c r="J443" s="172"/>
    </row>
    <row r="444" spans="9:10" x14ac:dyDescent="0.3">
      <c r="I444" t="str">
        <f>_xlfn.IFNA(INDEX('[1]Sector list'!$A$2:$A$122,MATCH(H444,'[1]Sector list'!$B$2:$B$122,0)),"")</f>
        <v/>
      </c>
      <c r="J444" s="172"/>
    </row>
    <row r="445" spans="9:10" x14ac:dyDescent="0.3">
      <c r="I445" t="str">
        <f>_xlfn.IFNA(INDEX('[1]Sector list'!$A$2:$A$122,MATCH(H445,'[1]Sector list'!$B$2:$B$122,0)),"")</f>
        <v/>
      </c>
      <c r="J445" s="172"/>
    </row>
    <row r="446" spans="9:10" x14ac:dyDescent="0.3">
      <c r="I446" t="str">
        <f>_xlfn.IFNA(INDEX('[1]Sector list'!$A$2:$A$122,MATCH(H446,'[1]Sector list'!$B$2:$B$122,0)),"")</f>
        <v/>
      </c>
      <c r="J446" s="172"/>
    </row>
    <row r="447" spans="9:10" x14ac:dyDescent="0.3">
      <c r="I447" t="str">
        <f>_xlfn.IFNA(INDEX('[1]Sector list'!$A$2:$A$122,MATCH(H447,'[1]Sector list'!$B$2:$B$122,0)),"")</f>
        <v/>
      </c>
      <c r="J447" s="172"/>
    </row>
    <row r="448" spans="9:10" x14ac:dyDescent="0.3">
      <c r="I448" t="str">
        <f>_xlfn.IFNA(INDEX('[1]Sector list'!$A$2:$A$122,MATCH(H448,'[1]Sector list'!$B$2:$B$122,0)),"")</f>
        <v/>
      </c>
      <c r="J448" s="172"/>
    </row>
    <row r="449" spans="9:10" x14ac:dyDescent="0.3">
      <c r="I449" t="str">
        <f>_xlfn.IFNA(INDEX('[1]Sector list'!$A$2:$A$122,MATCH(H449,'[1]Sector list'!$B$2:$B$122,0)),"")</f>
        <v/>
      </c>
      <c r="J449" s="172"/>
    </row>
    <row r="450" spans="9:10" x14ac:dyDescent="0.3">
      <c r="I450" t="str">
        <f>_xlfn.IFNA(INDEX('[1]Sector list'!$A$2:$A$122,MATCH(H450,'[1]Sector list'!$B$2:$B$122,0)),"")</f>
        <v/>
      </c>
      <c r="J450" s="172"/>
    </row>
    <row r="451" spans="9:10" x14ac:dyDescent="0.3">
      <c r="I451" t="str">
        <f>_xlfn.IFNA(INDEX('[1]Sector list'!$A$2:$A$122,MATCH(H451,'[1]Sector list'!$B$2:$B$122,0)),"")</f>
        <v/>
      </c>
      <c r="J451" s="172"/>
    </row>
    <row r="452" spans="9:10" x14ac:dyDescent="0.3">
      <c r="I452" t="str">
        <f>_xlfn.IFNA(INDEX('[1]Sector list'!$A$2:$A$122,MATCH(H452,'[1]Sector list'!$B$2:$B$122,0)),"")</f>
        <v/>
      </c>
      <c r="J452" s="172"/>
    </row>
    <row r="453" spans="9:10" x14ac:dyDescent="0.3">
      <c r="I453" t="str">
        <f>_xlfn.IFNA(INDEX('[1]Sector list'!$A$2:$A$122,MATCH(H453,'[1]Sector list'!$B$2:$B$122,0)),"")</f>
        <v/>
      </c>
      <c r="J453" s="172"/>
    </row>
    <row r="454" spans="9:10" x14ac:dyDescent="0.3">
      <c r="I454" t="str">
        <f>_xlfn.IFNA(INDEX('[1]Sector list'!$A$2:$A$122,MATCH(H454,'[1]Sector list'!$B$2:$B$122,0)),"")</f>
        <v/>
      </c>
      <c r="J454" s="172"/>
    </row>
    <row r="455" spans="9:10" x14ac:dyDescent="0.3">
      <c r="I455" t="str">
        <f>_xlfn.IFNA(INDEX('[1]Sector list'!$A$2:$A$122,MATCH(H455,'[1]Sector list'!$B$2:$B$122,0)),"")</f>
        <v/>
      </c>
      <c r="J455" s="172"/>
    </row>
    <row r="456" spans="9:10" x14ac:dyDescent="0.3">
      <c r="I456" t="str">
        <f>_xlfn.IFNA(INDEX('[1]Sector list'!$A$2:$A$122,MATCH(H456,'[1]Sector list'!$B$2:$B$122,0)),"")</f>
        <v/>
      </c>
      <c r="J456" s="172"/>
    </row>
    <row r="457" spans="9:10" x14ac:dyDescent="0.3">
      <c r="I457" t="str">
        <f>_xlfn.IFNA(INDEX('[1]Sector list'!$A$2:$A$122,MATCH(H457,'[1]Sector list'!$B$2:$B$122,0)),"")</f>
        <v/>
      </c>
      <c r="J457" s="172"/>
    </row>
    <row r="458" spans="9:10" x14ac:dyDescent="0.3">
      <c r="I458" t="str">
        <f>_xlfn.IFNA(INDEX('[1]Sector list'!$A$2:$A$122,MATCH(H458,'[1]Sector list'!$B$2:$B$122,0)),"")</f>
        <v/>
      </c>
      <c r="J458" s="172"/>
    </row>
    <row r="459" spans="9:10" x14ac:dyDescent="0.3">
      <c r="I459" t="str">
        <f>_xlfn.IFNA(INDEX('[1]Sector list'!$A$2:$A$122,MATCH(H459,'[1]Sector list'!$B$2:$B$122,0)),"")</f>
        <v/>
      </c>
      <c r="J459" s="172"/>
    </row>
    <row r="460" spans="9:10" x14ac:dyDescent="0.3">
      <c r="I460" t="str">
        <f>_xlfn.IFNA(INDEX('[1]Sector list'!$A$2:$A$122,MATCH(H460,'[1]Sector list'!$B$2:$B$122,0)),"")</f>
        <v/>
      </c>
      <c r="J460" s="172"/>
    </row>
    <row r="461" spans="9:10" x14ac:dyDescent="0.3">
      <c r="I461" t="str">
        <f>_xlfn.IFNA(INDEX('[1]Sector list'!$A$2:$A$122,MATCH(H461,'[1]Sector list'!$B$2:$B$122,0)),"")</f>
        <v/>
      </c>
      <c r="J461" s="172"/>
    </row>
    <row r="462" spans="9:10" x14ac:dyDescent="0.3">
      <c r="I462" t="str">
        <f>_xlfn.IFNA(INDEX('[1]Sector list'!$A$2:$A$122,MATCH(H462,'[1]Sector list'!$B$2:$B$122,0)),"")</f>
        <v/>
      </c>
      <c r="J462" s="172"/>
    </row>
    <row r="463" spans="9:10" x14ac:dyDescent="0.3">
      <c r="I463" t="str">
        <f>_xlfn.IFNA(INDEX('[1]Sector list'!$A$2:$A$122,MATCH(H463,'[1]Sector list'!$B$2:$B$122,0)),"")</f>
        <v/>
      </c>
      <c r="J463" s="172"/>
    </row>
    <row r="464" spans="9:10" x14ac:dyDescent="0.3">
      <c r="I464" t="str">
        <f>_xlfn.IFNA(INDEX('[1]Sector list'!$A$2:$A$122,MATCH(H464,'[1]Sector list'!$B$2:$B$122,0)),"")</f>
        <v/>
      </c>
      <c r="J464" s="172"/>
    </row>
    <row r="465" spans="9:10" x14ac:dyDescent="0.3">
      <c r="I465" t="str">
        <f>_xlfn.IFNA(INDEX('[1]Sector list'!$A$2:$A$122,MATCH(H465,'[1]Sector list'!$B$2:$B$122,0)),"")</f>
        <v/>
      </c>
      <c r="J465" s="172"/>
    </row>
    <row r="466" spans="9:10" x14ac:dyDescent="0.3">
      <c r="I466" t="str">
        <f>_xlfn.IFNA(INDEX('[1]Sector list'!$A$2:$A$122,MATCH(H466,'[1]Sector list'!$B$2:$B$122,0)),"")</f>
        <v/>
      </c>
      <c r="J466" s="172"/>
    </row>
    <row r="467" spans="9:10" x14ac:dyDescent="0.3">
      <c r="I467" t="str">
        <f>_xlfn.IFNA(INDEX('[1]Sector list'!$A$2:$A$122,MATCH(H467,'[1]Sector list'!$B$2:$B$122,0)),"")</f>
        <v/>
      </c>
      <c r="J467" s="172"/>
    </row>
    <row r="468" spans="9:10" x14ac:dyDescent="0.3">
      <c r="I468" t="str">
        <f>_xlfn.IFNA(INDEX('[1]Sector list'!$A$2:$A$122,MATCH(H468,'[1]Sector list'!$B$2:$B$122,0)),"")</f>
        <v/>
      </c>
      <c r="J468" s="172"/>
    </row>
    <row r="469" spans="9:10" x14ac:dyDescent="0.3">
      <c r="I469" t="str">
        <f>_xlfn.IFNA(INDEX('[1]Sector list'!$A$2:$A$122,MATCH(H469,'[1]Sector list'!$B$2:$B$122,0)),"")</f>
        <v/>
      </c>
      <c r="J469" s="172"/>
    </row>
    <row r="470" spans="9:10" x14ac:dyDescent="0.3">
      <c r="I470" t="str">
        <f>_xlfn.IFNA(INDEX('[1]Sector list'!$A$2:$A$122,MATCH(H470,'[1]Sector list'!$B$2:$B$122,0)),"")</f>
        <v/>
      </c>
      <c r="J470" s="172"/>
    </row>
    <row r="471" spans="9:10" x14ac:dyDescent="0.3">
      <c r="I471" t="str">
        <f>_xlfn.IFNA(INDEX('[1]Sector list'!$A$2:$A$122,MATCH(H471,'[1]Sector list'!$B$2:$B$122,0)),"")</f>
        <v/>
      </c>
      <c r="J471" s="172"/>
    </row>
    <row r="472" spans="9:10" x14ac:dyDescent="0.3">
      <c r="I472" t="str">
        <f>_xlfn.IFNA(INDEX('[1]Sector list'!$A$2:$A$122,MATCH(H472,'[1]Sector list'!$B$2:$B$122,0)),"")</f>
        <v/>
      </c>
      <c r="J472" s="172"/>
    </row>
    <row r="473" spans="9:10" x14ac:dyDescent="0.3">
      <c r="I473" t="str">
        <f>_xlfn.IFNA(INDEX('[1]Sector list'!$A$2:$A$122,MATCH(H473,'[1]Sector list'!$B$2:$B$122,0)),"")</f>
        <v/>
      </c>
      <c r="J473" s="172"/>
    </row>
    <row r="474" spans="9:10" x14ac:dyDescent="0.3">
      <c r="I474" t="str">
        <f>_xlfn.IFNA(INDEX('[1]Sector list'!$A$2:$A$122,MATCH(H474,'[1]Sector list'!$B$2:$B$122,0)),"")</f>
        <v/>
      </c>
      <c r="J474" s="172"/>
    </row>
    <row r="475" spans="9:10" x14ac:dyDescent="0.3">
      <c r="I475" t="str">
        <f>_xlfn.IFNA(INDEX('[1]Sector list'!$A$2:$A$122,MATCH(H475,'[1]Sector list'!$B$2:$B$122,0)),"")</f>
        <v/>
      </c>
      <c r="J475" s="172"/>
    </row>
    <row r="476" spans="9:10" x14ac:dyDescent="0.3">
      <c r="I476" t="str">
        <f>_xlfn.IFNA(INDEX('[1]Sector list'!$A$2:$A$122,MATCH(H476,'[1]Sector list'!$B$2:$B$122,0)),"")</f>
        <v/>
      </c>
      <c r="J476" s="172"/>
    </row>
    <row r="477" spans="9:10" x14ac:dyDescent="0.3">
      <c r="I477" t="str">
        <f>_xlfn.IFNA(INDEX('[1]Sector list'!$A$2:$A$122,MATCH(H477,'[1]Sector list'!$B$2:$B$122,0)),"")</f>
        <v/>
      </c>
      <c r="J477" s="172"/>
    </row>
    <row r="478" spans="9:10" x14ac:dyDescent="0.3">
      <c r="I478" t="str">
        <f>_xlfn.IFNA(INDEX('[1]Sector list'!$A$2:$A$122,MATCH(H478,'[1]Sector list'!$B$2:$B$122,0)),"")</f>
        <v/>
      </c>
      <c r="J478" s="172"/>
    </row>
    <row r="479" spans="9:10" x14ac:dyDescent="0.3">
      <c r="I479" t="str">
        <f>_xlfn.IFNA(INDEX('[1]Sector list'!$A$2:$A$122,MATCH(H479,'[1]Sector list'!$B$2:$B$122,0)),"")</f>
        <v/>
      </c>
      <c r="J479" s="172"/>
    </row>
    <row r="480" spans="9:10" x14ac:dyDescent="0.3">
      <c r="I480" t="str">
        <f>_xlfn.IFNA(INDEX('[1]Sector list'!$A$2:$A$122,MATCH(H480,'[1]Sector list'!$B$2:$B$122,0)),"")</f>
        <v/>
      </c>
      <c r="J480" s="172"/>
    </row>
    <row r="481" spans="9:10" x14ac:dyDescent="0.3">
      <c r="I481" t="str">
        <f>_xlfn.IFNA(INDEX('[1]Sector list'!$A$2:$A$122,MATCH(H481,'[1]Sector list'!$B$2:$B$122,0)),"")</f>
        <v/>
      </c>
      <c r="J481" s="172"/>
    </row>
    <row r="482" spans="9:10" x14ac:dyDescent="0.3">
      <c r="I482" t="str">
        <f>_xlfn.IFNA(INDEX('[1]Sector list'!$A$2:$A$122,MATCH(H482,'[1]Sector list'!$B$2:$B$122,0)),"")</f>
        <v/>
      </c>
      <c r="J482" s="172"/>
    </row>
    <row r="483" spans="9:10" x14ac:dyDescent="0.3">
      <c r="I483" t="str">
        <f>_xlfn.IFNA(INDEX('[1]Sector list'!$A$2:$A$122,MATCH(H483,'[1]Sector list'!$B$2:$B$122,0)),"")</f>
        <v/>
      </c>
      <c r="J483" s="172"/>
    </row>
    <row r="484" spans="9:10" x14ac:dyDescent="0.3">
      <c r="I484" t="str">
        <f>_xlfn.IFNA(INDEX('[1]Sector list'!$A$2:$A$122,MATCH(H484,'[1]Sector list'!$B$2:$B$122,0)),"")</f>
        <v/>
      </c>
      <c r="J484" s="172"/>
    </row>
    <row r="485" spans="9:10" x14ac:dyDescent="0.3">
      <c r="I485" t="str">
        <f>_xlfn.IFNA(INDEX('[1]Sector list'!$A$2:$A$122,MATCH(H485,'[1]Sector list'!$B$2:$B$122,0)),"")</f>
        <v/>
      </c>
      <c r="J485" s="172"/>
    </row>
    <row r="486" spans="9:10" x14ac:dyDescent="0.3">
      <c r="I486" t="str">
        <f>_xlfn.IFNA(INDEX('[1]Sector list'!$A$2:$A$122,MATCH(H486,'[1]Sector list'!$B$2:$B$122,0)),"")</f>
        <v/>
      </c>
      <c r="J486" s="172"/>
    </row>
    <row r="487" spans="9:10" x14ac:dyDescent="0.3">
      <c r="I487" t="str">
        <f>_xlfn.IFNA(INDEX('[1]Sector list'!$A$2:$A$122,MATCH(H487,'[1]Sector list'!$B$2:$B$122,0)),"")</f>
        <v/>
      </c>
      <c r="J487" s="172"/>
    </row>
    <row r="488" spans="9:10" x14ac:dyDescent="0.3">
      <c r="I488" t="str">
        <f>_xlfn.IFNA(INDEX('[1]Sector list'!$A$2:$A$122,MATCH(H488,'[1]Sector list'!$B$2:$B$122,0)),"")</f>
        <v/>
      </c>
      <c r="J488" s="172"/>
    </row>
    <row r="489" spans="9:10" x14ac:dyDescent="0.3">
      <c r="I489" t="str">
        <f>_xlfn.IFNA(INDEX('[1]Sector list'!$A$2:$A$122,MATCH(H489,'[1]Sector list'!$B$2:$B$122,0)),"")</f>
        <v/>
      </c>
      <c r="J489" s="172"/>
    </row>
    <row r="490" spans="9:10" x14ac:dyDescent="0.3">
      <c r="I490" t="str">
        <f>_xlfn.IFNA(INDEX('[1]Sector list'!$A$2:$A$122,MATCH(H490,'[1]Sector list'!$B$2:$B$122,0)),"")</f>
        <v/>
      </c>
      <c r="J490" s="172"/>
    </row>
    <row r="491" spans="9:10" x14ac:dyDescent="0.3">
      <c r="I491" t="str">
        <f>_xlfn.IFNA(INDEX('[1]Sector list'!$A$2:$A$122,MATCH(H491,'[1]Sector list'!$B$2:$B$122,0)),"")</f>
        <v/>
      </c>
      <c r="J491" s="172"/>
    </row>
    <row r="492" spans="9:10" x14ac:dyDescent="0.3">
      <c r="I492" t="str">
        <f>_xlfn.IFNA(INDEX('[1]Sector list'!$A$2:$A$122,MATCH(H492,'[1]Sector list'!$B$2:$B$122,0)),"")</f>
        <v/>
      </c>
      <c r="J492" s="172"/>
    </row>
    <row r="493" spans="9:10" x14ac:dyDescent="0.3">
      <c r="I493" t="str">
        <f>_xlfn.IFNA(INDEX('[1]Sector list'!$A$2:$A$122,MATCH(H493,'[1]Sector list'!$B$2:$B$122,0)),"")</f>
        <v/>
      </c>
      <c r="J493" s="172"/>
    </row>
    <row r="494" spans="9:10" x14ac:dyDescent="0.3">
      <c r="I494" t="str">
        <f>_xlfn.IFNA(INDEX('[1]Sector list'!$A$2:$A$122,MATCH(H494,'[1]Sector list'!$B$2:$B$122,0)),"")</f>
        <v/>
      </c>
      <c r="J494" s="172"/>
    </row>
    <row r="495" spans="9:10" x14ac:dyDescent="0.3">
      <c r="I495" t="str">
        <f>_xlfn.IFNA(INDEX('[1]Sector list'!$A$2:$A$122,MATCH(H495,'[1]Sector list'!$B$2:$B$122,0)),"")</f>
        <v/>
      </c>
      <c r="J495" s="172"/>
    </row>
    <row r="496" spans="9:10" x14ac:dyDescent="0.3">
      <c r="I496" t="str">
        <f>_xlfn.IFNA(INDEX('[1]Sector list'!$A$2:$A$122,MATCH(H496,'[1]Sector list'!$B$2:$B$122,0)),"")</f>
        <v/>
      </c>
      <c r="J496" s="172"/>
    </row>
    <row r="497" spans="9:10" x14ac:dyDescent="0.3">
      <c r="I497" t="str">
        <f>_xlfn.IFNA(INDEX('[1]Sector list'!$A$2:$A$122,MATCH(H497,'[1]Sector list'!$B$2:$B$122,0)),"")</f>
        <v/>
      </c>
      <c r="J497" s="172"/>
    </row>
    <row r="498" spans="9:10" x14ac:dyDescent="0.3">
      <c r="I498" t="str">
        <f>_xlfn.IFNA(INDEX('[1]Sector list'!$A$2:$A$122,MATCH(H498,'[1]Sector list'!$B$2:$B$122,0)),"")</f>
        <v/>
      </c>
      <c r="J498" s="172"/>
    </row>
    <row r="499" spans="9:10" x14ac:dyDescent="0.3">
      <c r="I499" t="str">
        <f>_xlfn.IFNA(INDEX('[1]Sector list'!$A$2:$A$122,MATCH(H499,'[1]Sector list'!$B$2:$B$122,0)),"")</f>
        <v/>
      </c>
      <c r="J499" s="172"/>
    </row>
    <row r="500" spans="9:10" x14ac:dyDescent="0.3">
      <c r="I500" t="str">
        <f>_xlfn.IFNA(INDEX('[1]Sector list'!$A$2:$A$122,MATCH(H500,'[1]Sector list'!$B$2:$B$122,0)),"")</f>
        <v/>
      </c>
      <c r="J500" s="172"/>
    </row>
    <row r="501" spans="9:10" x14ac:dyDescent="0.3">
      <c r="I501" t="str">
        <f>_xlfn.IFNA(INDEX('[1]Sector list'!$A$2:$A$122,MATCH(H501,'[1]Sector list'!$B$2:$B$122,0)),"")</f>
        <v/>
      </c>
      <c r="J501" s="172"/>
    </row>
    <row r="502" spans="9:10" x14ac:dyDescent="0.3">
      <c r="I502" t="str">
        <f>_xlfn.IFNA(INDEX('[1]Sector list'!$A$2:$A$122,MATCH(H502,'[1]Sector list'!$B$2:$B$122,0)),"")</f>
        <v/>
      </c>
      <c r="J502" s="172"/>
    </row>
    <row r="503" spans="9:10" x14ac:dyDescent="0.3">
      <c r="I503" t="str">
        <f>_xlfn.IFNA(INDEX('[1]Sector list'!$A$2:$A$122,MATCH(H503,'[1]Sector list'!$B$2:$B$122,0)),"")</f>
        <v/>
      </c>
      <c r="J503" s="172"/>
    </row>
    <row r="504" spans="9:10" x14ac:dyDescent="0.3">
      <c r="I504" t="str">
        <f>_xlfn.IFNA(INDEX('[1]Sector list'!$A$2:$A$122,MATCH(H504,'[1]Sector list'!$B$2:$B$122,0)),"")</f>
        <v/>
      </c>
      <c r="J504" s="172"/>
    </row>
    <row r="505" spans="9:10" x14ac:dyDescent="0.3">
      <c r="I505" t="str">
        <f>_xlfn.IFNA(INDEX('[1]Sector list'!$A$2:$A$122,MATCH(H505,'[1]Sector list'!$B$2:$B$122,0)),"")</f>
        <v/>
      </c>
      <c r="J505" s="172"/>
    </row>
    <row r="506" spans="9:10" x14ac:dyDescent="0.3">
      <c r="I506" t="str">
        <f>_xlfn.IFNA(INDEX('[1]Sector list'!$A$2:$A$122,MATCH(H506,'[1]Sector list'!$B$2:$B$122,0)),"")</f>
        <v/>
      </c>
      <c r="J506" s="172"/>
    </row>
    <row r="507" spans="9:10" x14ac:dyDescent="0.3">
      <c r="I507" t="str">
        <f>_xlfn.IFNA(INDEX('[1]Sector list'!$A$2:$A$122,MATCH(H507,'[1]Sector list'!$B$2:$B$122,0)),"")</f>
        <v/>
      </c>
      <c r="J507" s="172"/>
    </row>
    <row r="508" spans="9:10" x14ac:dyDescent="0.3">
      <c r="I508" t="str">
        <f>_xlfn.IFNA(INDEX('[1]Sector list'!$A$2:$A$122,MATCH(H508,'[1]Sector list'!$B$2:$B$122,0)),"")</f>
        <v/>
      </c>
      <c r="J508" s="172"/>
    </row>
    <row r="509" spans="9:10" x14ac:dyDescent="0.3">
      <c r="I509" t="str">
        <f>_xlfn.IFNA(INDEX('[1]Sector list'!$A$2:$A$122,MATCH(H509,'[1]Sector list'!$B$2:$B$122,0)),"")</f>
        <v/>
      </c>
      <c r="J509" s="172"/>
    </row>
    <row r="510" spans="9:10" x14ac:dyDescent="0.3">
      <c r="I510" t="str">
        <f>_xlfn.IFNA(INDEX('[1]Sector list'!$A$2:$A$122,MATCH(H510,'[1]Sector list'!$B$2:$B$122,0)),"")</f>
        <v/>
      </c>
      <c r="J510" s="172"/>
    </row>
    <row r="511" spans="9:10" x14ac:dyDescent="0.3">
      <c r="I511" t="str">
        <f>_xlfn.IFNA(INDEX('[1]Sector list'!$A$2:$A$122,MATCH(H511,'[1]Sector list'!$B$2:$B$122,0)),"")</f>
        <v/>
      </c>
      <c r="J511" s="172"/>
    </row>
    <row r="512" spans="9:10" x14ac:dyDescent="0.3">
      <c r="I512" t="str">
        <f>_xlfn.IFNA(INDEX('[1]Sector list'!$A$2:$A$122,MATCH(H512,'[1]Sector list'!$B$2:$B$122,0)),"")</f>
        <v/>
      </c>
      <c r="J512" s="172"/>
    </row>
    <row r="513" spans="9:10" x14ac:dyDescent="0.3">
      <c r="I513" t="str">
        <f>_xlfn.IFNA(INDEX('[1]Sector list'!$A$2:$A$122,MATCH(H513,'[1]Sector list'!$B$2:$B$122,0)),"")</f>
        <v/>
      </c>
      <c r="J513" s="172"/>
    </row>
    <row r="514" spans="9:10" x14ac:dyDescent="0.3">
      <c r="I514" t="str">
        <f>_xlfn.IFNA(INDEX('[1]Sector list'!$A$2:$A$122,MATCH(H514,'[1]Sector list'!$B$2:$B$122,0)),"")</f>
        <v/>
      </c>
      <c r="J514" s="172"/>
    </row>
    <row r="515" spans="9:10" x14ac:dyDescent="0.3">
      <c r="I515" t="str">
        <f>_xlfn.IFNA(INDEX('[1]Sector list'!$A$2:$A$122,MATCH(H515,'[1]Sector list'!$B$2:$B$122,0)),"")</f>
        <v/>
      </c>
      <c r="J515" s="172"/>
    </row>
    <row r="516" spans="9:10" x14ac:dyDescent="0.3">
      <c r="I516" t="str">
        <f>_xlfn.IFNA(INDEX('[1]Sector list'!$A$2:$A$122,MATCH(H516,'[1]Sector list'!$B$2:$B$122,0)),"")</f>
        <v/>
      </c>
      <c r="J516" s="172"/>
    </row>
    <row r="517" spans="9:10" x14ac:dyDescent="0.3">
      <c r="I517" t="str">
        <f>_xlfn.IFNA(INDEX('[1]Sector list'!$A$2:$A$122,MATCH(H517,'[1]Sector list'!$B$2:$B$122,0)),"")</f>
        <v/>
      </c>
      <c r="J517" s="172"/>
    </row>
    <row r="518" spans="9:10" x14ac:dyDescent="0.3">
      <c r="I518" t="str">
        <f>_xlfn.IFNA(INDEX('[1]Sector list'!$A$2:$A$122,MATCH(H518,'[1]Sector list'!$B$2:$B$122,0)),"")</f>
        <v/>
      </c>
      <c r="J518" s="172"/>
    </row>
    <row r="519" spans="9:10" x14ac:dyDescent="0.3">
      <c r="I519" t="str">
        <f>_xlfn.IFNA(INDEX('[1]Sector list'!$A$2:$A$122,MATCH(H519,'[1]Sector list'!$B$2:$B$122,0)),"")</f>
        <v/>
      </c>
      <c r="J519" s="172"/>
    </row>
    <row r="520" spans="9:10" x14ac:dyDescent="0.3">
      <c r="I520" t="str">
        <f>_xlfn.IFNA(INDEX('[1]Sector list'!$A$2:$A$122,MATCH(H520,'[1]Sector list'!$B$2:$B$122,0)),"")</f>
        <v/>
      </c>
      <c r="J520" s="172"/>
    </row>
    <row r="521" spans="9:10" x14ac:dyDescent="0.3">
      <c r="I521" t="str">
        <f>_xlfn.IFNA(INDEX('[1]Sector list'!$A$2:$A$122,MATCH(H521,'[1]Sector list'!$B$2:$B$122,0)),"")</f>
        <v/>
      </c>
      <c r="J521" s="172"/>
    </row>
    <row r="522" spans="9:10" x14ac:dyDescent="0.3">
      <c r="I522" t="str">
        <f>_xlfn.IFNA(INDEX('[1]Sector list'!$A$2:$A$122,MATCH(H522,'[1]Sector list'!$B$2:$B$122,0)),"")</f>
        <v/>
      </c>
      <c r="J522" s="172"/>
    </row>
    <row r="523" spans="9:10" x14ac:dyDescent="0.3">
      <c r="I523" t="str">
        <f>_xlfn.IFNA(INDEX('[1]Sector list'!$A$2:$A$122,MATCH(H523,'[1]Sector list'!$B$2:$B$122,0)),"")</f>
        <v/>
      </c>
      <c r="J523" s="172"/>
    </row>
    <row r="524" spans="9:10" x14ac:dyDescent="0.3">
      <c r="I524" t="str">
        <f>_xlfn.IFNA(INDEX('[1]Sector list'!$A$2:$A$122,MATCH(H524,'[1]Sector list'!$B$2:$B$122,0)),"")</f>
        <v/>
      </c>
      <c r="J524" s="172"/>
    </row>
    <row r="525" spans="9:10" x14ac:dyDescent="0.3">
      <c r="I525" t="str">
        <f>_xlfn.IFNA(INDEX('[1]Sector list'!$A$2:$A$122,MATCH(H525,'[1]Sector list'!$B$2:$B$122,0)),"")</f>
        <v/>
      </c>
      <c r="J525" s="172"/>
    </row>
    <row r="526" spans="9:10" x14ac:dyDescent="0.3">
      <c r="I526" t="str">
        <f>_xlfn.IFNA(INDEX('[1]Sector list'!$A$2:$A$122,MATCH(H526,'[1]Sector list'!$B$2:$B$122,0)),"")</f>
        <v/>
      </c>
      <c r="J526" s="172"/>
    </row>
    <row r="527" spans="9:10" x14ac:dyDescent="0.3">
      <c r="I527" t="str">
        <f>_xlfn.IFNA(INDEX('[1]Sector list'!$A$2:$A$122,MATCH(H527,'[1]Sector list'!$B$2:$B$122,0)),"")</f>
        <v/>
      </c>
      <c r="J527" s="172"/>
    </row>
    <row r="528" spans="9:10" x14ac:dyDescent="0.3">
      <c r="I528" t="str">
        <f>_xlfn.IFNA(INDEX('[1]Sector list'!$A$2:$A$122,MATCH(H528,'[1]Sector list'!$B$2:$B$122,0)),"")</f>
        <v/>
      </c>
      <c r="J528" s="172"/>
    </row>
    <row r="529" spans="9:10" x14ac:dyDescent="0.3">
      <c r="I529" t="str">
        <f>_xlfn.IFNA(INDEX('[1]Sector list'!$A$2:$A$122,MATCH(H529,'[1]Sector list'!$B$2:$B$122,0)),"")</f>
        <v/>
      </c>
      <c r="J529" s="172"/>
    </row>
    <row r="530" spans="9:10" x14ac:dyDescent="0.3">
      <c r="I530" t="str">
        <f>_xlfn.IFNA(INDEX('[1]Sector list'!$A$2:$A$122,MATCH(H530,'[1]Sector list'!$B$2:$B$122,0)),"")</f>
        <v/>
      </c>
      <c r="J530" s="172"/>
    </row>
    <row r="531" spans="9:10" x14ac:dyDescent="0.3">
      <c r="I531" t="str">
        <f>_xlfn.IFNA(INDEX('[1]Sector list'!$A$2:$A$122,MATCH(H531,'[1]Sector list'!$B$2:$B$122,0)),"")</f>
        <v/>
      </c>
      <c r="J531" s="172"/>
    </row>
    <row r="532" spans="9:10" x14ac:dyDescent="0.3">
      <c r="I532" t="str">
        <f>_xlfn.IFNA(INDEX('[1]Sector list'!$A$2:$A$122,MATCH(H532,'[1]Sector list'!$B$2:$B$122,0)),"")</f>
        <v/>
      </c>
      <c r="J532" s="172"/>
    </row>
    <row r="533" spans="9:10" x14ac:dyDescent="0.3">
      <c r="I533" t="str">
        <f>_xlfn.IFNA(INDEX('[1]Sector list'!$A$2:$A$122,MATCH(H533,'[1]Sector list'!$B$2:$B$122,0)),"")</f>
        <v/>
      </c>
      <c r="J533" s="172"/>
    </row>
    <row r="534" spans="9:10" x14ac:dyDescent="0.3">
      <c r="I534" t="str">
        <f>_xlfn.IFNA(INDEX('[1]Sector list'!$A$2:$A$122,MATCH(H534,'[1]Sector list'!$B$2:$B$122,0)),"")</f>
        <v/>
      </c>
      <c r="J534" s="172"/>
    </row>
    <row r="535" spans="9:10" x14ac:dyDescent="0.3">
      <c r="I535" t="str">
        <f>_xlfn.IFNA(INDEX('[1]Sector list'!$A$2:$A$122,MATCH(H535,'[1]Sector list'!$B$2:$B$122,0)),"")</f>
        <v/>
      </c>
      <c r="J535" s="172"/>
    </row>
    <row r="536" spans="9:10" x14ac:dyDescent="0.3">
      <c r="I536" t="str">
        <f>_xlfn.IFNA(INDEX('[1]Sector list'!$A$2:$A$122,MATCH(H536,'[1]Sector list'!$B$2:$B$122,0)),"")</f>
        <v/>
      </c>
      <c r="J536" s="172"/>
    </row>
    <row r="537" spans="9:10" x14ac:dyDescent="0.3">
      <c r="I537" t="str">
        <f>_xlfn.IFNA(INDEX('[1]Sector list'!$A$2:$A$122,MATCH(H537,'[1]Sector list'!$B$2:$B$122,0)),"")</f>
        <v/>
      </c>
      <c r="J537" s="172"/>
    </row>
    <row r="538" spans="9:10" x14ac:dyDescent="0.3">
      <c r="I538" t="str">
        <f>_xlfn.IFNA(INDEX('[1]Sector list'!$A$2:$A$122,MATCH(H538,'[1]Sector list'!$B$2:$B$122,0)),"")</f>
        <v/>
      </c>
      <c r="J538" s="172"/>
    </row>
    <row r="539" spans="9:10" x14ac:dyDescent="0.3">
      <c r="I539" t="str">
        <f>_xlfn.IFNA(INDEX('[1]Sector list'!$A$2:$A$122,MATCH(H539,'[1]Sector list'!$B$2:$B$122,0)),"")</f>
        <v/>
      </c>
      <c r="J539" s="172"/>
    </row>
    <row r="540" spans="9:10" x14ac:dyDescent="0.3">
      <c r="I540" t="str">
        <f>_xlfn.IFNA(INDEX('[1]Sector list'!$A$2:$A$122,MATCH(H540,'[1]Sector list'!$B$2:$B$122,0)),"")</f>
        <v/>
      </c>
      <c r="J540" s="172"/>
    </row>
    <row r="541" spans="9:10" x14ac:dyDescent="0.3">
      <c r="I541" t="str">
        <f>_xlfn.IFNA(INDEX('[1]Sector list'!$A$2:$A$122,MATCH(H541,'[1]Sector list'!$B$2:$B$122,0)),"")</f>
        <v/>
      </c>
      <c r="J541" s="172"/>
    </row>
    <row r="542" spans="9:10" x14ac:dyDescent="0.3">
      <c r="I542" t="str">
        <f>_xlfn.IFNA(INDEX('[1]Sector list'!$A$2:$A$122,MATCH(H542,'[1]Sector list'!$B$2:$B$122,0)),"")</f>
        <v/>
      </c>
      <c r="J542" s="172"/>
    </row>
    <row r="543" spans="9:10" x14ac:dyDescent="0.3">
      <c r="I543" t="str">
        <f>_xlfn.IFNA(INDEX('[1]Sector list'!$A$2:$A$122,MATCH(H543,'[1]Sector list'!$B$2:$B$122,0)),"")</f>
        <v/>
      </c>
      <c r="J543" s="172"/>
    </row>
    <row r="544" spans="9:10" x14ac:dyDescent="0.3">
      <c r="I544" t="str">
        <f>_xlfn.IFNA(INDEX('[1]Sector list'!$A$2:$A$122,MATCH(H544,'[1]Sector list'!$B$2:$B$122,0)),"")</f>
        <v/>
      </c>
      <c r="J544" s="172"/>
    </row>
    <row r="545" spans="9:10" x14ac:dyDescent="0.3">
      <c r="I545" t="str">
        <f>_xlfn.IFNA(INDEX('[1]Sector list'!$A$2:$A$122,MATCH(H545,'[1]Sector list'!$B$2:$B$122,0)),"")</f>
        <v/>
      </c>
      <c r="J545" s="172"/>
    </row>
    <row r="546" spans="9:10" x14ac:dyDescent="0.3">
      <c r="I546" t="str">
        <f>_xlfn.IFNA(INDEX('[1]Sector list'!$A$2:$A$122,MATCH(H546,'[1]Sector list'!$B$2:$B$122,0)),"")</f>
        <v/>
      </c>
      <c r="J546" s="172"/>
    </row>
    <row r="547" spans="9:10" x14ac:dyDescent="0.3">
      <c r="I547" t="str">
        <f>_xlfn.IFNA(INDEX('[1]Sector list'!$A$2:$A$122,MATCH(H547,'[1]Sector list'!$B$2:$B$122,0)),"")</f>
        <v/>
      </c>
      <c r="J547" s="172"/>
    </row>
    <row r="548" spans="9:10" x14ac:dyDescent="0.3">
      <c r="I548" t="str">
        <f>_xlfn.IFNA(INDEX('[1]Sector list'!$A$2:$A$122,MATCH(H548,'[1]Sector list'!$B$2:$B$122,0)),"")</f>
        <v/>
      </c>
      <c r="J548" s="172"/>
    </row>
    <row r="549" spans="9:10" x14ac:dyDescent="0.3">
      <c r="I549" t="str">
        <f>_xlfn.IFNA(INDEX('[1]Sector list'!$A$2:$A$122,MATCH(H549,'[1]Sector list'!$B$2:$B$122,0)),"")</f>
        <v/>
      </c>
      <c r="J549" s="172"/>
    </row>
    <row r="550" spans="9:10" x14ac:dyDescent="0.3">
      <c r="I550" t="str">
        <f>_xlfn.IFNA(INDEX('[1]Sector list'!$A$2:$A$122,MATCH(H550,'[1]Sector list'!$B$2:$B$122,0)),"")</f>
        <v/>
      </c>
      <c r="J550" s="172"/>
    </row>
    <row r="551" spans="9:10" x14ac:dyDescent="0.3">
      <c r="I551" t="str">
        <f>_xlfn.IFNA(INDEX('[1]Sector list'!$A$2:$A$122,MATCH(H551,'[1]Sector list'!$B$2:$B$122,0)),"")</f>
        <v/>
      </c>
      <c r="J551" s="172"/>
    </row>
    <row r="552" spans="9:10" x14ac:dyDescent="0.3">
      <c r="I552" t="str">
        <f>_xlfn.IFNA(INDEX('[1]Sector list'!$A$2:$A$122,MATCH(H552,'[1]Sector list'!$B$2:$B$122,0)),"")</f>
        <v/>
      </c>
      <c r="J552" s="172"/>
    </row>
    <row r="553" spans="9:10" x14ac:dyDescent="0.3">
      <c r="I553" t="str">
        <f>_xlfn.IFNA(INDEX('[1]Sector list'!$A$2:$A$122,MATCH(H553,'[1]Sector list'!$B$2:$B$122,0)),"")</f>
        <v/>
      </c>
      <c r="J553" s="172"/>
    </row>
    <row r="554" spans="9:10" x14ac:dyDescent="0.3">
      <c r="I554" t="str">
        <f>_xlfn.IFNA(INDEX('[1]Sector list'!$A$2:$A$122,MATCH(H554,'[1]Sector list'!$B$2:$B$122,0)),"")</f>
        <v/>
      </c>
      <c r="J554" s="172"/>
    </row>
    <row r="555" spans="9:10" x14ac:dyDescent="0.3">
      <c r="I555" t="str">
        <f>_xlfn.IFNA(INDEX('[1]Sector list'!$A$2:$A$122,MATCH(H555,'[1]Sector list'!$B$2:$B$122,0)),"")</f>
        <v/>
      </c>
      <c r="J555" s="172"/>
    </row>
    <row r="556" spans="9:10" x14ac:dyDescent="0.3">
      <c r="I556" t="str">
        <f>_xlfn.IFNA(INDEX('[1]Sector list'!$A$2:$A$122,MATCH(H556,'[1]Sector list'!$B$2:$B$122,0)),"")</f>
        <v/>
      </c>
      <c r="J556" s="172"/>
    </row>
    <row r="557" spans="9:10" x14ac:dyDescent="0.3">
      <c r="I557" t="str">
        <f>_xlfn.IFNA(INDEX('[1]Sector list'!$A$2:$A$122,MATCH(H557,'[1]Sector list'!$B$2:$B$122,0)),"")</f>
        <v/>
      </c>
      <c r="J557" s="172"/>
    </row>
    <row r="558" spans="9:10" x14ac:dyDescent="0.3">
      <c r="I558" t="str">
        <f>_xlfn.IFNA(INDEX('[1]Sector list'!$A$2:$A$122,MATCH(H558,'[1]Sector list'!$B$2:$B$122,0)),"")</f>
        <v/>
      </c>
      <c r="J558" s="172"/>
    </row>
    <row r="559" spans="9:10" x14ac:dyDescent="0.3">
      <c r="I559" t="str">
        <f>_xlfn.IFNA(INDEX('[1]Sector list'!$A$2:$A$122,MATCH(H559,'[1]Sector list'!$B$2:$B$122,0)),"")</f>
        <v/>
      </c>
      <c r="J559" s="172"/>
    </row>
    <row r="560" spans="9:10" x14ac:dyDescent="0.3">
      <c r="I560" t="str">
        <f>_xlfn.IFNA(INDEX('[1]Sector list'!$A$2:$A$122,MATCH(H560,'[1]Sector list'!$B$2:$B$122,0)),"")</f>
        <v/>
      </c>
      <c r="J560" s="172"/>
    </row>
    <row r="561" spans="9:10" x14ac:dyDescent="0.3">
      <c r="I561" t="str">
        <f>_xlfn.IFNA(INDEX('[1]Sector list'!$A$2:$A$122,MATCH(H561,'[1]Sector list'!$B$2:$B$122,0)),"")</f>
        <v/>
      </c>
      <c r="J561" s="172"/>
    </row>
    <row r="562" spans="9:10" x14ac:dyDescent="0.3">
      <c r="I562" t="str">
        <f>_xlfn.IFNA(INDEX('[1]Sector list'!$A$2:$A$122,MATCH(H562,'[1]Sector list'!$B$2:$B$122,0)),"")</f>
        <v/>
      </c>
      <c r="J562" s="172"/>
    </row>
    <row r="563" spans="9:10" x14ac:dyDescent="0.3">
      <c r="I563" t="str">
        <f>_xlfn.IFNA(INDEX('[1]Sector list'!$A$2:$A$122,MATCH(H563,'[1]Sector list'!$B$2:$B$122,0)),"")</f>
        <v/>
      </c>
      <c r="J563" s="172"/>
    </row>
    <row r="564" spans="9:10" x14ac:dyDescent="0.3">
      <c r="I564" t="str">
        <f>_xlfn.IFNA(INDEX('[1]Sector list'!$A$2:$A$122,MATCH(H564,'[1]Sector list'!$B$2:$B$122,0)),"")</f>
        <v/>
      </c>
      <c r="J564" s="172"/>
    </row>
    <row r="565" spans="9:10" x14ac:dyDescent="0.3">
      <c r="I565" t="str">
        <f>_xlfn.IFNA(INDEX('[1]Sector list'!$A$2:$A$122,MATCH(H565,'[1]Sector list'!$B$2:$B$122,0)),"")</f>
        <v/>
      </c>
      <c r="J565" s="172"/>
    </row>
    <row r="566" spans="9:10" x14ac:dyDescent="0.3">
      <c r="I566" t="str">
        <f>_xlfn.IFNA(INDEX('[1]Sector list'!$A$2:$A$122,MATCH(H566,'[1]Sector list'!$B$2:$B$122,0)),"")</f>
        <v/>
      </c>
      <c r="J566" s="172"/>
    </row>
    <row r="567" spans="9:10" x14ac:dyDescent="0.3">
      <c r="I567" t="str">
        <f>_xlfn.IFNA(INDEX('[1]Sector list'!$A$2:$A$122,MATCH(H567,'[1]Sector list'!$B$2:$B$122,0)),"")</f>
        <v/>
      </c>
      <c r="J567" s="172"/>
    </row>
    <row r="568" spans="9:10" x14ac:dyDescent="0.3">
      <c r="I568" t="str">
        <f>_xlfn.IFNA(INDEX('[1]Sector list'!$A$2:$A$122,MATCH(H568,'[1]Sector list'!$B$2:$B$122,0)),"")</f>
        <v/>
      </c>
      <c r="J568" s="172"/>
    </row>
    <row r="569" spans="9:10" x14ac:dyDescent="0.3">
      <c r="I569" t="str">
        <f>_xlfn.IFNA(INDEX('[1]Sector list'!$A$2:$A$122,MATCH(H569,'[1]Sector list'!$B$2:$B$122,0)),"")</f>
        <v/>
      </c>
      <c r="J569" s="172"/>
    </row>
    <row r="570" spans="9:10" x14ac:dyDescent="0.3">
      <c r="I570" t="str">
        <f>_xlfn.IFNA(INDEX('[1]Sector list'!$A$2:$A$122,MATCH(H570,'[1]Sector list'!$B$2:$B$122,0)),"")</f>
        <v/>
      </c>
      <c r="J570" s="172"/>
    </row>
    <row r="571" spans="9:10" x14ac:dyDescent="0.3">
      <c r="I571" t="str">
        <f>_xlfn.IFNA(INDEX('[1]Sector list'!$A$2:$A$122,MATCH(H571,'[1]Sector list'!$B$2:$B$122,0)),"")</f>
        <v/>
      </c>
      <c r="J571" s="172"/>
    </row>
    <row r="572" spans="9:10" x14ac:dyDescent="0.3">
      <c r="I572" t="str">
        <f>_xlfn.IFNA(INDEX('[1]Sector list'!$A$2:$A$122,MATCH(H572,'[1]Sector list'!$B$2:$B$122,0)),"")</f>
        <v/>
      </c>
      <c r="J572" s="172"/>
    </row>
    <row r="573" spans="9:10" x14ac:dyDescent="0.3">
      <c r="I573" t="str">
        <f>_xlfn.IFNA(INDEX('[1]Sector list'!$A$2:$A$122,MATCH(H573,'[1]Sector list'!$B$2:$B$122,0)),"")</f>
        <v/>
      </c>
      <c r="J573" s="172"/>
    </row>
    <row r="574" spans="9:10" x14ac:dyDescent="0.3">
      <c r="I574" t="str">
        <f>_xlfn.IFNA(INDEX('[1]Sector list'!$A$2:$A$122,MATCH(H574,'[1]Sector list'!$B$2:$B$122,0)),"")</f>
        <v/>
      </c>
      <c r="J574" s="172"/>
    </row>
    <row r="575" spans="9:10" x14ac:dyDescent="0.3">
      <c r="I575" t="str">
        <f>_xlfn.IFNA(INDEX('[1]Sector list'!$A$2:$A$122,MATCH(H575,'[1]Sector list'!$B$2:$B$122,0)),"")</f>
        <v/>
      </c>
      <c r="J575" s="172"/>
    </row>
    <row r="576" spans="9:10" x14ac:dyDescent="0.3">
      <c r="I576" t="str">
        <f>_xlfn.IFNA(INDEX('[1]Sector list'!$A$2:$A$122,MATCH(H576,'[1]Sector list'!$B$2:$B$122,0)),"")</f>
        <v/>
      </c>
      <c r="J576" s="172"/>
    </row>
    <row r="577" spans="9:10" x14ac:dyDescent="0.3">
      <c r="I577" t="str">
        <f>_xlfn.IFNA(INDEX('[1]Sector list'!$A$2:$A$122,MATCH(H577,'[1]Sector list'!$B$2:$B$122,0)),"")</f>
        <v/>
      </c>
      <c r="J577" s="172"/>
    </row>
    <row r="578" spans="9:10" x14ac:dyDescent="0.3">
      <c r="I578" t="str">
        <f>_xlfn.IFNA(INDEX('[1]Sector list'!$A$2:$A$122,MATCH(H578,'[1]Sector list'!$B$2:$B$122,0)),"")</f>
        <v/>
      </c>
      <c r="J578" s="172"/>
    </row>
    <row r="579" spans="9:10" x14ac:dyDescent="0.3">
      <c r="I579" t="str">
        <f>_xlfn.IFNA(INDEX('[1]Sector list'!$A$2:$A$122,MATCH(H579,'[1]Sector list'!$B$2:$B$122,0)),"")</f>
        <v/>
      </c>
      <c r="J579" s="172"/>
    </row>
    <row r="580" spans="9:10" x14ac:dyDescent="0.3">
      <c r="I580" t="str">
        <f>_xlfn.IFNA(INDEX('[1]Sector list'!$A$2:$A$122,MATCH(H580,'[1]Sector list'!$B$2:$B$122,0)),"")</f>
        <v/>
      </c>
      <c r="J580" s="172"/>
    </row>
    <row r="581" spans="9:10" x14ac:dyDescent="0.3">
      <c r="I581" t="str">
        <f>_xlfn.IFNA(INDEX('[1]Sector list'!$A$2:$A$122,MATCH(H581,'[1]Sector list'!$B$2:$B$122,0)),"")</f>
        <v/>
      </c>
      <c r="J581" s="172"/>
    </row>
    <row r="582" spans="9:10" x14ac:dyDescent="0.3">
      <c r="I582" t="str">
        <f>_xlfn.IFNA(INDEX('[1]Sector list'!$A$2:$A$122,MATCH(H582,'[1]Sector list'!$B$2:$B$122,0)),"")</f>
        <v/>
      </c>
      <c r="J582" s="172"/>
    </row>
    <row r="583" spans="9:10" x14ac:dyDescent="0.3">
      <c r="I583" t="str">
        <f>_xlfn.IFNA(INDEX('[1]Sector list'!$A$2:$A$122,MATCH(H583,'[1]Sector list'!$B$2:$B$122,0)),"")</f>
        <v/>
      </c>
      <c r="J583" s="172"/>
    </row>
    <row r="584" spans="9:10" x14ac:dyDescent="0.3">
      <c r="I584" t="str">
        <f>_xlfn.IFNA(INDEX('[1]Sector list'!$A$2:$A$122,MATCH(H584,'[1]Sector list'!$B$2:$B$122,0)),"")</f>
        <v/>
      </c>
      <c r="J584" s="172"/>
    </row>
    <row r="585" spans="9:10" x14ac:dyDescent="0.3">
      <c r="I585" t="str">
        <f>_xlfn.IFNA(INDEX('[1]Sector list'!$A$2:$A$122,MATCH(H585,'[1]Sector list'!$B$2:$B$122,0)),"")</f>
        <v/>
      </c>
      <c r="J585" s="172"/>
    </row>
    <row r="586" spans="9:10" x14ac:dyDescent="0.3">
      <c r="I586" t="str">
        <f>_xlfn.IFNA(INDEX('[1]Sector list'!$A$2:$A$122,MATCH(H586,'[1]Sector list'!$B$2:$B$122,0)),"")</f>
        <v/>
      </c>
      <c r="J586" s="172"/>
    </row>
    <row r="587" spans="9:10" x14ac:dyDescent="0.3">
      <c r="I587" t="str">
        <f>_xlfn.IFNA(INDEX('[1]Sector list'!$A$2:$A$122,MATCH(H587,'[1]Sector list'!$B$2:$B$122,0)),"")</f>
        <v/>
      </c>
      <c r="J587" s="172"/>
    </row>
    <row r="588" spans="9:10" x14ac:dyDescent="0.3">
      <c r="I588" t="str">
        <f>_xlfn.IFNA(INDEX('[1]Sector list'!$A$2:$A$122,MATCH(H588,'[1]Sector list'!$B$2:$B$122,0)),"")</f>
        <v/>
      </c>
      <c r="J588" s="172"/>
    </row>
    <row r="589" spans="9:10" x14ac:dyDescent="0.3">
      <c r="I589" t="str">
        <f>_xlfn.IFNA(INDEX('[1]Sector list'!$A$2:$A$122,MATCH(H589,'[1]Sector list'!$B$2:$B$122,0)),"")</f>
        <v/>
      </c>
      <c r="J589" s="172"/>
    </row>
    <row r="590" spans="9:10" x14ac:dyDescent="0.3">
      <c r="I590" t="str">
        <f>_xlfn.IFNA(INDEX('[1]Sector list'!$A$2:$A$122,MATCH(H590,'[1]Sector list'!$B$2:$B$122,0)),"")</f>
        <v/>
      </c>
      <c r="J590" s="172"/>
    </row>
    <row r="591" spans="9:10" x14ac:dyDescent="0.3">
      <c r="I591" t="str">
        <f>_xlfn.IFNA(INDEX('[1]Sector list'!$A$2:$A$122,MATCH(H591,'[1]Sector list'!$B$2:$B$122,0)),"")</f>
        <v/>
      </c>
      <c r="J591" s="172"/>
    </row>
    <row r="592" spans="9:10" x14ac:dyDescent="0.3">
      <c r="I592" t="str">
        <f>_xlfn.IFNA(INDEX('[1]Sector list'!$A$2:$A$122,MATCH(H592,'[1]Sector list'!$B$2:$B$122,0)),"")</f>
        <v/>
      </c>
      <c r="J592" s="172"/>
    </row>
    <row r="593" spans="9:10" x14ac:dyDescent="0.3">
      <c r="I593" t="str">
        <f>_xlfn.IFNA(INDEX('[1]Sector list'!$A$2:$A$122,MATCH(H593,'[1]Sector list'!$B$2:$B$122,0)),"")</f>
        <v/>
      </c>
      <c r="J593" s="172"/>
    </row>
    <row r="594" spans="9:10" x14ac:dyDescent="0.3">
      <c r="I594" t="str">
        <f>_xlfn.IFNA(INDEX('[1]Sector list'!$A$2:$A$122,MATCH(H594,'[1]Sector list'!$B$2:$B$122,0)),"")</f>
        <v/>
      </c>
      <c r="J594" s="172"/>
    </row>
    <row r="595" spans="9:10" x14ac:dyDescent="0.3">
      <c r="I595" t="str">
        <f>_xlfn.IFNA(INDEX('[1]Sector list'!$A$2:$A$122,MATCH(H595,'[1]Sector list'!$B$2:$B$122,0)),"")</f>
        <v/>
      </c>
      <c r="J595" s="172"/>
    </row>
    <row r="596" spans="9:10" x14ac:dyDescent="0.3">
      <c r="I596" t="str">
        <f>_xlfn.IFNA(INDEX('[1]Sector list'!$A$2:$A$122,MATCH(H596,'[1]Sector list'!$B$2:$B$122,0)),"")</f>
        <v/>
      </c>
      <c r="J596" s="172"/>
    </row>
    <row r="597" spans="9:10" x14ac:dyDescent="0.3">
      <c r="I597" t="str">
        <f>_xlfn.IFNA(INDEX('[1]Sector list'!$A$2:$A$122,MATCH(H597,'[1]Sector list'!$B$2:$B$122,0)),"")</f>
        <v/>
      </c>
      <c r="J597" s="172"/>
    </row>
    <row r="598" spans="9:10" x14ac:dyDescent="0.3">
      <c r="I598" t="str">
        <f>_xlfn.IFNA(INDEX('[1]Sector list'!$A$2:$A$122,MATCH(H598,'[1]Sector list'!$B$2:$B$122,0)),"")</f>
        <v/>
      </c>
      <c r="J598" s="172"/>
    </row>
    <row r="599" spans="9:10" x14ac:dyDescent="0.3">
      <c r="I599" t="str">
        <f>_xlfn.IFNA(INDEX('[1]Sector list'!$A$2:$A$122,MATCH(H599,'[1]Sector list'!$B$2:$B$122,0)),"")</f>
        <v/>
      </c>
      <c r="J599" s="172"/>
    </row>
    <row r="600" spans="9:10" x14ac:dyDescent="0.3">
      <c r="I600" t="str">
        <f>_xlfn.IFNA(INDEX('[1]Sector list'!$A$2:$A$122,MATCH(H600,'[1]Sector list'!$B$2:$B$122,0)),"")</f>
        <v/>
      </c>
      <c r="J600" s="172"/>
    </row>
    <row r="601" spans="9:10" x14ac:dyDescent="0.3">
      <c r="I601" t="str">
        <f>_xlfn.IFNA(INDEX('[1]Sector list'!$A$2:$A$122,MATCH(H601,'[1]Sector list'!$B$2:$B$122,0)),"")</f>
        <v/>
      </c>
      <c r="J601" s="172"/>
    </row>
    <row r="602" spans="9:10" x14ac:dyDescent="0.3">
      <c r="I602" t="str">
        <f>_xlfn.IFNA(INDEX('[1]Sector list'!$A$2:$A$122,MATCH(H602,'[1]Sector list'!$B$2:$B$122,0)),"")</f>
        <v/>
      </c>
      <c r="J602" s="172"/>
    </row>
    <row r="603" spans="9:10" x14ac:dyDescent="0.3">
      <c r="I603" t="str">
        <f>_xlfn.IFNA(INDEX('[1]Sector list'!$A$2:$A$122,MATCH(H603,'[1]Sector list'!$B$2:$B$122,0)),"")</f>
        <v/>
      </c>
      <c r="J603" s="172"/>
    </row>
    <row r="604" spans="9:10" x14ac:dyDescent="0.3">
      <c r="I604" t="str">
        <f>_xlfn.IFNA(INDEX('[1]Sector list'!$A$2:$A$122,MATCH(H604,'[1]Sector list'!$B$2:$B$122,0)),"")</f>
        <v/>
      </c>
      <c r="J604" s="172"/>
    </row>
    <row r="605" spans="9:10" x14ac:dyDescent="0.3">
      <c r="I605" t="str">
        <f>_xlfn.IFNA(INDEX('[1]Sector list'!$A$2:$A$122,MATCH(H605,'[1]Sector list'!$B$2:$B$122,0)),"")</f>
        <v/>
      </c>
      <c r="J605" s="172"/>
    </row>
    <row r="606" spans="9:10" x14ac:dyDescent="0.3">
      <c r="I606" t="str">
        <f>_xlfn.IFNA(INDEX('[1]Sector list'!$A$2:$A$122,MATCH(H606,'[1]Sector list'!$B$2:$B$122,0)),"")</f>
        <v/>
      </c>
      <c r="J606" s="172"/>
    </row>
    <row r="607" spans="9:10" x14ac:dyDescent="0.3">
      <c r="I607" t="str">
        <f>_xlfn.IFNA(INDEX('[1]Sector list'!$A$2:$A$122,MATCH(H607,'[1]Sector list'!$B$2:$B$122,0)),"")</f>
        <v/>
      </c>
      <c r="J607" s="172"/>
    </row>
    <row r="608" spans="9:10" x14ac:dyDescent="0.3">
      <c r="I608" t="str">
        <f>_xlfn.IFNA(INDEX('[1]Sector list'!$A$2:$A$122,MATCH(H608,'[1]Sector list'!$B$2:$B$122,0)),"")</f>
        <v/>
      </c>
      <c r="J608" s="172"/>
    </row>
    <row r="609" spans="9:10" x14ac:dyDescent="0.3">
      <c r="I609" t="str">
        <f>_xlfn.IFNA(INDEX('[1]Sector list'!$A$2:$A$122,MATCH(H609,'[1]Sector list'!$B$2:$B$122,0)),"")</f>
        <v/>
      </c>
      <c r="J609" s="172"/>
    </row>
    <row r="610" spans="9:10" x14ac:dyDescent="0.3">
      <c r="I610" t="str">
        <f>_xlfn.IFNA(INDEX('[1]Sector list'!$A$2:$A$122,MATCH(H610,'[1]Sector list'!$B$2:$B$122,0)),"")</f>
        <v/>
      </c>
      <c r="J610" s="172"/>
    </row>
    <row r="611" spans="9:10" x14ac:dyDescent="0.3">
      <c r="I611" t="str">
        <f>_xlfn.IFNA(INDEX('[1]Sector list'!$A$2:$A$122,MATCH(H611,'[1]Sector list'!$B$2:$B$122,0)),"")</f>
        <v/>
      </c>
      <c r="J611" s="172"/>
    </row>
    <row r="612" spans="9:10" x14ac:dyDescent="0.3">
      <c r="I612" t="str">
        <f>_xlfn.IFNA(INDEX('[1]Sector list'!$A$2:$A$122,MATCH(H612,'[1]Sector list'!$B$2:$B$122,0)),"")</f>
        <v/>
      </c>
      <c r="J612" s="172"/>
    </row>
    <row r="613" spans="9:10" x14ac:dyDescent="0.3">
      <c r="I613" t="str">
        <f>_xlfn.IFNA(INDEX('[1]Sector list'!$A$2:$A$122,MATCH(H613,'[1]Sector list'!$B$2:$B$122,0)),"")</f>
        <v/>
      </c>
      <c r="J613" s="172"/>
    </row>
    <row r="614" spans="9:10" x14ac:dyDescent="0.3">
      <c r="I614" t="str">
        <f>_xlfn.IFNA(INDEX('[1]Sector list'!$A$2:$A$122,MATCH(H614,'[1]Sector list'!$B$2:$B$122,0)),"")</f>
        <v/>
      </c>
      <c r="J614" s="172"/>
    </row>
    <row r="615" spans="9:10" x14ac:dyDescent="0.3">
      <c r="I615" t="str">
        <f>_xlfn.IFNA(INDEX('[1]Sector list'!$A$2:$A$122,MATCH(H615,'[1]Sector list'!$B$2:$B$122,0)),"")</f>
        <v/>
      </c>
      <c r="J615" s="172"/>
    </row>
    <row r="616" spans="9:10" x14ac:dyDescent="0.3">
      <c r="I616" t="str">
        <f>_xlfn.IFNA(INDEX('[1]Sector list'!$A$2:$A$122,MATCH(H616,'[1]Sector list'!$B$2:$B$122,0)),"")</f>
        <v/>
      </c>
      <c r="J616" s="172"/>
    </row>
    <row r="617" spans="9:10" x14ac:dyDescent="0.3">
      <c r="I617" t="str">
        <f>_xlfn.IFNA(INDEX('[1]Sector list'!$A$2:$A$122,MATCH(H617,'[1]Sector list'!$B$2:$B$122,0)),"")</f>
        <v/>
      </c>
      <c r="J617" s="172"/>
    </row>
    <row r="618" spans="9:10" x14ac:dyDescent="0.3">
      <c r="I618" t="str">
        <f>_xlfn.IFNA(INDEX('[1]Sector list'!$A$2:$A$122,MATCH(H618,'[1]Sector list'!$B$2:$B$122,0)),"")</f>
        <v/>
      </c>
      <c r="J618" s="172"/>
    </row>
    <row r="619" spans="9:10" x14ac:dyDescent="0.3">
      <c r="I619" t="str">
        <f>_xlfn.IFNA(INDEX('[1]Sector list'!$A$2:$A$122,MATCH(H619,'[1]Sector list'!$B$2:$B$122,0)),"")</f>
        <v/>
      </c>
      <c r="J619" s="172"/>
    </row>
    <row r="620" spans="9:10" x14ac:dyDescent="0.3">
      <c r="I620" t="str">
        <f>_xlfn.IFNA(INDEX('[1]Sector list'!$A$2:$A$122,MATCH(H620,'[1]Sector list'!$B$2:$B$122,0)),"")</f>
        <v/>
      </c>
      <c r="J620" s="172"/>
    </row>
    <row r="621" spans="9:10" x14ac:dyDescent="0.3">
      <c r="I621" t="str">
        <f>_xlfn.IFNA(INDEX('[1]Sector list'!$A$2:$A$122,MATCH(H621,'[1]Sector list'!$B$2:$B$122,0)),"")</f>
        <v/>
      </c>
      <c r="J621" s="172"/>
    </row>
    <row r="622" spans="9:10" x14ac:dyDescent="0.3">
      <c r="I622" t="str">
        <f>_xlfn.IFNA(INDEX('[1]Sector list'!$A$2:$A$122,MATCH(H622,'[1]Sector list'!$B$2:$B$122,0)),"")</f>
        <v/>
      </c>
      <c r="J622" s="172"/>
    </row>
    <row r="623" spans="9:10" x14ac:dyDescent="0.3">
      <c r="I623" t="str">
        <f>_xlfn.IFNA(INDEX('[1]Sector list'!$A$2:$A$122,MATCH(H623,'[1]Sector list'!$B$2:$B$122,0)),"")</f>
        <v/>
      </c>
      <c r="J623" s="172"/>
    </row>
    <row r="624" spans="9:10" x14ac:dyDescent="0.3">
      <c r="I624" t="str">
        <f>_xlfn.IFNA(INDEX('[1]Sector list'!$A$2:$A$122,MATCH(H624,'[1]Sector list'!$B$2:$B$122,0)),"")</f>
        <v/>
      </c>
      <c r="J624" s="172"/>
    </row>
    <row r="625" spans="9:10" x14ac:dyDescent="0.3">
      <c r="I625" t="str">
        <f>_xlfn.IFNA(INDEX('[1]Sector list'!$A$2:$A$122,MATCH(H625,'[1]Sector list'!$B$2:$B$122,0)),"")</f>
        <v/>
      </c>
      <c r="J625" s="172"/>
    </row>
    <row r="626" spans="9:10" x14ac:dyDescent="0.3">
      <c r="I626" t="str">
        <f>_xlfn.IFNA(INDEX('[1]Sector list'!$A$2:$A$122,MATCH(H626,'[1]Sector list'!$B$2:$B$122,0)),"")</f>
        <v/>
      </c>
      <c r="J626" s="172"/>
    </row>
    <row r="627" spans="9:10" x14ac:dyDescent="0.3">
      <c r="I627" t="str">
        <f>_xlfn.IFNA(INDEX('[1]Sector list'!$A$2:$A$122,MATCH(H627,'[1]Sector list'!$B$2:$B$122,0)),"")</f>
        <v/>
      </c>
      <c r="J627" s="172"/>
    </row>
    <row r="628" spans="9:10" x14ac:dyDescent="0.3">
      <c r="I628" t="str">
        <f>_xlfn.IFNA(INDEX('[1]Sector list'!$A$2:$A$122,MATCH(H628,'[1]Sector list'!$B$2:$B$122,0)),"")</f>
        <v/>
      </c>
      <c r="J628" s="172"/>
    </row>
    <row r="629" spans="9:10" x14ac:dyDescent="0.3">
      <c r="I629" t="str">
        <f>_xlfn.IFNA(INDEX('[1]Sector list'!$A$2:$A$122,MATCH(H629,'[1]Sector list'!$B$2:$B$122,0)),"")</f>
        <v/>
      </c>
      <c r="J629" s="172"/>
    </row>
    <row r="630" spans="9:10" x14ac:dyDescent="0.3">
      <c r="I630" t="str">
        <f>_xlfn.IFNA(INDEX('[1]Sector list'!$A$2:$A$122,MATCH(H630,'[1]Sector list'!$B$2:$B$122,0)),"")</f>
        <v/>
      </c>
      <c r="J630" s="172"/>
    </row>
    <row r="631" spans="9:10" x14ac:dyDescent="0.3">
      <c r="I631" t="str">
        <f>_xlfn.IFNA(INDEX('[1]Sector list'!$A$2:$A$122,MATCH(H631,'[1]Sector list'!$B$2:$B$122,0)),"")</f>
        <v/>
      </c>
      <c r="J631" s="172"/>
    </row>
    <row r="632" spans="9:10" x14ac:dyDescent="0.3">
      <c r="I632" t="str">
        <f>_xlfn.IFNA(INDEX('[1]Sector list'!$A$2:$A$122,MATCH(H632,'[1]Sector list'!$B$2:$B$122,0)),"")</f>
        <v/>
      </c>
      <c r="J632" s="172"/>
    </row>
    <row r="633" spans="9:10" x14ac:dyDescent="0.3">
      <c r="I633" t="str">
        <f>_xlfn.IFNA(INDEX('[1]Sector list'!$A$2:$A$122,MATCH(H633,'[1]Sector list'!$B$2:$B$122,0)),"")</f>
        <v/>
      </c>
      <c r="J633" s="172"/>
    </row>
    <row r="634" spans="9:10" x14ac:dyDescent="0.3">
      <c r="I634" t="str">
        <f>_xlfn.IFNA(INDEX('[1]Sector list'!$A$2:$A$122,MATCH(H634,'[1]Sector list'!$B$2:$B$122,0)),"")</f>
        <v/>
      </c>
      <c r="J634" s="172"/>
    </row>
    <row r="635" spans="9:10" x14ac:dyDescent="0.3">
      <c r="I635" t="str">
        <f>_xlfn.IFNA(INDEX('[1]Sector list'!$A$2:$A$122,MATCH(H635,'[1]Sector list'!$B$2:$B$122,0)),"")</f>
        <v/>
      </c>
      <c r="J635" s="172"/>
    </row>
    <row r="636" spans="9:10" x14ac:dyDescent="0.3">
      <c r="I636" t="str">
        <f>_xlfn.IFNA(INDEX('[1]Sector list'!$A$2:$A$122,MATCH(H636,'[1]Sector list'!$B$2:$B$122,0)),"")</f>
        <v/>
      </c>
      <c r="J636" s="172"/>
    </row>
    <row r="637" spans="9:10" x14ac:dyDescent="0.3">
      <c r="I637" t="str">
        <f>_xlfn.IFNA(INDEX('[1]Sector list'!$A$2:$A$122,MATCH(H637,'[1]Sector list'!$B$2:$B$122,0)),"")</f>
        <v/>
      </c>
      <c r="J637" s="172"/>
    </row>
    <row r="638" spans="9:10" x14ac:dyDescent="0.3">
      <c r="I638" t="str">
        <f>_xlfn.IFNA(INDEX('[1]Sector list'!$A$2:$A$122,MATCH(H638,'[1]Sector list'!$B$2:$B$122,0)),"")</f>
        <v/>
      </c>
      <c r="J638" s="172"/>
    </row>
    <row r="639" spans="9:10" x14ac:dyDescent="0.3">
      <c r="I639" t="str">
        <f>_xlfn.IFNA(INDEX('[1]Sector list'!$A$2:$A$122,MATCH(H639,'[1]Sector list'!$B$2:$B$122,0)),"")</f>
        <v/>
      </c>
      <c r="J639" s="172"/>
    </row>
    <row r="640" spans="9:10" x14ac:dyDescent="0.3">
      <c r="I640" t="str">
        <f>_xlfn.IFNA(INDEX('[1]Sector list'!$A$2:$A$122,MATCH(H640,'[1]Sector list'!$B$2:$B$122,0)),"")</f>
        <v/>
      </c>
      <c r="J640" s="172"/>
    </row>
    <row r="641" spans="9:10" x14ac:dyDescent="0.3">
      <c r="I641" t="str">
        <f>_xlfn.IFNA(INDEX('[1]Sector list'!$A$2:$A$122,MATCH(H641,'[1]Sector list'!$B$2:$B$122,0)),"")</f>
        <v/>
      </c>
      <c r="J641" s="172"/>
    </row>
    <row r="642" spans="9:10" x14ac:dyDescent="0.3">
      <c r="I642" t="str">
        <f>_xlfn.IFNA(INDEX('[1]Sector list'!$A$2:$A$122,MATCH(H642,'[1]Sector list'!$B$2:$B$122,0)),"")</f>
        <v/>
      </c>
      <c r="J642" s="172"/>
    </row>
    <row r="643" spans="9:10" x14ac:dyDescent="0.3">
      <c r="I643" t="str">
        <f>_xlfn.IFNA(INDEX('[1]Sector list'!$A$2:$A$122,MATCH(H643,'[1]Sector list'!$B$2:$B$122,0)),"")</f>
        <v/>
      </c>
      <c r="J643" s="172"/>
    </row>
    <row r="644" spans="9:10" x14ac:dyDescent="0.3">
      <c r="I644" t="str">
        <f>_xlfn.IFNA(INDEX('[1]Sector list'!$A$2:$A$122,MATCH(H644,'[1]Sector list'!$B$2:$B$122,0)),"")</f>
        <v/>
      </c>
      <c r="J644" s="172"/>
    </row>
    <row r="645" spans="9:10" x14ac:dyDescent="0.3">
      <c r="I645" t="str">
        <f>_xlfn.IFNA(INDEX('[1]Sector list'!$A$2:$A$122,MATCH(H645,'[1]Sector list'!$B$2:$B$122,0)),"")</f>
        <v/>
      </c>
      <c r="J645" s="172"/>
    </row>
    <row r="646" spans="9:10" x14ac:dyDescent="0.3">
      <c r="I646" t="str">
        <f>_xlfn.IFNA(INDEX('[1]Sector list'!$A$2:$A$122,MATCH(H646,'[1]Sector list'!$B$2:$B$122,0)),"")</f>
        <v/>
      </c>
      <c r="J646" s="172"/>
    </row>
    <row r="647" spans="9:10" x14ac:dyDescent="0.3">
      <c r="I647" t="str">
        <f>_xlfn.IFNA(INDEX('[1]Sector list'!$A$2:$A$122,MATCH(H647,'[1]Sector list'!$B$2:$B$122,0)),"")</f>
        <v/>
      </c>
      <c r="J647" s="172"/>
    </row>
    <row r="648" spans="9:10" x14ac:dyDescent="0.3">
      <c r="I648" t="str">
        <f>_xlfn.IFNA(INDEX('[1]Sector list'!$A$2:$A$122,MATCH(H648,'[1]Sector list'!$B$2:$B$122,0)),"")</f>
        <v/>
      </c>
      <c r="J648" s="172"/>
    </row>
    <row r="649" spans="9:10" x14ac:dyDescent="0.3">
      <c r="I649" t="str">
        <f>_xlfn.IFNA(INDEX('[1]Sector list'!$A$2:$A$122,MATCH(H649,'[1]Sector list'!$B$2:$B$122,0)),"")</f>
        <v/>
      </c>
      <c r="J649" s="172"/>
    </row>
    <row r="650" spans="9:10" x14ac:dyDescent="0.3">
      <c r="I650" t="str">
        <f>_xlfn.IFNA(INDEX('[1]Sector list'!$A$2:$A$122,MATCH(H650,'[1]Sector list'!$B$2:$B$122,0)),"")</f>
        <v/>
      </c>
      <c r="J650" s="172"/>
    </row>
    <row r="651" spans="9:10" x14ac:dyDescent="0.3">
      <c r="I651" t="str">
        <f>_xlfn.IFNA(INDEX('[1]Sector list'!$A$2:$A$122,MATCH(H651,'[1]Sector list'!$B$2:$B$122,0)),"")</f>
        <v/>
      </c>
      <c r="J651" s="172"/>
    </row>
    <row r="652" spans="9:10" x14ac:dyDescent="0.3">
      <c r="I652" t="str">
        <f>_xlfn.IFNA(INDEX('[1]Sector list'!$A$2:$A$122,MATCH(H652,'[1]Sector list'!$B$2:$B$122,0)),"")</f>
        <v/>
      </c>
      <c r="J652" s="172"/>
    </row>
    <row r="653" spans="9:10" x14ac:dyDescent="0.3">
      <c r="I653" t="str">
        <f>_xlfn.IFNA(INDEX('[1]Sector list'!$A$2:$A$122,MATCH(H653,'[1]Sector list'!$B$2:$B$122,0)),"")</f>
        <v/>
      </c>
      <c r="J653" s="172"/>
    </row>
    <row r="654" spans="9:10" x14ac:dyDescent="0.3">
      <c r="I654" t="str">
        <f>_xlfn.IFNA(INDEX('[1]Sector list'!$A$2:$A$122,MATCH(H654,'[1]Sector list'!$B$2:$B$122,0)),"")</f>
        <v/>
      </c>
      <c r="J654" s="172"/>
    </row>
    <row r="655" spans="9:10" x14ac:dyDescent="0.3">
      <c r="I655" t="str">
        <f>_xlfn.IFNA(INDEX('[1]Sector list'!$A$2:$A$122,MATCH(H655,'[1]Sector list'!$B$2:$B$122,0)),"")</f>
        <v/>
      </c>
      <c r="J655" s="172"/>
    </row>
    <row r="656" spans="9:10" x14ac:dyDescent="0.3">
      <c r="I656" t="str">
        <f>_xlfn.IFNA(INDEX('[1]Sector list'!$A$2:$A$122,MATCH(H656,'[1]Sector list'!$B$2:$B$122,0)),"")</f>
        <v/>
      </c>
      <c r="J656" s="172"/>
    </row>
    <row r="657" spans="9:10" x14ac:dyDescent="0.3">
      <c r="I657" t="str">
        <f>_xlfn.IFNA(INDEX('[1]Sector list'!$A$2:$A$122,MATCH(H657,'[1]Sector list'!$B$2:$B$122,0)),"")</f>
        <v/>
      </c>
      <c r="J657" s="172"/>
    </row>
    <row r="658" spans="9:10" x14ac:dyDescent="0.3">
      <c r="I658" t="str">
        <f>_xlfn.IFNA(INDEX('[1]Sector list'!$A$2:$A$122,MATCH(H658,'[1]Sector list'!$B$2:$B$122,0)),"")</f>
        <v/>
      </c>
      <c r="J658" s="172"/>
    </row>
    <row r="659" spans="9:10" x14ac:dyDescent="0.3">
      <c r="I659" t="str">
        <f>_xlfn.IFNA(INDEX('[1]Sector list'!$A$2:$A$122,MATCH(H659,'[1]Sector list'!$B$2:$B$122,0)),"")</f>
        <v/>
      </c>
      <c r="J659" s="172"/>
    </row>
    <row r="660" spans="9:10" x14ac:dyDescent="0.3">
      <c r="I660" t="str">
        <f>_xlfn.IFNA(INDEX('[1]Sector list'!$A$2:$A$122,MATCH(H660,'[1]Sector list'!$B$2:$B$122,0)),"")</f>
        <v/>
      </c>
      <c r="J660" s="172"/>
    </row>
    <row r="661" spans="9:10" x14ac:dyDescent="0.3">
      <c r="I661" t="str">
        <f>_xlfn.IFNA(INDEX('[1]Sector list'!$A$2:$A$122,MATCH(H661,'[1]Sector list'!$B$2:$B$122,0)),"")</f>
        <v/>
      </c>
      <c r="J661" s="172"/>
    </row>
    <row r="662" spans="9:10" x14ac:dyDescent="0.3">
      <c r="I662" t="str">
        <f>_xlfn.IFNA(INDEX('[1]Sector list'!$A$2:$A$122,MATCH(H662,'[1]Sector list'!$B$2:$B$122,0)),"")</f>
        <v/>
      </c>
      <c r="J662" s="172"/>
    </row>
    <row r="663" spans="9:10" x14ac:dyDescent="0.3">
      <c r="I663" t="str">
        <f>_xlfn.IFNA(INDEX('[1]Sector list'!$A$2:$A$122,MATCH(H663,'[1]Sector list'!$B$2:$B$122,0)),"")</f>
        <v/>
      </c>
      <c r="J663" s="172"/>
    </row>
    <row r="664" spans="9:10" x14ac:dyDescent="0.3">
      <c r="I664" t="str">
        <f>_xlfn.IFNA(INDEX('[1]Sector list'!$A$2:$A$122,MATCH(H664,'[1]Sector list'!$B$2:$B$122,0)),"")</f>
        <v/>
      </c>
      <c r="J664" s="172"/>
    </row>
    <row r="665" spans="9:10" x14ac:dyDescent="0.3">
      <c r="I665" t="str">
        <f>_xlfn.IFNA(INDEX('[1]Sector list'!$A$2:$A$122,MATCH(H665,'[1]Sector list'!$B$2:$B$122,0)),"")</f>
        <v/>
      </c>
      <c r="J665" s="172"/>
    </row>
    <row r="666" spans="9:10" x14ac:dyDescent="0.3">
      <c r="I666" t="str">
        <f>_xlfn.IFNA(INDEX('[1]Sector list'!$A$2:$A$122,MATCH(H666,'[1]Sector list'!$B$2:$B$122,0)),"")</f>
        <v/>
      </c>
      <c r="J666" s="172"/>
    </row>
    <row r="667" spans="9:10" x14ac:dyDescent="0.3">
      <c r="I667" t="str">
        <f>_xlfn.IFNA(INDEX('[1]Sector list'!$A$2:$A$122,MATCH(H667,'[1]Sector list'!$B$2:$B$122,0)),"")</f>
        <v/>
      </c>
      <c r="J667" s="172"/>
    </row>
    <row r="668" spans="9:10" x14ac:dyDescent="0.3">
      <c r="I668" t="str">
        <f>_xlfn.IFNA(INDEX('[1]Sector list'!$A$2:$A$122,MATCH(H668,'[1]Sector list'!$B$2:$B$122,0)),"")</f>
        <v/>
      </c>
      <c r="J668" s="172"/>
    </row>
    <row r="669" spans="9:10" x14ac:dyDescent="0.3">
      <c r="I669" t="str">
        <f>_xlfn.IFNA(INDEX('[1]Sector list'!$A$2:$A$122,MATCH(H669,'[1]Sector list'!$B$2:$B$122,0)),"")</f>
        <v/>
      </c>
      <c r="J669" s="172"/>
    </row>
    <row r="670" spans="9:10" x14ac:dyDescent="0.3">
      <c r="I670" t="str">
        <f>_xlfn.IFNA(INDEX('[1]Sector list'!$A$2:$A$122,MATCH(H670,'[1]Sector list'!$B$2:$B$122,0)),"")</f>
        <v/>
      </c>
      <c r="J670" s="172"/>
    </row>
    <row r="671" spans="9:10" x14ac:dyDescent="0.3">
      <c r="I671" t="str">
        <f>_xlfn.IFNA(INDEX('[1]Sector list'!$A$2:$A$122,MATCH(H671,'[1]Sector list'!$B$2:$B$122,0)),"")</f>
        <v/>
      </c>
      <c r="J671" s="172"/>
    </row>
    <row r="672" spans="9:10" x14ac:dyDescent="0.3">
      <c r="I672" t="str">
        <f>_xlfn.IFNA(INDEX('[1]Sector list'!$A$2:$A$122,MATCH(H672,'[1]Sector list'!$B$2:$B$122,0)),"")</f>
        <v/>
      </c>
      <c r="J672" s="172"/>
    </row>
    <row r="673" spans="9:10" x14ac:dyDescent="0.3">
      <c r="I673" t="str">
        <f>_xlfn.IFNA(INDEX('[1]Sector list'!$A$2:$A$122,MATCH(H673,'[1]Sector list'!$B$2:$B$122,0)),"")</f>
        <v/>
      </c>
      <c r="J673" s="172"/>
    </row>
    <row r="674" spans="9:10" x14ac:dyDescent="0.3">
      <c r="I674" t="str">
        <f>_xlfn.IFNA(INDEX('[1]Sector list'!$A$2:$A$122,MATCH(H674,'[1]Sector list'!$B$2:$B$122,0)),"")</f>
        <v/>
      </c>
      <c r="J674" s="172"/>
    </row>
    <row r="675" spans="9:10" x14ac:dyDescent="0.3">
      <c r="I675" t="str">
        <f>_xlfn.IFNA(INDEX('[1]Sector list'!$A$2:$A$122,MATCH(H675,'[1]Sector list'!$B$2:$B$122,0)),"")</f>
        <v/>
      </c>
      <c r="J675" s="172"/>
    </row>
    <row r="676" spans="9:10" x14ac:dyDescent="0.3">
      <c r="I676" t="str">
        <f>_xlfn.IFNA(INDEX('[1]Sector list'!$A$2:$A$122,MATCH(H676,'[1]Sector list'!$B$2:$B$122,0)),"")</f>
        <v/>
      </c>
      <c r="J676" s="172"/>
    </row>
    <row r="677" spans="9:10" x14ac:dyDescent="0.3">
      <c r="I677" t="str">
        <f>_xlfn.IFNA(INDEX('[1]Sector list'!$A$2:$A$122,MATCH(H677,'[1]Sector list'!$B$2:$B$122,0)),"")</f>
        <v/>
      </c>
      <c r="J677" s="172"/>
    </row>
    <row r="678" spans="9:10" x14ac:dyDescent="0.3">
      <c r="I678" t="str">
        <f>_xlfn.IFNA(INDEX('[1]Sector list'!$A$2:$A$122,MATCH(H678,'[1]Sector list'!$B$2:$B$122,0)),"")</f>
        <v/>
      </c>
      <c r="J678" s="172"/>
    </row>
    <row r="679" spans="9:10" x14ac:dyDescent="0.3">
      <c r="I679" t="str">
        <f>_xlfn.IFNA(INDEX('[1]Sector list'!$A$2:$A$122,MATCH(H679,'[1]Sector list'!$B$2:$B$122,0)),"")</f>
        <v/>
      </c>
      <c r="J679" s="172"/>
    </row>
    <row r="680" spans="9:10" x14ac:dyDescent="0.3">
      <c r="I680" t="str">
        <f>_xlfn.IFNA(INDEX('[1]Sector list'!$A$2:$A$122,MATCH(H680,'[1]Sector list'!$B$2:$B$122,0)),"")</f>
        <v/>
      </c>
      <c r="J680" s="172"/>
    </row>
    <row r="681" spans="9:10" x14ac:dyDescent="0.3">
      <c r="I681" t="str">
        <f>_xlfn.IFNA(INDEX('[1]Sector list'!$A$2:$A$122,MATCH(H681,'[1]Sector list'!$B$2:$B$122,0)),"")</f>
        <v/>
      </c>
      <c r="J681" s="172"/>
    </row>
    <row r="682" spans="9:10" x14ac:dyDescent="0.3">
      <c r="I682" t="str">
        <f>_xlfn.IFNA(INDEX('[1]Sector list'!$A$2:$A$122,MATCH(H682,'[1]Sector list'!$B$2:$B$122,0)),"")</f>
        <v/>
      </c>
      <c r="J682" s="172"/>
    </row>
    <row r="683" spans="9:10" x14ac:dyDescent="0.3">
      <c r="I683" t="str">
        <f>_xlfn.IFNA(INDEX('[1]Sector list'!$A$2:$A$122,MATCH(H683,'[1]Sector list'!$B$2:$B$122,0)),"")</f>
        <v/>
      </c>
      <c r="J683" s="172"/>
    </row>
    <row r="684" spans="9:10" x14ac:dyDescent="0.3">
      <c r="I684" t="str">
        <f>_xlfn.IFNA(INDEX('[1]Sector list'!$A$2:$A$122,MATCH(H684,'[1]Sector list'!$B$2:$B$122,0)),"")</f>
        <v/>
      </c>
      <c r="J684" s="172"/>
    </row>
    <row r="685" spans="9:10" x14ac:dyDescent="0.3">
      <c r="I685" t="str">
        <f>_xlfn.IFNA(INDEX('[1]Sector list'!$A$2:$A$122,MATCH(H685,'[1]Sector list'!$B$2:$B$122,0)),"")</f>
        <v/>
      </c>
      <c r="J685" s="172"/>
    </row>
    <row r="686" spans="9:10" x14ac:dyDescent="0.3">
      <c r="I686" t="str">
        <f>_xlfn.IFNA(INDEX('[1]Sector list'!$A$2:$A$122,MATCH(H686,'[1]Sector list'!$B$2:$B$122,0)),"")</f>
        <v/>
      </c>
      <c r="J686" s="172"/>
    </row>
    <row r="687" spans="9:10" x14ac:dyDescent="0.3">
      <c r="I687" t="str">
        <f>_xlfn.IFNA(INDEX('[1]Sector list'!$A$2:$A$122,MATCH(H687,'[1]Sector list'!$B$2:$B$122,0)),"")</f>
        <v/>
      </c>
      <c r="J687" s="172"/>
    </row>
    <row r="688" spans="9:10" x14ac:dyDescent="0.3">
      <c r="I688" t="str">
        <f>_xlfn.IFNA(INDEX('[1]Sector list'!$A$2:$A$122,MATCH(H688,'[1]Sector list'!$B$2:$B$122,0)),"")</f>
        <v/>
      </c>
      <c r="J688" s="172"/>
    </row>
    <row r="689" spans="9:10" x14ac:dyDescent="0.3">
      <c r="I689" t="str">
        <f>_xlfn.IFNA(INDEX('[1]Sector list'!$A$2:$A$122,MATCH(H689,'[1]Sector list'!$B$2:$B$122,0)),"")</f>
        <v/>
      </c>
      <c r="J689" s="172"/>
    </row>
    <row r="690" spans="9:10" x14ac:dyDescent="0.3">
      <c r="I690" t="str">
        <f>_xlfn.IFNA(INDEX('[1]Sector list'!$A$2:$A$122,MATCH(H690,'[1]Sector list'!$B$2:$B$122,0)),"")</f>
        <v/>
      </c>
      <c r="J690" s="172"/>
    </row>
    <row r="691" spans="9:10" x14ac:dyDescent="0.3">
      <c r="I691" t="str">
        <f>_xlfn.IFNA(INDEX('[1]Sector list'!$A$2:$A$122,MATCH(H691,'[1]Sector list'!$B$2:$B$122,0)),"")</f>
        <v/>
      </c>
      <c r="J691" s="172"/>
    </row>
    <row r="692" spans="9:10" x14ac:dyDescent="0.3">
      <c r="I692" t="str">
        <f>_xlfn.IFNA(INDEX('[1]Sector list'!$A$2:$A$122,MATCH(H692,'[1]Sector list'!$B$2:$B$122,0)),"")</f>
        <v/>
      </c>
      <c r="J692" s="172"/>
    </row>
    <row r="693" spans="9:10" x14ac:dyDescent="0.3">
      <c r="I693" t="str">
        <f>_xlfn.IFNA(INDEX('[1]Sector list'!$A$2:$A$122,MATCH(H693,'[1]Sector list'!$B$2:$B$122,0)),"")</f>
        <v/>
      </c>
      <c r="J693" s="172"/>
    </row>
    <row r="694" spans="9:10" x14ac:dyDescent="0.3">
      <c r="I694" t="str">
        <f>_xlfn.IFNA(INDEX('[1]Sector list'!$A$2:$A$122,MATCH(H694,'[1]Sector list'!$B$2:$B$122,0)),"")</f>
        <v/>
      </c>
      <c r="J694" s="172"/>
    </row>
    <row r="695" spans="9:10" x14ac:dyDescent="0.3">
      <c r="I695" t="str">
        <f>_xlfn.IFNA(INDEX('[1]Sector list'!$A$2:$A$122,MATCH(H695,'[1]Sector list'!$B$2:$B$122,0)),"")</f>
        <v/>
      </c>
      <c r="J695" s="172"/>
    </row>
    <row r="696" spans="9:10" x14ac:dyDescent="0.3">
      <c r="I696" t="str">
        <f>_xlfn.IFNA(INDEX('[1]Sector list'!$A$2:$A$122,MATCH(H696,'[1]Sector list'!$B$2:$B$122,0)),"")</f>
        <v/>
      </c>
      <c r="J696" s="172"/>
    </row>
    <row r="697" spans="9:10" x14ac:dyDescent="0.3">
      <c r="I697" t="str">
        <f>_xlfn.IFNA(INDEX('[1]Sector list'!$A$2:$A$122,MATCH(H697,'[1]Sector list'!$B$2:$B$122,0)),"")</f>
        <v/>
      </c>
      <c r="J697" s="172"/>
    </row>
    <row r="698" spans="9:10" x14ac:dyDescent="0.3">
      <c r="I698" t="str">
        <f>_xlfn.IFNA(INDEX('[1]Sector list'!$A$2:$A$122,MATCH(H698,'[1]Sector list'!$B$2:$B$122,0)),"")</f>
        <v/>
      </c>
      <c r="J698" s="172"/>
    </row>
    <row r="699" spans="9:10" x14ac:dyDescent="0.3">
      <c r="I699" t="str">
        <f>_xlfn.IFNA(INDEX('[1]Sector list'!$A$2:$A$122,MATCH(H699,'[1]Sector list'!$B$2:$B$122,0)),"")</f>
        <v/>
      </c>
      <c r="J699" s="172"/>
    </row>
    <row r="700" spans="9:10" x14ac:dyDescent="0.3">
      <c r="I700" t="str">
        <f>_xlfn.IFNA(INDEX('[1]Sector list'!$A$2:$A$122,MATCH(H700,'[1]Sector list'!$B$2:$B$122,0)),"")</f>
        <v/>
      </c>
      <c r="J700" s="172"/>
    </row>
    <row r="701" spans="9:10" x14ac:dyDescent="0.3">
      <c r="I701" t="str">
        <f>_xlfn.IFNA(INDEX('[1]Sector list'!$A$2:$A$122,MATCH(H701,'[1]Sector list'!$B$2:$B$122,0)),"")</f>
        <v/>
      </c>
      <c r="J701" s="172"/>
    </row>
    <row r="702" spans="9:10" x14ac:dyDescent="0.3">
      <c r="I702" t="str">
        <f>_xlfn.IFNA(INDEX('[1]Sector list'!$A$2:$A$122,MATCH(H702,'[1]Sector list'!$B$2:$B$122,0)),"")</f>
        <v/>
      </c>
      <c r="J702" s="172"/>
    </row>
    <row r="703" spans="9:10" x14ac:dyDescent="0.3">
      <c r="I703" t="str">
        <f>_xlfn.IFNA(INDEX('[1]Sector list'!$A$2:$A$122,MATCH(H703,'[1]Sector list'!$B$2:$B$122,0)),"")</f>
        <v/>
      </c>
      <c r="J703" s="172"/>
    </row>
    <row r="704" spans="9:10" x14ac:dyDescent="0.3">
      <c r="I704" t="str">
        <f>_xlfn.IFNA(INDEX('[1]Sector list'!$A$2:$A$122,MATCH(H704,'[1]Sector list'!$B$2:$B$122,0)),"")</f>
        <v/>
      </c>
      <c r="J704" s="172"/>
    </row>
    <row r="705" spans="9:10" x14ac:dyDescent="0.3">
      <c r="I705" t="str">
        <f>_xlfn.IFNA(INDEX('[1]Sector list'!$A$2:$A$122,MATCH(H705,'[1]Sector list'!$B$2:$B$122,0)),"")</f>
        <v/>
      </c>
      <c r="J705" s="172"/>
    </row>
    <row r="706" spans="9:10" x14ac:dyDescent="0.3">
      <c r="I706" t="str">
        <f>_xlfn.IFNA(INDEX('[1]Sector list'!$A$2:$A$122,MATCH(H706,'[1]Sector list'!$B$2:$B$122,0)),"")</f>
        <v/>
      </c>
      <c r="J706" s="172"/>
    </row>
    <row r="707" spans="9:10" x14ac:dyDescent="0.3">
      <c r="I707" t="str">
        <f>_xlfn.IFNA(INDEX('[1]Sector list'!$A$2:$A$122,MATCH(H707,'[1]Sector list'!$B$2:$B$122,0)),"")</f>
        <v/>
      </c>
      <c r="J707" s="172"/>
    </row>
    <row r="708" spans="9:10" x14ac:dyDescent="0.3">
      <c r="I708" t="str">
        <f>_xlfn.IFNA(INDEX('[1]Sector list'!$A$2:$A$122,MATCH(H708,'[1]Sector list'!$B$2:$B$122,0)),"")</f>
        <v/>
      </c>
      <c r="J708" s="172"/>
    </row>
    <row r="709" spans="9:10" x14ac:dyDescent="0.3">
      <c r="I709" t="str">
        <f>_xlfn.IFNA(INDEX('[1]Sector list'!$A$2:$A$122,MATCH(H709,'[1]Sector list'!$B$2:$B$122,0)),"")</f>
        <v/>
      </c>
      <c r="J709" s="172"/>
    </row>
    <row r="710" spans="9:10" x14ac:dyDescent="0.3">
      <c r="I710" t="str">
        <f>_xlfn.IFNA(INDEX('[1]Sector list'!$A$2:$A$122,MATCH(H710,'[1]Sector list'!$B$2:$B$122,0)),"")</f>
        <v/>
      </c>
      <c r="J710" s="172"/>
    </row>
    <row r="711" spans="9:10" x14ac:dyDescent="0.3">
      <c r="I711" t="str">
        <f>_xlfn.IFNA(INDEX('[1]Sector list'!$A$2:$A$122,MATCH(H711,'[1]Sector list'!$B$2:$B$122,0)),"")</f>
        <v/>
      </c>
      <c r="J711" s="172"/>
    </row>
    <row r="712" spans="9:10" x14ac:dyDescent="0.3">
      <c r="I712" t="str">
        <f>_xlfn.IFNA(INDEX('[1]Sector list'!$A$2:$A$122,MATCH(H712,'[1]Sector list'!$B$2:$B$122,0)),"")</f>
        <v/>
      </c>
      <c r="J712" s="172"/>
    </row>
    <row r="713" spans="9:10" x14ac:dyDescent="0.3">
      <c r="I713" t="str">
        <f>_xlfn.IFNA(INDEX('[1]Sector list'!$A$2:$A$122,MATCH(H713,'[1]Sector list'!$B$2:$B$122,0)),"")</f>
        <v/>
      </c>
      <c r="J713" s="172"/>
    </row>
    <row r="714" spans="9:10" x14ac:dyDescent="0.3">
      <c r="I714" t="str">
        <f>_xlfn.IFNA(INDEX('[1]Sector list'!$A$2:$A$122,MATCH(H714,'[1]Sector list'!$B$2:$B$122,0)),"")</f>
        <v/>
      </c>
      <c r="J714" s="172"/>
    </row>
    <row r="715" spans="9:10" x14ac:dyDescent="0.3">
      <c r="I715" t="str">
        <f>_xlfn.IFNA(INDEX('[1]Sector list'!$A$2:$A$122,MATCH(H715,'[1]Sector list'!$B$2:$B$122,0)),"")</f>
        <v/>
      </c>
      <c r="J715" s="172"/>
    </row>
    <row r="716" spans="9:10" x14ac:dyDescent="0.3">
      <c r="I716" t="str">
        <f>_xlfn.IFNA(INDEX('[1]Sector list'!$A$2:$A$122,MATCH(H716,'[1]Sector list'!$B$2:$B$122,0)),"")</f>
        <v/>
      </c>
      <c r="J716" s="172"/>
    </row>
    <row r="717" spans="9:10" x14ac:dyDescent="0.3">
      <c r="I717" t="str">
        <f>_xlfn.IFNA(INDEX('[1]Sector list'!$A$2:$A$122,MATCH(H717,'[1]Sector list'!$B$2:$B$122,0)),"")</f>
        <v/>
      </c>
      <c r="J717" s="172"/>
    </row>
    <row r="718" spans="9:10" x14ac:dyDescent="0.3">
      <c r="I718" t="str">
        <f>_xlfn.IFNA(INDEX('[1]Sector list'!$A$2:$A$122,MATCH(H718,'[1]Sector list'!$B$2:$B$122,0)),"")</f>
        <v/>
      </c>
      <c r="J718" s="172"/>
    </row>
    <row r="719" spans="9:10" x14ac:dyDescent="0.3">
      <c r="I719" t="str">
        <f>_xlfn.IFNA(INDEX('[1]Sector list'!$A$2:$A$122,MATCH(H719,'[1]Sector list'!$B$2:$B$122,0)),"")</f>
        <v/>
      </c>
      <c r="J719" s="172"/>
    </row>
    <row r="720" spans="9:10" x14ac:dyDescent="0.3">
      <c r="I720" t="str">
        <f>_xlfn.IFNA(INDEX('[1]Sector list'!$A$2:$A$122,MATCH(H720,'[1]Sector list'!$B$2:$B$122,0)),"")</f>
        <v/>
      </c>
      <c r="J720" s="172"/>
    </row>
    <row r="721" spans="9:10" x14ac:dyDescent="0.3">
      <c r="I721" t="str">
        <f>_xlfn.IFNA(INDEX('[1]Sector list'!$A$2:$A$122,MATCH(H721,'[1]Sector list'!$B$2:$B$122,0)),"")</f>
        <v/>
      </c>
      <c r="J721" s="172"/>
    </row>
    <row r="722" spans="9:10" x14ac:dyDescent="0.3">
      <c r="I722" t="str">
        <f>_xlfn.IFNA(INDEX('[1]Sector list'!$A$2:$A$122,MATCH(H722,'[1]Sector list'!$B$2:$B$122,0)),"")</f>
        <v/>
      </c>
      <c r="J722" s="172"/>
    </row>
    <row r="723" spans="9:10" x14ac:dyDescent="0.3">
      <c r="I723" t="str">
        <f>_xlfn.IFNA(INDEX('[1]Sector list'!$A$2:$A$122,MATCH(H723,'[1]Sector list'!$B$2:$B$122,0)),"")</f>
        <v/>
      </c>
      <c r="J723" s="172"/>
    </row>
    <row r="724" spans="9:10" x14ac:dyDescent="0.3">
      <c r="I724" t="str">
        <f>_xlfn.IFNA(INDEX('[1]Sector list'!$A$2:$A$122,MATCH(H724,'[1]Sector list'!$B$2:$B$122,0)),"")</f>
        <v/>
      </c>
      <c r="J724" s="172"/>
    </row>
    <row r="725" spans="9:10" x14ac:dyDescent="0.3">
      <c r="I725" t="str">
        <f>_xlfn.IFNA(INDEX('[1]Sector list'!$A$2:$A$122,MATCH(H725,'[1]Sector list'!$B$2:$B$122,0)),"")</f>
        <v/>
      </c>
      <c r="J725" s="172"/>
    </row>
    <row r="726" spans="9:10" x14ac:dyDescent="0.3">
      <c r="I726" t="str">
        <f>_xlfn.IFNA(INDEX('[1]Sector list'!$A$2:$A$122,MATCH(H726,'[1]Sector list'!$B$2:$B$122,0)),"")</f>
        <v/>
      </c>
      <c r="J726" s="172"/>
    </row>
    <row r="727" spans="9:10" x14ac:dyDescent="0.3">
      <c r="I727" t="str">
        <f>_xlfn.IFNA(INDEX('[1]Sector list'!$A$2:$A$122,MATCH(H727,'[1]Sector list'!$B$2:$B$122,0)),"")</f>
        <v/>
      </c>
      <c r="J727" s="172"/>
    </row>
    <row r="728" spans="9:10" x14ac:dyDescent="0.3">
      <c r="I728" t="str">
        <f>_xlfn.IFNA(INDEX('[1]Sector list'!$A$2:$A$122,MATCH(H728,'[1]Sector list'!$B$2:$B$122,0)),"")</f>
        <v/>
      </c>
      <c r="J728" s="172"/>
    </row>
    <row r="729" spans="9:10" x14ac:dyDescent="0.3">
      <c r="I729" t="str">
        <f>_xlfn.IFNA(INDEX('[1]Sector list'!$A$2:$A$122,MATCH(H729,'[1]Sector list'!$B$2:$B$122,0)),"")</f>
        <v/>
      </c>
      <c r="J729" s="172"/>
    </row>
    <row r="730" spans="9:10" x14ac:dyDescent="0.3">
      <c r="I730" t="str">
        <f>_xlfn.IFNA(INDEX('[1]Sector list'!$A$2:$A$122,MATCH(H730,'[1]Sector list'!$B$2:$B$122,0)),"")</f>
        <v/>
      </c>
      <c r="J730" s="172"/>
    </row>
    <row r="731" spans="9:10" x14ac:dyDescent="0.3">
      <c r="I731" t="str">
        <f>_xlfn.IFNA(INDEX('[1]Sector list'!$A$2:$A$122,MATCH(H731,'[1]Sector list'!$B$2:$B$122,0)),"")</f>
        <v/>
      </c>
      <c r="J731" s="172"/>
    </row>
    <row r="732" spans="9:10" x14ac:dyDescent="0.3">
      <c r="I732" t="str">
        <f>_xlfn.IFNA(INDEX('[1]Sector list'!$A$2:$A$122,MATCH(H732,'[1]Sector list'!$B$2:$B$122,0)),"")</f>
        <v/>
      </c>
      <c r="J732" s="172"/>
    </row>
    <row r="733" spans="9:10" x14ac:dyDescent="0.3">
      <c r="I733" t="str">
        <f>_xlfn.IFNA(INDEX('[1]Sector list'!$A$2:$A$122,MATCH(H733,'[1]Sector list'!$B$2:$B$122,0)),"")</f>
        <v/>
      </c>
      <c r="J733" s="172"/>
    </row>
    <row r="734" spans="9:10" x14ac:dyDescent="0.3">
      <c r="I734" t="str">
        <f>_xlfn.IFNA(INDEX('[1]Sector list'!$A$2:$A$122,MATCH(H734,'[1]Sector list'!$B$2:$B$122,0)),"")</f>
        <v/>
      </c>
      <c r="J734" s="172"/>
    </row>
    <row r="735" spans="9:10" x14ac:dyDescent="0.3">
      <c r="I735" t="str">
        <f>_xlfn.IFNA(INDEX('[1]Sector list'!$A$2:$A$122,MATCH(H735,'[1]Sector list'!$B$2:$B$122,0)),"")</f>
        <v/>
      </c>
      <c r="J735" s="172"/>
    </row>
    <row r="736" spans="9:10" x14ac:dyDescent="0.3">
      <c r="I736" t="str">
        <f>_xlfn.IFNA(INDEX('[1]Sector list'!$A$2:$A$122,MATCH(H736,'[1]Sector list'!$B$2:$B$122,0)),"")</f>
        <v/>
      </c>
      <c r="J736" s="172"/>
    </row>
    <row r="737" spans="9:10" x14ac:dyDescent="0.3">
      <c r="I737" t="str">
        <f>_xlfn.IFNA(INDEX('[1]Sector list'!$A$2:$A$122,MATCH(H737,'[1]Sector list'!$B$2:$B$122,0)),"")</f>
        <v/>
      </c>
      <c r="J737" s="172"/>
    </row>
    <row r="738" spans="9:10" x14ac:dyDescent="0.3">
      <c r="I738" t="str">
        <f>_xlfn.IFNA(INDEX('[1]Sector list'!$A$2:$A$122,MATCH(H738,'[1]Sector list'!$B$2:$B$122,0)),"")</f>
        <v/>
      </c>
      <c r="J738" s="172"/>
    </row>
    <row r="739" spans="9:10" x14ac:dyDescent="0.3">
      <c r="I739" t="str">
        <f>_xlfn.IFNA(INDEX('[1]Sector list'!$A$2:$A$122,MATCH(H739,'[1]Sector list'!$B$2:$B$122,0)),"")</f>
        <v/>
      </c>
      <c r="J739" s="172"/>
    </row>
    <row r="740" spans="9:10" x14ac:dyDescent="0.3">
      <c r="I740" t="str">
        <f>_xlfn.IFNA(INDEX('[1]Sector list'!$A$2:$A$122,MATCH(H740,'[1]Sector list'!$B$2:$B$122,0)),"")</f>
        <v/>
      </c>
      <c r="J740" s="172"/>
    </row>
    <row r="741" spans="9:10" x14ac:dyDescent="0.3">
      <c r="I741" t="str">
        <f>_xlfn.IFNA(INDEX('[1]Sector list'!$A$2:$A$122,MATCH(H741,'[1]Sector list'!$B$2:$B$122,0)),"")</f>
        <v/>
      </c>
      <c r="J741" s="172"/>
    </row>
    <row r="742" spans="9:10" x14ac:dyDescent="0.3">
      <c r="I742" t="str">
        <f>_xlfn.IFNA(INDEX('[1]Sector list'!$A$2:$A$122,MATCH(H742,'[1]Sector list'!$B$2:$B$122,0)),"")</f>
        <v/>
      </c>
      <c r="J742" s="172"/>
    </row>
    <row r="743" spans="9:10" x14ac:dyDescent="0.3">
      <c r="I743" t="str">
        <f>_xlfn.IFNA(INDEX('[1]Sector list'!$A$2:$A$122,MATCH(H743,'[1]Sector list'!$B$2:$B$122,0)),"")</f>
        <v/>
      </c>
      <c r="J743" s="172"/>
    </row>
    <row r="744" spans="9:10" x14ac:dyDescent="0.3">
      <c r="I744" t="str">
        <f>_xlfn.IFNA(INDEX('[1]Sector list'!$A$2:$A$122,MATCH(H744,'[1]Sector list'!$B$2:$B$122,0)),"")</f>
        <v/>
      </c>
      <c r="J744" s="172"/>
    </row>
    <row r="745" spans="9:10" x14ac:dyDescent="0.3">
      <c r="I745" t="str">
        <f>_xlfn.IFNA(INDEX('[1]Sector list'!$A$2:$A$122,MATCH(H745,'[1]Sector list'!$B$2:$B$122,0)),"")</f>
        <v/>
      </c>
      <c r="J745" s="172"/>
    </row>
    <row r="746" spans="9:10" x14ac:dyDescent="0.3">
      <c r="I746" t="str">
        <f>_xlfn.IFNA(INDEX('[1]Sector list'!$A$2:$A$122,MATCH(H746,'[1]Sector list'!$B$2:$B$122,0)),"")</f>
        <v/>
      </c>
      <c r="J746" s="172"/>
    </row>
    <row r="747" spans="9:10" x14ac:dyDescent="0.3">
      <c r="I747" t="str">
        <f>_xlfn.IFNA(INDEX('[1]Sector list'!$A$2:$A$122,MATCH(H747,'[1]Sector list'!$B$2:$B$122,0)),"")</f>
        <v/>
      </c>
      <c r="J747" s="172"/>
    </row>
    <row r="748" spans="9:10" x14ac:dyDescent="0.3">
      <c r="I748" t="str">
        <f>_xlfn.IFNA(INDEX('[1]Sector list'!$A$2:$A$122,MATCH(H748,'[1]Sector list'!$B$2:$B$122,0)),"")</f>
        <v/>
      </c>
      <c r="J748" s="172"/>
    </row>
    <row r="749" spans="9:10" x14ac:dyDescent="0.3">
      <c r="I749" t="str">
        <f>_xlfn.IFNA(INDEX('[1]Sector list'!$A$2:$A$122,MATCH(H749,'[1]Sector list'!$B$2:$B$122,0)),"")</f>
        <v/>
      </c>
      <c r="J749" s="172"/>
    </row>
    <row r="750" spans="9:10" x14ac:dyDescent="0.3">
      <c r="I750" t="str">
        <f>_xlfn.IFNA(INDEX('[1]Sector list'!$A$2:$A$122,MATCH(H750,'[1]Sector list'!$B$2:$B$122,0)),"")</f>
        <v/>
      </c>
      <c r="J750" s="172"/>
    </row>
    <row r="751" spans="9:10" x14ac:dyDescent="0.3">
      <c r="I751" t="str">
        <f>_xlfn.IFNA(INDEX('[1]Sector list'!$A$2:$A$122,MATCH(H751,'[1]Sector list'!$B$2:$B$122,0)),"")</f>
        <v/>
      </c>
      <c r="J751" s="172"/>
    </row>
    <row r="752" spans="9:10" x14ac:dyDescent="0.3">
      <c r="I752" t="str">
        <f>_xlfn.IFNA(INDEX('[1]Sector list'!$A$2:$A$122,MATCH(H752,'[1]Sector list'!$B$2:$B$122,0)),"")</f>
        <v/>
      </c>
      <c r="J752" s="172"/>
    </row>
    <row r="753" spans="9:10" x14ac:dyDescent="0.3">
      <c r="I753" t="str">
        <f>_xlfn.IFNA(INDEX('[1]Sector list'!$A$2:$A$122,MATCH(H753,'[1]Sector list'!$B$2:$B$122,0)),"")</f>
        <v/>
      </c>
      <c r="J753" s="172"/>
    </row>
    <row r="754" spans="9:10" x14ac:dyDescent="0.3">
      <c r="I754" t="str">
        <f>_xlfn.IFNA(INDEX('[1]Sector list'!$A$2:$A$122,MATCH(H754,'[1]Sector list'!$B$2:$B$122,0)),"")</f>
        <v/>
      </c>
      <c r="J754" s="172"/>
    </row>
    <row r="755" spans="9:10" x14ac:dyDescent="0.3">
      <c r="I755" t="str">
        <f>_xlfn.IFNA(INDEX('[1]Sector list'!$A$2:$A$122,MATCH(H755,'[1]Sector list'!$B$2:$B$122,0)),"")</f>
        <v/>
      </c>
      <c r="J755" s="172"/>
    </row>
    <row r="756" spans="9:10" x14ac:dyDescent="0.3">
      <c r="I756" t="str">
        <f>_xlfn.IFNA(INDEX('[1]Sector list'!$A$2:$A$122,MATCH(H756,'[1]Sector list'!$B$2:$B$122,0)),"")</f>
        <v/>
      </c>
      <c r="J756" s="172"/>
    </row>
    <row r="757" spans="9:10" x14ac:dyDescent="0.3">
      <c r="I757" t="str">
        <f>_xlfn.IFNA(INDEX('[1]Sector list'!$A$2:$A$122,MATCH(H757,'[1]Sector list'!$B$2:$B$122,0)),"")</f>
        <v/>
      </c>
      <c r="J757" s="172"/>
    </row>
    <row r="758" spans="9:10" x14ac:dyDescent="0.3">
      <c r="I758" t="str">
        <f>_xlfn.IFNA(INDEX('[1]Sector list'!$A$2:$A$122,MATCH(H758,'[1]Sector list'!$B$2:$B$122,0)),"")</f>
        <v/>
      </c>
      <c r="J758" s="172"/>
    </row>
    <row r="759" spans="9:10" x14ac:dyDescent="0.3">
      <c r="I759" t="str">
        <f>_xlfn.IFNA(INDEX('[1]Sector list'!$A$2:$A$122,MATCH(H759,'[1]Sector list'!$B$2:$B$122,0)),"")</f>
        <v/>
      </c>
      <c r="J759" s="172"/>
    </row>
    <row r="760" spans="9:10" x14ac:dyDescent="0.3">
      <c r="I760" t="str">
        <f>_xlfn.IFNA(INDEX('[1]Sector list'!$A$2:$A$122,MATCH(H760,'[1]Sector list'!$B$2:$B$122,0)),"")</f>
        <v/>
      </c>
      <c r="J760" s="172"/>
    </row>
    <row r="761" spans="9:10" x14ac:dyDescent="0.3">
      <c r="I761" t="str">
        <f>_xlfn.IFNA(INDEX('[1]Sector list'!$A$2:$A$122,MATCH(H761,'[1]Sector list'!$B$2:$B$122,0)),"")</f>
        <v/>
      </c>
      <c r="J761" s="172"/>
    </row>
    <row r="762" spans="9:10" x14ac:dyDescent="0.3">
      <c r="I762" t="str">
        <f>_xlfn.IFNA(INDEX('[1]Sector list'!$A$2:$A$122,MATCH(H762,'[1]Sector list'!$B$2:$B$122,0)),"")</f>
        <v/>
      </c>
      <c r="J762" s="172"/>
    </row>
    <row r="763" spans="9:10" x14ac:dyDescent="0.3">
      <c r="I763" t="str">
        <f>_xlfn.IFNA(INDEX('[1]Sector list'!$A$2:$A$122,MATCH(H763,'[1]Sector list'!$B$2:$B$122,0)),"")</f>
        <v/>
      </c>
      <c r="J763" s="172"/>
    </row>
    <row r="764" spans="9:10" x14ac:dyDescent="0.3">
      <c r="I764" t="str">
        <f>_xlfn.IFNA(INDEX('[1]Sector list'!$A$2:$A$122,MATCH(H764,'[1]Sector list'!$B$2:$B$122,0)),"")</f>
        <v/>
      </c>
      <c r="J764" s="172"/>
    </row>
    <row r="765" spans="9:10" x14ac:dyDescent="0.3">
      <c r="I765" t="str">
        <f>_xlfn.IFNA(INDEX('[1]Sector list'!$A$2:$A$122,MATCH(H765,'[1]Sector list'!$B$2:$B$122,0)),"")</f>
        <v/>
      </c>
      <c r="J765" s="172"/>
    </row>
    <row r="766" spans="9:10" x14ac:dyDescent="0.3">
      <c r="I766" t="str">
        <f>_xlfn.IFNA(INDEX('[1]Sector list'!$A$2:$A$122,MATCH(H766,'[1]Sector list'!$B$2:$B$122,0)),"")</f>
        <v/>
      </c>
      <c r="J766" s="172"/>
    </row>
    <row r="767" spans="9:10" x14ac:dyDescent="0.3">
      <c r="I767" t="str">
        <f>_xlfn.IFNA(INDEX('[1]Sector list'!$A$2:$A$122,MATCH(H767,'[1]Sector list'!$B$2:$B$122,0)),"")</f>
        <v/>
      </c>
      <c r="J767" s="172"/>
    </row>
    <row r="768" spans="9:10" x14ac:dyDescent="0.3">
      <c r="I768" t="str">
        <f>_xlfn.IFNA(INDEX('[1]Sector list'!$A$2:$A$122,MATCH(H768,'[1]Sector list'!$B$2:$B$122,0)),"")</f>
        <v/>
      </c>
      <c r="J768" s="172"/>
    </row>
    <row r="769" spans="9:10" x14ac:dyDescent="0.3">
      <c r="I769" t="str">
        <f>_xlfn.IFNA(INDEX('[1]Sector list'!$A$2:$A$122,MATCH(H769,'[1]Sector list'!$B$2:$B$122,0)),"")</f>
        <v/>
      </c>
      <c r="J769" s="172"/>
    </row>
    <row r="770" spans="9:10" x14ac:dyDescent="0.3">
      <c r="I770" t="str">
        <f>_xlfn.IFNA(INDEX('[1]Sector list'!$A$2:$A$122,MATCH(H770,'[1]Sector list'!$B$2:$B$122,0)),"")</f>
        <v/>
      </c>
      <c r="J770" s="172"/>
    </row>
    <row r="771" spans="9:10" x14ac:dyDescent="0.3">
      <c r="I771" t="str">
        <f>_xlfn.IFNA(INDEX('[1]Sector list'!$A$2:$A$122,MATCH(H771,'[1]Sector list'!$B$2:$B$122,0)),"")</f>
        <v/>
      </c>
      <c r="J771" s="172"/>
    </row>
    <row r="772" spans="9:10" x14ac:dyDescent="0.3">
      <c r="I772" t="str">
        <f>_xlfn.IFNA(INDEX('[1]Sector list'!$A$2:$A$122,MATCH(H772,'[1]Sector list'!$B$2:$B$122,0)),"")</f>
        <v/>
      </c>
      <c r="J772" s="172"/>
    </row>
    <row r="773" spans="9:10" x14ac:dyDescent="0.3">
      <c r="I773" t="str">
        <f>_xlfn.IFNA(INDEX('[1]Sector list'!$A$2:$A$122,MATCH(H773,'[1]Sector list'!$B$2:$B$122,0)),"")</f>
        <v/>
      </c>
      <c r="J773" s="172"/>
    </row>
    <row r="774" spans="9:10" x14ac:dyDescent="0.3">
      <c r="I774" t="str">
        <f>_xlfn.IFNA(INDEX('[1]Sector list'!$A$2:$A$122,MATCH(H774,'[1]Sector list'!$B$2:$B$122,0)),"")</f>
        <v/>
      </c>
      <c r="J774" s="172"/>
    </row>
    <row r="775" spans="9:10" x14ac:dyDescent="0.3">
      <c r="I775" t="str">
        <f>_xlfn.IFNA(INDEX('[1]Sector list'!$A$2:$A$122,MATCH(H775,'[1]Sector list'!$B$2:$B$122,0)),"")</f>
        <v/>
      </c>
      <c r="J775" s="172"/>
    </row>
    <row r="776" spans="9:10" x14ac:dyDescent="0.3">
      <c r="I776" t="str">
        <f>_xlfn.IFNA(INDEX('[1]Sector list'!$A$2:$A$122,MATCH(H776,'[1]Sector list'!$B$2:$B$122,0)),"")</f>
        <v/>
      </c>
      <c r="J776" s="172"/>
    </row>
    <row r="777" spans="9:10" x14ac:dyDescent="0.3">
      <c r="I777" t="str">
        <f>_xlfn.IFNA(INDEX('[1]Sector list'!$A$2:$A$122,MATCH(H777,'[1]Sector list'!$B$2:$B$122,0)),"")</f>
        <v/>
      </c>
      <c r="J777" s="172"/>
    </row>
    <row r="778" spans="9:10" x14ac:dyDescent="0.3">
      <c r="I778" t="str">
        <f>_xlfn.IFNA(INDEX('[1]Sector list'!$A$2:$A$122,MATCH(H778,'[1]Sector list'!$B$2:$B$122,0)),"")</f>
        <v/>
      </c>
      <c r="J778" s="172"/>
    </row>
    <row r="779" spans="9:10" x14ac:dyDescent="0.3">
      <c r="I779" t="str">
        <f>_xlfn.IFNA(INDEX('[1]Sector list'!$A$2:$A$122,MATCH(H779,'[1]Sector list'!$B$2:$B$122,0)),"")</f>
        <v/>
      </c>
      <c r="J779" s="172"/>
    </row>
    <row r="780" spans="9:10" x14ac:dyDescent="0.3">
      <c r="I780" t="str">
        <f>_xlfn.IFNA(INDEX('[1]Sector list'!$A$2:$A$122,MATCH(H780,'[1]Sector list'!$B$2:$B$122,0)),"")</f>
        <v/>
      </c>
      <c r="J780" s="172"/>
    </row>
    <row r="781" spans="9:10" x14ac:dyDescent="0.3">
      <c r="I781" t="str">
        <f>_xlfn.IFNA(INDEX('[1]Sector list'!$A$2:$A$122,MATCH(H781,'[1]Sector list'!$B$2:$B$122,0)),"")</f>
        <v/>
      </c>
      <c r="J781" s="172"/>
    </row>
    <row r="782" spans="9:10" x14ac:dyDescent="0.3">
      <c r="I782" t="str">
        <f>_xlfn.IFNA(INDEX('[1]Sector list'!$A$2:$A$122,MATCH(H782,'[1]Sector list'!$B$2:$B$122,0)),"")</f>
        <v/>
      </c>
      <c r="J782" s="172"/>
    </row>
    <row r="783" spans="9:10" x14ac:dyDescent="0.3">
      <c r="I783" t="str">
        <f>_xlfn.IFNA(INDEX('[1]Sector list'!$A$2:$A$122,MATCH(H783,'[1]Sector list'!$B$2:$B$122,0)),"")</f>
        <v/>
      </c>
      <c r="J783" s="172"/>
    </row>
    <row r="784" spans="9:10" x14ac:dyDescent="0.3">
      <c r="I784" t="str">
        <f>_xlfn.IFNA(INDEX('[1]Sector list'!$A$2:$A$122,MATCH(H784,'[1]Sector list'!$B$2:$B$122,0)),"")</f>
        <v/>
      </c>
      <c r="J784" s="172"/>
    </row>
    <row r="785" spans="9:10" x14ac:dyDescent="0.3">
      <c r="I785" t="str">
        <f>_xlfn.IFNA(INDEX('[1]Sector list'!$A$2:$A$122,MATCH(H785,'[1]Sector list'!$B$2:$B$122,0)),"")</f>
        <v/>
      </c>
      <c r="J785" s="172"/>
    </row>
    <row r="786" spans="9:10" x14ac:dyDescent="0.3">
      <c r="I786" t="str">
        <f>_xlfn.IFNA(INDEX('[1]Sector list'!$A$2:$A$122,MATCH(H786,'[1]Sector list'!$B$2:$B$122,0)),"")</f>
        <v/>
      </c>
      <c r="J786" s="172"/>
    </row>
    <row r="787" spans="9:10" x14ac:dyDescent="0.3">
      <c r="I787" t="str">
        <f>_xlfn.IFNA(INDEX('[1]Sector list'!$A$2:$A$122,MATCH(H787,'[1]Sector list'!$B$2:$B$122,0)),"")</f>
        <v/>
      </c>
      <c r="J787" s="172"/>
    </row>
    <row r="788" spans="9:10" x14ac:dyDescent="0.3">
      <c r="I788" t="str">
        <f>_xlfn.IFNA(INDEX('[1]Sector list'!$A$2:$A$122,MATCH(H788,'[1]Sector list'!$B$2:$B$122,0)),"")</f>
        <v/>
      </c>
      <c r="J788" s="172"/>
    </row>
    <row r="789" spans="9:10" x14ac:dyDescent="0.3">
      <c r="I789" t="str">
        <f>_xlfn.IFNA(INDEX('[1]Sector list'!$A$2:$A$122,MATCH(H789,'[1]Sector list'!$B$2:$B$122,0)),"")</f>
        <v/>
      </c>
      <c r="J789" s="172"/>
    </row>
    <row r="790" spans="9:10" x14ac:dyDescent="0.3">
      <c r="I790" t="str">
        <f>_xlfn.IFNA(INDEX('[1]Sector list'!$A$2:$A$122,MATCH(H790,'[1]Sector list'!$B$2:$B$122,0)),"")</f>
        <v/>
      </c>
      <c r="J790" s="172"/>
    </row>
    <row r="791" spans="9:10" x14ac:dyDescent="0.3">
      <c r="I791" t="str">
        <f>_xlfn.IFNA(INDEX('[1]Sector list'!$A$2:$A$122,MATCH(H791,'[1]Sector list'!$B$2:$B$122,0)),"")</f>
        <v/>
      </c>
      <c r="J791" s="172"/>
    </row>
    <row r="792" spans="9:10" x14ac:dyDescent="0.3">
      <c r="I792" t="str">
        <f>_xlfn.IFNA(INDEX('[1]Sector list'!$A$2:$A$122,MATCH(H792,'[1]Sector list'!$B$2:$B$122,0)),"")</f>
        <v/>
      </c>
      <c r="J792" s="172"/>
    </row>
    <row r="793" spans="9:10" x14ac:dyDescent="0.3">
      <c r="I793" t="str">
        <f>_xlfn.IFNA(INDEX('[1]Sector list'!$A$2:$A$122,MATCH(H793,'[1]Sector list'!$B$2:$B$122,0)),"")</f>
        <v/>
      </c>
      <c r="J793" s="172"/>
    </row>
    <row r="794" spans="9:10" x14ac:dyDescent="0.3">
      <c r="I794" t="str">
        <f>_xlfn.IFNA(INDEX('[1]Sector list'!$A$2:$A$122,MATCH(H794,'[1]Sector list'!$B$2:$B$122,0)),"")</f>
        <v/>
      </c>
      <c r="J794" s="172"/>
    </row>
    <row r="795" spans="9:10" x14ac:dyDescent="0.3">
      <c r="I795" t="str">
        <f>_xlfn.IFNA(INDEX('[1]Sector list'!$A$2:$A$122,MATCH(H795,'[1]Sector list'!$B$2:$B$122,0)),"")</f>
        <v/>
      </c>
      <c r="J795" s="172"/>
    </row>
    <row r="796" spans="9:10" x14ac:dyDescent="0.3">
      <c r="I796" t="str">
        <f>_xlfn.IFNA(INDEX('[1]Sector list'!$A$2:$A$122,MATCH(H796,'[1]Sector list'!$B$2:$B$122,0)),"")</f>
        <v/>
      </c>
      <c r="J796" s="172"/>
    </row>
    <row r="797" spans="9:10" x14ac:dyDescent="0.3">
      <c r="I797" t="str">
        <f>_xlfn.IFNA(INDEX('[1]Sector list'!$A$2:$A$122,MATCH(H797,'[1]Sector list'!$B$2:$B$122,0)),"")</f>
        <v/>
      </c>
      <c r="J797" s="172"/>
    </row>
    <row r="798" spans="9:10" x14ac:dyDescent="0.3">
      <c r="I798" t="str">
        <f>_xlfn.IFNA(INDEX('[1]Sector list'!$A$2:$A$122,MATCH(H798,'[1]Sector list'!$B$2:$B$122,0)),"")</f>
        <v/>
      </c>
      <c r="J798" s="172"/>
    </row>
    <row r="799" spans="9:10" x14ac:dyDescent="0.3">
      <c r="I799" t="str">
        <f>_xlfn.IFNA(INDEX('[1]Sector list'!$A$2:$A$122,MATCH(H799,'[1]Sector list'!$B$2:$B$122,0)),"")</f>
        <v/>
      </c>
      <c r="J799" s="172"/>
    </row>
    <row r="800" spans="9:10" x14ac:dyDescent="0.3">
      <c r="I800" t="str">
        <f>_xlfn.IFNA(INDEX('[1]Sector list'!$A$2:$A$122,MATCH(H800,'[1]Sector list'!$B$2:$B$122,0)),"")</f>
        <v/>
      </c>
      <c r="J800" s="172"/>
    </row>
    <row r="801" spans="9:10" x14ac:dyDescent="0.3">
      <c r="I801" t="str">
        <f>_xlfn.IFNA(INDEX('[1]Sector list'!$A$2:$A$122,MATCH(H801,'[1]Sector list'!$B$2:$B$122,0)),"")</f>
        <v/>
      </c>
      <c r="J801" s="172"/>
    </row>
    <row r="802" spans="9:10" x14ac:dyDescent="0.3">
      <c r="I802" t="str">
        <f>_xlfn.IFNA(INDEX('[1]Sector list'!$A$2:$A$122,MATCH(H802,'[1]Sector list'!$B$2:$B$122,0)),"")</f>
        <v/>
      </c>
      <c r="J802" s="172"/>
    </row>
    <row r="803" spans="9:10" x14ac:dyDescent="0.3">
      <c r="I803" t="str">
        <f>_xlfn.IFNA(INDEX('[1]Sector list'!$A$2:$A$122,MATCH(H803,'[1]Sector list'!$B$2:$B$122,0)),"")</f>
        <v/>
      </c>
      <c r="J803" s="172"/>
    </row>
    <row r="804" spans="9:10" x14ac:dyDescent="0.3">
      <c r="I804" t="str">
        <f>_xlfn.IFNA(INDEX('[1]Sector list'!$A$2:$A$122,MATCH(H804,'[1]Sector list'!$B$2:$B$122,0)),"")</f>
        <v/>
      </c>
      <c r="J804" s="172"/>
    </row>
    <row r="805" spans="9:10" x14ac:dyDescent="0.3">
      <c r="I805" t="str">
        <f>_xlfn.IFNA(INDEX('[1]Sector list'!$A$2:$A$122,MATCH(H805,'[1]Sector list'!$B$2:$B$122,0)),"")</f>
        <v/>
      </c>
      <c r="J805" s="172"/>
    </row>
    <row r="806" spans="9:10" x14ac:dyDescent="0.3">
      <c r="I806" t="str">
        <f>_xlfn.IFNA(INDEX('[1]Sector list'!$A$2:$A$122,MATCH(H806,'[1]Sector list'!$B$2:$B$122,0)),"")</f>
        <v/>
      </c>
      <c r="J806" s="172"/>
    </row>
    <row r="807" spans="9:10" x14ac:dyDescent="0.3">
      <c r="I807" t="str">
        <f>_xlfn.IFNA(INDEX('[1]Sector list'!$A$2:$A$122,MATCH(H807,'[1]Sector list'!$B$2:$B$122,0)),"")</f>
        <v/>
      </c>
      <c r="J807" s="172"/>
    </row>
    <row r="808" spans="9:10" x14ac:dyDescent="0.3">
      <c r="I808" t="str">
        <f>_xlfn.IFNA(INDEX('[1]Sector list'!$A$2:$A$122,MATCH(H808,'[1]Sector list'!$B$2:$B$122,0)),"")</f>
        <v/>
      </c>
      <c r="J808" s="172"/>
    </row>
    <row r="809" spans="9:10" x14ac:dyDescent="0.3">
      <c r="I809" t="str">
        <f>_xlfn.IFNA(INDEX('[1]Sector list'!$A$2:$A$122,MATCH(H809,'[1]Sector list'!$B$2:$B$122,0)),"")</f>
        <v/>
      </c>
      <c r="J809" s="172"/>
    </row>
    <row r="810" spans="9:10" x14ac:dyDescent="0.3">
      <c r="I810" t="str">
        <f>_xlfn.IFNA(INDEX('[1]Sector list'!$A$2:$A$122,MATCH(H810,'[1]Sector list'!$B$2:$B$122,0)),"")</f>
        <v/>
      </c>
      <c r="J810" s="172"/>
    </row>
    <row r="811" spans="9:10" x14ac:dyDescent="0.3">
      <c r="I811" t="str">
        <f>_xlfn.IFNA(INDEX('[1]Sector list'!$A$2:$A$122,MATCH(H811,'[1]Sector list'!$B$2:$B$122,0)),"")</f>
        <v/>
      </c>
      <c r="J811" s="172"/>
    </row>
    <row r="812" spans="9:10" x14ac:dyDescent="0.3">
      <c r="I812" t="str">
        <f>_xlfn.IFNA(INDEX('[1]Sector list'!$A$2:$A$122,MATCH(H812,'[1]Sector list'!$B$2:$B$122,0)),"")</f>
        <v/>
      </c>
      <c r="J812" s="172"/>
    </row>
    <row r="813" spans="9:10" x14ac:dyDescent="0.3">
      <c r="I813" t="str">
        <f>_xlfn.IFNA(INDEX('[1]Sector list'!$A$2:$A$122,MATCH(H813,'[1]Sector list'!$B$2:$B$122,0)),"")</f>
        <v/>
      </c>
      <c r="J813" s="172"/>
    </row>
    <row r="814" spans="9:10" x14ac:dyDescent="0.3">
      <c r="I814" t="str">
        <f>_xlfn.IFNA(INDEX('[1]Sector list'!$A$2:$A$122,MATCH(H814,'[1]Sector list'!$B$2:$B$122,0)),"")</f>
        <v/>
      </c>
      <c r="J814" s="172"/>
    </row>
    <row r="815" spans="9:10" x14ac:dyDescent="0.3">
      <c r="I815" t="str">
        <f>_xlfn.IFNA(INDEX('[1]Sector list'!$A$2:$A$122,MATCH(H815,'[1]Sector list'!$B$2:$B$122,0)),"")</f>
        <v/>
      </c>
      <c r="J815" s="172"/>
    </row>
    <row r="816" spans="9:10" x14ac:dyDescent="0.3">
      <c r="I816" t="str">
        <f>_xlfn.IFNA(INDEX('[1]Sector list'!$A$2:$A$122,MATCH(H816,'[1]Sector list'!$B$2:$B$122,0)),"")</f>
        <v/>
      </c>
      <c r="J816" s="172"/>
    </row>
    <row r="817" spans="9:10" x14ac:dyDescent="0.3">
      <c r="I817" t="str">
        <f>_xlfn.IFNA(INDEX('[1]Sector list'!$A$2:$A$122,MATCH(H817,'[1]Sector list'!$B$2:$B$122,0)),"")</f>
        <v/>
      </c>
      <c r="J817" s="172"/>
    </row>
    <row r="818" spans="9:10" x14ac:dyDescent="0.3">
      <c r="I818" t="str">
        <f>_xlfn.IFNA(INDEX('[1]Sector list'!$A$2:$A$122,MATCH(H818,'[1]Sector list'!$B$2:$B$122,0)),"")</f>
        <v/>
      </c>
      <c r="J818" s="172"/>
    </row>
    <row r="819" spans="9:10" x14ac:dyDescent="0.3">
      <c r="I819" t="str">
        <f>_xlfn.IFNA(INDEX('[1]Sector list'!$A$2:$A$122,MATCH(H819,'[1]Sector list'!$B$2:$B$122,0)),"")</f>
        <v/>
      </c>
      <c r="J819" s="172"/>
    </row>
    <row r="820" spans="9:10" x14ac:dyDescent="0.3">
      <c r="I820" t="str">
        <f>_xlfn.IFNA(INDEX('[1]Sector list'!$A$2:$A$122,MATCH(H820,'[1]Sector list'!$B$2:$B$122,0)),"")</f>
        <v/>
      </c>
      <c r="J820" s="172"/>
    </row>
    <row r="821" spans="9:10" x14ac:dyDescent="0.3">
      <c r="I821" t="str">
        <f>_xlfn.IFNA(INDEX('[1]Sector list'!$A$2:$A$122,MATCH(H821,'[1]Sector list'!$B$2:$B$122,0)),"")</f>
        <v/>
      </c>
      <c r="J821" s="172"/>
    </row>
    <row r="822" spans="9:10" x14ac:dyDescent="0.3">
      <c r="I822" t="str">
        <f>_xlfn.IFNA(INDEX('[1]Sector list'!$A$2:$A$122,MATCH(H822,'[1]Sector list'!$B$2:$B$122,0)),"")</f>
        <v/>
      </c>
      <c r="J822" s="172"/>
    </row>
    <row r="823" spans="9:10" x14ac:dyDescent="0.3">
      <c r="I823" t="str">
        <f>_xlfn.IFNA(INDEX('[1]Sector list'!$A$2:$A$122,MATCH(H823,'[1]Sector list'!$B$2:$B$122,0)),"")</f>
        <v/>
      </c>
      <c r="J823" s="172"/>
    </row>
    <row r="824" spans="9:10" x14ac:dyDescent="0.3">
      <c r="I824" t="str">
        <f>_xlfn.IFNA(INDEX('[1]Sector list'!$A$2:$A$122,MATCH(H824,'[1]Sector list'!$B$2:$B$122,0)),"")</f>
        <v/>
      </c>
      <c r="J824" s="172"/>
    </row>
    <row r="825" spans="9:10" x14ac:dyDescent="0.3">
      <c r="I825" t="str">
        <f>_xlfn.IFNA(INDEX('[1]Sector list'!$A$2:$A$122,MATCH(H825,'[1]Sector list'!$B$2:$B$122,0)),"")</f>
        <v/>
      </c>
      <c r="J825" s="172"/>
    </row>
    <row r="826" spans="9:10" x14ac:dyDescent="0.3">
      <c r="I826" t="str">
        <f>_xlfn.IFNA(INDEX('[1]Sector list'!$A$2:$A$122,MATCH(H826,'[1]Sector list'!$B$2:$B$122,0)),"")</f>
        <v/>
      </c>
      <c r="J826" s="172"/>
    </row>
    <row r="827" spans="9:10" x14ac:dyDescent="0.3">
      <c r="I827" t="str">
        <f>_xlfn.IFNA(INDEX('[1]Sector list'!$A$2:$A$122,MATCH(H827,'[1]Sector list'!$B$2:$B$122,0)),"")</f>
        <v/>
      </c>
      <c r="J827" s="172"/>
    </row>
    <row r="828" spans="9:10" x14ac:dyDescent="0.3">
      <c r="I828" t="str">
        <f>_xlfn.IFNA(INDEX('[1]Sector list'!$A$2:$A$122,MATCH(H828,'[1]Sector list'!$B$2:$B$122,0)),"")</f>
        <v/>
      </c>
      <c r="J828" s="172"/>
    </row>
    <row r="829" spans="9:10" x14ac:dyDescent="0.3">
      <c r="I829" t="str">
        <f>_xlfn.IFNA(INDEX('[1]Sector list'!$A$2:$A$122,MATCH(H829,'[1]Sector list'!$B$2:$B$122,0)),"")</f>
        <v/>
      </c>
      <c r="J829" s="172"/>
    </row>
    <row r="830" spans="9:10" x14ac:dyDescent="0.3">
      <c r="I830" t="str">
        <f>_xlfn.IFNA(INDEX('[1]Sector list'!$A$2:$A$122,MATCH(H830,'[1]Sector list'!$B$2:$B$122,0)),"")</f>
        <v/>
      </c>
      <c r="J830" s="172"/>
    </row>
    <row r="831" spans="9:10" x14ac:dyDescent="0.3">
      <c r="I831" t="str">
        <f>_xlfn.IFNA(INDEX('[1]Sector list'!$A$2:$A$122,MATCH(H831,'[1]Sector list'!$B$2:$B$122,0)),"")</f>
        <v/>
      </c>
      <c r="J831" s="172"/>
    </row>
    <row r="832" spans="9:10" x14ac:dyDescent="0.3">
      <c r="I832" t="str">
        <f>_xlfn.IFNA(INDEX('[1]Sector list'!$A$2:$A$122,MATCH(H832,'[1]Sector list'!$B$2:$B$122,0)),"")</f>
        <v/>
      </c>
      <c r="J832" s="172"/>
    </row>
    <row r="833" spans="9:10" x14ac:dyDescent="0.3">
      <c r="I833" t="str">
        <f>_xlfn.IFNA(INDEX('[1]Sector list'!$A$2:$A$122,MATCH(H833,'[1]Sector list'!$B$2:$B$122,0)),"")</f>
        <v/>
      </c>
      <c r="J833" s="172"/>
    </row>
    <row r="834" spans="9:10" x14ac:dyDescent="0.3">
      <c r="I834" t="str">
        <f>_xlfn.IFNA(INDEX('[1]Sector list'!$A$2:$A$122,MATCH(H834,'[1]Sector list'!$B$2:$B$122,0)),"")</f>
        <v/>
      </c>
      <c r="J834" s="172"/>
    </row>
    <row r="835" spans="9:10" x14ac:dyDescent="0.3">
      <c r="I835" t="str">
        <f>_xlfn.IFNA(INDEX('[1]Sector list'!$A$2:$A$122,MATCH(H835,'[1]Sector list'!$B$2:$B$122,0)),"")</f>
        <v/>
      </c>
      <c r="J835" s="172"/>
    </row>
    <row r="836" spans="9:10" x14ac:dyDescent="0.3">
      <c r="I836" t="str">
        <f>_xlfn.IFNA(INDEX('[1]Sector list'!$A$2:$A$122,MATCH(H836,'[1]Sector list'!$B$2:$B$122,0)),"")</f>
        <v/>
      </c>
      <c r="J836" s="172"/>
    </row>
    <row r="837" spans="9:10" x14ac:dyDescent="0.3">
      <c r="I837" t="str">
        <f>_xlfn.IFNA(INDEX('[1]Sector list'!$A$2:$A$122,MATCH(H837,'[1]Sector list'!$B$2:$B$122,0)),"")</f>
        <v/>
      </c>
      <c r="J837" s="172"/>
    </row>
    <row r="838" spans="9:10" x14ac:dyDescent="0.3">
      <c r="I838" t="str">
        <f>_xlfn.IFNA(INDEX('[1]Sector list'!$A$2:$A$122,MATCH(H838,'[1]Sector list'!$B$2:$B$122,0)),"")</f>
        <v/>
      </c>
      <c r="J838" s="172"/>
    </row>
    <row r="839" spans="9:10" x14ac:dyDescent="0.3">
      <c r="I839" t="str">
        <f>_xlfn.IFNA(INDEX('[1]Sector list'!$A$2:$A$122,MATCH(H839,'[1]Sector list'!$B$2:$B$122,0)),"")</f>
        <v/>
      </c>
      <c r="J839" s="172"/>
    </row>
    <row r="840" spans="9:10" x14ac:dyDescent="0.3">
      <c r="I840" t="str">
        <f>_xlfn.IFNA(INDEX('[1]Sector list'!$A$2:$A$122,MATCH(H840,'[1]Sector list'!$B$2:$B$122,0)),"")</f>
        <v/>
      </c>
      <c r="J840" s="172"/>
    </row>
    <row r="841" spans="9:10" x14ac:dyDescent="0.3">
      <c r="I841" t="str">
        <f>_xlfn.IFNA(INDEX('[1]Sector list'!$A$2:$A$122,MATCH(H841,'[1]Sector list'!$B$2:$B$122,0)),"")</f>
        <v/>
      </c>
      <c r="J841" s="172"/>
    </row>
    <row r="842" spans="9:10" x14ac:dyDescent="0.3">
      <c r="I842" t="str">
        <f>_xlfn.IFNA(INDEX('[1]Sector list'!$A$2:$A$122,MATCH(H842,'[1]Sector list'!$B$2:$B$122,0)),"")</f>
        <v/>
      </c>
      <c r="J842" s="172"/>
    </row>
    <row r="843" spans="9:10" x14ac:dyDescent="0.3">
      <c r="I843" t="str">
        <f>_xlfn.IFNA(INDEX('[1]Sector list'!$A$2:$A$122,MATCH(H843,'[1]Sector list'!$B$2:$B$122,0)),"")</f>
        <v/>
      </c>
      <c r="J843" s="172"/>
    </row>
    <row r="844" spans="9:10" x14ac:dyDescent="0.3">
      <c r="I844" t="str">
        <f>_xlfn.IFNA(INDEX('[1]Sector list'!$A$2:$A$122,MATCH(H844,'[1]Sector list'!$B$2:$B$122,0)),"")</f>
        <v/>
      </c>
      <c r="J844" s="172"/>
    </row>
    <row r="845" spans="9:10" x14ac:dyDescent="0.3">
      <c r="I845" t="str">
        <f>_xlfn.IFNA(INDEX('[1]Sector list'!$A$2:$A$122,MATCH(H845,'[1]Sector list'!$B$2:$B$122,0)),"")</f>
        <v/>
      </c>
      <c r="J845" s="172"/>
    </row>
    <row r="846" spans="9:10" x14ac:dyDescent="0.3">
      <c r="I846" t="str">
        <f>_xlfn.IFNA(INDEX('[1]Sector list'!$A$2:$A$122,MATCH(H846,'[1]Sector list'!$B$2:$B$122,0)),"")</f>
        <v/>
      </c>
      <c r="J846" s="172"/>
    </row>
    <row r="847" spans="9:10" x14ac:dyDescent="0.3">
      <c r="I847" t="str">
        <f>_xlfn.IFNA(INDEX('[1]Sector list'!$A$2:$A$122,MATCH(H847,'[1]Sector list'!$B$2:$B$122,0)),"")</f>
        <v/>
      </c>
      <c r="J847" s="172"/>
    </row>
    <row r="848" spans="9:10" x14ac:dyDescent="0.3">
      <c r="I848" t="str">
        <f>_xlfn.IFNA(INDEX('[1]Sector list'!$A$2:$A$122,MATCH(H848,'[1]Sector list'!$B$2:$B$122,0)),"")</f>
        <v/>
      </c>
      <c r="J848" s="172"/>
    </row>
    <row r="849" spans="9:10" x14ac:dyDescent="0.3">
      <c r="I849" t="str">
        <f>_xlfn.IFNA(INDEX('[1]Sector list'!$A$2:$A$122,MATCH(H849,'[1]Sector list'!$B$2:$B$122,0)),"")</f>
        <v/>
      </c>
      <c r="J849" s="172"/>
    </row>
    <row r="850" spans="9:10" x14ac:dyDescent="0.3">
      <c r="I850" t="str">
        <f>_xlfn.IFNA(INDEX('[1]Sector list'!$A$2:$A$122,MATCH(H850,'[1]Sector list'!$B$2:$B$122,0)),"")</f>
        <v/>
      </c>
      <c r="J850" s="172"/>
    </row>
    <row r="851" spans="9:10" x14ac:dyDescent="0.3">
      <c r="I851" t="str">
        <f>_xlfn.IFNA(INDEX('[1]Sector list'!$A$2:$A$122,MATCH(H851,'[1]Sector list'!$B$2:$B$122,0)),"")</f>
        <v/>
      </c>
      <c r="J851" s="172"/>
    </row>
    <row r="852" spans="9:10" x14ac:dyDescent="0.3">
      <c r="I852" t="str">
        <f>_xlfn.IFNA(INDEX('[1]Sector list'!$A$2:$A$122,MATCH(H852,'[1]Sector list'!$B$2:$B$122,0)),"")</f>
        <v/>
      </c>
      <c r="J852" s="172"/>
    </row>
    <row r="853" spans="9:10" x14ac:dyDescent="0.3">
      <c r="I853" t="str">
        <f>_xlfn.IFNA(INDEX('[1]Sector list'!$A$2:$A$122,MATCH(H853,'[1]Sector list'!$B$2:$B$122,0)),"")</f>
        <v/>
      </c>
      <c r="J853" s="172"/>
    </row>
    <row r="854" spans="9:10" x14ac:dyDescent="0.3">
      <c r="I854" t="str">
        <f>_xlfn.IFNA(INDEX('[1]Sector list'!$A$2:$A$122,MATCH(H854,'[1]Sector list'!$B$2:$B$122,0)),"")</f>
        <v/>
      </c>
      <c r="J854" s="172"/>
    </row>
    <row r="855" spans="9:10" x14ac:dyDescent="0.3">
      <c r="I855" t="str">
        <f>_xlfn.IFNA(INDEX('[1]Sector list'!$A$2:$A$122,MATCH(H855,'[1]Sector list'!$B$2:$B$122,0)),"")</f>
        <v/>
      </c>
      <c r="J855" s="172"/>
    </row>
    <row r="856" spans="9:10" x14ac:dyDescent="0.3">
      <c r="I856" t="str">
        <f>_xlfn.IFNA(INDEX('[1]Sector list'!$A$2:$A$122,MATCH(H856,'[1]Sector list'!$B$2:$B$122,0)),"")</f>
        <v/>
      </c>
      <c r="J856" s="172"/>
    </row>
    <row r="857" spans="9:10" x14ac:dyDescent="0.3">
      <c r="I857" t="str">
        <f>_xlfn.IFNA(INDEX('[1]Sector list'!$A$2:$A$122,MATCH(H857,'[1]Sector list'!$B$2:$B$122,0)),"")</f>
        <v/>
      </c>
      <c r="J857" s="172"/>
    </row>
    <row r="858" spans="9:10" x14ac:dyDescent="0.3">
      <c r="I858" t="str">
        <f>_xlfn.IFNA(INDEX('[1]Sector list'!$A$2:$A$122,MATCH(H858,'[1]Sector list'!$B$2:$B$122,0)),"")</f>
        <v/>
      </c>
      <c r="J858" s="172"/>
    </row>
    <row r="859" spans="9:10" x14ac:dyDescent="0.3">
      <c r="I859" t="str">
        <f>_xlfn.IFNA(INDEX('[1]Sector list'!$A$2:$A$122,MATCH(H859,'[1]Sector list'!$B$2:$B$122,0)),"")</f>
        <v/>
      </c>
      <c r="J859" s="172"/>
    </row>
    <row r="860" spans="9:10" x14ac:dyDescent="0.3">
      <c r="I860" t="str">
        <f>_xlfn.IFNA(INDEX('[1]Sector list'!$A$2:$A$122,MATCH(H860,'[1]Sector list'!$B$2:$B$122,0)),"")</f>
        <v/>
      </c>
      <c r="J860" s="172"/>
    </row>
    <row r="861" spans="9:10" x14ac:dyDescent="0.3">
      <c r="I861" t="str">
        <f>_xlfn.IFNA(INDEX('[1]Sector list'!$A$2:$A$122,MATCH(H861,'[1]Sector list'!$B$2:$B$122,0)),"")</f>
        <v/>
      </c>
      <c r="J861" s="172"/>
    </row>
    <row r="862" spans="9:10" x14ac:dyDescent="0.3">
      <c r="I862" t="str">
        <f>_xlfn.IFNA(INDEX('[1]Sector list'!$A$2:$A$122,MATCH(H862,'[1]Sector list'!$B$2:$B$122,0)),"")</f>
        <v/>
      </c>
      <c r="J862" s="172"/>
    </row>
    <row r="863" spans="9:10" x14ac:dyDescent="0.3">
      <c r="I863" t="str">
        <f>_xlfn.IFNA(INDEX('[1]Sector list'!$A$2:$A$122,MATCH(H863,'[1]Sector list'!$B$2:$B$122,0)),"")</f>
        <v/>
      </c>
      <c r="J863" s="172"/>
    </row>
    <row r="864" spans="9:10" x14ac:dyDescent="0.3">
      <c r="I864" t="str">
        <f>_xlfn.IFNA(INDEX('[1]Sector list'!$A$2:$A$122,MATCH(H864,'[1]Sector list'!$B$2:$B$122,0)),"")</f>
        <v/>
      </c>
      <c r="J864" s="172"/>
    </row>
    <row r="865" spans="9:10" x14ac:dyDescent="0.3">
      <c r="I865" t="str">
        <f>_xlfn.IFNA(INDEX('[1]Sector list'!$A$2:$A$122,MATCH(H865,'[1]Sector list'!$B$2:$B$122,0)),"")</f>
        <v/>
      </c>
      <c r="J865" s="172"/>
    </row>
    <row r="866" spans="9:10" x14ac:dyDescent="0.3">
      <c r="I866" t="str">
        <f>_xlfn.IFNA(INDEX('[1]Sector list'!$A$2:$A$122,MATCH(H866,'[1]Sector list'!$B$2:$B$122,0)),"")</f>
        <v/>
      </c>
      <c r="J866" s="172"/>
    </row>
    <row r="867" spans="9:10" x14ac:dyDescent="0.3">
      <c r="I867" t="str">
        <f>_xlfn.IFNA(INDEX('[1]Sector list'!$A$2:$A$122,MATCH(H867,'[1]Sector list'!$B$2:$B$122,0)),"")</f>
        <v/>
      </c>
      <c r="J867" s="172"/>
    </row>
    <row r="868" spans="9:10" x14ac:dyDescent="0.3">
      <c r="I868" t="str">
        <f>_xlfn.IFNA(INDEX('[1]Sector list'!$A$2:$A$122,MATCH(H868,'[1]Sector list'!$B$2:$B$122,0)),"")</f>
        <v/>
      </c>
      <c r="J868" s="172"/>
    </row>
    <row r="869" spans="9:10" x14ac:dyDescent="0.3">
      <c r="I869" t="str">
        <f>_xlfn.IFNA(INDEX('[1]Sector list'!$A$2:$A$122,MATCH(H869,'[1]Sector list'!$B$2:$B$122,0)),"")</f>
        <v/>
      </c>
      <c r="J869" s="172"/>
    </row>
    <row r="870" spans="9:10" x14ac:dyDescent="0.3">
      <c r="I870" t="str">
        <f>_xlfn.IFNA(INDEX('[1]Sector list'!$A$2:$A$122,MATCH(H870,'[1]Sector list'!$B$2:$B$122,0)),"")</f>
        <v/>
      </c>
      <c r="J870" s="172"/>
    </row>
    <row r="871" spans="9:10" x14ac:dyDescent="0.3">
      <c r="I871" t="str">
        <f>_xlfn.IFNA(INDEX('[1]Sector list'!$A$2:$A$122,MATCH(H871,'[1]Sector list'!$B$2:$B$122,0)),"")</f>
        <v/>
      </c>
      <c r="J871" s="172"/>
    </row>
    <row r="872" spans="9:10" x14ac:dyDescent="0.3">
      <c r="I872" t="str">
        <f>_xlfn.IFNA(INDEX('[1]Sector list'!$A$2:$A$122,MATCH(H872,'[1]Sector list'!$B$2:$B$122,0)),"")</f>
        <v/>
      </c>
      <c r="J872" s="172"/>
    </row>
    <row r="873" spans="9:10" x14ac:dyDescent="0.3">
      <c r="I873" t="str">
        <f>_xlfn.IFNA(INDEX('[1]Sector list'!$A$2:$A$122,MATCH(H873,'[1]Sector list'!$B$2:$B$122,0)),"")</f>
        <v/>
      </c>
      <c r="J873" s="172"/>
    </row>
    <row r="874" spans="9:10" x14ac:dyDescent="0.3">
      <c r="I874" t="str">
        <f>_xlfn.IFNA(INDEX('[1]Sector list'!$A$2:$A$122,MATCH(H874,'[1]Sector list'!$B$2:$B$122,0)),"")</f>
        <v/>
      </c>
      <c r="J874" s="172"/>
    </row>
    <row r="875" spans="9:10" x14ac:dyDescent="0.3">
      <c r="I875" t="str">
        <f>_xlfn.IFNA(INDEX('[1]Sector list'!$A$2:$A$122,MATCH(H875,'[1]Sector list'!$B$2:$B$122,0)),"")</f>
        <v/>
      </c>
      <c r="J875" s="172"/>
    </row>
    <row r="876" spans="9:10" x14ac:dyDescent="0.3">
      <c r="I876" t="str">
        <f>_xlfn.IFNA(INDEX('[1]Sector list'!$A$2:$A$122,MATCH(H876,'[1]Sector list'!$B$2:$B$122,0)),"")</f>
        <v/>
      </c>
      <c r="J876" s="172"/>
    </row>
    <row r="877" spans="9:10" x14ac:dyDescent="0.3">
      <c r="I877" t="str">
        <f>_xlfn.IFNA(INDEX('[1]Sector list'!$A$2:$A$122,MATCH(H877,'[1]Sector list'!$B$2:$B$122,0)),"")</f>
        <v/>
      </c>
      <c r="J877" s="172"/>
    </row>
    <row r="878" spans="9:10" x14ac:dyDescent="0.3">
      <c r="I878" t="str">
        <f>_xlfn.IFNA(INDEX('[1]Sector list'!$A$2:$A$122,MATCH(H878,'[1]Sector list'!$B$2:$B$122,0)),"")</f>
        <v/>
      </c>
      <c r="J878" s="172"/>
    </row>
    <row r="879" spans="9:10" x14ac:dyDescent="0.3">
      <c r="I879" t="str">
        <f>_xlfn.IFNA(INDEX('[1]Sector list'!$A$2:$A$122,MATCH(H879,'[1]Sector list'!$B$2:$B$122,0)),"")</f>
        <v/>
      </c>
      <c r="J879" s="172"/>
    </row>
    <row r="880" spans="9:10" x14ac:dyDescent="0.3">
      <c r="I880" t="str">
        <f>_xlfn.IFNA(INDEX('[1]Sector list'!$A$2:$A$122,MATCH(H880,'[1]Sector list'!$B$2:$B$122,0)),"")</f>
        <v/>
      </c>
      <c r="J880" s="172"/>
    </row>
    <row r="881" spans="9:10" x14ac:dyDescent="0.3">
      <c r="I881" t="str">
        <f>_xlfn.IFNA(INDEX('[1]Sector list'!$A$2:$A$122,MATCH(H881,'[1]Sector list'!$B$2:$B$122,0)),"")</f>
        <v/>
      </c>
      <c r="J881" s="172"/>
    </row>
    <row r="882" spans="9:10" x14ac:dyDescent="0.3">
      <c r="I882" t="str">
        <f>_xlfn.IFNA(INDEX('[1]Sector list'!$A$2:$A$122,MATCH(H882,'[1]Sector list'!$B$2:$B$122,0)),"")</f>
        <v/>
      </c>
      <c r="J882" s="172"/>
    </row>
    <row r="883" spans="9:10" x14ac:dyDescent="0.3">
      <c r="I883" t="str">
        <f>_xlfn.IFNA(INDEX('[1]Sector list'!$A$2:$A$122,MATCH(H883,'[1]Sector list'!$B$2:$B$122,0)),"")</f>
        <v/>
      </c>
      <c r="J883" s="172"/>
    </row>
    <row r="884" spans="9:10" x14ac:dyDescent="0.3">
      <c r="I884" t="str">
        <f>_xlfn.IFNA(INDEX('[1]Sector list'!$A$2:$A$122,MATCH(H884,'[1]Sector list'!$B$2:$B$122,0)),"")</f>
        <v/>
      </c>
      <c r="J884" s="172"/>
    </row>
    <row r="885" spans="9:10" x14ac:dyDescent="0.3">
      <c r="I885" t="str">
        <f>_xlfn.IFNA(INDEX('[1]Sector list'!$A$2:$A$122,MATCH(H885,'[1]Sector list'!$B$2:$B$122,0)),"")</f>
        <v/>
      </c>
      <c r="J885" s="172"/>
    </row>
    <row r="886" spans="9:10" x14ac:dyDescent="0.3">
      <c r="I886" t="str">
        <f>_xlfn.IFNA(INDEX('[1]Sector list'!$A$2:$A$122,MATCH(H886,'[1]Sector list'!$B$2:$B$122,0)),"")</f>
        <v/>
      </c>
      <c r="J886" s="172"/>
    </row>
    <row r="887" spans="9:10" x14ac:dyDescent="0.3">
      <c r="I887" t="str">
        <f>_xlfn.IFNA(INDEX('[1]Sector list'!$A$2:$A$122,MATCH(H887,'[1]Sector list'!$B$2:$B$122,0)),"")</f>
        <v/>
      </c>
      <c r="J887" s="172"/>
    </row>
    <row r="888" spans="9:10" x14ac:dyDescent="0.3">
      <c r="I888" t="str">
        <f>_xlfn.IFNA(INDEX('[1]Sector list'!$A$2:$A$122,MATCH(H888,'[1]Sector list'!$B$2:$B$122,0)),"")</f>
        <v/>
      </c>
      <c r="J888" s="172"/>
    </row>
    <row r="889" spans="9:10" x14ac:dyDescent="0.3">
      <c r="I889" t="str">
        <f>_xlfn.IFNA(INDEX('[1]Sector list'!$A$2:$A$122,MATCH(H889,'[1]Sector list'!$B$2:$B$122,0)),"")</f>
        <v/>
      </c>
      <c r="J889" s="172"/>
    </row>
    <row r="890" spans="9:10" x14ac:dyDescent="0.3">
      <c r="I890" t="str">
        <f>_xlfn.IFNA(INDEX('[1]Sector list'!$A$2:$A$122,MATCH(H890,'[1]Sector list'!$B$2:$B$122,0)),"")</f>
        <v/>
      </c>
      <c r="J890" s="172"/>
    </row>
    <row r="891" spans="9:10" x14ac:dyDescent="0.3">
      <c r="I891" t="str">
        <f>_xlfn.IFNA(INDEX('[1]Sector list'!$A$2:$A$122,MATCH(H891,'[1]Sector list'!$B$2:$B$122,0)),"")</f>
        <v/>
      </c>
      <c r="J891" s="172"/>
    </row>
    <row r="892" spans="9:10" x14ac:dyDescent="0.3">
      <c r="I892" t="str">
        <f>_xlfn.IFNA(INDEX('[1]Sector list'!$A$2:$A$122,MATCH(H892,'[1]Sector list'!$B$2:$B$122,0)),"")</f>
        <v/>
      </c>
      <c r="J892" s="172"/>
    </row>
    <row r="893" spans="9:10" x14ac:dyDescent="0.3">
      <c r="I893" t="str">
        <f>_xlfn.IFNA(INDEX('[1]Sector list'!$A$2:$A$122,MATCH(H893,'[1]Sector list'!$B$2:$B$122,0)),"")</f>
        <v/>
      </c>
      <c r="J893" s="172"/>
    </row>
    <row r="894" spans="9:10" x14ac:dyDescent="0.3">
      <c r="I894" t="str">
        <f>_xlfn.IFNA(INDEX('[1]Sector list'!$A$2:$A$122,MATCH(H894,'[1]Sector list'!$B$2:$B$122,0)),"")</f>
        <v/>
      </c>
      <c r="J894" s="172"/>
    </row>
    <row r="895" spans="9:10" x14ac:dyDescent="0.3">
      <c r="I895" t="str">
        <f>_xlfn.IFNA(INDEX('[1]Sector list'!$A$2:$A$122,MATCH(H895,'[1]Sector list'!$B$2:$B$122,0)),"")</f>
        <v/>
      </c>
      <c r="J895" s="172"/>
    </row>
    <row r="896" spans="9:10" x14ac:dyDescent="0.3">
      <c r="I896" t="str">
        <f>_xlfn.IFNA(INDEX('[1]Sector list'!$A$2:$A$122,MATCH(H896,'[1]Sector list'!$B$2:$B$122,0)),"")</f>
        <v/>
      </c>
      <c r="J896" s="172"/>
    </row>
    <row r="897" spans="9:10" x14ac:dyDescent="0.3">
      <c r="I897" t="str">
        <f>_xlfn.IFNA(INDEX('[1]Sector list'!$A$2:$A$122,MATCH(H897,'[1]Sector list'!$B$2:$B$122,0)),"")</f>
        <v/>
      </c>
      <c r="J897" s="172"/>
    </row>
    <row r="898" spans="9:10" x14ac:dyDescent="0.3">
      <c r="I898" t="str">
        <f>_xlfn.IFNA(INDEX('[1]Sector list'!$A$2:$A$122,MATCH(H898,'[1]Sector list'!$B$2:$B$122,0)),"")</f>
        <v/>
      </c>
      <c r="J898" s="172"/>
    </row>
    <row r="899" spans="9:10" x14ac:dyDescent="0.3">
      <c r="I899" t="str">
        <f>_xlfn.IFNA(INDEX('[1]Sector list'!$A$2:$A$122,MATCH(H899,'[1]Sector list'!$B$2:$B$122,0)),"")</f>
        <v/>
      </c>
      <c r="J899" s="172"/>
    </row>
    <row r="900" spans="9:10" x14ac:dyDescent="0.3">
      <c r="I900" t="str">
        <f>_xlfn.IFNA(INDEX('[1]Sector list'!$A$2:$A$122,MATCH(H900,'[1]Sector list'!$B$2:$B$122,0)),"")</f>
        <v/>
      </c>
      <c r="J900" s="172"/>
    </row>
    <row r="901" spans="9:10" x14ac:dyDescent="0.3">
      <c r="I901" t="str">
        <f>_xlfn.IFNA(INDEX('[1]Sector list'!$A$2:$A$122,MATCH(H901,'[1]Sector list'!$B$2:$B$122,0)),"")</f>
        <v/>
      </c>
      <c r="J901" s="172"/>
    </row>
    <row r="902" spans="9:10" x14ac:dyDescent="0.3">
      <c r="I902" t="str">
        <f>_xlfn.IFNA(INDEX('[1]Sector list'!$A$2:$A$122,MATCH(H902,'[1]Sector list'!$B$2:$B$122,0)),"")</f>
        <v/>
      </c>
      <c r="J902" s="172"/>
    </row>
    <row r="903" spans="9:10" x14ac:dyDescent="0.3">
      <c r="I903" t="str">
        <f>_xlfn.IFNA(INDEX('[1]Sector list'!$A$2:$A$122,MATCH(H903,'[1]Sector list'!$B$2:$B$122,0)),"")</f>
        <v/>
      </c>
      <c r="J903" s="172"/>
    </row>
    <row r="904" spans="9:10" x14ac:dyDescent="0.3">
      <c r="I904" t="str">
        <f>_xlfn.IFNA(INDEX('[1]Sector list'!$A$2:$A$122,MATCH(H904,'[1]Sector list'!$B$2:$B$122,0)),"")</f>
        <v/>
      </c>
      <c r="J904" s="172"/>
    </row>
    <row r="905" spans="9:10" x14ac:dyDescent="0.3">
      <c r="I905" t="str">
        <f>_xlfn.IFNA(INDEX('[1]Sector list'!$A$2:$A$122,MATCH(H905,'[1]Sector list'!$B$2:$B$122,0)),"")</f>
        <v/>
      </c>
      <c r="J905" s="172"/>
    </row>
    <row r="906" spans="9:10" x14ac:dyDescent="0.3">
      <c r="J906" s="172"/>
    </row>
    <row r="907" spans="9:10" x14ac:dyDescent="0.3">
      <c r="J907" s="172"/>
    </row>
    <row r="908" spans="9:10" x14ac:dyDescent="0.3">
      <c r="J908" s="172"/>
    </row>
    <row r="909" spans="9:10" x14ac:dyDescent="0.3">
      <c r="J909" s="172"/>
    </row>
    <row r="910" spans="9:10" x14ac:dyDescent="0.3">
      <c r="J910" s="172"/>
    </row>
    <row r="911" spans="9:10" x14ac:dyDescent="0.3">
      <c r="J911" s="172"/>
    </row>
    <row r="912" spans="9:10" x14ac:dyDescent="0.3">
      <c r="J912" s="172"/>
    </row>
    <row r="913" spans="10:10" x14ac:dyDescent="0.3">
      <c r="J913" s="172"/>
    </row>
    <row r="914" spans="10:10" x14ac:dyDescent="0.3">
      <c r="J914" s="172"/>
    </row>
    <row r="915" spans="10:10" x14ac:dyDescent="0.3">
      <c r="J915" s="172"/>
    </row>
    <row r="916" spans="10:10" x14ac:dyDescent="0.3">
      <c r="J916" s="172"/>
    </row>
    <row r="917" spans="10:10" x14ac:dyDescent="0.3">
      <c r="J917" s="172"/>
    </row>
    <row r="918" spans="10:10" x14ac:dyDescent="0.3">
      <c r="J918" s="172"/>
    </row>
    <row r="919" spans="10:10" x14ac:dyDescent="0.3">
      <c r="J919" s="172"/>
    </row>
    <row r="920" spans="10:10" x14ac:dyDescent="0.3">
      <c r="J920" s="172"/>
    </row>
    <row r="921" spans="10:10" x14ac:dyDescent="0.3">
      <c r="J921" s="172"/>
    </row>
    <row r="922" spans="10:10" x14ac:dyDescent="0.3">
      <c r="J922" s="172"/>
    </row>
    <row r="923" spans="10:10" x14ac:dyDescent="0.3">
      <c r="J923" s="172"/>
    </row>
    <row r="924" spans="10:10" x14ac:dyDescent="0.3">
      <c r="J924" s="172"/>
    </row>
    <row r="925" spans="10:10" x14ac:dyDescent="0.3">
      <c r="J925" s="172"/>
    </row>
    <row r="926" spans="10:10" x14ac:dyDescent="0.3">
      <c r="J926" s="172"/>
    </row>
    <row r="927" spans="10:10" x14ac:dyDescent="0.3">
      <c r="J927" s="172"/>
    </row>
    <row r="928" spans="10:10" x14ac:dyDescent="0.3">
      <c r="J928" s="172"/>
    </row>
    <row r="929" spans="10:10" x14ac:dyDescent="0.3">
      <c r="J929" s="172"/>
    </row>
    <row r="930" spans="10:10" x14ac:dyDescent="0.3">
      <c r="J930" s="172"/>
    </row>
    <row r="931" spans="10:10" x14ac:dyDescent="0.3">
      <c r="J931" s="172"/>
    </row>
    <row r="932" spans="10:10" x14ac:dyDescent="0.3">
      <c r="J932" s="172"/>
    </row>
    <row r="933" spans="10:10" x14ac:dyDescent="0.3">
      <c r="J933" s="172"/>
    </row>
    <row r="934" spans="10:10" x14ac:dyDescent="0.3">
      <c r="J934" s="172"/>
    </row>
    <row r="935" spans="10:10" x14ac:dyDescent="0.3">
      <c r="J935" s="172"/>
    </row>
    <row r="936" spans="10:10" x14ac:dyDescent="0.3">
      <c r="J936" s="172"/>
    </row>
    <row r="937" spans="10:10" x14ac:dyDescent="0.3">
      <c r="J937" s="172"/>
    </row>
    <row r="938" spans="10:10" x14ac:dyDescent="0.3">
      <c r="J938" s="172"/>
    </row>
    <row r="939" spans="10:10" x14ac:dyDescent="0.3">
      <c r="J939" s="172"/>
    </row>
    <row r="940" spans="10:10" x14ac:dyDescent="0.3">
      <c r="J940" s="172"/>
    </row>
    <row r="941" spans="10:10" x14ac:dyDescent="0.3">
      <c r="J941" s="172"/>
    </row>
    <row r="942" spans="10:10" x14ac:dyDescent="0.3">
      <c r="J942" s="172"/>
    </row>
    <row r="943" spans="10:10" x14ac:dyDescent="0.3">
      <c r="J943" s="172"/>
    </row>
    <row r="944" spans="10:10" x14ac:dyDescent="0.3">
      <c r="J944" s="172"/>
    </row>
    <row r="945" spans="10:10" x14ac:dyDescent="0.3">
      <c r="J945" s="172"/>
    </row>
    <row r="946" spans="10:10" x14ac:dyDescent="0.3">
      <c r="J946" s="172"/>
    </row>
    <row r="947" spans="10:10" x14ac:dyDescent="0.3">
      <c r="J947" s="172"/>
    </row>
    <row r="948" spans="10:10" x14ac:dyDescent="0.3">
      <c r="J948" s="172"/>
    </row>
    <row r="949" spans="10:10" x14ac:dyDescent="0.3">
      <c r="J949" s="172"/>
    </row>
    <row r="950" spans="10:10" x14ac:dyDescent="0.3">
      <c r="J950" s="172"/>
    </row>
    <row r="951" spans="10:10" x14ac:dyDescent="0.3">
      <c r="J951" s="172"/>
    </row>
    <row r="952" spans="10:10" x14ac:dyDescent="0.3">
      <c r="J952" s="172"/>
    </row>
    <row r="953" spans="10:10" x14ac:dyDescent="0.3">
      <c r="J953" s="172"/>
    </row>
    <row r="954" spans="10:10" x14ac:dyDescent="0.3">
      <c r="J954" s="172"/>
    </row>
    <row r="955" spans="10:10" x14ac:dyDescent="0.3">
      <c r="J955" s="172"/>
    </row>
    <row r="956" spans="10:10" x14ac:dyDescent="0.3">
      <c r="J956" s="172"/>
    </row>
    <row r="957" spans="10:10" x14ac:dyDescent="0.3">
      <c r="J957" s="172"/>
    </row>
    <row r="958" spans="10:10" x14ac:dyDescent="0.3">
      <c r="J958" s="172"/>
    </row>
    <row r="959" spans="10:10" x14ac:dyDescent="0.3">
      <c r="J959" s="172"/>
    </row>
    <row r="960" spans="10:10" x14ac:dyDescent="0.3">
      <c r="J960" s="172"/>
    </row>
    <row r="961" spans="10:10" x14ac:dyDescent="0.3">
      <c r="J961" s="172"/>
    </row>
    <row r="962" spans="10:10" x14ac:dyDescent="0.3">
      <c r="J962" s="172"/>
    </row>
    <row r="963" spans="10:10" x14ac:dyDescent="0.3">
      <c r="J963" s="172"/>
    </row>
    <row r="964" spans="10:10" x14ac:dyDescent="0.3">
      <c r="J964" s="172"/>
    </row>
    <row r="965" spans="10:10" x14ac:dyDescent="0.3">
      <c r="J965" s="172"/>
    </row>
    <row r="966" spans="10:10" x14ac:dyDescent="0.3">
      <c r="J966" s="172"/>
    </row>
    <row r="967" spans="10:10" x14ac:dyDescent="0.3">
      <c r="J967" s="172"/>
    </row>
    <row r="968" spans="10:10" x14ac:dyDescent="0.3">
      <c r="J968" s="172"/>
    </row>
    <row r="969" spans="10:10" x14ac:dyDescent="0.3">
      <c r="J969" s="172"/>
    </row>
    <row r="970" spans="10:10" x14ac:dyDescent="0.3">
      <c r="J970" s="172"/>
    </row>
    <row r="971" spans="10:10" x14ac:dyDescent="0.3">
      <c r="J971" s="172"/>
    </row>
    <row r="972" spans="10:10" x14ac:dyDescent="0.3">
      <c r="J972" s="172"/>
    </row>
    <row r="973" spans="10:10" x14ac:dyDescent="0.3">
      <c r="J973" s="172"/>
    </row>
    <row r="974" spans="10:10" x14ac:dyDescent="0.3">
      <c r="J974" s="172"/>
    </row>
    <row r="975" spans="10:10" x14ac:dyDescent="0.3">
      <c r="J975" s="172"/>
    </row>
    <row r="976" spans="10:10" x14ac:dyDescent="0.3">
      <c r="J976" s="172"/>
    </row>
    <row r="977" spans="10:10" x14ac:dyDescent="0.3">
      <c r="J977" s="172"/>
    </row>
    <row r="978" spans="10:10" x14ac:dyDescent="0.3">
      <c r="J978" s="172"/>
    </row>
    <row r="979" spans="10:10" x14ac:dyDescent="0.3">
      <c r="J979" s="172"/>
    </row>
    <row r="980" spans="10:10" x14ac:dyDescent="0.3">
      <c r="J980" s="172"/>
    </row>
    <row r="981" spans="10:10" x14ac:dyDescent="0.3">
      <c r="J981" s="172"/>
    </row>
    <row r="982" spans="10:10" x14ac:dyDescent="0.3">
      <c r="J982" s="172"/>
    </row>
    <row r="983" spans="10:10" x14ac:dyDescent="0.3">
      <c r="J983" s="172"/>
    </row>
    <row r="984" spans="10:10" x14ac:dyDescent="0.3">
      <c r="J984" s="172"/>
    </row>
    <row r="985" spans="10:10" x14ac:dyDescent="0.3">
      <c r="J985" s="172"/>
    </row>
    <row r="986" spans="10:10" x14ac:dyDescent="0.3">
      <c r="J986" s="172"/>
    </row>
    <row r="987" spans="10:10" x14ac:dyDescent="0.3">
      <c r="J987" s="172"/>
    </row>
    <row r="988" spans="10:10" x14ac:dyDescent="0.3">
      <c r="J988" s="172"/>
    </row>
    <row r="989" spans="10:10" x14ac:dyDescent="0.3">
      <c r="J989" s="172"/>
    </row>
    <row r="990" spans="10:10" x14ac:dyDescent="0.3">
      <c r="J990" s="172"/>
    </row>
    <row r="991" spans="10:10" x14ac:dyDescent="0.3">
      <c r="J991" s="172"/>
    </row>
    <row r="992" spans="10:10" x14ac:dyDescent="0.3">
      <c r="J992" s="172"/>
    </row>
    <row r="993" spans="10:10" x14ac:dyDescent="0.3">
      <c r="J993" s="172"/>
    </row>
    <row r="994" spans="10:10" x14ac:dyDescent="0.3">
      <c r="J994" s="172"/>
    </row>
    <row r="995" spans="10:10" x14ac:dyDescent="0.3">
      <c r="J995" s="172"/>
    </row>
    <row r="996" spans="10:10" x14ac:dyDescent="0.3">
      <c r="J996" s="172"/>
    </row>
    <row r="997" spans="10:10" x14ac:dyDescent="0.3">
      <c r="J997" s="172"/>
    </row>
    <row r="998" spans="10:10" x14ac:dyDescent="0.3">
      <c r="J998" s="172"/>
    </row>
    <row r="999" spans="10:10" x14ac:dyDescent="0.3">
      <c r="J999" s="172"/>
    </row>
    <row r="1000" spans="10:10" x14ac:dyDescent="0.3">
      <c r="J1000" s="172"/>
    </row>
    <row r="1001" spans="10:10" x14ac:dyDescent="0.3">
      <c r="J1001" s="172"/>
    </row>
    <row r="1002" spans="10:10" x14ac:dyDescent="0.3">
      <c r="J1002" s="172"/>
    </row>
    <row r="1003" spans="10:10" x14ac:dyDescent="0.3">
      <c r="J1003" s="172"/>
    </row>
    <row r="1004" spans="10:10" x14ac:dyDescent="0.3">
      <c r="J1004" s="172"/>
    </row>
    <row r="1005" spans="10:10" x14ac:dyDescent="0.3">
      <c r="J1005" s="172"/>
    </row>
    <row r="1006" spans="10:10" x14ac:dyDescent="0.3">
      <c r="J1006" s="172"/>
    </row>
    <row r="1007" spans="10:10" x14ac:dyDescent="0.3">
      <c r="J1007" s="172"/>
    </row>
    <row r="1008" spans="10:10" x14ac:dyDescent="0.3">
      <c r="J1008" s="172"/>
    </row>
    <row r="1009" spans="10:10" x14ac:dyDescent="0.3">
      <c r="J1009" s="172"/>
    </row>
    <row r="1010" spans="10:10" x14ac:dyDescent="0.3">
      <c r="J1010" s="172"/>
    </row>
    <row r="1011" spans="10:10" x14ac:dyDescent="0.3">
      <c r="J1011" s="172"/>
    </row>
    <row r="1012" spans="10:10" x14ac:dyDescent="0.3">
      <c r="J1012" s="172"/>
    </row>
    <row r="1013" spans="10:10" x14ac:dyDescent="0.3">
      <c r="J1013" s="172"/>
    </row>
    <row r="1014" spans="10:10" x14ac:dyDescent="0.3">
      <c r="J1014" s="172"/>
    </row>
    <row r="1015" spans="10:10" x14ac:dyDescent="0.3">
      <c r="J1015" s="172"/>
    </row>
    <row r="1016" spans="10:10" x14ac:dyDescent="0.3">
      <c r="J1016" s="172"/>
    </row>
    <row r="1017" spans="10:10" x14ac:dyDescent="0.3">
      <c r="J1017" s="172"/>
    </row>
    <row r="1018" spans="10:10" x14ac:dyDescent="0.3">
      <c r="J1018" s="172"/>
    </row>
    <row r="1019" spans="10:10" x14ac:dyDescent="0.3">
      <c r="J1019" s="172"/>
    </row>
    <row r="1020" spans="10:10" x14ac:dyDescent="0.3">
      <c r="J1020" s="172"/>
    </row>
    <row r="1021" spans="10:10" x14ac:dyDescent="0.3">
      <c r="J1021" s="172"/>
    </row>
    <row r="1022" spans="10:10" x14ac:dyDescent="0.3">
      <c r="J1022" s="172"/>
    </row>
    <row r="1023" spans="10:10" x14ac:dyDescent="0.3">
      <c r="J1023" s="172"/>
    </row>
    <row r="1024" spans="10:10" x14ac:dyDescent="0.3">
      <c r="J1024" s="172"/>
    </row>
    <row r="1025" spans="10:10" x14ac:dyDescent="0.3">
      <c r="J1025" s="172"/>
    </row>
    <row r="1026" spans="10:10" x14ac:dyDescent="0.3">
      <c r="J1026" s="172"/>
    </row>
    <row r="1027" spans="10:10" x14ac:dyDescent="0.3">
      <c r="J1027" s="172"/>
    </row>
    <row r="1028" spans="10:10" x14ac:dyDescent="0.3">
      <c r="J1028" s="172"/>
    </row>
    <row r="1029" spans="10:10" x14ac:dyDescent="0.3">
      <c r="J1029" s="172"/>
    </row>
    <row r="1030" spans="10:10" x14ac:dyDescent="0.3">
      <c r="J1030" s="172"/>
    </row>
    <row r="1031" spans="10:10" x14ac:dyDescent="0.3">
      <c r="J1031" s="172"/>
    </row>
    <row r="1032" spans="10:10" x14ac:dyDescent="0.3">
      <c r="J1032" s="172"/>
    </row>
    <row r="1033" spans="10:10" x14ac:dyDescent="0.3">
      <c r="J1033" s="172"/>
    </row>
    <row r="1034" spans="10:10" x14ac:dyDescent="0.3">
      <c r="J1034" s="172"/>
    </row>
    <row r="1035" spans="10:10" x14ac:dyDescent="0.3">
      <c r="J1035" s="172"/>
    </row>
    <row r="1036" spans="10:10" x14ac:dyDescent="0.3">
      <c r="J1036" s="172"/>
    </row>
    <row r="1037" spans="10:10" x14ac:dyDescent="0.3">
      <c r="J1037" s="172"/>
    </row>
    <row r="1038" spans="10:10" x14ac:dyDescent="0.3">
      <c r="J1038" s="172"/>
    </row>
    <row r="1039" spans="10:10" x14ac:dyDescent="0.3">
      <c r="J1039" s="17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7DD4D-7974-440A-A7EE-91B85DFB2816}">
  <sheetPr>
    <tabColor theme="1" tint="0.249977111117893"/>
  </sheetPr>
  <dimension ref="A1:AM1028"/>
  <sheetViews>
    <sheetView topLeftCell="F1" zoomScale="70" zoomScaleNormal="70" workbookViewId="0">
      <selection activeCell="C16" sqref="C16:AH21"/>
    </sheetView>
  </sheetViews>
  <sheetFormatPr defaultRowHeight="14.4" x14ac:dyDescent="0.3"/>
  <cols>
    <col min="1" max="1" width="4.33203125" style="16" customWidth="1"/>
    <col min="2" max="4" width="15.6640625" customWidth="1"/>
    <col min="5" max="5" width="20.109375" customWidth="1"/>
    <col min="6" max="6" width="19.5546875" customWidth="1"/>
    <col min="7" max="7" width="24.33203125" customWidth="1"/>
    <col min="9" max="18" width="2.6640625" customWidth="1"/>
    <col min="19" max="19" width="12.6640625" bestFit="1" customWidth="1"/>
    <col min="20" max="20" width="12.5546875" customWidth="1"/>
    <col min="21" max="27" width="12.6640625" bestFit="1" customWidth="1"/>
    <col min="28" max="28" width="13.109375" customWidth="1"/>
    <col min="29" max="29" width="12.6640625" customWidth="1"/>
    <col min="30" max="34" width="12.6640625" bestFit="1" customWidth="1"/>
  </cols>
  <sheetData>
    <row r="1" spans="2:39" s="166" customFormat="1" ht="5.0999999999999996" customHeight="1" x14ac:dyDescent="0.3"/>
    <row r="2" spans="2:39" s="166" customFormat="1" x14ac:dyDescent="0.3">
      <c r="B2" s="167" t="s">
        <v>1313</v>
      </c>
      <c r="G2" s="167" t="str">
        <f>'Final demand(7)'!H2</f>
        <v>G77+C_upper</v>
      </c>
      <c r="H2" s="166">
        <f>'Final demand(7)'!H3</f>
        <v>7</v>
      </c>
    </row>
    <row r="3" spans="2:39" s="166" customFormat="1" x14ac:dyDescent="0.3">
      <c r="B3" s="168" t="s">
        <v>1223</v>
      </c>
    </row>
    <row r="4" spans="2:39" s="170" customFormat="1" ht="5.0999999999999996" customHeight="1" thickBot="1" x14ac:dyDescent="0.35">
      <c r="B4" s="169"/>
    </row>
    <row r="5" spans="2:39" s="166" customFormat="1" x14ac:dyDescent="0.3">
      <c r="B5" s="171" t="s">
        <v>1224</v>
      </c>
      <c r="C5" s="171" t="s">
        <v>1225</v>
      </c>
      <c r="D5" s="171" t="s">
        <v>1314</v>
      </c>
      <c r="E5" s="171" t="s">
        <v>1315</v>
      </c>
      <c r="F5" s="171" t="s">
        <v>1230</v>
      </c>
      <c r="G5" s="171" t="s">
        <v>1231</v>
      </c>
    </row>
    <row r="6" spans="2:39" x14ac:dyDescent="0.3">
      <c r="F6" s="205"/>
      <c r="G6" s="37">
        <f>1/3</f>
        <v>0.33333333333333331</v>
      </c>
      <c r="H6" t="s">
        <v>1316</v>
      </c>
    </row>
    <row r="7" spans="2:39" x14ac:dyDescent="0.3">
      <c r="F7" s="205"/>
    </row>
    <row r="8" spans="2:39" x14ac:dyDescent="0.3">
      <c r="B8" t="s">
        <v>579</v>
      </c>
      <c r="C8" t="str">
        <f>_xlfn.IFNA(INDEX('[2]Country list'!$A$2:$A$166,MATCH(B8,'[2]Country list'!$B$2:$B$166,0)),"")</f>
        <v>DEU</v>
      </c>
      <c r="E8" s="4" t="s">
        <v>1238</v>
      </c>
      <c r="F8" t="s">
        <v>1317</v>
      </c>
      <c r="G8" t="s">
        <v>1318</v>
      </c>
    </row>
    <row r="9" spans="2:39" x14ac:dyDescent="0.3">
      <c r="E9" s="4"/>
    </row>
    <row r="10" spans="2:39" x14ac:dyDescent="0.3">
      <c r="E10" s="4"/>
    </row>
    <row r="11" spans="2:39" x14ac:dyDescent="0.3">
      <c r="E11" s="4"/>
    </row>
    <row r="12" spans="2:39" x14ac:dyDescent="0.3">
      <c r="E12" s="4"/>
      <c r="G12" t="s">
        <v>1319</v>
      </c>
    </row>
    <row r="13" spans="2:39" x14ac:dyDescent="0.3">
      <c r="C13" s="174" t="s">
        <v>1246</v>
      </c>
      <c r="D13" s="174"/>
      <c r="E13" s="206" t="s">
        <v>1320</v>
      </c>
      <c r="G13" s="205" t="s">
        <v>1321</v>
      </c>
    </row>
    <row r="14" spans="2:39" s="176" customFormat="1" ht="15" thickBot="1" x14ac:dyDescent="0.35">
      <c r="B14" s="175" t="s">
        <v>1250</v>
      </c>
      <c r="F14" s="207"/>
    </row>
    <row r="15" spans="2:39" s="166" customFormat="1" x14ac:dyDescent="0.3">
      <c r="B15" s="171" t="s">
        <v>1224</v>
      </c>
      <c r="C15" s="171" t="s">
        <v>1225</v>
      </c>
      <c r="D15" s="171" t="s">
        <v>1314</v>
      </c>
      <c r="E15" s="171" t="s">
        <v>1315</v>
      </c>
      <c r="F15" s="171" t="s">
        <v>1230</v>
      </c>
      <c r="G15" s="171" t="s">
        <v>1231</v>
      </c>
      <c r="H15" s="166">
        <v>2019</v>
      </c>
      <c r="I15" s="166">
        <v>2020</v>
      </c>
      <c r="J15" s="166">
        <v>2021</v>
      </c>
      <c r="K15" s="166">
        <v>2022</v>
      </c>
      <c r="L15" s="166">
        <v>2023</v>
      </c>
      <c r="M15" s="166">
        <v>2024</v>
      </c>
      <c r="N15" s="166">
        <v>2025</v>
      </c>
      <c r="O15" s="166">
        <v>2026</v>
      </c>
      <c r="P15" s="166">
        <v>2027</v>
      </c>
      <c r="Q15" s="166">
        <v>2028</v>
      </c>
      <c r="R15" s="166">
        <v>2029</v>
      </c>
      <c r="S15" s="166">
        <v>2030</v>
      </c>
      <c r="T15" s="166">
        <v>2031</v>
      </c>
      <c r="U15" s="166">
        <v>2032</v>
      </c>
      <c r="V15" s="166">
        <v>2033</v>
      </c>
      <c r="W15" s="166">
        <v>2034</v>
      </c>
      <c r="X15" s="166">
        <v>2035</v>
      </c>
      <c r="Y15" s="166">
        <v>2036</v>
      </c>
      <c r="Z15" s="166">
        <v>2037</v>
      </c>
      <c r="AA15" s="166">
        <v>2038</v>
      </c>
      <c r="AB15" s="166">
        <v>2039</v>
      </c>
      <c r="AC15" s="166">
        <v>2040</v>
      </c>
      <c r="AD15" s="166">
        <v>2041</v>
      </c>
      <c r="AE15" s="166">
        <v>2042</v>
      </c>
      <c r="AF15" s="166">
        <v>2043</v>
      </c>
      <c r="AG15" s="166">
        <v>2044</v>
      </c>
      <c r="AH15" s="166">
        <v>2045</v>
      </c>
      <c r="AI15" s="166">
        <v>2046</v>
      </c>
      <c r="AJ15" s="166">
        <v>2047</v>
      </c>
      <c r="AK15" s="166">
        <v>2048</v>
      </c>
      <c r="AL15" s="166">
        <v>2049</v>
      </c>
      <c r="AM15" s="166">
        <v>2050</v>
      </c>
    </row>
    <row r="16" spans="2:39" x14ac:dyDescent="0.3">
      <c r="C16" s="161" t="s">
        <v>1058</v>
      </c>
      <c r="E16" t="s">
        <v>1232</v>
      </c>
      <c r="F16" t="s">
        <v>1240</v>
      </c>
      <c r="G16" s="266">
        <f>SUM(T16:AH16)/1000000</f>
        <v>175.68496500256711</v>
      </c>
      <c r="H16" s="208"/>
      <c r="I16" s="208"/>
      <c r="J16" s="208"/>
      <c r="K16" s="208"/>
      <c r="L16" s="208"/>
      <c r="M16" s="208"/>
      <c r="N16" s="208"/>
      <c r="O16" s="208"/>
      <c r="P16" s="208"/>
      <c r="Q16" s="208"/>
      <c r="R16" s="208"/>
      <c r="T16" s="208">
        <f>VLOOKUP($C16,'MSET pivots'!$B$4:$H$14,$H$2,FALSE)*1000000*$G$6*'MSET pivots'!E$65</f>
        <v>5856253.3421288626</v>
      </c>
      <c r="U16" s="208">
        <f>VLOOKUP($C16,'MSET pivots'!$B$4:$H$14,$H$2,FALSE)*1000000*$G$6*'MSET pivots'!F$65</f>
        <v>6692835.8647063309</v>
      </c>
      <c r="V16" s="208">
        <f>VLOOKUP($C16,'MSET pivots'!$B$4:$H$14,$H$2,FALSE)*1000000*$G$6*'MSET pivots'!G$65</f>
        <v>7529418.3872838002</v>
      </c>
      <c r="W16" s="208">
        <f>VLOOKUP($C16,'MSET pivots'!$B$4:$H$14,$H$2,FALSE)*1000000*$G$6*'MSET pivots'!H$65</f>
        <v>8366000.9098612685</v>
      </c>
      <c r="X16" s="208">
        <f>VLOOKUP($C16,'MSET pivots'!$B$4:$H$14,$H$2,FALSE)*1000000*$G$6*'MSET pivots'!I$65</f>
        <v>9202583.4324387368</v>
      </c>
      <c r="Y16" s="208">
        <f>VLOOKUP($C16,'MSET pivots'!$B$4:$H$14,$H$2,FALSE)*1000000*$G$6*'MSET pivots'!J$65</f>
        <v>10039165.955016207</v>
      </c>
      <c r="Z16" s="208">
        <f>VLOOKUP($C16,'MSET pivots'!$B$4:$H$14,$H$2,FALSE)*1000000*$G$6*'MSET pivots'!K$65</f>
        <v>10875748.477593675</v>
      </c>
      <c r="AA16" s="208">
        <f>VLOOKUP($C16,'MSET pivots'!$B$4:$H$14,$H$2,FALSE)*1000000*$G$6*'MSET pivots'!L$65</f>
        <v>11712331.000171142</v>
      </c>
      <c r="AB16" s="208">
        <f>VLOOKUP($C16,'MSET pivots'!$B$4:$H$14,$H$2,FALSE)*1000000*$G$6*'MSET pivots'!M$65</f>
        <v>12548913.52274861</v>
      </c>
      <c r="AC16" s="208">
        <f>VLOOKUP($C16,'MSET pivots'!$B$4:$H$14,$H$2,FALSE)*1000000*$G$6*'MSET pivots'!N$65</f>
        <v>13385496.045326078</v>
      </c>
      <c r="AD16" s="208">
        <f>VLOOKUP($C16,'MSET pivots'!$B$4:$H$14,$H$2,FALSE)*1000000*$G$6*'MSET pivots'!O$65</f>
        <v>14222078.567903545</v>
      </c>
      <c r="AE16" s="208">
        <f>VLOOKUP($C16,'MSET pivots'!$B$4:$H$14,$H$2,FALSE)*1000000*$G$6*'MSET pivots'!P$65</f>
        <v>15058661.090481013</v>
      </c>
      <c r="AF16" s="208">
        <f>VLOOKUP($C16,'MSET pivots'!$B$4:$H$14,$H$2,FALSE)*1000000*$G$6*'MSET pivots'!Q$65</f>
        <v>15895243.61305848</v>
      </c>
      <c r="AG16" s="208">
        <f>VLOOKUP($C16,'MSET pivots'!$B$4:$H$14,$H$2,FALSE)*1000000*$G$6*'MSET pivots'!R$65</f>
        <v>16731826.135635948</v>
      </c>
      <c r="AH16" s="208">
        <f>VLOOKUP($C16,'MSET pivots'!$B$4:$H$14,$H$2,FALSE)*1000000*$G$6*'MSET pivots'!S$65</f>
        <v>17568408.658213422</v>
      </c>
    </row>
    <row r="17" spans="3:34" x14ac:dyDescent="0.3">
      <c r="C17" t="s">
        <v>1048</v>
      </c>
      <c r="E17" t="s">
        <v>1232</v>
      </c>
      <c r="F17" t="s">
        <v>1240</v>
      </c>
      <c r="G17" s="266">
        <f t="shared" ref="G17:G21" si="0">SUM(T17:AH17)/1000000</f>
        <v>128.10186550285894</v>
      </c>
      <c r="H17" s="208"/>
      <c r="I17" s="208"/>
      <c r="J17" s="208"/>
      <c r="K17" s="208"/>
      <c r="L17" s="208"/>
      <c r="M17" s="208"/>
      <c r="N17" s="208"/>
      <c r="O17" s="208"/>
      <c r="P17" s="208"/>
      <c r="Q17" s="208"/>
      <c r="R17" s="208"/>
      <c r="S17" s="208"/>
      <c r="T17" s="208">
        <f>VLOOKUP($C17,'MSET pivots'!$B$4:$H$14,$H$2,FALSE)*1000000*$G$6*'MSET pivots'!E$65</f>
        <v>4270126.2340411302</v>
      </c>
      <c r="U17" s="208">
        <f>VLOOKUP($C17,'MSET pivots'!$B$4:$H$14,$H$2,FALSE)*1000000*$G$6*'MSET pivots'!F$65</f>
        <v>4880125.967300578</v>
      </c>
      <c r="V17" s="208">
        <f>VLOOKUP($C17,'MSET pivots'!$B$4:$H$14,$H$2,FALSE)*1000000*$G$6*'MSET pivots'!G$65</f>
        <v>5490125.7005600259</v>
      </c>
      <c r="W17" s="208">
        <f>VLOOKUP($C17,'MSET pivots'!$B$4:$H$14,$H$2,FALSE)*1000000*$G$6*'MSET pivots'!H$65</f>
        <v>6100125.4338194737</v>
      </c>
      <c r="X17" s="208">
        <f>VLOOKUP($C17,'MSET pivots'!$B$4:$H$14,$H$2,FALSE)*1000000*$G$6*'MSET pivots'!I$65</f>
        <v>6710125.1670789216</v>
      </c>
      <c r="Y17" s="208">
        <f>VLOOKUP($C17,'MSET pivots'!$B$4:$H$14,$H$2,FALSE)*1000000*$G$6*'MSET pivots'!J$65</f>
        <v>7320124.9003383694</v>
      </c>
      <c r="Z17" s="208">
        <f>VLOOKUP($C17,'MSET pivots'!$B$4:$H$14,$H$2,FALSE)*1000000*$G$6*'MSET pivots'!K$65</f>
        <v>7930124.6335978163</v>
      </c>
      <c r="AA17" s="208">
        <f>VLOOKUP($C17,'MSET pivots'!$B$4:$H$14,$H$2,FALSE)*1000000*$G$6*'MSET pivots'!L$65</f>
        <v>8540124.3668572642</v>
      </c>
      <c r="AB17" s="208">
        <f>VLOOKUP($C17,'MSET pivots'!$B$4:$H$14,$H$2,FALSE)*1000000*$G$6*'MSET pivots'!M$65</f>
        <v>9150124.1001167111</v>
      </c>
      <c r="AC17" s="208">
        <f>VLOOKUP($C17,'MSET pivots'!$B$4:$H$14,$H$2,FALSE)*1000000*$G$6*'MSET pivots'!N$65</f>
        <v>9760123.833376158</v>
      </c>
      <c r="AD17" s="208">
        <f>VLOOKUP($C17,'MSET pivots'!$B$4:$H$14,$H$2,FALSE)*1000000*$G$6*'MSET pivots'!O$65</f>
        <v>10370123.566635605</v>
      </c>
      <c r="AE17" s="208">
        <f>VLOOKUP($C17,'MSET pivots'!$B$4:$H$14,$H$2,FALSE)*1000000*$G$6*'MSET pivots'!P$65</f>
        <v>10980123.299895052</v>
      </c>
      <c r="AF17" s="208">
        <f>VLOOKUP($C17,'MSET pivots'!$B$4:$H$14,$H$2,FALSE)*1000000*$G$6*'MSET pivots'!Q$65</f>
        <v>11590123.033154499</v>
      </c>
      <c r="AG17" s="208">
        <f>VLOOKUP($C17,'MSET pivots'!$B$4:$H$14,$H$2,FALSE)*1000000*$G$6*'MSET pivots'!R$65</f>
        <v>12200122.766413946</v>
      </c>
      <c r="AH17" s="208">
        <f>VLOOKUP($C17,'MSET pivots'!$B$4:$H$14,$H$2,FALSE)*1000000*$G$6*'MSET pivots'!S$65</f>
        <v>12810122.499673396</v>
      </c>
    </row>
    <row r="18" spans="3:34" x14ac:dyDescent="0.3">
      <c r="C18" t="s">
        <v>1011</v>
      </c>
      <c r="E18" t="s">
        <v>1232</v>
      </c>
      <c r="F18" t="s">
        <v>1240</v>
      </c>
      <c r="G18" s="266">
        <f t="shared" si="0"/>
        <v>664.44102752561423</v>
      </c>
      <c r="H18" s="208"/>
      <c r="I18" s="208"/>
      <c r="J18" s="208"/>
      <c r="K18" s="208"/>
      <c r="L18" s="208"/>
      <c r="M18" s="208"/>
      <c r="N18" s="208"/>
      <c r="O18" s="208"/>
      <c r="P18" s="208"/>
      <c r="Q18" s="208"/>
      <c r="R18" s="208"/>
      <c r="S18" s="208"/>
      <c r="T18" s="208">
        <f>VLOOKUP($C18,'MSET pivots'!$B$4:$H$14,$H$2,FALSE)*1000000*$G$6*'MSET pivots'!E$65</f>
        <v>22148366.469706476</v>
      </c>
      <c r="U18" s="208">
        <f>VLOOKUP($C18,'MSET pivots'!$B$4:$H$14,$H$2,FALSE)*1000000*$G$6*'MSET pivots'!F$65</f>
        <v>25312323.902849499</v>
      </c>
      <c r="V18" s="208">
        <f>VLOOKUP($C18,'MSET pivots'!$B$4:$H$14,$H$2,FALSE)*1000000*$G$6*'MSET pivots'!G$65</f>
        <v>28476281.335992519</v>
      </c>
      <c r="W18" s="208">
        <f>VLOOKUP($C18,'MSET pivots'!$B$4:$H$14,$H$2,FALSE)*1000000*$G$6*'MSET pivots'!H$65</f>
        <v>31640238.769135538</v>
      </c>
      <c r="X18" s="208">
        <f>VLOOKUP($C18,'MSET pivots'!$B$4:$H$14,$H$2,FALSE)*1000000*$G$6*'MSET pivots'!I$65</f>
        <v>34804196.202278562</v>
      </c>
      <c r="Y18" s="208">
        <f>VLOOKUP($C18,'MSET pivots'!$B$4:$H$14,$H$2,FALSE)*1000000*$G$6*'MSET pivots'!J$65</f>
        <v>37968153.635421582</v>
      </c>
      <c r="Z18" s="208">
        <f>VLOOKUP($C18,'MSET pivots'!$B$4:$H$14,$H$2,FALSE)*1000000*$G$6*'MSET pivots'!K$65</f>
        <v>41132111.068564601</v>
      </c>
      <c r="AA18" s="208">
        <f>VLOOKUP($C18,'MSET pivots'!$B$4:$H$14,$H$2,FALSE)*1000000*$G$6*'MSET pivots'!L$65</f>
        <v>44296068.501707613</v>
      </c>
      <c r="AB18" s="208">
        <f>VLOOKUP($C18,'MSET pivots'!$B$4:$H$14,$H$2,FALSE)*1000000*$G$6*'MSET pivots'!M$65</f>
        <v>47460025.934850633</v>
      </c>
      <c r="AC18" s="208">
        <f>VLOOKUP($C18,'MSET pivots'!$B$4:$H$14,$H$2,FALSE)*1000000*$G$6*'MSET pivots'!N$65</f>
        <v>50623983.367993645</v>
      </c>
      <c r="AD18" s="208">
        <f>VLOOKUP($C18,'MSET pivots'!$B$4:$H$14,$H$2,FALSE)*1000000*$G$6*'MSET pivots'!O$65</f>
        <v>53787940.801136665</v>
      </c>
      <c r="AE18" s="208">
        <f>VLOOKUP($C18,'MSET pivots'!$B$4:$H$14,$H$2,FALSE)*1000000*$G$6*'MSET pivots'!P$65</f>
        <v>56951898.234279677</v>
      </c>
      <c r="AF18" s="208">
        <f>VLOOKUP($C18,'MSET pivots'!$B$4:$H$14,$H$2,FALSE)*1000000*$G$6*'MSET pivots'!Q$65</f>
        <v>60115855.667422697</v>
      </c>
      <c r="AG18" s="208">
        <f>VLOOKUP($C18,'MSET pivots'!$B$4:$H$14,$H$2,FALSE)*1000000*$G$6*'MSET pivots'!R$65</f>
        <v>63279813.100565709</v>
      </c>
      <c r="AH18" s="208">
        <f>VLOOKUP($C18,'MSET pivots'!$B$4:$H$14,$H$2,FALSE)*1000000*$G$6*'MSET pivots'!S$65</f>
        <v>66443770.533708751</v>
      </c>
    </row>
    <row r="19" spans="3:34" x14ac:dyDescent="0.3">
      <c r="C19" s="161" t="s">
        <v>1052</v>
      </c>
      <c r="E19" t="s">
        <v>1232</v>
      </c>
      <c r="F19" t="s">
        <v>1240</v>
      </c>
      <c r="G19" s="266">
        <f t="shared" si="0"/>
        <v>161.30492391198538</v>
      </c>
      <c r="H19" s="208"/>
      <c r="I19" s="208"/>
      <c r="J19" s="208"/>
      <c r="K19" s="208"/>
      <c r="L19" s="208"/>
      <c r="M19" s="208"/>
      <c r="N19" s="208"/>
      <c r="O19" s="208"/>
      <c r="P19" s="208"/>
      <c r="Q19" s="208"/>
      <c r="R19" s="208"/>
      <c r="S19" s="208"/>
      <c r="T19" s="208">
        <f>VLOOKUP($C19,'MSET pivots'!$B$4:$H$14,$H$2,FALSE)*1000000*$G$6*'MSET pivots'!E$65</f>
        <v>5376911.4491248755</v>
      </c>
      <c r="U19" s="208">
        <f>VLOOKUP($C19,'MSET pivots'!$B$4:$H$14,$H$2,FALSE)*1000000*$G$6*'MSET pivots'!F$65</f>
        <v>6145018.6126973731</v>
      </c>
      <c r="V19" s="208">
        <f>VLOOKUP($C19,'MSET pivots'!$B$4:$H$14,$H$2,FALSE)*1000000*$G$6*'MSET pivots'!G$65</f>
        <v>6913125.7762698717</v>
      </c>
      <c r="W19" s="208">
        <f>VLOOKUP($C19,'MSET pivots'!$B$4:$H$14,$H$2,FALSE)*1000000*$G$6*'MSET pivots'!H$65</f>
        <v>7681232.9398423694</v>
      </c>
      <c r="X19" s="208">
        <f>VLOOKUP($C19,'MSET pivots'!$B$4:$H$14,$H$2,FALSE)*1000000*$G$6*'MSET pivots'!I$65</f>
        <v>8449340.1034148671</v>
      </c>
      <c r="Y19" s="208">
        <f>VLOOKUP($C19,'MSET pivots'!$B$4:$H$14,$H$2,FALSE)*1000000*$G$6*'MSET pivots'!J$65</f>
        <v>9217447.2669873647</v>
      </c>
      <c r="Z19" s="208">
        <f>VLOOKUP($C19,'MSET pivots'!$B$4:$H$14,$H$2,FALSE)*1000000*$G$6*'MSET pivots'!K$65</f>
        <v>9985554.4305598624</v>
      </c>
      <c r="AA19" s="208">
        <f>VLOOKUP($C19,'MSET pivots'!$B$4:$H$14,$H$2,FALSE)*1000000*$G$6*'MSET pivots'!L$65</f>
        <v>10753661.59413236</v>
      </c>
      <c r="AB19" s="208">
        <f>VLOOKUP($C19,'MSET pivots'!$B$4:$H$14,$H$2,FALSE)*1000000*$G$6*'MSET pivots'!M$65</f>
        <v>11521768.757704856</v>
      </c>
      <c r="AC19" s="208">
        <f>VLOOKUP($C19,'MSET pivots'!$B$4:$H$14,$H$2,FALSE)*1000000*$G$6*'MSET pivots'!N$65</f>
        <v>12289875.921277354</v>
      </c>
      <c r="AD19" s="208">
        <f>VLOOKUP($C19,'MSET pivots'!$B$4:$H$14,$H$2,FALSE)*1000000*$G$6*'MSET pivots'!O$65</f>
        <v>13057983.084849849</v>
      </c>
      <c r="AE19" s="208">
        <f>VLOOKUP($C19,'MSET pivots'!$B$4:$H$14,$H$2,FALSE)*1000000*$G$6*'MSET pivots'!P$65</f>
        <v>13826090.248422347</v>
      </c>
      <c r="AF19" s="208">
        <f>VLOOKUP($C19,'MSET pivots'!$B$4:$H$14,$H$2,FALSE)*1000000*$G$6*'MSET pivots'!Q$65</f>
        <v>14594197.411994843</v>
      </c>
      <c r="AG19" s="208">
        <f>VLOOKUP($C19,'MSET pivots'!$B$4:$H$14,$H$2,FALSE)*1000000*$G$6*'MSET pivots'!R$65</f>
        <v>15362304.57556734</v>
      </c>
      <c r="AH19" s="208">
        <f>VLOOKUP($C19,'MSET pivots'!$B$4:$H$14,$H$2,FALSE)*1000000*$G$6*'MSET pivots'!S$65</f>
        <v>16130411.739139844</v>
      </c>
    </row>
    <row r="20" spans="3:34" x14ac:dyDescent="0.3">
      <c r="C20" t="s">
        <v>1021</v>
      </c>
      <c r="E20" t="s">
        <v>1232</v>
      </c>
      <c r="F20" t="s">
        <v>1240</v>
      </c>
      <c r="G20" s="266">
        <f t="shared" si="0"/>
        <v>215.59555315238964</v>
      </c>
      <c r="H20" s="208"/>
      <c r="I20" s="208"/>
      <c r="J20" s="208"/>
      <c r="K20" s="208"/>
      <c r="L20" s="208"/>
      <c r="M20" s="208"/>
      <c r="N20" s="208"/>
      <c r="O20" s="208"/>
      <c r="P20" s="208"/>
      <c r="Q20" s="208"/>
      <c r="R20" s="208"/>
      <c r="S20" s="208">
        <f>'Preliminary results'!$C$31*1000000*G6</f>
        <v>902060.73048874759</v>
      </c>
      <c r="T20" s="208">
        <f>VLOOKUP($C20,'MSET pivots'!$B$4:$H$14,$H$2,FALSE)*1000000*$G$6*'MSET pivots'!E$65</f>
        <v>7186626.2356505776</v>
      </c>
      <c r="U20" s="208">
        <f>VLOOKUP($C20,'MSET pivots'!$B$4:$H$14,$H$2,FALSE)*1000000*$G$6*'MSET pivots'!F$65</f>
        <v>8213256.3272470636</v>
      </c>
      <c r="V20" s="208">
        <f>VLOOKUP($C20,'MSET pivots'!$B$4:$H$14,$H$2,FALSE)*1000000*$G$6*'MSET pivots'!G$65</f>
        <v>9239886.4188435487</v>
      </c>
      <c r="W20" s="208">
        <f>VLOOKUP($C20,'MSET pivots'!$B$4:$H$14,$H$2,FALSE)*1000000*$G$6*'MSET pivots'!H$65</f>
        <v>10266516.510440035</v>
      </c>
      <c r="X20" s="208">
        <f>VLOOKUP($C20,'MSET pivots'!$B$4:$H$14,$H$2,FALSE)*1000000*$G$6*'MSET pivots'!I$65</f>
        <v>11293146.602036521</v>
      </c>
      <c r="Y20" s="208">
        <f>VLOOKUP($C20,'MSET pivots'!$B$4:$H$14,$H$2,FALSE)*1000000*$G$6*'MSET pivots'!J$65</f>
        <v>12319776.693633005</v>
      </c>
      <c r="Z20" s="208">
        <f>VLOOKUP($C20,'MSET pivots'!$B$4:$H$14,$H$2,FALSE)*1000000*$G$6*'MSET pivots'!K$65</f>
        <v>13346406.785229491</v>
      </c>
      <c r="AA20" s="208">
        <f>VLOOKUP($C20,'MSET pivots'!$B$4:$H$14,$H$2,FALSE)*1000000*$G$6*'MSET pivots'!L$65</f>
        <v>14373036.876825975</v>
      </c>
      <c r="AB20" s="208">
        <f>VLOOKUP($C20,'MSET pivots'!$B$4:$H$14,$H$2,FALSE)*1000000*$G$6*'MSET pivots'!M$65</f>
        <v>15399666.968422459</v>
      </c>
      <c r="AC20" s="208">
        <f>VLOOKUP($C20,'MSET pivots'!$B$4:$H$14,$H$2,FALSE)*1000000*$G$6*'MSET pivots'!N$65</f>
        <v>16426297.060018944</v>
      </c>
      <c r="AD20" s="208">
        <f>VLOOKUP($C20,'MSET pivots'!$B$4:$H$14,$H$2,FALSE)*1000000*$G$6*'MSET pivots'!O$65</f>
        <v>17452927.151615426</v>
      </c>
      <c r="AE20" s="208">
        <f>VLOOKUP($C20,'MSET pivots'!$B$4:$H$14,$H$2,FALSE)*1000000*$G$6*'MSET pivots'!P$65</f>
        <v>18479557.24321191</v>
      </c>
      <c r="AF20" s="208">
        <f>VLOOKUP($C20,'MSET pivots'!$B$4:$H$14,$H$2,FALSE)*1000000*$G$6*'MSET pivots'!Q$65</f>
        <v>19506187.334808394</v>
      </c>
      <c r="AG20" s="208">
        <f>VLOOKUP($C20,'MSET pivots'!$B$4:$H$14,$H$2,FALSE)*1000000*$G$6*'MSET pivots'!R$65</f>
        <v>20532817.426404878</v>
      </c>
      <c r="AH20" s="208">
        <f>VLOOKUP($C20,'MSET pivots'!$B$4:$H$14,$H$2,FALSE)*1000000*$G$6*'MSET pivots'!S$65</f>
        <v>21559447.518001374</v>
      </c>
    </row>
    <row r="21" spans="3:34" x14ac:dyDescent="0.3">
      <c r="C21" t="s">
        <v>1056</v>
      </c>
      <c r="E21" t="s">
        <v>1232</v>
      </c>
      <c r="F21" t="s">
        <v>1240</v>
      </c>
      <c r="G21" s="266">
        <f t="shared" si="0"/>
        <v>80.042377146949747</v>
      </c>
      <c r="H21" s="208"/>
      <c r="I21" s="208"/>
      <c r="J21" s="208"/>
      <c r="K21" s="208"/>
      <c r="L21" s="208"/>
      <c r="M21" s="208"/>
      <c r="N21" s="208"/>
      <c r="O21" s="208"/>
      <c r="P21" s="208"/>
      <c r="Q21" s="208"/>
      <c r="R21" s="208"/>
      <c r="S21" s="208"/>
      <c r="T21" s="208">
        <f>VLOOKUP($C21,'MSET pivots'!$B$4:$H$14,$H$2,FALSE)*1000000*$G$6*'MSET pivots'!E$65</f>
        <v>2668119.259220127</v>
      </c>
      <c r="U21" s="208">
        <f>VLOOKUP($C21,'MSET pivots'!$B$4:$H$14,$H$2,FALSE)*1000000*$G$6*'MSET pivots'!F$65</f>
        <v>3049267.7188262972</v>
      </c>
      <c r="V21" s="208">
        <f>VLOOKUP($C21,'MSET pivots'!$B$4:$H$14,$H$2,FALSE)*1000000*$G$6*'MSET pivots'!G$65</f>
        <v>3430416.1784324674</v>
      </c>
      <c r="W21" s="208">
        <f>VLOOKUP($C21,'MSET pivots'!$B$4:$H$14,$H$2,FALSE)*1000000*$G$6*'MSET pivots'!H$65</f>
        <v>3811564.6380386371</v>
      </c>
      <c r="X21" s="208">
        <f>VLOOKUP($C21,'MSET pivots'!$B$4:$H$14,$H$2,FALSE)*1000000*$G$6*'MSET pivots'!I$65</f>
        <v>4192713.0976448073</v>
      </c>
      <c r="Y21" s="208">
        <f>VLOOKUP($C21,'MSET pivots'!$B$4:$H$14,$H$2,FALSE)*1000000*$G$6*'MSET pivots'!J$65</f>
        <v>4573861.5572509775</v>
      </c>
      <c r="Z21" s="208">
        <f>VLOOKUP($C21,'MSET pivots'!$B$4:$H$14,$H$2,FALSE)*1000000*$G$6*'MSET pivots'!K$65</f>
        <v>4955010.0168571472</v>
      </c>
      <c r="AA21" s="208">
        <f>VLOOKUP($C21,'MSET pivots'!$B$4:$H$14,$H$2,FALSE)*1000000*$G$6*'MSET pivots'!L$65</f>
        <v>5336158.4764633169</v>
      </c>
      <c r="AB21" s="208">
        <f>VLOOKUP($C21,'MSET pivots'!$B$4:$H$14,$H$2,FALSE)*1000000*$G$6*'MSET pivots'!M$65</f>
        <v>5717306.9360694867</v>
      </c>
      <c r="AC21" s="208">
        <f>VLOOKUP($C21,'MSET pivots'!$B$4:$H$14,$H$2,FALSE)*1000000*$G$6*'MSET pivots'!N$65</f>
        <v>6098455.3956756564</v>
      </c>
      <c r="AD21" s="208">
        <f>VLOOKUP($C21,'MSET pivots'!$B$4:$H$14,$H$2,FALSE)*1000000*$G$6*'MSET pivots'!O$65</f>
        <v>6479603.8552818252</v>
      </c>
      <c r="AE21" s="208">
        <f>VLOOKUP($C21,'MSET pivots'!$B$4:$H$14,$H$2,FALSE)*1000000*$G$6*'MSET pivots'!P$65</f>
        <v>6860752.3148879949</v>
      </c>
      <c r="AF21" s="208">
        <f>VLOOKUP($C21,'MSET pivots'!$B$4:$H$14,$H$2,FALSE)*1000000*$G$6*'MSET pivots'!Q$65</f>
        <v>7241900.7744941646</v>
      </c>
      <c r="AG21" s="208">
        <f>VLOOKUP($C21,'MSET pivots'!$B$4:$H$14,$H$2,FALSE)*1000000*$G$6*'MSET pivots'!R$65</f>
        <v>7623049.2341003343</v>
      </c>
      <c r="AH21" s="208">
        <f>VLOOKUP($C21,'MSET pivots'!$B$4:$H$14,$H$2,FALSE)*1000000*$G$6*'MSET pivots'!S$65</f>
        <v>8004197.6937065069</v>
      </c>
    </row>
    <row r="22" spans="3:34" x14ac:dyDescent="0.3">
      <c r="F22" s="205"/>
      <c r="H22" s="208"/>
      <c r="I22" s="208"/>
      <c r="J22" s="208"/>
      <c r="K22" s="208"/>
      <c r="L22" s="208"/>
      <c r="M22" s="208"/>
      <c r="N22" s="208"/>
      <c r="O22" s="208"/>
      <c r="P22" s="208"/>
      <c r="Q22" s="208"/>
      <c r="R22" s="208"/>
      <c r="S22" s="208"/>
      <c r="T22" s="208"/>
      <c r="U22" s="208"/>
      <c r="V22" s="208"/>
      <c r="W22" s="208"/>
      <c r="X22" s="208"/>
      <c r="Y22" s="208"/>
      <c r="Z22" s="208"/>
      <c r="AA22" s="208"/>
      <c r="AB22" s="208"/>
      <c r="AC22" s="208"/>
    </row>
    <row r="23" spans="3:34" x14ac:dyDescent="0.3">
      <c r="F23" s="205"/>
      <c r="H23" s="208"/>
      <c r="I23" s="208"/>
      <c r="J23" s="208"/>
      <c r="K23" s="208"/>
      <c r="L23" s="208"/>
      <c r="M23" s="208"/>
      <c r="N23" s="208"/>
      <c r="O23" s="208"/>
      <c r="P23" s="208"/>
      <c r="Q23" s="208"/>
      <c r="R23" s="208"/>
      <c r="S23" s="208"/>
      <c r="T23" s="208"/>
      <c r="U23" s="208"/>
      <c r="V23" s="208"/>
      <c r="W23" s="208"/>
      <c r="X23" s="208"/>
      <c r="Y23" s="208"/>
      <c r="Z23" s="208"/>
      <c r="AA23" s="208"/>
      <c r="AB23" s="208"/>
      <c r="AC23" s="208"/>
    </row>
    <row r="24" spans="3:34" x14ac:dyDescent="0.3">
      <c r="F24" s="205"/>
      <c r="G24" s="182"/>
      <c r="H24" s="208"/>
      <c r="I24" s="208"/>
      <c r="J24" s="208"/>
      <c r="K24" s="208"/>
      <c r="L24" s="208"/>
      <c r="M24" s="208"/>
      <c r="N24" s="208"/>
      <c r="O24" s="208"/>
      <c r="P24" s="208"/>
      <c r="Q24" s="208"/>
      <c r="R24" s="208"/>
      <c r="S24" s="208"/>
      <c r="T24" s="208"/>
      <c r="U24" s="208"/>
      <c r="V24" s="208"/>
      <c r="W24" s="208"/>
      <c r="X24" s="208"/>
      <c r="Y24" s="208"/>
      <c r="Z24" s="208"/>
      <c r="AA24" s="208"/>
      <c r="AB24" s="208"/>
      <c r="AC24" s="208"/>
    </row>
    <row r="25" spans="3:34" x14ac:dyDescent="0.3">
      <c r="F25" s="205"/>
      <c r="H25" s="208"/>
      <c r="I25" s="208"/>
      <c r="J25" s="208"/>
      <c r="K25" s="208"/>
      <c r="L25" s="208"/>
      <c r="M25" s="208"/>
      <c r="N25" s="208"/>
      <c r="O25" s="208"/>
      <c r="P25" s="208"/>
      <c r="Q25" s="208"/>
      <c r="R25" s="208"/>
      <c r="S25" s="208"/>
      <c r="T25" s="208"/>
      <c r="U25" s="208"/>
      <c r="V25" s="208"/>
      <c r="W25" s="208"/>
      <c r="X25" s="208"/>
      <c r="Y25" s="208"/>
      <c r="Z25" s="208"/>
      <c r="AA25" s="208"/>
      <c r="AB25" s="208"/>
      <c r="AC25" s="208"/>
    </row>
    <row r="26" spans="3:34" x14ac:dyDescent="0.3">
      <c r="F26" s="205"/>
      <c r="H26" s="208"/>
      <c r="I26" s="208"/>
      <c r="J26" s="208"/>
      <c r="K26" s="208"/>
      <c r="L26" s="208"/>
      <c r="M26" s="208"/>
      <c r="N26" s="208"/>
      <c r="O26" s="208"/>
      <c r="P26" s="208"/>
      <c r="Q26" s="208"/>
      <c r="R26" s="208"/>
      <c r="S26" s="208"/>
      <c r="T26" s="208"/>
      <c r="U26" s="208"/>
      <c r="V26" s="208"/>
      <c r="W26" s="208"/>
      <c r="X26" s="208"/>
      <c r="Y26" s="208"/>
      <c r="Z26" s="208"/>
      <c r="AA26" s="208"/>
      <c r="AB26" s="208"/>
      <c r="AC26" s="208"/>
    </row>
    <row r="27" spans="3:34" x14ac:dyDescent="0.3">
      <c r="F27" s="205"/>
      <c r="H27" s="208"/>
      <c r="I27" s="208"/>
      <c r="J27" s="208"/>
      <c r="K27" s="208"/>
      <c r="L27" s="208"/>
      <c r="M27" s="208"/>
      <c r="N27" s="208"/>
      <c r="O27" s="208"/>
      <c r="P27" s="208"/>
      <c r="Q27" s="208"/>
      <c r="R27" s="208"/>
      <c r="S27" s="208"/>
      <c r="T27" s="208"/>
      <c r="U27" s="208"/>
      <c r="V27" s="208"/>
      <c r="W27" s="208"/>
      <c r="X27" s="208"/>
      <c r="Y27" s="208"/>
      <c r="Z27" s="208"/>
      <c r="AA27" s="208"/>
      <c r="AB27" s="208"/>
      <c r="AC27" s="208"/>
    </row>
    <row r="28" spans="3:34" x14ac:dyDescent="0.3">
      <c r="F28" s="205"/>
      <c r="H28" s="208"/>
      <c r="I28" s="208"/>
      <c r="J28" s="208"/>
      <c r="K28" s="208"/>
      <c r="L28" s="208"/>
      <c r="M28" s="208"/>
      <c r="N28" s="208"/>
      <c r="O28" s="208"/>
      <c r="P28" s="208"/>
      <c r="Q28" s="208"/>
      <c r="R28" s="208"/>
      <c r="S28" s="208"/>
      <c r="T28" s="208"/>
      <c r="U28" s="208"/>
      <c r="V28" s="208"/>
      <c r="W28" s="208"/>
      <c r="X28" s="208"/>
      <c r="Y28" s="208"/>
      <c r="Z28" s="208"/>
      <c r="AA28" s="208"/>
      <c r="AB28" s="208"/>
      <c r="AC28" s="208"/>
    </row>
    <row r="29" spans="3:34" x14ac:dyDescent="0.3">
      <c r="F29" s="205"/>
      <c r="H29" s="208"/>
      <c r="I29" s="208"/>
      <c r="J29" s="208"/>
      <c r="K29" s="208"/>
      <c r="L29" s="208"/>
      <c r="M29" s="208"/>
      <c r="N29" s="208"/>
      <c r="O29" s="208"/>
      <c r="P29" s="208"/>
      <c r="Q29" s="208"/>
      <c r="R29" s="208"/>
      <c r="S29" s="208"/>
      <c r="T29" s="208"/>
      <c r="U29" s="208"/>
      <c r="V29" s="208"/>
      <c r="W29" s="208"/>
      <c r="X29" s="208"/>
      <c r="Y29" s="208"/>
      <c r="Z29" s="208"/>
      <c r="AA29" s="208"/>
      <c r="AB29" s="208"/>
      <c r="AC29" s="208"/>
    </row>
    <row r="30" spans="3:34" x14ac:dyDescent="0.3">
      <c r="F30" s="205"/>
      <c r="H30" s="209"/>
      <c r="I30" s="209"/>
      <c r="J30" s="209"/>
      <c r="K30" s="209"/>
      <c r="L30" s="209"/>
      <c r="M30" s="209"/>
      <c r="N30" s="209"/>
      <c r="O30" s="209"/>
      <c r="P30" s="209"/>
      <c r="Q30" s="209"/>
      <c r="R30" s="209"/>
      <c r="S30" s="209"/>
      <c r="T30" s="209"/>
      <c r="U30" s="209"/>
      <c r="V30" s="209"/>
      <c r="W30" s="209"/>
      <c r="X30" s="209"/>
      <c r="Y30" s="209"/>
      <c r="Z30" s="209"/>
      <c r="AA30" s="209"/>
      <c r="AB30" s="209"/>
      <c r="AC30" s="209"/>
    </row>
    <row r="31" spans="3:34" x14ac:dyDescent="0.3">
      <c r="F31" s="205"/>
    </row>
    <row r="32" spans="3:34" x14ac:dyDescent="0.3">
      <c r="F32" s="205"/>
    </row>
    <row r="33" spans="6:6" x14ac:dyDescent="0.3">
      <c r="F33" s="205"/>
    </row>
    <row r="34" spans="6:6" x14ac:dyDescent="0.3">
      <c r="F34" s="205"/>
    </row>
    <row r="35" spans="6:6" x14ac:dyDescent="0.3">
      <c r="F35" s="205"/>
    </row>
    <row r="36" spans="6:6" x14ac:dyDescent="0.3">
      <c r="F36" s="205"/>
    </row>
    <row r="37" spans="6:6" x14ac:dyDescent="0.3">
      <c r="F37" s="205"/>
    </row>
    <row r="38" spans="6:6" x14ac:dyDescent="0.3">
      <c r="F38" s="205"/>
    </row>
    <row r="39" spans="6:6" x14ac:dyDescent="0.3">
      <c r="F39" s="205"/>
    </row>
    <row r="40" spans="6:6" x14ac:dyDescent="0.3">
      <c r="F40" s="205"/>
    </row>
    <row r="41" spans="6:6" x14ac:dyDescent="0.3">
      <c r="F41" s="205"/>
    </row>
    <row r="42" spans="6:6" x14ac:dyDescent="0.3">
      <c r="F42" s="205"/>
    </row>
    <row r="43" spans="6:6" x14ac:dyDescent="0.3">
      <c r="F43" s="205"/>
    </row>
    <row r="44" spans="6:6" x14ac:dyDescent="0.3">
      <c r="F44" s="205"/>
    </row>
    <row r="45" spans="6:6" x14ac:dyDescent="0.3">
      <c r="F45" s="205"/>
    </row>
    <row r="46" spans="6:6" x14ac:dyDescent="0.3">
      <c r="F46" s="205"/>
    </row>
    <row r="47" spans="6:6" x14ac:dyDescent="0.3">
      <c r="F47" s="205"/>
    </row>
    <row r="48" spans="6:6" x14ac:dyDescent="0.3">
      <c r="F48" s="205"/>
    </row>
    <row r="49" spans="6:6" x14ac:dyDescent="0.3">
      <c r="F49" s="205"/>
    </row>
    <row r="50" spans="6:6" x14ac:dyDescent="0.3">
      <c r="F50" s="205"/>
    </row>
    <row r="51" spans="6:6" x14ac:dyDescent="0.3">
      <c r="F51" s="205"/>
    </row>
    <row r="52" spans="6:6" x14ac:dyDescent="0.3">
      <c r="F52" s="205"/>
    </row>
    <row r="53" spans="6:6" x14ac:dyDescent="0.3">
      <c r="F53" s="205"/>
    </row>
    <row r="54" spans="6:6" x14ac:dyDescent="0.3">
      <c r="F54" s="205"/>
    </row>
    <row r="55" spans="6:6" x14ac:dyDescent="0.3">
      <c r="F55" s="205"/>
    </row>
    <row r="56" spans="6:6" x14ac:dyDescent="0.3">
      <c r="F56" s="205"/>
    </row>
    <row r="57" spans="6:6" x14ac:dyDescent="0.3">
      <c r="F57" s="205"/>
    </row>
    <row r="58" spans="6:6" x14ac:dyDescent="0.3">
      <c r="F58" s="205"/>
    </row>
    <row r="59" spans="6:6" x14ac:dyDescent="0.3">
      <c r="F59" s="205"/>
    </row>
    <row r="60" spans="6:6" x14ac:dyDescent="0.3">
      <c r="F60" s="205"/>
    </row>
    <row r="61" spans="6:6" x14ac:dyDescent="0.3">
      <c r="F61" s="205"/>
    </row>
    <row r="62" spans="6:6" x14ac:dyDescent="0.3">
      <c r="F62" s="205"/>
    </row>
    <row r="63" spans="6:6" x14ac:dyDescent="0.3">
      <c r="F63" s="205"/>
    </row>
    <row r="64" spans="6:6" x14ac:dyDescent="0.3">
      <c r="F64" s="205"/>
    </row>
    <row r="65" spans="6:6" x14ac:dyDescent="0.3">
      <c r="F65" s="205"/>
    </row>
    <row r="66" spans="6:6" x14ac:dyDescent="0.3">
      <c r="F66" s="205"/>
    </row>
    <row r="67" spans="6:6" x14ac:dyDescent="0.3">
      <c r="F67" s="205"/>
    </row>
    <row r="68" spans="6:6" x14ac:dyDescent="0.3">
      <c r="F68" s="205"/>
    </row>
    <row r="69" spans="6:6" x14ac:dyDescent="0.3">
      <c r="F69" s="205"/>
    </row>
    <row r="70" spans="6:6" x14ac:dyDescent="0.3">
      <c r="F70" s="205"/>
    </row>
    <row r="71" spans="6:6" x14ac:dyDescent="0.3">
      <c r="F71" s="205"/>
    </row>
    <row r="72" spans="6:6" x14ac:dyDescent="0.3">
      <c r="F72" s="205"/>
    </row>
    <row r="73" spans="6:6" x14ac:dyDescent="0.3">
      <c r="F73" s="205"/>
    </row>
    <row r="74" spans="6:6" x14ac:dyDescent="0.3">
      <c r="F74" s="205"/>
    </row>
    <row r="75" spans="6:6" x14ac:dyDescent="0.3">
      <c r="F75" s="205"/>
    </row>
    <row r="76" spans="6:6" x14ac:dyDescent="0.3">
      <c r="F76" s="205"/>
    </row>
    <row r="77" spans="6:6" x14ac:dyDescent="0.3">
      <c r="F77" s="205"/>
    </row>
    <row r="78" spans="6:6" x14ac:dyDescent="0.3">
      <c r="F78" s="205"/>
    </row>
    <row r="79" spans="6:6" x14ac:dyDescent="0.3">
      <c r="F79" s="205"/>
    </row>
    <row r="80" spans="6:6" x14ac:dyDescent="0.3">
      <c r="F80" s="205"/>
    </row>
    <row r="81" spans="6:6" x14ac:dyDescent="0.3">
      <c r="F81" s="205"/>
    </row>
    <row r="82" spans="6:6" x14ac:dyDescent="0.3">
      <c r="F82" s="205"/>
    </row>
    <row r="83" spans="6:6" x14ac:dyDescent="0.3">
      <c r="F83" s="205"/>
    </row>
    <row r="84" spans="6:6" x14ac:dyDescent="0.3">
      <c r="F84" s="205"/>
    </row>
    <row r="85" spans="6:6" x14ac:dyDescent="0.3">
      <c r="F85" s="205"/>
    </row>
    <row r="86" spans="6:6" x14ac:dyDescent="0.3">
      <c r="F86" s="205"/>
    </row>
    <row r="87" spans="6:6" x14ac:dyDescent="0.3">
      <c r="F87" s="205"/>
    </row>
    <row r="88" spans="6:6" x14ac:dyDescent="0.3">
      <c r="F88" s="205"/>
    </row>
    <row r="89" spans="6:6" x14ac:dyDescent="0.3">
      <c r="F89" s="205"/>
    </row>
    <row r="90" spans="6:6" x14ac:dyDescent="0.3">
      <c r="F90" s="205"/>
    </row>
    <row r="91" spans="6:6" x14ac:dyDescent="0.3">
      <c r="F91" s="205"/>
    </row>
    <row r="92" spans="6:6" x14ac:dyDescent="0.3">
      <c r="F92" s="205"/>
    </row>
    <row r="93" spans="6:6" x14ac:dyDescent="0.3">
      <c r="F93" s="205"/>
    </row>
    <row r="94" spans="6:6" x14ac:dyDescent="0.3">
      <c r="F94" s="205"/>
    </row>
    <row r="95" spans="6:6" x14ac:dyDescent="0.3">
      <c r="F95" s="205"/>
    </row>
    <row r="96" spans="6:6" x14ac:dyDescent="0.3">
      <c r="F96" s="205"/>
    </row>
    <row r="97" spans="6:6" x14ac:dyDescent="0.3">
      <c r="F97" s="205"/>
    </row>
    <row r="98" spans="6:6" x14ac:dyDescent="0.3">
      <c r="F98" s="205"/>
    </row>
    <row r="99" spans="6:6" x14ac:dyDescent="0.3">
      <c r="F99" s="205"/>
    </row>
    <row r="100" spans="6:6" x14ac:dyDescent="0.3">
      <c r="F100" s="205"/>
    </row>
    <row r="101" spans="6:6" x14ac:dyDescent="0.3">
      <c r="F101" s="205"/>
    </row>
    <row r="102" spans="6:6" x14ac:dyDescent="0.3">
      <c r="F102" s="205"/>
    </row>
    <row r="103" spans="6:6" x14ac:dyDescent="0.3">
      <c r="F103" s="205"/>
    </row>
    <row r="104" spans="6:6" x14ac:dyDescent="0.3">
      <c r="F104" s="205"/>
    </row>
    <row r="105" spans="6:6" x14ac:dyDescent="0.3">
      <c r="F105" s="205"/>
    </row>
    <row r="106" spans="6:6" x14ac:dyDescent="0.3">
      <c r="F106" s="205"/>
    </row>
    <row r="107" spans="6:6" x14ac:dyDescent="0.3">
      <c r="F107" s="205"/>
    </row>
    <row r="108" spans="6:6" x14ac:dyDescent="0.3">
      <c r="F108" s="205"/>
    </row>
    <row r="109" spans="6:6" x14ac:dyDescent="0.3">
      <c r="F109" s="205"/>
    </row>
    <row r="110" spans="6:6" x14ac:dyDescent="0.3">
      <c r="F110" s="205"/>
    </row>
    <row r="111" spans="6:6" x14ac:dyDescent="0.3">
      <c r="F111" s="205"/>
    </row>
    <row r="112" spans="6:6" x14ac:dyDescent="0.3">
      <c r="F112" s="205"/>
    </row>
    <row r="113" spans="6:6" x14ac:dyDescent="0.3">
      <c r="F113" s="205"/>
    </row>
    <row r="114" spans="6:6" x14ac:dyDescent="0.3">
      <c r="F114" s="205"/>
    </row>
    <row r="115" spans="6:6" x14ac:dyDescent="0.3">
      <c r="F115" s="205"/>
    </row>
    <row r="116" spans="6:6" x14ac:dyDescent="0.3">
      <c r="F116" s="205"/>
    </row>
    <row r="117" spans="6:6" x14ac:dyDescent="0.3">
      <c r="F117" s="205"/>
    </row>
    <row r="118" spans="6:6" x14ac:dyDescent="0.3">
      <c r="F118" s="205"/>
    </row>
    <row r="119" spans="6:6" x14ac:dyDescent="0.3">
      <c r="F119" s="205"/>
    </row>
    <row r="120" spans="6:6" x14ac:dyDescent="0.3">
      <c r="F120" s="205"/>
    </row>
    <row r="121" spans="6:6" x14ac:dyDescent="0.3">
      <c r="F121" s="205"/>
    </row>
    <row r="122" spans="6:6" x14ac:dyDescent="0.3">
      <c r="F122" s="205"/>
    </row>
    <row r="123" spans="6:6" x14ac:dyDescent="0.3">
      <c r="F123" s="205"/>
    </row>
    <row r="124" spans="6:6" x14ac:dyDescent="0.3">
      <c r="F124" s="205"/>
    </row>
    <row r="125" spans="6:6" x14ac:dyDescent="0.3">
      <c r="F125" s="205"/>
    </row>
    <row r="126" spans="6:6" x14ac:dyDescent="0.3">
      <c r="F126" s="205"/>
    </row>
    <row r="127" spans="6:6" x14ac:dyDescent="0.3">
      <c r="F127" s="205"/>
    </row>
    <row r="128" spans="6:6" x14ac:dyDescent="0.3">
      <c r="F128" s="205"/>
    </row>
    <row r="129" spans="6:6" x14ac:dyDescent="0.3">
      <c r="F129" s="205"/>
    </row>
    <row r="130" spans="6:6" x14ac:dyDescent="0.3">
      <c r="F130" s="205"/>
    </row>
    <row r="131" spans="6:6" x14ac:dyDescent="0.3">
      <c r="F131" s="205"/>
    </row>
    <row r="132" spans="6:6" x14ac:dyDescent="0.3">
      <c r="F132" s="205"/>
    </row>
    <row r="133" spans="6:6" x14ac:dyDescent="0.3">
      <c r="F133" s="205"/>
    </row>
    <row r="134" spans="6:6" x14ac:dyDescent="0.3">
      <c r="F134" s="205"/>
    </row>
    <row r="135" spans="6:6" x14ac:dyDescent="0.3">
      <c r="F135" s="205"/>
    </row>
    <row r="136" spans="6:6" x14ac:dyDescent="0.3">
      <c r="F136" s="205"/>
    </row>
    <row r="137" spans="6:6" x14ac:dyDescent="0.3">
      <c r="F137" s="205"/>
    </row>
    <row r="138" spans="6:6" x14ac:dyDescent="0.3">
      <c r="F138" s="205"/>
    </row>
    <row r="139" spans="6:6" x14ac:dyDescent="0.3">
      <c r="F139" s="205"/>
    </row>
    <row r="140" spans="6:6" x14ac:dyDescent="0.3">
      <c r="F140" s="205"/>
    </row>
    <row r="141" spans="6:6" x14ac:dyDescent="0.3">
      <c r="F141" s="205"/>
    </row>
    <row r="142" spans="6:6" x14ac:dyDescent="0.3">
      <c r="F142" s="205"/>
    </row>
    <row r="143" spans="6:6" x14ac:dyDescent="0.3">
      <c r="F143" s="205"/>
    </row>
    <row r="144" spans="6:6" x14ac:dyDescent="0.3">
      <c r="F144" s="205"/>
    </row>
    <row r="145" spans="6:6" x14ac:dyDescent="0.3">
      <c r="F145" s="205"/>
    </row>
    <row r="146" spans="6:6" x14ac:dyDescent="0.3">
      <c r="F146" s="205"/>
    </row>
    <row r="147" spans="6:6" x14ac:dyDescent="0.3">
      <c r="F147" s="205"/>
    </row>
    <row r="148" spans="6:6" x14ac:dyDescent="0.3">
      <c r="F148" s="205"/>
    </row>
    <row r="149" spans="6:6" x14ac:dyDescent="0.3">
      <c r="F149" s="205"/>
    </row>
    <row r="150" spans="6:6" x14ac:dyDescent="0.3">
      <c r="F150" s="205"/>
    </row>
    <row r="151" spans="6:6" x14ac:dyDescent="0.3">
      <c r="F151" s="205"/>
    </row>
    <row r="152" spans="6:6" x14ac:dyDescent="0.3">
      <c r="F152" s="205"/>
    </row>
    <row r="153" spans="6:6" x14ac:dyDescent="0.3">
      <c r="F153" s="205"/>
    </row>
    <row r="154" spans="6:6" x14ac:dyDescent="0.3">
      <c r="F154" s="205"/>
    </row>
    <row r="155" spans="6:6" x14ac:dyDescent="0.3">
      <c r="F155" s="205"/>
    </row>
    <row r="156" spans="6:6" x14ac:dyDescent="0.3">
      <c r="F156" s="205"/>
    </row>
    <row r="157" spans="6:6" x14ac:dyDescent="0.3">
      <c r="F157" s="205"/>
    </row>
    <row r="158" spans="6:6" x14ac:dyDescent="0.3">
      <c r="F158" s="205"/>
    </row>
    <row r="159" spans="6:6" x14ac:dyDescent="0.3">
      <c r="F159" s="205"/>
    </row>
    <row r="160" spans="6:6" x14ac:dyDescent="0.3">
      <c r="F160" s="205"/>
    </row>
    <row r="161" spans="6:6" x14ac:dyDescent="0.3">
      <c r="F161" s="205"/>
    </row>
    <row r="162" spans="6:6" x14ac:dyDescent="0.3">
      <c r="F162" s="205"/>
    </row>
    <row r="163" spans="6:6" x14ac:dyDescent="0.3">
      <c r="F163" s="205"/>
    </row>
    <row r="164" spans="6:6" x14ac:dyDescent="0.3">
      <c r="F164" s="205"/>
    </row>
    <row r="165" spans="6:6" x14ac:dyDescent="0.3">
      <c r="F165" s="205"/>
    </row>
    <row r="166" spans="6:6" x14ac:dyDescent="0.3">
      <c r="F166" s="205"/>
    </row>
    <row r="167" spans="6:6" x14ac:dyDescent="0.3">
      <c r="F167" s="205"/>
    </row>
    <row r="168" spans="6:6" x14ac:dyDescent="0.3">
      <c r="F168" s="205"/>
    </row>
    <row r="169" spans="6:6" x14ac:dyDescent="0.3">
      <c r="F169" s="205"/>
    </row>
    <row r="170" spans="6:6" x14ac:dyDescent="0.3">
      <c r="F170" s="205"/>
    </row>
    <row r="171" spans="6:6" x14ac:dyDescent="0.3">
      <c r="F171" s="205"/>
    </row>
    <row r="172" spans="6:6" x14ac:dyDescent="0.3">
      <c r="F172" s="205"/>
    </row>
    <row r="173" spans="6:6" x14ac:dyDescent="0.3">
      <c r="F173" s="205"/>
    </row>
    <row r="174" spans="6:6" x14ac:dyDescent="0.3">
      <c r="F174" s="205"/>
    </row>
    <row r="175" spans="6:6" x14ac:dyDescent="0.3">
      <c r="F175" s="205"/>
    </row>
    <row r="176" spans="6:6" x14ac:dyDescent="0.3">
      <c r="F176" s="205"/>
    </row>
    <row r="177" spans="6:6" x14ac:dyDescent="0.3">
      <c r="F177" s="205"/>
    </row>
    <row r="178" spans="6:6" x14ac:dyDescent="0.3">
      <c r="F178" s="205"/>
    </row>
    <row r="179" spans="6:6" x14ac:dyDescent="0.3">
      <c r="F179" s="205"/>
    </row>
    <row r="180" spans="6:6" x14ac:dyDescent="0.3">
      <c r="F180" s="205"/>
    </row>
    <row r="181" spans="6:6" x14ac:dyDescent="0.3">
      <c r="F181" s="205"/>
    </row>
    <row r="182" spans="6:6" x14ac:dyDescent="0.3">
      <c r="F182" s="205"/>
    </row>
    <row r="183" spans="6:6" x14ac:dyDescent="0.3">
      <c r="F183" s="205"/>
    </row>
    <row r="184" spans="6:6" x14ac:dyDescent="0.3">
      <c r="F184" s="205"/>
    </row>
    <row r="185" spans="6:6" x14ac:dyDescent="0.3">
      <c r="F185" s="205"/>
    </row>
    <row r="186" spans="6:6" x14ac:dyDescent="0.3">
      <c r="F186" s="205"/>
    </row>
    <row r="187" spans="6:6" x14ac:dyDescent="0.3">
      <c r="F187" s="205"/>
    </row>
    <row r="188" spans="6:6" x14ac:dyDescent="0.3">
      <c r="F188" s="205"/>
    </row>
    <row r="189" spans="6:6" x14ac:dyDescent="0.3">
      <c r="F189" s="205"/>
    </row>
    <row r="190" spans="6:6" x14ac:dyDescent="0.3">
      <c r="F190" s="205"/>
    </row>
    <row r="191" spans="6:6" x14ac:dyDescent="0.3">
      <c r="F191" s="205"/>
    </row>
    <row r="192" spans="6:6" x14ac:dyDescent="0.3">
      <c r="F192" s="205"/>
    </row>
    <row r="193" spans="6:6" x14ac:dyDescent="0.3">
      <c r="F193" s="205"/>
    </row>
    <row r="194" spans="6:6" x14ac:dyDescent="0.3">
      <c r="F194" s="205"/>
    </row>
    <row r="195" spans="6:6" x14ac:dyDescent="0.3">
      <c r="F195" s="205"/>
    </row>
    <row r="196" spans="6:6" x14ac:dyDescent="0.3">
      <c r="F196" s="205"/>
    </row>
    <row r="197" spans="6:6" x14ac:dyDescent="0.3">
      <c r="F197" s="205"/>
    </row>
    <row r="198" spans="6:6" x14ac:dyDescent="0.3">
      <c r="F198" s="205"/>
    </row>
    <row r="199" spans="6:6" x14ac:dyDescent="0.3">
      <c r="F199" s="205"/>
    </row>
    <row r="200" spans="6:6" x14ac:dyDescent="0.3">
      <c r="F200" s="205"/>
    </row>
    <row r="201" spans="6:6" x14ac:dyDescent="0.3">
      <c r="F201" s="205"/>
    </row>
    <row r="202" spans="6:6" x14ac:dyDescent="0.3">
      <c r="F202" s="205"/>
    </row>
    <row r="203" spans="6:6" x14ac:dyDescent="0.3">
      <c r="F203" s="205"/>
    </row>
    <row r="204" spans="6:6" x14ac:dyDescent="0.3">
      <c r="F204" s="205"/>
    </row>
    <row r="205" spans="6:6" x14ac:dyDescent="0.3">
      <c r="F205" s="205"/>
    </row>
    <row r="206" spans="6:6" x14ac:dyDescent="0.3">
      <c r="F206" s="205"/>
    </row>
    <row r="207" spans="6:6" x14ac:dyDescent="0.3">
      <c r="F207" s="205"/>
    </row>
    <row r="208" spans="6:6" x14ac:dyDescent="0.3">
      <c r="F208" s="205"/>
    </row>
    <row r="209" spans="6:6" x14ac:dyDescent="0.3">
      <c r="F209" s="205"/>
    </row>
    <row r="210" spans="6:6" x14ac:dyDescent="0.3">
      <c r="F210" s="205"/>
    </row>
    <row r="211" spans="6:6" x14ac:dyDescent="0.3">
      <c r="F211" s="205"/>
    </row>
    <row r="212" spans="6:6" x14ac:dyDescent="0.3">
      <c r="F212" s="205"/>
    </row>
    <row r="213" spans="6:6" x14ac:dyDescent="0.3">
      <c r="F213" s="205"/>
    </row>
    <row r="214" spans="6:6" x14ac:dyDescent="0.3">
      <c r="F214" s="205"/>
    </row>
    <row r="215" spans="6:6" x14ac:dyDescent="0.3">
      <c r="F215" s="205"/>
    </row>
    <row r="216" spans="6:6" x14ac:dyDescent="0.3">
      <c r="F216" s="205"/>
    </row>
    <row r="217" spans="6:6" x14ac:dyDescent="0.3">
      <c r="F217" s="205"/>
    </row>
    <row r="218" spans="6:6" x14ac:dyDescent="0.3">
      <c r="F218" s="205"/>
    </row>
    <row r="219" spans="6:6" x14ac:dyDescent="0.3">
      <c r="F219" s="205"/>
    </row>
    <row r="220" spans="6:6" x14ac:dyDescent="0.3">
      <c r="F220" s="205"/>
    </row>
    <row r="221" spans="6:6" x14ac:dyDescent="0.3">
      <c r="F221" s="205"/>
    </row>
    <row r="222" spans="6:6" x14ac:dyDescent="0.3">
      <c r="F222" s="205"/>
    </row>
    <row r="223" spans="6:6" x14ac:dyDescent="0.3">
      <c r="F223" s="205"/>
    </row>
    <row r="224" spans="6:6" x14ac:dyDescent="0.3">
      <c r="F224" s="205"/>
    </row>
    <row r="225" spans="6:6" x14ac:dyDescent="0.3">
      <c r="F225" s="205"/>
    </row>
    <row r="226" spans="6:6" x14ac:dyDescent="0.3">
      <c r="F226" s="205"/>
    </row>
    <row r="227" spans="6:6" x14ac:dyDescent="0.3">
      <c r="F227" s="205"/>
    </row>
    <row r="228" spans="6:6" x14ac:dyDescent="0.3">
      <c r="F228" s="205"/>
    </row>
    <row r="229" spans="6:6" x14ac:dyDescent="0.3">
      <c r="F229" s="205"/>
    </row>
    <row r="230" spans="6:6" x14ac:dyDescent="0.3">
      <c r="F230" s="205"/>
    </row>
    <row r="231" spans="6:6" x14ac:dyDescent="0.3">
      <c r="F231" s="205"/>
    </row>
    <row r="232" spans="6:6" x14ac:dyDescent="0.3">
      <c r="F232" s="205"/>
    </row>
    <row r="233" spans="6:6" x14ac:dyDescent="0.3">
      <c r="F233" s="205"/>
    </row>
    <row r="234" spans="6:6" x14ac:dyDescent="0.3">
      <c r="F234" s="205"/>
    </row>
    <row r="235" spans="6:6" x14ac:dyDescent="0.3">
      <c r="F235" s="205"/>
    </row>
    <row r="236" spans="6:6" x14ac:dyDescent="0.3">
      <c r="F236" s="205"/>
    </row>
    <row r="237" spans="6:6" x14ac:dyDescent="0.3">
      <c r="F237" s="205"/>
    </row>
    <row r="238" spans="6:6" x14ac:dyDescent="0.3">
      <c r="F238" s="205"/>
    </row>
    <row r="239" spans="6:6" x14ac:dyDescent="0.3">
      <c r="F239" s="205"/>
    </row>
    <row r="240" spans="6:6" x14ac:dyDescent="0.3">
      <c r="F240" s="205"/>
    </row>
    <row r="241" spans="6:6" x14ac:dyDescent="0.3">
      <c r="F241" s="205"/>
    </row>
    <row r="242" spans="6:6" x14ac:dyDescent="0.3">
      <c r="F242" s="205"/>
    </row>
    <row r="243" spans="6:6" x14ac:dyDescent="0.3">
      <c r="F243" s="205"/>
    </row>
    <row r="244" spans="6:6" x14ac:dyDescent="0.3">
      <c r="F244" s="205"/>
    </row>
    <row r="245" spans="6:6" x14ac:dyDescent="0.3">
      <c r="F245" s="205"/>
    </row>
    <row r="246" spans="6:6" x14ac:dyDescent="0.3">
      <c r="F246" s="205"/>
    </row>
    <row r="247" spans="6:6" x14ac:dyDescent="0.3">
      <c r="F247" s="205"/>
    </row>
    <row r="248" spans="6:6" x14ac:dyDescent="0.3">
      <c r="F248" s="205"/>
    </row>
    <row r="249" spans="6:6" x14ac:dyDescent="0.3">
      <c r="F249" s="205"/>
    </row>
    <row r="250" spans="6:6" x14ac:dyDescent="0.3">
      <c r="F250" s="205"/>
    </row>
    <row r="251" spans="6:6" x14ac:dyDescent="0.3">
      <c r="F251" s="205"/>
    </row>
    <row r="252" spans="6:6" x14ac:dyDescent="0.3">
      <c r="F252" s="205"/>
    </row>
    <row r="253" spans="6:6" x14ac:dyDescent="0.3">
      <c r="F253" s="205"/>
    </row>
    <row r="254" spans="6:6" x14ac:dyDescent="0.3">
      <c r="F254" s="205"/>
    </row>
    <row r="255" spans="6:6" x14ac:dyDescent="0.3">
      <c r="F255" s="205"/>
    </row>
    <row r="256" spans="6:6" x14ac:dyDescent="0.3">
      <c r="F256" s="205"/>
    </row>
    <row r="257" spans="6:6" x14ac:dyDescent="0.3">
      <c r="F257" s="205"/>
    </row>
    <row r="258" spans="6:6" x14ac:dyDescent="0.3">
      <c r="F258" s="205"/>
    </row>
    <row r="259" spans="6:6" x14ac:dyDescent="0.3">
      <c r="F259" s="205"/>
    </row>
    <row r="260" spans="6:6" x14ac:dyDescent="0.3">
      <c r="F260" s="205"/>
    </row>
    <row r="261" spans="6:6" x14ac:dyDescent="0.3">
      <c r="F261" s="205"/>
    </row>
    <row r="262" spans="6:6" x14ac:dyDescent="0.3">
      <c r="F262" s="205"/>
    </row>
    <row r="263" spans="6:6" x14ac:dyDescent="0.3">
      <c r="F263" s="205"/>
    </row>
    <row r="264" spans="6:6" x14ac:dyDescent="0.3">
      <c r="F264" s="205"/>
    </row>
    <row r="265" spans="6:6" x14ac:dyDescent="0.3">
      <c r="F265" s="205"/>
    </row>
    <row r="266" spans="6:6" x14ac:dyDescent="0.3">
      <c r="F266" s="205"/>
    </row>
    <row r="267" spans="6:6" x14ac:dyDescent="0.3">
      <c r="F267" s="205"/>
    </row>
    <row r="268" spans="6:6" x14ac:dyDescent="0.3">
      <c r="F268" s="205"/>
    </row>
    <row r="269" spans="6:6" x14ac:dyDescent="0.3">
      <c r="F269" s="205"/>
    </row>
    <row r="270" spans="6:6" x14ac:dyDescent="0.3">
      <c r="F270" s="205"/>
    </row>
    <row r="271" spans="6:6" x14ac:dyDescent="0.3">
      <c r="F271" s="205"/>
    </row>
    <row r="272" spans="6:6" x14ac:dyDescent="0.3">
      <c r="F272" s="205"/>
    </row>
    <row r="273" spans="6:6" x14ac:dyDescent="0.3">
      <c r="F273" s="205"/>
    </row>
    <row r="274" spans="6:6" x14ac:dyDescent="0.3">
      <c r="F274" s="205"/>
    </row>
    <row r="275" spans="6:6" x14ac:dyDescent="0.3">
      <c r="F275" s="205"/>
    </row>
    <row r="276" spans="6:6" x14ac:dyDescent="0.3">
      <c r="F276" s="205"/>
    </row>
    <row r="277" spans="6:6" x14ac:dyDescent="0.3">
      <c r="F277" s="205"/>
    </row>
    <row r="278" spans="6:6" x14ac:dyDescent="0.3">
      <c r="F278" s="205"/>
    </row>
    <row r="279" spans="6:6" x14ac:dyDescent="0.3">
      <c r="F279" s="205"/>
    </row>
    <row r="280" spans="6:6" x14ac:dyDescent="0.3">
      <c r="F280" s="205"/>
    </row>
    <row r="281" spans="6:6" x14ac:dyDescent="0.3">
      <c r="F281" s="205"/>
    </row>
    <row r="282" spans="6:6" x14ac:dyDescent="0.3">
      <c r="F282" s="205"/>
    </row>
    <row r="283" spans="6:6" x14ac:dyDescent="0.3">
      <c r="F283" s="205"/>
    </row>
    <row r="284" spans="6:6" x14ac:dyDescent="0.3">
      <c r="F284" s="205"/>
    </row>
    <row r="285" spans="6:6" x14ac:dyDescent="0.3">
      <c r="F285" s="205"/>
    </row>
    <row r="286" spans="6:6" x14ac:dyDescent="0.3">
      <c r="F286" s="205"/>
    </row>
    <row r="287" spans="6:6" x14ac:dyDescent="0.3">
      <c r="F287" s="205"/>
    </row>
    <row r="288" spans="6:6" x14ac:dyDescent="0.3">
      <c r="F288" s="205"/>
    </row>
    <row r="289" spans="6:6" x14ac:dyDescent="0.3">
      <c r="F289" s="205"/>
    </row>
    <row r="290" spans="6:6" x14ac:dyDescent="0.3">
      <c r="F290" s="205"/>
    </row>
    <row r="291" spans="6:6" x14ac:dyDescent="0.3">
      <c r="F291" s="205"/>
    </row>
    <row r="292" spans="6:6" x14ac:dyDescent="0.3">
      <c r="F292" s="205"/>
    </row>
    <row r="293" spans="6:6" x14ac:dyDescent="0.3">
      <c r="F293" s="205"/>
    </row>
    <row r="294" spans="6:6" x14ac:dyDescent="0.3">
      <c r="F294" s="205"/>
    </row>
    <row r="295" spans="6:6" x14ac:dyDescent="0.3">
      <c r="F295" s="205"/>
    </row>
    <row r="296" spans="6:6" x14ac:dyDescent="0.3">
      <c r="F296" s="205"/>
    </row>
    <row r="297" spans="6:6" x14ac:dyDescent="0.3">
      <c r="F297" s="205"/>
    </row>
    <row r="298" spans="6:6" x14ac:dyDescent="0.3">
      <c r="F298" s="205"/>
    </row>
    <row r="299" spans="6:6" x14ac:dyDescent="0.3">
      <c r="F299" s="205"/>
    </row>
    <row r="300" spans="6:6" x14ac:dyDescent="0.3">
      <c r="F300" s="205"/>
    </row>
    <row r="301" spans="6:6" x14ac:dyDescent="0.3">
      <c r="F301" s="205"/>
    </row>
    <row r="302" spans="6:6" x14ac:dyDescent="0.3">
      <c r="F302" s="205"/>
    </row>
    <row r="303" spans="6:6" x14ac:dyDescent="0.3">
      <c r="F303" s="205"/>
    </row>
    <row r="304" spans="6:6" x14ac:dyDescent="0.3">
      <c r="F304" s="205"/>
    </row>
    <row r="305" spans="6:6" x14ac:dyDescent="0.3">
      <c r="F305" s="205"/>
    </row>
    <row r="306" spans="6:6" x14ac:dyDescent="0.3">
      <c r="F306" s="205"/>
    </row>
    <row r="307" spans="6:6" x14ac:dyDescent="0.3">
      <c r="F307" s="205"/>
    </row>
    <row r="308" spans="6:6" x14ac:dyDescent="0.3">
      <c r="F308" s="205"/>
    </row>
    <row r="309" spans="6:6" x14ac:dyDescent="0.3">
      <c r="F309" s="205"/>
    </row>
    <row r="310" spans="6:6" x14ac:dyDescent="0.3">
      <c r="F310" s="205"/>
    </row>
    <row r="311" spans="6:6" x14ac:dyDescent="0.3">
      <c r="F311" s="205"/>
    </row>
    <row r="312" spans="6:6" x14ac:dyDescent="0.3">
      <c r="F312" s="205"/>
    </row>
    <row r="313" spans="6:6" x14ac:dyDescent="0.3">
      <c r="F313" s="205"/>
    </row>
    <row r="314" spans="6:6" x14ac:dyDescent="0.3">
      <c r="F314" s="205"/>
    </row>
    <row r="315" spans="6:6" x14ac:dyDescent="0.3">
      <c r="F315" s="205"/>
    </row>
    <row r="316" spans="6:6" x14ac:dyDescent="0.3">
      <c r="F316" s="205"/>
    </row>
    <row r="317" spans="6:6" x14ac:dyDescent="0.3">
      <c r="F317" s="205"/>
    </row>
    <row r="318" spans="6:6" x14ac:dyDescent="0.3">
      <c r="F318" s="205"/>
    </row>
    <row r="319" spans="6:6" x14ac:dyDescent="0.3">
      <c r="F319" s="205"/>
    </row>
    <row r="320" spans="6:6" x14ac:dyDescent="0.3">
      <c r="F320" s="205"/>
    </row>
    <row r="321" spans="6:6" x14ac:dyDescent="0.3">
      <c r="F321" s="205"/>
    </row>
    <row r="322" spans="6:6" x14ac:dyDescent="0.3">
      <c r="F322" s="205"/>
    </row>
    <row r="323" spans="6:6" x14ac:dyDescent="0.3">
      <c r="F323" s="205"/>
    </row>
    <row r="324" spans="6:6" x14ac:dyDescent="0.3">
      <c r="F324" s="205"/>
    </row>
    <row r="325" spans="6:6" x14ac:dyDescent="0.3">
      <c r="F325" s="205"/>
    </row>
    <row r="326" spans="6:6" x14ac:dyDescent="0.3">
      <c r="F326" s="205"/>
    </row>
    <row r="327" spans="6:6" x14ac:dyDescent="0.3">
      <c r="F327" s="205"/>
    </row>
    <row r="328" spans="6:6" x14ac:dyDescent="0.3">
      <c r="F328" s="205"/>
    </row>
    <row r="329" spans="6:6" x14ac:dyDescent="0.3">
      <c r="F329" s="205"/>
    </row>
    <row r="330" spans="6:6" x14ac:dyDescent="0.3">
      <c r="F330" s="205"/>
    </row>
    <row r="331" spans="6:6" x14ac:dyDescent="0.3">
      <c r="F331" s="205"/>
    </row>
    <row r="332" spans="6:6" x14ac:dyDescent="0.3">
      <c r="F332" s="205"/>
    </row>
    <row r="333" spans="6:6" x14ac:dyDescent="0.3">
      <c r="F333" s="205"/>
    </row>
    <row r="334" spans="6:6" x14ac:dyDescent="0.3">
      <c r="F334" s="205"/>
    </row>
    <row r="335" spans="6:6" x14ac:dyDescent="0.3">
      <c r="F335" s="205"/>
    </row>
    <row r="336" spans="6:6" x14ac:dyDescent="0.3">
      <c r="F336" s="205"/>
    </row>
    <row r="337" spans="6:6" x14ac:dyDescent="0.3">
      <c r="F337" s="205"/>
    </row>
    <row r="338" spans="6:6" x14ac:dyDescent="0.3">
      <c r="F338" s="205"/>
    </row>
    <row r="339" spans="6:6" x14ac:dyDescent="0.3">
      <c r="F339" s="205"/>
    </row>
    <row r="340" spans="6:6" x14ac:dyDescent="0.3">
      <c r="F340" s="205"/>
    </row>
    <row r="341" spans="6:6" x14ac:dyDescent="0.3">
      <c r="F341" s="205"/>
    </row>
    <row r="342" spans="6:6" x14ac:dyDescent="0.3">
      <c r="F342" s="205"/>
    </row>
    <row r="343" spans="6:6" x14ac:dyDescent="0.3">
      <c r="F343" s="205"/>
    </row>
    <row r="344" spans="6:6" x14ac:dyDescent="0.3">
      <c r="F344" s="205"/>
    </row>
    <row r="345" spans="6:6" x14ac:dyDescent="0.3">
      <c r="F345" s="205"/>
    </row>
    <row r="346" spans="6:6" x14ac:dyDescent="0.3">
      <c r="F346" s="205"/>
    </row>
    <row r="347" spans="6:6" x14ac:dyDescent="0.3">
      <c r="F347" s="205"/>
    </row>
    <row r="348" spans="6:6" x14ac:dyDescent="0.3">
      <c r="F348" s="205"/>
    </row>
    <row r="349" spans="6:6" x14ac:dyDescent="0.3">
      <c r="F349" s="205"/>
    </row>
    <row r="350" spans="6:6" x14ac:dyDescent="0.3">
      <c r="F350" s="205"/>
    </row>
    <row r="351" spans="6:6" x14ac:dyDescent="0.3">
      <c r="F351" s="205"/>
    </row>
    <row r="352" spans="6:6" x14ac:dyDescent="0.3">
      <c r="F352" s="205"/>
    </row>
    <row r="353" spans="6:6" x14ac:dyDescent="0.3">
      <c r="F353" s="205"/>
    </row>
    <row r="354" spans="6:6" x14ac:dyDescent="0.3">
      <c r="F354" s="205"/>
    </row>
    <row r="355" spans="6:6" x14ac:dyDescent="0.3">
      <c r="F355" s="205"/>
    </row>
    <row r="356" spans="6:6" x14ac:dyDescent="0.3">
      <c r="F356" s="205"/>
    </row>
    <row r="357" spans="6:6" x14ac:dyDescent="0.3">
      <c r="F357" s="205"/>
    </row>
    <row r="358" spans="6:6" x14ac:dyDescent="0.3">
      <c r="F358" s="205"/>
    </row>
    <row r="359" spans="6:6" x14ac:dyDescent="0.3">
      <c r="F359" s="205"/>
    </row>
    <row r="360" spans="6:6" x14ac:dyDescent="0.3">
      <c r="F360" s="205"/>
    </row>
    <row r="361" spans="6:6" x14ac:dyDescent="0.3">
      <c r="F361" s="205"/>
    </row>
    <row r="362" spans="6:6" x14ac:dyDescent="0.3">
      <c r="F362" s="205"/>
    </row>
    <row r="363" spans="6:6" x14ac:dyDescent="0.3">
      <c r="F363" s="205"/>
    </row>
    <row r="364" spans="6:6" x14ac:dyDescent="0.3">
      <c r="F364" s="205"/>
    </row>
    <row r="365" spans="6:6" x14ac:dyDescent="0.3">
      <c r="F365" s="205"/>
    </row>
    <row r="366" spans="6:6" x14ac:dyDescent="0.3">
      <c r="F366" s="205"/>
    </row>
    <row r="367" spans="6:6" x14ac:dyDescent="0.3">
      <c r="F367" s="205"/>
    </row>
    <row r="368" spans="6:6" x14ac:dyDescent="0.3">
      <c r="F368" s="205"/>
    </row>
    <row r="369" spans="6:6" x14ac:dyDescent="0.3">
      <c r="F369" s="205"/>
    </row>
    <row r="370" spans="6:6" x14ac:dyDescent="0.3">
      <c r="F370" s="205"/>
    </row>
    <row r="371" spans="6:6" x14ac:dyDescent="0.3">
      <c r="F371" s="205"/>
    </row>
    <row r="372" spans="6:6" x14ac:dyDescent="0.3">
      <c r="F372" s="205"/>
    </row>
    <row r="373" spans="6:6" x14ac:dyDescent="0.3">
      <c r="F373" s="205"/>
    </row>
    <row r="374" spans="6:6" x14ac:dyDescent="0.3">
      <c r="F374" s="205"/>
    </row>
    <row r="375" spans="6:6" x14ac:dyDescent="0.3">
      <c r="F375" s="205"/>
    </row>
    <row r="376" spans="6:6" x14ac:dyDescent="0.3">
      <c r="F376" s="205"/>
    </row>
    <row r="377" spans="6:6" x14ac:dyDescent="0.3">
      <c r="F377" s="205"/>
    </row>
    <row r="378" spans="6:6" x14ac:dyDescent="0.3">
      <c r="F378" s="205"/>
    </row>
    <row r="379" spans="6:6" x14ac:dyDescent="0.3">
      <c r="F379" s="205"/>
    </row>
    <row r="380" spans="6:6" x14ac:dyDescent="0.3">
      <c r="F380" s="205"/>
    </row>
    <row r="381" spans="6:6" x14ac:dyDescent="0.3">
      <c r="F381" s="205"/>
    </row>
    <row r="382" spans="6:6" x14ac:dyDescent="0.3">
      <c r="F382" s="205"/>
    </row>
    <row r="383" spans="6:6" x14ac:dyDescent="0.3">
      <c r="F383" s="205"/>
    </row>
    <row r="384" spans="6:6" x14ac:dyDescent="0.3">
      <c r="F384" s="205"/>
    </row>
    <row r="385" spans="6:6" x14ac:dyDescent="0.3">
      <c r="F385" s="205"/>
    </row>
    <row r="386" spans="6:6" x14ac:dyDescent="0.3">
      <c r="F386" s="205"/>
    </row>
    <row r="387" spans="6:6" x14ac:dyDescent="0.3">
      <c r="F387" s="205"/>
    </row>
    <row r="388" spans="6:6" x14ac:dyDescent="0.3">
      <c r="F388" s="205"/>
    </row>
    <row r="389" spans="6:6" x14ac:dyDescent="0.3">
      <c r="F389" s="205"/>
    </row>
    <row r="390" spans="6:6" x14ac:dyDescent="0.3">
      <c r="F390" s="205"/>
    </row>
    <row r="391" spans="6:6" x14ac:dyDescent="0.3">
      <c r="F391" s="205"/>
    </row>
    <row r="392" spans="6:6" x14ac:dyDescent="0.3">
      <c r="F392" s="205"/>
    </row>
    <row r="393" spans="6:6" x14ac:dyDescent="0.3">
      <c r="F393" s="205"/>
    </row>
    <row r="394" spans="6:6" x14ac:dyDescent="0.3">
      <c r="F394" s="205"/>
    </row>
    <row r="395" spans="6:6" x14ac:dyDescent="0.3">
      <c r="F395" s="205"/>
    </row>
    <row r="396" spans="6:6" x14ac:dyDescent="0.3">
      <c r="F396" s="205"/>
    </row>
    <row r="397" spans="6:6" x14ac:dyDescent="0.3">
      <c r="F397" s="205"/>
    </row>
    <row r="398" spans="6:6" x14ac:dyDescent="0.3">
      <c r="F398" s="205"/>
    </row>
    <row r="399" spans="6:6" x14ac:dyDescent="0.3">
      <c r="F399" s="205"/>
    </row>
    <row r="400" spans="6:6" x14ac:dyDescent="0.3">
      <c r="F400" s="205"/>
    </row>
    <row r="401" spans="6:6" x14ac:dyDescent="0.3">
      <c r="F401" s="205"/>
    </row>
    <row r="402" spans="6:6" x14ac:dyDescent="0.3">
      <c r="F402" s="205"/>
    </row>
    <row r="403" spans="6:6" x14ac:dyDescent="0.3">
      <c r="F403" s="205"/>
    </row>
    <row r="404" spans="6:6" x14ac:dyDescent="0.3">
      <c r="F404" s="205"/>
    </row>
    <row r="405" spans="6:6" x14ac:dyDescent="0.3">
      <c r="F405" s="205"/>
    </row>
    <row r="406" spans="6:6" x14ac:dyDescent="0.3">
      <c r="F406" s="205"/>
    </row>
    <row r="407" spans="6:6" x14ac:dyDescent="0.3">
      <c r="F407" s="205"/>
    </row>
    <row r="408" spans="6:6" x14ac:dyDescent="0.3">
      <c r="F408" s="205"/>
    </row>
    <row r="409" spans="6:6" x14ac:dyDescent="0.3">
      <c r="F409" s="205"/>
    </row>
    <row r="410" spans="6:6" x14ac:dyDescent="0.3">
      <c r="F410" s="205"/>
    </row>
    <row r="411" spans="6:6" x14ac:dyDescent="0.3">
      <c r="F411" s="205"/>
    </row>
    <row r="412" spans="6:6" x14ac:dyDescent="0.3">
      <c r="F412" s="205"/>
    </row>
    <row r="413" spans="6:6" x14ac:dyDescent="0.3">
      <c r="F413" s="205"/>
    </row>
    <row r="414" spans="6:6" x14ac:dyDescent="0.3">
      <c r="F414" s="205"/>
    </row>
    <row r="415" spans="6:6" x14ac:dyDescent="0.3">
      <c r="F415" s="205"/>
    </row>
    <row r="416" spans="6:6" x14ac:dyDescent="0.3">
      <c r="F416" s="205"/>
    </row>
    <row r="417" spans="6:6" x14ac:dyDescent="0.3">
      <c r="F417" s="205"/>
    </row>
    <row r="418" spans="6:6" x14ac:dyDescent="0.3">
      <c r="F418" s="205"/>
    </row>
    <row r="419" spans="6:6" x14ac:dyDescent="0.3">
      <c r="F419" s="205"/>
    </row>
    <row r="420" spans="6:6" x14ac:dyDescent="0.3">
      <c r="F420" s="205"/>
    </row>
    <row r="421" spans="6:6" x14ac:dyDescent="0.3">
      <c r="F421" s="205"/>
    </row>
    <row r="422" spans="6:6" x14ac:dyDescent="0.3">
      <c r="F422" s="205"/>
    </row>
    <row r="423" spans="6:6" x14ac:dyDescent="0.3">
      <c r="F423" s="205"/>
    </row>
    <row r="424" spans="6:6" x14ac:dyDescent="0.3">
      <c r="F424" s="205"/>
    </row>
    <row r="425" spans="6:6" x14ac:dyDescent="0.3">
      <c r="F425" s="205"/>
    </row>
    <row r="426" spans="6:6" x14ac:dyDescent="0.3">
      <c r="F426" s="205"/>
    </row>
    <row r="427" spans="6:6" x14ac:dyDescent="0.3">
      <c r="F427" s="205"/>
    </row>
    <row r="428" spans="6:6" x14ac:dyDescent="0.3">
      <c r="F428" s="205"/>
    </row>
    <row r="429" spans="6:6" x14ac:dyDescent="0.3">
      <c r="F429" s="205"/>
    </row>
    <row r="430" spans="6:6" x14ac:dyDescent="0.3">
      <c r="F430" s="205"/>
    </row>
    <row r="431" spans="6:6" x14ac:dyDescent="0.3">
      <c r="F431" s="205"/>
    </row>
    <row r="432" spans="6:6" x14ac:dyDescent="0.3">
      <c r="F432" s="205"/>
    </row>
    <row r="433" spans="6:6" x14ac:dyDescent="0.3">
      <c r="F433" s="205"/>
    </row>
    <row r="434" spans="6:6" x14ac:dyDescent="0.3">
      <c r="F434" s="205"/>
    </row>
    <row r="435" spans="6:6" x14ac:dyDescent="0.3">
      <c r="F435" s="205"/>
    </row>
    <row r="436" spans="6:6" x14ac:dyDescent="0.3">
      <c r="F436" s="205"/>
    </row>
    <row r="437" spans="6:6" x14ac:dyDescent="0.3">
      <c r="F437" s="205"/>
    </row>
    <row r="438" spans="6:6" x14ac:dyDescent="0.3">
      <c r="F438" s="205"/>
    </row>
    <row r="439" spans="6:6" x14ac:dyDescent="0.3">
      <c r="F439" s="205"/>
    </row>
    <row r="440" spans="6:6" x14ac:dyDescent="0.3">
      <c r="F440" s="205"/>
    </row>
    <row r="441" spans="6:6" x14ac:dyDescent="0.3">
      <c r="F441" s="205"/>
    </row>
    <row r="442" spans="6:6" x14ac:dyDescent="0.3">
      <c r="F442" s="205"/>
    </row>
    <row r="443" spans="6:6" x14ac:dyDescent="0.3">
      <c r="F443" s="205"/>
    </row>
    <row r="444" spans="6:6" x14ac:dyDescent="0.3">
      <c r="F444" s="205"/>
    </row>
    <row r="445" spans="6:6" x14ac:dyDescent="0.3">
      <c r="F445" s="205"/>
    </row>
    <row r="446" spans="6:6" x14ac:dyDescent="0.3">
      <c r="F446" s="205"/>
    </row>
    <row r="447" spans="6:6" x14ac:dyDescent="0.3">
      <c r="F447" s="205"/>
    </row>
    <row r="448" spans="6:6" x14ac:dyDescent="0.3">
      <c r="F448" s="205"/>
    </row>
    <row r="449" spans="6:6" x14ac:dyDescent="0.3">
      <c r="F449" s="205"/>
    </row>
    <row r="450" spans="6:6" x14ac:dyDescent="0.3">
      <c r="F450" s="205"/>
    </row>
    <row r="451" spans="6:6" x14ac:dyDescent="0.3">
      <c r="F451" s="205"/>
    </row>
    <row r="452" spans="6:6" x14ac:dyDescent="0.3">
      <c r="F452" s="205"/>
    </row>
    <row r="453" spans="6:6" x14ac:dyDescent="0.3">
      <c r="F453" s="205"/>
    </row>
    <row r="454" spans="6:6" x14ac:dyDescent="0.3">
      <c r="F454" s="205"/>
    </row>
    <row r="455" spans="6:6" x14ac:dyDescent="0.3">
      <c r="F455" s="205"/>
    </row>
    <row r="456" spans="6:6" x14ac:dyDescent="0.3">
      <c r="F456" s="205"/>
    </row>
    <row r="457" spans="6:6" x14ac:dyDescent="0.3">
      <c r="F457" s="205"/>
    </row>
    <row r="458" spans="6:6" x14ac:dyDescent="0.3">
      <c r="F458" s="205"/>
    </row>
    <row r="459" spans="6:6" x14ac:dyDescent="0.3">
      <c r="F459" s="205"/>
    </row>
    <row r="460" spans="6:6" x14ac:dyDescent="0.3">
      <c r="F460" s="205"/>
    </row>
    <row r="461" spans="6:6" x14ac:dyDescent="0.3">
      <c r="F461" s="205"/>
    </row>
    <row r="462" spans="6:6" x14ac:dyDescent="0.3">
      <c r="F462" s="205"/>
    </row>
    <row r="463" spans="6:6" x14ac:dyDescent="0.3">
      <c r="F463" s="205"/>
    </row>
    <row r="464" spans="6:6" x14ac:dyDescent="0.3">
      <c r="F464" s="205"/>
    </row>
    <row r="465" spans="6:6" x14ac:dyDescent="0.3">
      <c r="F465" s="205"/>
    </row>
    <row r="466" spans="6:6" x14ac:dyDescent="0.3">
      <c r="F466" s="205"/>
    </row>
    <row r="467" spans="6:6" x14ac:dyDescent="0.3">
      <c r="F467" s="205"/>
    </row>
    <row r="468" spans="6:6" x14ac:dyDescent="0.3">
      <c r="F468" s="205"/>
    </row>
    <row r="469" spans="6:6" x14ac:dyDescent="0.3">
      <c r="F469" s="205"/>
    </row>
    <row r="470" spans="6:6" x14ac:dyDescent="0.3">
      <c r="F470" s="205"/>
    </row>
    <row r="471" spans="6:6" x14ac:dyDescent="0.3">
      <c r="F471" s="205"/>
    </row>
    <row r="472" spans="6:6" x14ac:dyDescent="0.3">
      <c r="F472" s="205"/>
    </row>
    <row r="473" spans="6:6" x14ac:dyDescent="0.3">
      <c r="F473" s="205"/>
    </row>
    <row r="474" spans="6:6" x14ac:dyDescent="0.3">
      <c r="F474" s="205"/>
    </row>
    <row r="475" spans="6:6" x14ac:dyDescent="0.3">
      <c r="F475" s="205"/>
    </row>
    <row r="476" spans="6:6" x14ac:dyDescent="0.3">
      <c r="F476" s="205"/>
    </row>
    <row r="477" spans="6:6" x14ac:dyDescent="0.3">
      <c r="F477" s="205"/>
    </row>
    <row r="478" spans="6:6" x14ac:dyDescent="0.3">
      <c r="F478" s="205"/>
    </row>
    <row r="479" spans="6:6" x14ac:dyDescent="0.3">
      <c r="F479" s="205"/>
    </row>
    <row r="480" spans="6:6" x14ac:dyDescent="0.3">
      <c r="F480" s="205"/>
    </row>
    <row r="481" spans="6:6" x14ac:dyDescent="0.3">
      <c r="F481" s="205"/>
    </row>
    <row r="482" spans="6:6" x14ac:dyDescent="0.3">
      <c r="F482" s="205"/>
    </row>
    <row r="483" spans="6:6" x14ac:dyDescent="0.3">
      <c r="F483" s="205"/>
    </row>
    <row r="484" spans="6:6" x14ac:dyDescent="0.3">
      <c r="F484" s="205"/>
    </row>
    <row r="485" spans="6:6" x14ac:dyDescent="0.3">
      <c r="F485" s="205"/>
    </row>
    <row r="486" spans="6:6" x14ac:dyDescent="0.3">
      <c r="F486" s="205"/>
    </row>
    <row r="487" spans="6:6" x14ac:dyDescent="0.3">
      <c r="F487" s="205"/>
    </row>
    <row r="488" spans="6:6" x14ac:dyDescent="0.3">
      <c r="F488" s="205"/>
    </row>
    <row r="489" spans="6:6" x14ac:dyDescent="0.3">
      <c r="F489" s="205"/>
    </row>
    <row r="490" spans="6:6" x14ac:dyDescent="0.3">
      <c r="F490" s="205"/>
    </row>
    <row r="491" spans="6:6" x14ac:dyDescent="0.3">
      <c r="F491" s="205"/>
    </row>
    <row r="492" spans="6:6" x14ac:dyDescent="0.3">
      <c r="F492" s="205"/>
    </row>
    <row r="493" spans="6:6" x14ac:dyDescent="0.3">
      <c r="F493" s="205"/>
    </row>
    <row r="494" spans="6:6" x14ac:dyDescent="0.3">
      <c r="F494" s="205"/>
    </row>
    <row r="495" spans="6:6" x14ac:dyDescent="0.3">
      <c r="F495" s="205"/>
    </row>
    <row r="496" spans="6:6" x14ac:dyDescent="0.3">
      <c r="F496" s="205"/>
    </row>
    <row r="497" spans="6:6" x14ac:dyDescent="0.3">
      <c r="F497" s="205"/>
    </row>
    <row r="498" spans="6:6" x14ac:dyDescent="0.3">
      <c r="F498" s="205"/>
    </row>
    <row r="499" spans="6:6" x14ac:dyDescent="0.3">
      <c r="F499" s="205"/>
    </row>
    <row r="500" spans="6:6" x14ac:dyDescent="0.3">
      <c r="F500" s="205"/>
    </row>
    <row r="501" spans="6:6" x14ac:dyDescent="0.3">
      <c r="F501" s="205"/>
    </row>
    <row r="502" spans="6:6" x14ac:dyDescent="0.3">
      <c r="F502" s="205"/>
    </row>
    <row r="503" spans="6:6" x14ac:dyDescent="0.3">
      <c r="F503" s="205"/>
    </row>
    <row r="504" spans="6:6" x14ac:dyDescent="0.3">
      <c r="F504" s="205"/>
    </row>
    <row r="505" spans="6:6" x14ac:dyDescent="0.3">
      <c r="F505" s="205"/>
    </row>
    <row r="506" spans="6:6" x14ac:dyDescent="0.3">
      <c r="F506" s="205"/>
    </row>
    <row r="507" spans="6:6" x14ac:dyDescent="0.3">
      <c r="F507" s="205"/>
    </row>
    <row r="508" spans="6:6" x14ac:dyDescent="0.3">
      <c r="F508" s="205"/>
    </row>
    <row r="509" spans="6:6" x14ac:dyDescent="0.3">
      <c r="F509" s="205"/>
    </row>
    <row r="510" spans="6:6" x14ac:dyDescent="0.3">
      <c r="F510" s="205"/>
    </row>
    <row r="511" spans="6:6" x14ac:dyDescent="0.3">
      <c r="F511" s="205"/>
    </row>
    <row r="512" spans="6:6" x14ac:dyDescent="0.3">
      <c r="F512" s="205"/>
    </row>
    <row r="513" spans="6:6" x14ac:dyDescent="0.3">
      <c r="F513" s="205"/>
    </row>
    <row r="514" spans="6:6" x14ac:dyDescent="0.3">
      <c r="F514" s="205"/>
    </row>
    <row r="515" spans="6:6" x14ac:dyDescent="0.3">
      <c r="F515" s="205"/>
    </row>
    <row r="516" spans="6:6" x14ac:dyDescent="0.3">
      <c r="F516" s="205"/>
    </row>
    <row r="517" spans="6:6" x14ac:dyDescent="0.3">
      <c r="F517" s="205"/>
    </row>
    <row r="518" spans="6:6" x14ac:dyDescent="0.3">
      <c r="F518" s="205"/>
    </row>
    <row r="519" spans="6:6" x14ac:dyDescent="0.3">
      <c r="F519" s="205"/>
    </row>
    <row r="520" spans="6:6" x14ac:dyDescent="0.3">
      <c r="F520" s="205"/>
    </row>
    <row r="521" spans="6:6" x14ac:dyDescent="0.3">
      <c r="F521" s="205"/>
    </row>
    <row r="522" spans="6:6" x14ac:dyDescent="0.3">
      <c r="F522" s="205"/>
    </row>
    <row r="523" spans="6:6" x14ac:dyDescent="0.3">
      <c r="F523" s="205"/>
    </row>
    <row r="524" spans="6:6" x14ac:dyDescent="0.3">
      <c r="F524" s="205"/>
    </row>
    <row r="525" spans="6:6" x14ac:dyDescent="0.3">
      <c r="F525" s="205"/>
    </row>
    <row r="526" spans="6:6" x14ac:dyDescent="0.3">
      <c r="F526" s="205"/>
    </row>
    <row r="527" spans="6:6" x14ac:dyDescent="0.3">
      <c r="F527" s="205"/>
    </row>
    <row r="528" spans="6:6" x14ac:dyDescent="0.3">
      <c r="F528" s="205"/>
    </row>
    <row r="529" spans="6:6" x14ac:dyDescent="0.3">
      <c r="F529" s="205"/>
    </row>
    <row r="530" spans="6:6" x14ac:dyDescent="0.3">
      <c r="F530" s="205"/>
    </row>
    <row r="531" spans="6:6" x14ac:dyDescent="0.3">
      <c r="F531" s="205"/>
    </row>
    <row r="532" spans="6:6" x14ac:dyDescent="0.3">
      <c r="F532" s="205"/>
    </row>
    <row r="533" spans="6:6" x14ac:dyDescent="0.3">
      <c r="F533" s="205"/>
    </row>
    <row r="534" spans="6:6" x14ac:dyDescent="0.3">
      <c r="F534" s="205"/>
    </row>
    <row r="535" spans="6:6" x14ac:dyDescent="0.3">
      <c r="F535" s="205"/>
    </row>
    <row r="536" spans="6:6" x14ac:dyDescent="0.3">
      <c r="F536" s="205"/>
    </row>
    <row r="537" spans="6:6" x14ac:dyDescent="0.3">
      <c r="F537" s="205"/>
    </row>
    <row r="538" spans="6:6" x14ac:dyDescent="0.3">
      <c r="F538" s="205"/>
    </row>
    <row r="539" spans="6:6" x14ac:dyDescent="0.3">
      <c r="F539" s="205"/>
    </row>
    <row r="540" spans="6:6" x14ac:dyDescent="0.3">
      <c r="F540" s="205"/>
    </row>
    <row r="541" spans="6:6" x14ac:dyDescent="0.3">
      <c r="F541" s="205"/>
    </row>
    <row r="542" spans="6:6" x14ac:dyDescent="0.3">
      <c r="F542" s="205"/>
    </row>
    <row r="543" spans="6:6" x14ac:dyDescent="0.3">
      <c r="F543" s="205"/>
    </row>
    <row r="544" spans="6:6" x14ac:dyDescent="0.3">
      <c r="F544" s="205"/>
    </row>
    <row r="545" spans="6:6" x14ac:dyDescent="0.3">
      <c r="F545" s="205"/>
    </row>
    <row r="546" spans="6:6" x14ac:dyDescent="0.3">
      <c r="F546" s="205"/>
    </row>
    <row r="547" spans="6:6" x14ac:dyDescent="0.3">
      <c r="F547" s="205"/>
    </row>
    <row r="548" spans="6:6" x14ac:dyDescent="0.3">
      <c r="F548" s="205"/>
    </row>
    <row r="549" spans="6:6" x14ac:dyDescent="0.3">
      <c r="F549" s="205"/>
    </row>
    <row r="550" spans="6:6" x14ac:dyDescent="0.3">
      <c r="F550" s="205"/>
    </row>
    <row r="551" spans="6:6" x14ac:dyDescent="0.3">
      <c r="F551" s="205"/>
    </row>
    <row r="552" spans="6:6" x14ac:dyDescent="0.3">
      <c r="F552" s="205"/>
    </row>
    <row r="553" spans="6:6" x14ac:dyDescent="0.3">
      <c r="F553" s="205"/>
    </row>
    <row r="554" spans="6:6" x14ac:dyDescent="0.3">
      <c r="F554" s="205"/>
    </row>
    <row r="555" spans="6:6" x14ac:dyDescent="0.3">
      <c r="F555" s="205"/>
    </row>
    <row r="556" spans="6:6" x14ac:dyDescent="0.3">
      <c r="F556" s="205"/>
    </row>
    <row r="557" spans="6:6" x14ac:dyDescent="0.3">
      <c r="F557" s="205"/>
    </row>
    <row r="558" spans="6:6" x14ac:dyDescent="0.3">
      <c r="F558" s="205"/>
    </row>
    <row r="559" spans="6:6" x14ac:dyDescent="0.3">
      <c r="F559" s="205"/>
    </row>
    <row r="560" spans="6:6" x14ac:dyDescent="0.3">
      <c r="F560" s="205"/>
    </row>
    <row r="561" spans="6:6" x14ac:dyDescent="0.3">
      <c r="F561" s="205"/>
    </row>
    <row r="562" spans="6:6" x14ac:dyDescent="0.3">
      <c r="F562" s="205"/>
    </row>
    <row r="563" spans="6:6" x14ac:dyDescent="0.3">
      <c r="F563" s="205"/>
    </row>
    <row r="564" spans="6:6" x14ac:dyDescent="0.3">
      <c r="F564" s="205"/>
    </row>
    <row r="565" spans="6:6" x14ac:dyDescent="0.3">
      <c r="F565" s="205"/>
    </row>
    <row r="566" spans="6:6" x14ac:dyDescent="0.3">
      <c r="F566" s="205"/>
    </row>
    <row r="567" spans="6:6" x14ac:dyDescent="0.3">
      <c r="F567" s="205"/>
    </row>
    <row r="568" spans="6:6" x14ac:dyDescent="0.3">
      <c r="F568" s="205"/>
    </row>
    <row r="569" spans="6:6" x14ac:dyDescent="0.3">
      <c r="F569" s="205"/>
    </row>
    <row r="570" spans="6:6" x14ac:dyDescent="0.3">
      <c r="F570" s="205"/>
    </row>
    <row r="571" spans="6:6" x14ac:dyDescent="0.3">
      <c r="F571" s="205"/>
    </row>
    <row r="572" spans="6:6" x14ac:dyDescent="0.3">
      <c r="F572" s="205"/>
    </row>
    <row r="573" spans="6:6" x14ac:dyDescent="0.3">
      <c r="F573" s="205"/>
    </row>
    <row r="574" spans="6:6" x14ac:dyDescent="0.3">
      <c r="F574" s="205"/>
    </row>
    <row r="575" spans="6:6" x14ac:dyDescent="0.3">
      <c r="F575" s="205"/>
    </row>
    <row r="576" spans="6:6" x14ac:dyDescent="0.3">
      <c r="F576" s="205"/>
    </row>
    <row r="577" spans="6:6" x14ac:dyDescent="0.3">
      <c r="F577" s="205"/>
    </row>
    <row r="578" spans="6:6" x14ac:dyDescent="0.3">
      <c r="F578" s="205"/>
    </row>
    <row r="579" spans="6:6" x14ac:dyDescent="0.3">
      <c r="F579" s="205"/>
    </row>
    <row r="580" spans="6:6" x14ac:dyDescent="0.3">
      <c r="F580" s="205"/>
    </row>
    <row r="581" spans="6:6" x14ac:dyDescent="0.3">
      <c r="F581" s="205"/>
    </row>
    <row r="582" spans="6:6" x14ac:dyDescent="0.3">
      <c r="F582" s="205"/>
    </row>
    <row r="583" spans="6:6" x14ac:dyDescent="0.3">
      <c r="F583" s="205"/>
    </row>
    <row r="584" spans="6:6" x14ac:dyDescent="0.3">
      <c r="F584" s="205"/>
    </row>
    <row r="585" spans="6:6" x14ac:dyDescent="0.3">
      <c r="F585" s="205"/>
    </row>
    <row r="586" spans="6:6" x14ac:dyDescent="0.3">
      <c r="F586" s="205"/>
    </row>
    <row r="587" spans="6:6" x14ac:dyDescent="0.3">
      <c r="F587" s="205"/>
    </row>
    <row r="588" spans="6:6" x14ac:dyDescent="0.3">
      <c r="F588" s="205"/>
    </row>
    <row r="589" spans="6:6" x14ac:dyDescent="0.3">
      <c r="F589" s="205"/>
    </row>
    <row r="590" spans="6:6" x14ac:dyDescent="0.3">
      <c r="F590" s="205"/>
    </row>
    <row r="591" spans="6:6" x14ac:dyDescent="0.3">
      <c r="F591" s="205"/>
    </row>
    <row r="592" spans="6:6" x14ac:dyDescent="0.3">
      <c r="F592" s="205"/>
    </row>
    <row r="593" spans="6:6" x14ac:dyDescent="0.3">
      <c r="F593" s="205"/>
    </row>
    <row r="594" spans="6:6" x14ac:dyDescent="0.3">
      <c r="F594" s="205"/>
    </row>
    <row r="595" spans="6:6" x14ac:dyDescent="0.3">
      <c r="F595" s="205"/>
    </row>
    <row r="596" spans="6:6" x14ac:dyDescent="0.3">
      <c r="F596" s="205"/>
    </row>
    <row r="597" spans="6:6" x14ac:dyDescent="0.3">
      <c r="F597" s="205"/>
    </row>
    <row r="598" spans="6:6" x14ac:dyDescent="0.3">
      <c r="F598" s="205"/>
    </row>
    <row r="599" spans="6:6" x14ac:dyDescent="0.3">
      <c r="F599" s="205"/>
    </row>
    <row r="600" spans="6:6" x14ac:dyDescent="0.3">
      <c r="F600" s="205"/>
    </row>
    <row r="601" spans="6:6" x14ac:dyDescent="0.3">
      <c r="F601" s="205"/>
    </row>
    <row r="602" spans="6:6" x14ac:dyDescent="0.3">
      <c r="F602" s="205"/>
    </row>
    <row r="603" spans="6:6" x14ac:dyDescent="0.3">
      <c r="F603" s="205"/>
    </row>
    <row r="604" spans="6:6" x14ac:dyDescent="0.3">
      <c r="F604" s="205"/>
    </row>
    <row r="605" spans="6:6" x14ac:dyDescent="0.3">
      <c r="F605" s="205"/>
    </row>
    <row r="606" spans="6:6" x14ac:dyDescent="0.3">
      <c r="F606" s="205"/>
    </row>
    <row r="607" spans="6:6" x14ac:dyDescent="0.3">
      <c r="F607" s="205"/>
    </row>
    <row r="608" spans="6:6" x14ac:dyDescent="0.3">
      <c r="F608" s="205"/>
    </row>
    <row r="609" spans="6:6" x14ac:dyDescent="0.3">
      <c r="F609" s="205"/>
    </row>
    <row r="610" spans="6:6" x14ac:dyDescent="0.3">
      <c r="F610" s="205"/>
    </row>
    <row r="611" spans="6:6" x14ac:dyDescent="0.3">
      <c r="F611" s="205"/>
    </row>
    <row r="612" spans="6:6" x14ac:dyDescent="0.3">
      <c r="F612" s="205"/>
    </row>
    <row r="613" spans="6:6" x14ac:dyDescent="0.3">
      <c r="F613" s="205"/>
    </row>
    <row r="614" spans="6:6" x14ac:dyDescent="0.3">
      <c r="F614" s="205"/>
    </row>
    <row r="615" spans="6:6" x14ac:dyDescent="0.3">
      <c r="F615" s="205"/>
    </row>
    <row r="616" spans="6:6" x14ac:dyDescent="0.3">
      <c r="F616" s="205"/>
    </row>
    <row r="617" spans="6:6" x14ac:dyDescent="0.3">
      <c r="F617" s="205"/>
    </row>
    <row r="618" spans="6:6" x14ac:dyDescent="0.3">
      <c r="F618" s="205"/>
    </row>
    <row r="619" spans="6:6" x14ac:dyDescent="0.3">
      <c r="F619" s="205"/>
    </row>
    <row r="620" spans="6:6" x14ac:dyDescent="0.3">
      <c r="F620" s="205"/>
    </row>
    <row r="621" spans="6:6" x14ac:dyDescent="0.3">
      <c r="F621" s="205"/>
    </row>
    <row r="622" spans="6:6" x14ac:dyDescent="0.3">
      <c r="F622" s="205"/>
    </row>
    <row r="623" spans="6:6" x14ac:dyDescent="0.3">
      <c r="F623" s="205"/>
    </row>
    <row r="624" spans="6:6" x14ac:dyDescent="0.3">
      <c r="F624" s="205"/>
    </row>
    <row r="625" spans="6:6" x14ac:dyDescent="0.3">
      <c r="F625" s="205"/>
    </row>
    <row r="626" spans="6:6" x14ac:dyDescent="0.3">
      <c r="F626" s="205"/>
    </row>
    <row r="627" spans="6:6" x14ac:dyDescent="0.3">
      <c r="F627" s="205"/>
    </row>
    <row r="628" spans="6:6" x14ac:dyDescent="0.3">
      <c r="F628" s="205"/>
    </row>
    <row r="629" spans="6:6" x14ac:dyDescent="0.3">
      <c r="F629" s="205"/>
    </row>
    <row r="630" spans="6:6" x14ac:dyDescent="0.3">
      <c r="F630" s="205"/>
    </row>
    <row r="631" spans="6:6" x14ac:dyDescent="0.3">
      <c r="F631" s="205"/>
    </row>
    <row r="632" spans="6:6" x14ac:dyDescent="0.3">
      <c r="F632" s="205"/>
    </row>
    <row r="633" spans="6:6" x14ac:dyDescent="0.3">
      <c r="F633" s="205"/>
    </row>
    <row r="634" spans="6:6" x14ac:dyDescent="0.3">
      <c r="F634" s="205"/>
    </row>
    <row r="635" spans="6:6" x14ac:dyDescent="0.3">
      <c r="F635" s="205"/>
    </row>
    <row r="636" spans="6:6" x14ac:dyDescent="0.3">
      <c r="F636" s="205"/>
    </row>
    <row r="637" spans="6:6" x14ac:dyDescent="0.3">
      <c r="F637" s="205"/>
    </row>
    <row r="638" spans="6:6" x14ac:dyDescent="0.3">
      <c r="F638" s="205"/>
    </row>
    <row r="639" spans="6:6" x14ac:dyDescent="0.3">
      <c r="F639" s="205"/>
    </row>
    <row r="640" spans="6:6" x14ac:dyDescent="0.3">
      <c r="F640" s="205"/>
    </row>
    <row r="641" spans="6:6" x14ac:dyDescent="0.3">
      <c r="F641" s="205"/>
    </row>
    <row r="642" spans="6:6" x14ac:dyDescent="0.3">
      <c r="F642" s="205"/>
    </row>
    <row r="643" spans="6:6" x14ac:dyDescent="0.3">
      <c r="F643" s="205"/>
    </row>
    <row r="644" spans="6:6" x14ac:dyDescent="0.3">
      <c r="F644" s="205"/>
    </row>
    <row r="645" spans="6:6" x14ac:dyDescent="0.3">
      <c r="F645" s="205"/>
    </row>
    <row r="646" spans="6:6" x14ac:dyDescent="0.3">
      <c r="F646" s="205"/>
    </row>
    <row r="647" spans="6:6" x14ac:dyDescent="0.3">
      <c r="F647" s="205"/>
    </row>
    <row r="648" spans="6:6" x14ac:dyDescent="0.3">
      <c r="F648" s="205"/>
    </row>
    <row r="649" spans="6:6" x14ac:dyDescent="0.3">
      <c r="F649" s="205"/>
    </row>
    <row r="650" spans="6:6" x14ac:dyDescent="0.3">
      <c r="F650" s="205"/>
    </row>
    <row r="651" spans="6:6" x14ac:dyDescent="0.3">
      <c r="F651" s="205"/>
    </row>
    <row r="652" spans="6:6" x14ac:dyDescent="0.3">
      <c r="F652" s="205"/>
    </row>
    <row r="653" spans="6:6" x14ac:dyDescent="0.3">
      <c r="F653" s="205"/>
    </row>
    <row r="654" spans="6:6" x14ac:dyDescent="0.3">
      <c r="F654" s="205"/>
    </row>
    <row r="655" spans="6:6" x14ac:dyDescent="0.3">
      <c r="F655" s="205"/>
    </row>
    <row r="656" spans="6:6" x14ac:dyDescent="0.3">
      <c r="F656" s="205"/>
    </row>
    <row r="657" spans="6:6" x14ac:dyDescent="0.3">
      <c r="F657" s="205"/>
    </row>
    <row r="658" spans="6:6" x14ac:dyDescent="0.3">
      <c r="F658" s="205"/>
    </row>
    <row r="659" spans="6:6" x14ac:dyDescent="0.3">
      <c r="F659" s="205"/>
    </row>
    <row r="660" spans="6:6" x14ac:dyDescent="0.3">
      <c r="F660" s="205"/>
    </row>
    <row r="661" spans="6:6" x14ac:dyDescent="0.3">
      <c r="F661" s="205"/>
    </row>
    <row r="662" spans="6:6" x14ac:dyDescent="0.3">
      <c r="F662" s="205"/>
    </row>
    <row r="663" spans="6:6" x14ac:dyDescent="0.3">
      <c r="F663" s="205"/>
    </row>
    <row r="664" spans="6:6" x14ac:dyDescent="0.3">
      <c r="F664" s="205"/>
    </row>
    <row r="665" spans="6:6" x14ac:dyDescent="0.3">
      <c r="F665" s="205"/>
    </row>
    <row r="666" spans="6:6" x14ac:dyDescent="0.3">
      <c r="F666" s="205"/>
    </row>
    <row r="667" spans="6:6" x14ac:dyDescent="0.3">
      <c r="F667" s="205"/>
    </row>
    <row r="668" spans="6:6" x14ac:dyDescent="0.3">
      <c r="F668" s="205"/>
    </row>
    <row r="669" spans="6:6" x14ac:dyDescent="0.3">
      <c r="F669" s="205"/>
    </row>
    <row r="670" spans="6:6" x14ac:dyDescent="0.3">
      <c r="F670" s="205"/>
    </row>
    <row r="671" spans="6:6" x14ac:dyDescent="0.3">
      <c r="F671" s="205"/>
    </row>
    <row r="672" spans="6:6" x14ac:dyDescent="0.3">
      <c r="F672" s="205"/>
    </row>
    <row r="673" spans="6:6" x14ac:dyDescent="0.3">
      <c r="F673" s="205"/>
    </row>
    <row r="674" spans="6:6" x14ac:dyDescent="0.3">
      <c r="F674" s="205"/>
    </row>
    <row r="675" spans="6:6" x14ac:dyDescent="0.3">
      <c r="F675" s="205"/>
    </row>
    <row r="676" spans="6:6" x14ac:dyDescent="0.3">
      <c r="F676" s="205"/>
    </row>
    <row r="677" spans="6:6" x14ac:dyDescent="0.3">
      <c r="F677" s="205"/>
    </row>
    <row r="678" spans="6:6" x14ac:dyDescent="0.3">
      <c r="F678" s="205"/>
    </row>
    <row r="679" spans="6:6" x14ac:dyDescent="0.3">
      <c r="F679" s="205"/>
    </row>
    <row r="680" spans="6:6" x14ac:dyDescent="0.3">
      <c r="F680" s="205"/>
    </row>
    <row r="681" spans="6:6" x14ac:dyDescent="0.3">
      <c r="F681" s="205"/>
    </row>
    <row r="682" spans="6:6" x14ac:dyDescent="0.3">
      <c r="F682" s="205"/>
    </row>
    <row r="683" spans="6:6" x14ac:dyDescent="0.3">
      <c r="F683" s="205"/>
    </row>
    <row r="684" spans="6:6" x14ac:dyDescent="0.3">
      <c r="F684" s="205"/>
    </row>
    <row r="685" spans="6:6" x14ac:dyDescent="0.3">
      <c r="F685" s="205"/>
    </row>
    <row r="686" spans="6:6" x14ac:dyDescent="0.3">
      <c r="F686" s="205"/>
    </row>
    <row r="687" spans="6:6" x14ac:dyDescent="0.3">
      <c r="F687" s="205"/>
    </row>
    <row r="688" spans="6:6" x14ac:dyDescent="0.3">
      <c r="F688" s="205"/>
    </row>
    <row r="689" spans="6:6" x14ac:dyDescent="0.3">
      <c r="F689" s="205"/>
    </row>
    <row r="690" spans="6:6" x14ac:dyDescent="0.3">
      <c r="F690" s="205"/>
    </row>
    <row r="691" spans="6:6" x14ac:dyDescent="0.3">
      <c r="F691" s="205"/>
    </row>
    <row r="692" spans="6:6" x14ac:dyDescent="0.3">
      <c r="F692" s="205"/>
    </row>
    <row r="693" spans="6:6" x14ac:dyDescent="0.3">
      <c r="F693" s="205"/>
    </row>
    <row r="694" spans="6:6" x14ac:dyDescent="0.3">
      <c r="F694" s="205"/>
    </row>
    <row r="695" spans="6:6" x14ac:dyDescent="0.3">
      <c r="F695" s="205"/>
    </row>
    <row r="696" spans="6:6" x14ac:dyDescent="0.3">
      <c r="F696" s="205"/>
    </row>
    <row r="697" spans="6:6" x14ac:dyDescent="0.3">
      <c r="F697" s="205"/>
    </row>
    <row r="698" spans="6:6" x14ac:dyDescent="0.3">
      <c r="F698" s="205"/>
    </row>
    <row r="699" spans="6:6" x14ac:dyDescent="0.3">
      <c r="F699" s="205"/>
    </row>
    <row r="700" spans="6:6" x14ac:dyDescent="0.3">
      <c r="F700" s="205"/>
    </row>
    <row r="701" spans="6:6" x14ac:dyDescent="0.3">
      <c r="F701" s="205"/>
    </row>
    <row r="702" spans="6:6" x14ac:dyDescent="0.3">
      <c r="F702" s="205"/>
    </row>
    <row r="703" spans="6:6" x14ac:dyDescent="0.3">
      <c r="F703" s="205"/>
    </row>
    <row r="704" spans="6:6" x14ac:dyDescent="0.3">
      <c r="F704" s="205"/>
    </row>
    <row r="705" spans="6:6" x14ac:dyDescent="0.3">
      <c r="F705" s="205"/>
    </row>
    <row r="706" spans="6:6" x14ac:dyDescent="0.3">
      <c r="F706" s="205"/>
    </row>
    <row r="707" spans="6:6" x14ac:dyDescent="0.3">
      <c r="F707" s="205"/>
    </row>
    <row r="708" spans="6:6" x14ac:dyDescent="0.3">
      <c r="F708" s="205"/>
    </row>
    <row r="709" spans="6:6" x14ac:dyDescent="0.3">
      <c r="F709" s="205"/>
    </row>
    <row r="710" spans="6:6" x14ac:dyDescent="0.3">
      <c r="F710" s="205"/>
    </row>
    <row r="711" spans="6:6" x14ac:dyDescent="0.3">
      <c r="F711" s="205"/>
    </row>
    <row r="712" spans="6:6" x14ac:dyDescent="0.3">
      <c r="F712" s="205"/>
    </row>
    <row r="713" spans="6:6" x14ac:dyDescent="0.3">
      <c r="F713" s="205"/>
    </row>
    <row r="714" spans="6:6" x14ac:dyDescent="0.3">
      <c r="F714" s="205"/>
    </row>
    <row r="715" spans="6:6" x14ac:dyDescent="0.3">
      <c r="F715" s="205"/>
    </row>
    <row r="716" spans="6:6" x14ac:dyDescent="0.3">
      <c r="F716" s="205"/>
    </row>
    <row r="717" spans="6:6" x14ac:dyDescent="0.3">
      <c r="F717" s="205"/>
    </row>
    <row r="718" spans="6:6" x14ac:dyDescent="0.3">
      <c r="F718" s="205"/>
    </row>
    <row r="719" spans="6:6" x14ac:dyDescent="0.3">
      <c r="F719" s="205"/>
    </row>
    <row r="720" spans="6:6" x14ac:dyDescent="0.3">
      <c r="F720" s="205"/>
    </row>
    <row r="721" spans="6:6" x14ac:dyDescent="0.3">
      <c r="F721" s="205"/>
    </row>
    <row r="722" spans="6:6" x14ac:dyDescent="0.3">
      <c r="F722" s="205"/>
    </row>
    <row r="723" spans="6:6" x14ac:dyDescent="0.3">
      <c r="F723" s="205"/>
    </row>
    <row r="724" spans="6:6" x14ac:dyDescent="0.3">
      <c r="F724" s="205"/>
    </row>
    <row r="725" spans="6:6" x14ac:dyDescent="0.3">
      <c r="F725" s="205"/>
    </row>
    <row r="726" spans="6:6" x14ac:dyDescent="0.3">
      <c r="F726" s="205"/>
    </row>
    <row r="727" spans="6:6" x14ac:dyDescent="0.3">
      <c r="F727" s="205"/>
    </row>
    <row r="728" spans="6:6" x14ac:dyDescent="0.3">
      <c r="F728" s="205"/>
    </row>
    <row r="729" spans="6:6" x14ac:dyDescent="0.3">
      <c r="F729" s="205"/>
    </row>
    <row r="730" spans="6:6" x14ac:dyDescent="0.3">
      <c r="F730" s="205"/>
    </row>
    <row r="731" spans="6:6" x14ac:dyDescent="0.3">
      <c r="F731" s="205"/>
    </row>
    <row r="732" spans="6:6" x14ac:dyDescent="0.3">
      <c r="F732" s="205"/>
    </row>
    <row r="733" spans="6:6" x14ac:dyDescent="0.3">
      <c r="F733" s="205"/>
    </row>
    <row r="734" spans="6:6" x14ac:dyDescent="0.3">
      <c r="F734" s="205"/>
    </row>
    <row r="735" spans="6:6" x14ac:dyDescent="0.3">
      <c r="F735" s="205"/>
    </row>
    <row r="736" spans="6:6" x14ac:dyDescent="0.3">
      <c r="F736" s="205"/>
    </row>
    <row r="737" spans="6:6" x14ac:dyDescent="0.3">
      <c r="F737" s="205"/>
    </row>
    <row r="738" spans="6:6" x14ac:dyDescent="0.3">
      <c r="F738" s="205"/>
    </row>
    <row r="739" spans="6:6" x14ac:dyDescent="0.3">
      <c r="F739" s="205"/>
    </row>
    <row r="740" spans="6:6" x14ac:dyDescent="0.3">
      <c r="F740" s="205"/>
    </row>
    <row r="741" spans="6:6" x14ac:dyDescent="0.3">
      <c r="F741" s="205"/>
    </row>
    <row r="742" spans="6:6" x14ac:dyDescent="0.3">
      <c r="F742" s="205"/>
    </row>
    <row r="743" spans="6:6" x14ac:dyDescent="0.3">
      <c r="F743" s="205"/>
    </row>
    <row r="744" spans="6:6" x14ac:dyDescent="0.3">
      <c r="F744" s="205"/>
    </row>
    <row r="745" spans="6:6" x14ac:dyDescent="0.3">
      <c r="F745" s="205"/>
    </row>
    <row r="746" spans="6:6" x14ac:dyDescent="0.3">
      <c r="F746" s="205"/>
    </row>
    <row r="747" spans="6:6" x14ac:dyDescent="0.3">
      <c r="F747" s="205"/>
    </row>
    <row r="748" spans="6:6" x14ac:dyDescent="0.3">
      <c r="F748" s="205"/>
    </row>
    <row r="749" spans="6:6" x14ac:dyDescent="0.3">
      <c r="F749" s="205"/>
    </row>
    <row r="750" spans="6:6" x14ac:dyDescent="0.3">
      <c r="F750" s="205"/>
    </row>
    <row r="751" spans="6:6" x14ac:dyDescent="0.3">
      <c r="F751" s="205"/>
    </row>
    <row r="752" spans="6:6" x14ac:dyDescent="0.3">
      <c r="F752" s="205"/>
    </row>
    <row r="753" spans="6:6" x14ac:dyDescent="0.3">
      <c r="F753" s="205"/>
    </row>
    <row r="754" spans="6:6" x14ac:dyDescent="0.3">
      <c r="F754" s="205"/>
    </row>
    <row r="755" spans="6:6" x14ac:dyDescent="0.3">
      <c r="F755" s="205"/>
    </row>
    <row r="756" spans="6:6" x14ac:dyDescent="0.3">
      <c r="F756" s="205"/>
    </row>
    <row r="757" spans="6:6" x14ac:dyDescent="0.3">
      <c r="F757" s="205"/>
    </row>
    <row r="758" spans="6:6" x14ac:dyDescent="0.3">
      <c r="F758" s="205"/>
    </row>
    <row r="759" spans="6:6" x14ac:dyDescent="0.3">
      <c r="F759" s="205"/>
    </row>
    <row r="760" spans="6:6" x14ac:dyDescent="0.3">
      <c r="F760" s="205"/>
    </row>
    <row r="761" spans="6:6" x14ac:dyDescent="0.3">
      <c r="F761" s="205"/>
    </row>
    <row r="762" spans="6:6" x14ac:dyDescent="0.3">
      <c r="F762" s="205"/>
    </row>
    <row r="763" spans="6:6" x14ac:dyDescent="0.3">
      <c r="F763" s="205"/>
    </row>
    <row r="764" spans="6:6" x14ac:dyDescent="0.3">
      <c r="F764" s="205"/>
    </row>
    <row r="765" spans="6:6" x14ac:dyDescent="0.3">
      <c r="F765" s="205"/>
    </row>
    <row r="766" spans="6:6" x14ac:dyDescent="0.3">
      <c r="F766" s="205"/>
    </row>
    <row r="767" spans="6:6" x14ac:dyDescent="0.3">
      <c r="F767" s="205"/>
    </row>
    <row r="768" spans="6:6" x14ac:dyDescent="0.3">
      <c r="F768" s="205"/>
    </row>
    <row r="769" spans="6:6" x14ac:dyDescent="0.3">
      <c r="F769" s="205"/>
    </row>
    <row r="770" spans="6:6" x14ac:dyDescent="0.3">
      <c r="F770" s="205"/>
    </row>
    <row r="771" spans="6:6" x14ac:dyDescent="0.3">
      <c r="F771" s="205"/>
    </row>
    <row r="772" spans="6:6" x14ac:dyDescent="0.3">
      <c r="F772" s="205"/>
    </row>
    <row r="773" spans="6:6" x14ac:dyDescent="0.3">
      <c r="F773" s="205"/>
    </row>
    <row r="774" spans="6:6" x14ac:dyDescent="0.3">
      <c r="F774" s="205"/>
    </row>
    <row r="775" spans="6:6" x14ac:dyDescent="0.3">
      <c r="F775" s="205"/>
    </row>
    <row r="776" spans="6:6" x14ac:dyDescent="0.3">
      <c r="F776" s="205"/>
    </row>
    <row r="777" spans="6:6" x14ac:dyDescent="0.3">
      <c r="F777" s="205"/>
    </row>
    <row r="778" spans="6:6" x14ac:dyDescent="0.3">
      <c r="F778" s="205"/>
    </row>
    <row r="779" spans="6:6" x14ac:dyDescent="0.3">
      <c r="F779" s="205"/>
    </row>
    <row r="780" spans="6:6" x14ac:dyDescent="0.3">
      <c r="F780" s="205"/>
    </row>
    <row r="781" spans="6:6" x14ac:dyDescent="0.3">
      <c r="F781" s="205"/>
    </row>
    <row r="782" spans="6:6" x14ac:dyDescent="0.3">
      <c r="F782" s="205"/>
    </row>
    <row r="783" spans="6:6" x14ac:dyDescent="0.3">
      <c r="F783" s="205"/>
    </row>
    <row r="784" spans="6:6" x14ac:dyDescent="0.3">
      <c r="F784" s="205"/>
    </row>
    <row r="785" spans="6:6" x14ac:dyDescent="0.3">
      <c r="F785" s="205"/>
    </row>
    <row r="786" spans="6:6" x14ac:dyDescent="0.3">
      <c r="F786" s="205"/>
    </row>
    <row r="787" spans="6:6" x14ac:dyDescent="0.3">
      <c r="F787" s="205"/>
    </row>
    <row r="788" spans="6:6" x14ac:dyDescent="0.3">
      <c r="F788" s="205"/>
    </row>
    <row r="789" spans="6:6" x14ac:dyDescent="0.3">
      <c r="F789" s="205"/>
    </row>
    <row r="790" spans="6:6" x14ac:dyDescent="0.3">
      <c r="F790" s="205"/>
    </row>
    <row r="791" spans="6:6" x14ac:dyDescent="0.3">
      <c r="F791" s="205"/>
    </row>
    <row r="792" spans="6:6" x14ac:dyDescent="0.3">
      <c r="F792" s="205"/>
    </row>
    <row r="793" spans="6:6" x14ac:dyDescent="0.3">
      <c r="F793" s="205"/>
    </row>
    <row r="794" spans="6:6" x14ac:dyDescent="0.3">
      <c r="F794" s="205"/>
    </row>
    <row r="795" spans="6:6" x14ac:dyDescent="0.3">
      <c r="F795" s="205"/>
    </row>
    <row r="796" spans="6:6" x14ac:dyDescent="0.3">
      <c r="F796" s="205"/>
    </row>
    <row r="797" spans="6:6" x14ac:dyDescent="0.3">
      <c r="F797" s="205"/>
    </row>
    <row r="798" spans="6:6" x14ac:dyDescent="0.3">
      <c r="F798" s="205"/>
    </row>
    <row r="799" spans="6:6" x14ac:dyDescent="0.3">
      <c r="F799" s="205"/>
    </row>
    <row r="800" spans="6:6" x14ac:dyDescent="0.3">
      <c r="F800" s="205"/>
    </row>
    <row r="801" spans="6:6" x14ac:dyDescent="0.3">
      <c r="F801" s="205"/>
    </row>
    <row r="802" spans="6:6" x14ac:dyDescent="0.3">
      <c r="F802" s="205"/>
    </row>
    <row r="803" spans="6:6" x14ac:dyDescent="0.3">
      <c r="F803" s="205"/>
    </row>
    <row r="804" spans="6:6" x14ac:dyDescent="0.3">
      <c r="F804" s="205"/>
    </row>
    <row r="805" spans="6:6" x14ac:dyDescent="0.3">
      <c r="F805" s="205"/>
    </row>
    <row r="806" spans="6:6" x14ac:dyDescent="0.3">
      <c r="F806" s="205"/>
    </row>
    <row r="807" spans="6:6" x14ac:dyDescent="0.3">
      <c r="F807" s="205"/>
    </row>
    <row r="808" spans="6:6" x14ac:dyDescent="0.3">
      <c r="F808" s="205"/>
    </row>
    <row r="809" spans="6:6" x14ac:dyDescent="0.3">
      <c r="F809" s="205"/>
    </row>
    <row r="810" spans="6:6" x14ac:dyDescent="0.3">
      <c r="F810" s="205"/>
    </row>
    <row r="811" spans="6:6" x14ac:dyDescent="0.3">
      <c r="F811" s="205"/>
    </row>
    <row r="812" spans="6:6" x14ac:dyDescent="0.3">
      <c r="F812" s="205"/>
    </row>
    <row r="813" spans="6:6" x14ac:dyDescent="0.3">
      <c r="F813" s="205"/>
    </row>
    <row r="814" spans="6:6" x14ac:dyDescent="0.3">
      <c r="F814" s="205"/>
    </row>
    <row r="815" spans="6:6" x14ac:dyDescent="0.3">
      <c r="F815" s="205"/>
    </row>
    <row r="816" spans="6:6" x14ac:dyDescent="0.3">
      <c r="F816" s="205"/>
    </row>
    <row r="817" spans="6:6" x14ac:dyDescent="0.3">
      <c r="F817" s="205"/>
    </row>
    <row r="818" spans="6:6" x14ac:dyDescent="0.3">
      <c r="F818" s="205"/>
    </row>
    <row r="819" spans="6:6" x14ac:dyDescent="0.3">
      <c r="F819" s="205"/>
    </row>
    <row r="820" spans="6:6" x14ac:dyDescent="0.3">
      <c r="F820" s="205"/>
    </row>
    <row r="821" spans="6:6" x14ac:dyDescent="0.3">
      <c r="F821" s="205"/>
    </row>
    <row r="822" spans="6:6" x14ac:dyDescent="0.3">
      <c r="F822" s="205"/>
    </row>
    <row r="823" spans="6:6" x14ac:dyDescent="0.3">
      <c r="F823" s="205"/>
    </row>
    <row r="824" spans="6:6" x14ac:dyDescent="0.3">
      <c r="F824" s="205"/>
    </row>
    <row r="825" spans="6:6" x14ac:dyDescent="0.3">
      <c r="F825" s="205"/>
    </row>
    <row r="826" spans="6:6" x14ac:dyDescent="0.3">
      <c r="F826" s="205"/>
    </row>
    <row r="827" spans="6:6" x14ac:dyDescent="0.3">
      <c r="F827" s="205"/>
    </row>
    <row r="828" spans="6:6" x14ac:dyDescent="0.3">
      <c r="F828" s="205"/>
    </row>
    <row r="829" spans="6:6" x14ac:dyDescent="0.3">
      <c r="F829" s="205"/>
    </row>
    <row r="830" spans="6:6" x14ac:dyDescent="0.3">
      <c r="F830" s="205"/>
    </row>
    <row r="831" spans="6:6" x14ac:dyDescent="0.3">
      <c r="F831" s="205"/>
    </row>
    <row r="832" spans="6:6" x14ac:dyDescent="0.3">
      <c r="F832" s="205"/>
    </row>
    <row r="833" spans="6:6" x14ac:dyDescent="0.3">
      <c r="F833" s="205"/>
    </row>
    <row r="834" spans="6:6" x14ac:dyDescent="0.3">
      <c r="F834" s="205"/>
    </row>
    <row r="835" spans="6:6" x14ac:dyDescent="0.3">
      <c r="F835" s="205"/>
    </row>
    <row r="836" spans="6:6" x14ac:dyDescent="0.3">
      <c r="F836" s="205"/>
    </row>
    <row r="837" spans="6:6" x14ac:dyDescent="0.3">
      <c r="F837" s="205"/>
    </row>
    <row r="838" spans="6:6" x14ac:dyDescent="0.3">
      <c r="F838" s="205"/>
    </row>
    <row r="839" spans="6:6" x14ac:dyDescent="0.3">
      <c r="F839" s="205"/>
    </row>
    <row r="840" spans="6:6" x14ac:dyDescent="0.3">
      <c r="F840" s="205"/>
    </row>
    <row r="841" spans="6:6" x14ac:dyDescent="0.3">
      <c r="F841" s="205"/>
    </row>
    <row r="842" spans="6:6" x14ac:dyDescent="0.3">
      <c r="F842" s="205"/>
    </row>
    <row r="843" spans="6:6" x14ac:dyDescent="0.3">
      <c r="F843" s="205"/>
    </row>
    <row r="844" spans="6:6" x14ac:dyDescent="0.3">
      <c r="F844" s="205"/>
    </row>
    <row r="845" spans="6:6" x14ac:dyDescent="0.3">
      <c r="F845" s="205"/>
    </row>
    <row r="846" spans="6:6" x14ac:dyDescent="0.3">
      <c r="F846" s="205"/>
    </row>
    <row r="847" spans="6:6" x14ac:dyDescent="0.3">
      <c r="F847" s="205"/>
    </row>
    <row r="848" spans="6:6" x14ac:dyDescent="0.3">
      <c r="F848" s="205"/>
    </row>
    <row r="849" spans="6:6" x14ac:dyDescent="0.3">
      <c r="F849" s="205"/>
    </row>
    <row r="850" spans="6:6" x14ac:dyDescent="0.3">
      <c r="F850" s="205"/>
    </row>
    <row r="851" spans="6:6" x14ac:dyDescent="0.3">
      <c r="F851" s="205"/>
    </row>
    <row r="852" spans="6:6" x14ac:dyDescent="0.3">
      <c r="F852" s="205"/>
    </row>
    <row r="853" spans="6:6" x14ac:dyDescent="0.3">
      <c r="F853" s="205"/>
    </row>
    <row r="854" spans="6:6" x14ac:dyDescent="0.3">
      <c r="F854" s="205"/>
    </row>
    <row r="855" spans="6:6" x14ac:dyDescent="0.3">
      <c r="F855" s="205"/>
    </row>
    <row r="856" spans="6:6" x14ac:dyDescent="0.3">
      <c r="F856" s="205"/>
    </row>
    <row r="857" spans="6:6" x14ac:dyDescent="0.3">
      <c r="F857" s="205"/>
    </row>
    <row r="858" spans="6:6" x14ac:dyDescent="0.3">
      <c r="F858" s="205"/>
    </row>
    <row r="859" spans="6:6" x14ac:dyDescent="0.3">
      <c r="F859" s="205"/>
    </row>
    <row r="860" spans="6:6" x14ac:dyDescent="0.3">
      <c r="F860" s="205"/>
    </row>
    <row r="861" spans="6:6" x14ac:dyDescent="0.3">
      <c r="F861" s="205"/>
    </row>
    <row r="862" spans="6:6" x14ac:dyDescent="0.3">
      <c r="F862" s="205"/>
    </row>
    <row r="863" spans="6:6" x14ac:dyDescent="0.3">
      <c r="F863" s="205"/>
    </row>
    <row r="864" spans="6:6" x14ac:dyDescent="0.3">
      <c r="F864" s="205"/>
    </row>
    <row r="865" spans="6:6" x14ac:dyDescent="0.3">
      <c r="F865" s="205"/>
    </row>
    <row r="866" spans="6:6" x14ac:dyDescent="0.3">
      <c r="F866" s="205"/>
    </row>
    <row r="867" spans="6:6" x14ac:dyDescent="0.3">
      <c r="F867" s="205"/>
    </row>
    <row r="868" spans="6:6" x14ac:dyDescent="0.3">
      <c r="F868" s="205"/>
    </row>
    <row r="869" spans="6:6" x14ac:dyDescent="0.3">
      <c r="F869" s="205"/>
    </row>
    <row r="870" spans="6:6" x14ac:dyDescent="0.3">
      <c r="F870" s="205"/>
    </row>
    <row r="871" spans="6:6" x14ac:dyDescent="0.3">
      <c r="F871" s="205"/>
    </row>
    <row r="872" spans="6:6" x14ac:dyDescent="0.3">
      <c r="F872" s="205"/>
    </row>
    <row r="873" spans="6:6" x14ac:dyDescent="0.3">
      <c r="F873" s="205"/>
    </row>
    <row r="874" spans="6:6" x14ac:dyDescent="0.3">
      <c r="F874" s="205"/>
    </row>
    <row r="875" spans="6:6" x14ac:dyDescent="0.3">
      <c r="F875" s="205"/>
    </row>
    <row r="876" spans="6:6" x14ac:dyDescent="0.3">
      <c r="F876" s="205"/>
    </row>
    <row r="877" spans="6:6" x14ac:dyDescent="0.3">
      <c r="F877" s="205"/>
    </row>
    <row r="878" spans="6:6" x14ac:dyDescent="0.3">
      <c r="F878" s="205"/>
    </row>
    <row r="879" spans="6:6" x14ac:dyDescent="0.3">
      <c r="F879" s="205"/>
    </row>
    <row r="880" spans="6:6" x14ac:dyDescent="0.3">
      <c r="F880" s="205"/>
    </row>
    <row r="881" spans="6:6" x14ac:dyDescent="0.3">
      <c r="F881" s="205"/>
    </row>
    <row r="882" spans="6:6" x14ac:dyDescent="0.3">
      <c r="F882" s="205"/>
    </row>
    <row r="883" spans="6:6" x14ac:dyDescent="0.3">
      <c r="F883" s="205"/>
    </row>
    <row r="884" spans="6:6" x14ac:dyDescent="0.3">
      <c r="F884" s="205"/>
    </row>
    <row r="885" spans="6:6" x14ac:dyDescent="0.3">
      <c r="F885" s="205"/>
    </row>
    <row r="886" spans="6:6" x14ac:dyDescent="0.3">
      <c r="F886" s="205"/>
    </row>
    <row r="887" spans="6:6" x14ac:dyDescent="0.3">
      <c r="F887" s="205"/>
    </row>
    <row r="888" spans="6:6" x14ac:dyDescent="0.3">
      <c r="F888" s="205"/>
    </row>
    <row r="889" spans="6:6" x14ac:dyDescent="0.3">
      <c r="F889" s="205"/>
    </row>
    <row r="890" spans="6:6" x14ac:dyDescent="0.3">
      <c r="F890" s="205"/>
    </row>
    <row r="891" spans="6:6" x14ac:dyDescent="0.3">
      <c r="F891" s="205"/>
    </row>
    <row r="892" spans="6:6" x14ac:dyDescent="0.3">
      <c r="F892" s="205"/>
    </row>
    <row r="893" spans="6:6" x14ac:dyDescent="0.3">
      <c r="F893" s="205"/>
    </row>
    <row r="894" spans="6:6" x14ac:dyDescent="0.3">
      <c r="F894" s="205"/>
    </row>
    <row r="895" spans="6:6" x14ac:dyDescent="0.3">
      <c r="F895" s="205"/>
    </row>
    <row r="896" spans="6:6" x14ac:dyDescent="0.3">
      <c r="F896" s="205"/>
    </row>
    <row r="897" spans="6:6" x14ac:dyDescent="0.3">
      <c r="F897" s="205"/>
    </row>
    <row r="898" spans="6:6" x14ac:dyDescent="0.3">
      <c r="F898" s="205"/>
    </row>
    <row r="899" spans="6:6" x14ac:dyDescent="0.3">
      <c r="F899" s="205"/>
    </row>
    <row r="900" spans="6:6" x14ac:dyDescent="0.3">
      <c r="F900" s="205"/>
    </row>
    <row r="901" spans="6:6" x14ac:dyDescent="0.3">
      <c r="F901" s="205"/>
    </row>
    <row r="902" spans="6:6" x14ac:dyDescent="0.3">
      <c r="F902" s="205"/>
    </row>
    <row r="903" spans="6:6" x14ac:dyDescent="0.3">
      <c r="F903" s="205"/>
    </row>
    <row r="904" spans="6:6" x14ac:dyDescent="0.3">
      <c r="F904" s="205"/>
    </row>
    <row r="905" spans="6:6" x14ac:dyDescent="0.3">
      <c r="F905" s="205"/>
    </row>
    <row r="906" spans="6:6" x14ac:dyDescent="0.3">
      <c r="F906" s="205"/>
    </row>
    <row r="907" spans="6:6" x14ac:dyDescent="0.3">
      <c r="F907" s="205"/>
    </row>
    <row r="908" spans="6:6" x14ac:dyDescent="0.3">
      <c r="F908" s="205"/>
    </row>
    <row r="909" spans="6:6" x14ac:dyDescent="0.3">
      <c r="F909" s="205"/>
    </row>
    <row r="910" spans="6:6" x14ac:dyDescent="0.3">
      <c r="F910" s="205"/>
    </row>
    <row r="911" spans="6:6" x14ac:dyDescent="0.3">
      <c r="F911" s="205"/>
    </row>
    <row r="912" spans="6:6" x14ac:dyDescent="0.3">
      <c r="F912" s="205"/>
    </row>
    <row r="913" spans="6:6" x14ac:dyDescent="0.3">
      <c r="F913" s="205"/>
    </row>
    <row r="914" spans="6:6" x14ac:dyDescent="0.3">
      <c r="F914" s="205"/>
    </row>
    <row r="915" spans="6:6" x14ac:dyDescent="0.3">
      <c r="F915" s="205"/>
    </row>
    <row r="916" spans="6:6" x14ac:dyDescent="0.3">
      <c r="F916" s="205"/>
    </row>
    <row r="917" spans="6:6" x14ac:dyDescent="0.3">
      <c r="F917" s="205"/>
    </row>
    <row r="918" spans="6:6" x14ac:dyDescent="0.3">
      <c r="F918" s="205"/>
    </row>
    <row r="919" spans="6:6" x14ac:dyDescent="0.3">
      <c r="F919" s="205"/>
    </row>
    <row r="920" spans="6:6" x14ac:dyDescent="0.3">
      <c r="F920" s="205"/>
    </row>
    <row r="921" spans="6:6" x14ac:dyDescent="0.3">
      <c r="F921" s="205"/>
    </row>
    <row r="922" spans="6:6" x14ac:dyDescent="0.3">
      <c r="F922" s="205"/>
    </row>
    <row r="923" spans="6:6" x14ac:dyDescent="0.3">
      <c r="F923" s="205"/>
    </row>
    <row r="924" spans="6:6" x14ac:dyDescent="0.3">
      <c r="F924" s="205"/>
    </row>
    <row r="925" spans="6:6" x14ac:dyDescent="0.3">
      <c r="F925" s="205"/>
    </row>
    <row r="926" spans="6:6" x14ac:dyDescent="0.3">
      <c r="F926" s="205"/>
    </row>
    <row r="927" spans="6:6" x14ac:dyDescent="0.3">
      <c r="F927" s="205"/>
    </row>
    <row r="928" spans="6:6" x14ac:dyDescent="0.3">
      <c r="F928" s="205"/>
    </row>
    <row r="929" spans="6:6" x14ac:dyDescent="0.3">
      <c r="F929" s="205"/>
    </row>
    <row r="930" spans="6:6" x14ac:dyDescent="0.3">
      <c r="F930" s="205"/>
    </row>
    <row r="931" spans="6:6" x14ac:dyDescent="0.3">
      <c r="F931" s="205"/>
    </row>
    <row r="932" spans="6:6" x14ac:dyDescent="0.3">
      <c r="F932" s="205"/>
    </row>
    <row r="933" spans="6:6" x14ac:dyDescent="0.3">
      <c r="F933" s="205"/>
    </row>
    <row r="934" spans="6:6" x14ac:dyDescent="0.3">
      <c r="F934" s="205"/>
    </row>
    <row r="935" spans="6:6" x14ac:dyDescent="0.3">
      <c r="F935" s="205"/>
    </row>
    <row r="936" spans="6:6" x14ac:dyDescent="0.3">
      <c r="F936" s="205"/>
    </row>
    <row r="937" spans="6:6" x14ac:dyDescent="0.3">
      <c r="F937" s="205"/>
    </row>
    <row r="938" spans="6:6" x14ac:dyDescent="0.3">
      <c r="F938" s="205"/>
    </row>
    <row r="939" spans="6:6" x14ac:dyDescent="0.3">
      <c r="F939" s="205"/>
    </row>
    <row r="940" spans="6:6" x14ac:dyDescent="0.3">
      <c r="F940" s="205"/>
    </row>
    <row r="941" spans="6:6" x14ac:dyDescent="0.3">
      <c r="F941" s="205"/>
    </row>
    <row r="942" spans="6:6" x14ac:dyDescent="0.3">
      <c r="F942" s="205"/>
    </row>
    <row r="943" spans="6:6" x14ac:dyDescent="0.3">
      <c r="F943" s="205"/>
    </row>
    <row r="944" spans="6:6" x14ac:dyDescent="0.3">
      <c r="F944" s="205"/>
    </row>
    <row r="945" spans="6:6" x14ac:dyDescent="0.3">
      <c r="F945" s="205"/>
    </row>
    <row r="946" spans="6:6" x14ac:dyDescent="0.3">
      <c r="F946" s="205"/>
    </row>
    <row r="947" spans="6:6" x14ac:dyDescent="0.3">
      <c r="F947" s="205"/>
    </row>
    <row r="948" spans="6:6" x14ac:dyDescent="0.3">
      <c r="F948" s="205"/>
    </row>
    <row r="949" spans="6:6" x14ac:dyDescent="0.3">
      <c r="F949" s="205"/>
    </row>
    <row r="950" spans="6:6" x14ac:dyDescent="0.3">
      <c r="F950" s="205"/>
    </row>
    <row r="951" spans="6:6" x14ac:dyDescent="0.3">
      <c r="F951" s="205"/>
    </row>
    <row r="952" spans="6:6" x14ac:dyDescent="0.3">
      <c r="F952" s="205"/>
    </row>
    <row r="953" spans="6:6" x14ac:dyDescent="0.3">
      <c r="F953" s="205"/>
    </row>
    <row r="954" spans="6:6" x14ac:dyDescent="0.3">
      <c r="F954" s="205"/>
    </row>
    <row r="955" spans="6:6" x14ac:dyDescent="0.3">
      <c r="F955" s="205"/>
    </row>
    <row r="956" spans="6:6" x14ac:dyDescent="0.3">
      <c r="F956" s="205"/>
    </row>
    <row r="957" spans="6:6" x14ac:dyDescent="0.3">
      <c r="F957" s="205"/>
    </row>
    <row r="958" spans="6:6" x14ac:dyDescent="0.3">
      <c r="F958" s="205"/>
    </row>
    <row r="959" spans="6:6" x14ac:dyDescent="0.3">
      <c r="F959" s="205"/>
    </row>
    <row r="960" spans="6:6" x14ac:dyDescent="0.3">
      <c r="F960" s="205"/>
    </row>
    <row r="961" spans="6:6" x14ac:dyDescent="0.3">
      <c r="F961" s="205"/>
    </row>
    <row r="962" spans="6:6" x14ac:dyDescent="0.3">
      <c r="F962" s="205"/>
    </row>
    <row r="963" spans="6:6" x14ac:dyDescent="0.3">
      <c r="F963" s="205"/>
    </row>
    <row r="964" spans="6:6" x14ac:dyDescent="0.3">
      <c r="F964" s="205"/>
    </row>
    <row r="965" spans="6:6" x14ac:dyDescent="0.3">
      <c r="F965" s="205"/>
    </row>
    <row r="966" spans="6:6" x14ac:dyDescent="0.3">
      <c r="F966" s="205"/>
    </row>
    <row r="967" spans="6:6" x14ac:dyDescent="0.3">
      <c r="F967" s="205"/>
    </row>
    <row r="968" spans="6:6" x14ac:dyDescent="0.3">
      <c r="F968" s="205"/>
    </row>
    <row r="969" spans="6:6" x14ac:dyDescent="0.3">
      <c r="F969" s="205"/>
    </row>
    <row r="970" spans="6:6" x14ac:dyDescent="0.3">
      <c r="F970" s="205"/>
    </row>
    <row r="971" spans="6:6" x14ac:dyDescent="0.3">
      <c r="F971" s="205"/>
    </row>
    <row r="972" spans="6:6" x14ac:dyDescent="0.3">
      <c r="F972" s="205"/>
    </row>
    <row r="973" spans="6:6" x14ac:dyDescent="0.3">
      <c r="F973" s="205"/>
    </row>
    <row r="974" spans="6:6" x14ac:dyDescent="0.3">
      <c r="F974" s="205"/>
    </row>
    <row r="975" spans="6:6" x14ac:dyDescent="0.3">
      <c r="F975" s="205"/>
    </row>
    <row r="976" spans="6:6" x14ac:dyDescent="0.3">
      <c r="F976" s="205"/>
    </row>
    <row r="977" spans="6:6" x14ac:dyDescent="0.3">
      <c r="F977" s="205"/>
    </row>
    <row r="978" spans="6:6" x14ac:dyDescent="0.3">
      <c r="F978" s="205"/>
    </row>
    <row r="979" spans="6:6" x14ac:dyDescent="0.3">
      <c r="F979" s="205"/>
    </row>
    <row r="980" spans="6:6" x14ac:dyDescent="0.3">
      <c r="F980" s="205"/>
    </row>
    <row r="981" spans="6:6" x14ac:dyDescent="0.3">
      <c r="F981" s="205"/>
    </row>
    <row r="982" spans="6:6" x14ac:dyDescent="0.3">
      <c r="F982" s="205"/>
    </row>
    <row r="983" spans="6:6" x14ac:dyDescent="0.3">
      <c r="F983" s="205"/>
    </row>
    <row r="984" spans="6:6" x14ac:dyDescent="0.3">
      <c r="F984" s="205"/>
    </row>
    <row r="985" spans="6:6" x14ac:dyDescent="0.3">
      <c r="F985" s="205"/>
    </row>
    <row r="986" spans="6:6" x14ac:dyDescent="0.3">
      <c r="F986" s="205"/>
    </row>
    <row r="987" spans="6:6" x14ac:dyDescent="0.3">
      <c r="F987" s="205"/>
    </row>
    <row r="988" spans="6:6" x14ac:dyDescent="0.3">
      <c r="F988" s="205"/>
    </row>
    <row r="989" spans="6:6" x14ac:dyDescent="0.3">
      <c r="F989" s="205"/>
    </row>
    <row r="990" spans="6:6" x14ac:dyDescent="0.3">
      <c r="F990" s="205"/>
    </row>
    <row r="991" spans="6:6" x14ac:dyDescent="0.3">
      <c r="F991" s="205"/>
    </row>
    <row r="992" spans="6:6" x14ac:dyDescent="0.3">
      <c r="F992" s="205"/>
    </row>
    <row r="993" spans="6:6" x14ac:dyDescent="0.3">
      <c r="F993" s="205"/>
    </row>
    <row r="994" spans="6:6" x14ac:dyDescent="0.3">
      <c r="F994" s="205"/>
    </row>
    <row r="995" spans="6:6" x14ac:dyDescent="0.3">
      <c r="F995" s="205"/>
    </row>
    <row r="996" spans="6:6" x14ac:dyDescent="0.3">
      <c r="F996" s="205"/>
    </row>
    <row r="997" spans="6:6" x14ac:dyDescent="0.3">
      <c r="F997" s="205"/>
    </row>
    <row r="998" spans="6:6" x14ac:dyDescent="0.3">
      <c r="F998" s="205"/>
    </row>
    <row r="999" spans="6:6" x14ac:dyDescent="0.3">
      <c r="F999" s="205"/>
    </row>
    <row r="1000" spans="6:6" x14ac:dyDescent="0.3">
      <c r="F1000" s="205"/>
    </row>
    <row r="1001" spans="6:6" x14ac:dyDescent="0.3">
      <c r="F1001" s="205"/>
    </row>
    <row r="1002" spans="6:6" x14ac:dyDescent="0.3">
      <c r="F1002" s="205"/>
    </row>
    <row r="1003" spans="6:6" x14ac:dyDescent="0.3">
      <c r="F1003" s="205"/>
    </row>
    <row r="1004" spans="6:6" x14ac:dyDescent="0.3">
      <c r="F1004" s="205"/>
    </row>
    <row r="1005" spans="6:6" x14ac:dyDescent="0.3">
      <c r="F1005" s="205"/>
    </row>
    <row r="1006" spans="6:6" x14ac:dyDescent="0.3">
      <c r="F1006" s="205"/>
    </row>
    <row r="1007" spans="6:6" x14ac:dyDescent="0.3">
      <c r="F1007" s="205"/>
    </row>
    <row r="1008" spans="6:6" x14ac:dyDescent="0.3">
      <c r="F1008" s="205"/>
    </row>
    <row r="1009" spans="6:6" x14ac:dyDescent="0.3">
      <c r="F1009" s="205"/>
    </row>
    <row r="1010" spans="6:6" x14ac:dyDescent="0.3">
      <c r="F1010" s="205"/>
    </row>
    <row r="1011" spans="6:6" x14ac:dyDescent="0.3">
      <c r="F1011" s="205"/>
    </row>
    <row r="1012" spans="6:6" x14ac:dyDescent="0.3">
      <c r="F1012" s="205"/>
    </row>
    <row r="1013" spans="6:6" x14ac:dyDescent="0.3">
      <c r="F1013" s="205"/>
    </row>
    <row r="1014" spans="6:6" x14ac:dyDescent="0.3">
      <c r="F1014" s="205"/>
    </row>
    <row r="1015" spans="6:6" x14ac:dyDescent="0.3">
      <c r="F1015" s="205"/>
    </row>
    <row r="1016" spans="6:6" x14ac:dyDescent="0.3">
      <c r="F1016" s="205"/>
    </row>
    <row r="1017" spans="6:6" x14ac:dyDescent="0.3">
      <c r="F1017" s="205"/>
    </row>
    <row r="1018" spans="6:6" x14ac:dyDescent="0.3">
      <c r="F1018" s="205"/>
    </row>
    <row r="1019" spans="6:6" x14ac:dyDescent="0.3">
      <c r="F1019" s="205"/>
    </row>
    <row r="1020" spans="6:6" x14ac:dyDescent="0.3">
      <c r="F1020" s="205"/>
    </row>
    <row r="1021" spans="6:6" x14ac:dyDescent="0.3">
      <c r="F1021" s="205"/>
    </row>
    <row r="1022" spans="6:6" x14ac:dyDescent="0.3">
      <c r="F1022" s="205"/>
    </row>
    <row r="1023" spans="6:6" x14ac:dyDescent="0.3">
      <c r="F1023" s="205"/>
    </row>
    <row r="1024" spans="6:6" x14ac:dyDescent="0.3">
      <c r="F1024" s="205"/>
    </row>
    <row r="1025" spans="6:6" x14ac:dyDescent="0.3">
      <c r="F1025" s="205"/>
    </row>
    <row r="1026" spans="6:6" x14ac:dyDescent="0.3">
      <c r="F1026" s="205"/>
    </row>
    <row r="1027" spans="6:6" x14ac:dyDescent="0.3">
      <c r="F1027" s="205"/>
    </row>
    <row r="1028" spans="6:6" x14ac:dyDescent="0.3">
      <c r="F1028" s="20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2BDD0-76AA-4403-B63B-162E3957B3ED}">
  <sheetPr>
    <tabColor theme="1" tint="0.499984740745262"/>
  </sheetPr>
  <dimension ref="A1:F29"/>
  <sheetViews>
    <sheetView workbookViewId="0">
      <selection activeCell="M31" sqref="M31"/>
    </sheetView>
  </sheetViews>
  <sheetFormatPr defaultRowHeight="14.4" x14ac:dyDescent="0.3"/>
  <sheetData>
    <row r="1" spans="1:6" x14ac:dyDescent="0.3">
      <c r="A1" t="s">
        <v>527</v>
      </c>
      <c r="B1" t="s">
        <v>1322</v>
      </c>
      <c r="C1" t="s">
        <v>1323</v>
      </c>
      <c r="D1" t="s">
        <v>1324</v>
      </c>
      <c r="E1" t="s">
        <v>1325</v>
      </c>
      <c r="F1" t="s">
        <v>1326</v>
      </c>
    </row>
    <row r="2" spans="1:6" x14ac:dyDescent="0.3">
      <c r="A2" t="s">
        <v>537</v>
      </c>
      <c r="B2" t="str">
        <f>'Quant interpretation'!B110</f>
        <v>A</v>
      </c>
      <c r="C2">
        <f>'Quant interpretation'!F110</f>
        <v>0.22500000000000001</v>
      </c>
      <c r="D2">
        <f>'Quant interpretation'!G110</f>
        <v>0.4</v>
      </c>
      <c r="E2">
        <f>'Quant interpretation'!H110</f>
        <v>0.65</v>
      </c>
    </row>
    <row r="3" spans="1:6" x14ac:dyDescent="0.3">
      <c r="A3" t="s">
        <v>537</v>
      </c>
      <c r="B3" t="str">
        <f>'Quant interpretation'!B111</f>
        <v>B</v>
      </c>
      <c r="C3">
        <f>'Quant interpretation'!F111</f>
        <v>0.01</v>
      </c>
      <c r="D3">
        <f>'Quant interpretation'!G111</f>
        <v>0.03</v>
      </c>
      <c r="E3">
        <f>'Quant interpretation'!H111</f>
        <v>0.1</v>
      </c>
    </row>
    <row r="4" spans="1:6" x14ac:dyDescent="0.3">
      <c r="A4" t="s">
        <v>537</v>
      </c>
      <c r="B4" t="str">
        <f>'Quant interpretation'!B112</f>
        <v>C</v>
      </c>
      <c r="C4">
        <f>'Quant interpretation'!F112</f>
        <v>0.03</v>
      </c>
      <c r="D4">
        <f>'Quant interpretation'!G112</f>
        <v>0.4</v>
      </c>
      <c r="E4">
        <f>'Quant interpretation'!H112</f>
        <v>1</v>
      </c>
    </row>
    <row r="5" spans="1:6" x14ac:dyDescent="0.3">
      <c r="A5" t="s">
        <v>537</v>
      </c>
      <c r="B5" t="str">
        <f>'Quant interpretation'!B113</f>
        <v>D</v>
      </c>
      <c r="C5">
        <f>'Quant interpretation'!F113</f>
        <v>0.03</v>
      </c>
      <c r="D5">
        <f>'Quant interpretation'!G113</f>
        <v>0.1</v>
      </c>
      <c r="E5">
        <f>'Quant interpretation'!H113</f>
        <v>0.4</v>
      </c>
    </row>
    <row r="6" spans="1:6" x14ac:dyDescent="0.3">
      <c r="A6" t="s">
        <v>537</v>
      </c>
      <c r="B6" t="str">
        <f>'Quant interpretation'!B114</f>
        <v>E</v>
      </c>
      <c r="C6">
        <f>'Quant interpretation'!F114</f>
        <v>0.1</v>
      </c>
      <c r="D6">
        <f>'Quant interpretation'!G114</f>
        <v>0.4</v>
      </c>
      <c r="E6">
        <f>'Quant interpretation'!H114</f>
        <v>1</v>
      </c>
    </row>
    <row r="7" spans="1:6" x14ac:dyDescent="0.3">
      <c r="A7" t="s">
        <v>537</v>
      </c>
      <c r="B7" t="str">
        <f>'Quant interpretation'!B115</f>
        <v>F</v>
      </c>
      <c r="C7">
        <f>'Quant interpretation'!F115</f>
        <v>0.03</v>
      </c>
      <c r="D7">
        <f>'Quant interpretation'!G115</f>
        <v>0.22500000000000001</v>
      </c>
      <c r="E7">
        <f>'Quant interpretation'!H115</f>
        <v>0.4</v>
      </c>
    </row>
    <row r="8" spans="1:6" x14ac:dyDescent="0.3">
      <c r="A8" t="s">
        <v>537</v>
      </c>
      <c r="B8" t="str">
        <f>'Quant interpretation'!B116</f>
        <v>G</v>
      </c>
      <c r="C8">
        <f>'Quant interpretation'!F116</f>
        <v>0.03</v>
      </c>
      <c r="D8">
        <f>'Quant interpretation'!G116</f>
        <v>0.1</v>
      </c>
      <c r="E8">
        <f>'Quant interpretation'!H116</f>
        <v>0.4</v>
      </c>
    </row>
    <row r="9" spans="1:6" x14ac:dyDescent="0.3">
      <c r="A9" t="s">
        <v>537</v>
      </c>
      <c r="B9" t="str">
        <f>'Quant interpretation'!B117</f>
        <v>H</v>
      </c>
      <c r="F9" t="str">
        <f>'Quant interpretation'!I117</f>
        <v>Error in triples</v>
      </c>
    </row>
    <row r="10" spans="1:6" x14ac:dyDescent="0.3">
      <c r="A10" t="s">
        <v>537</v>
      </c>
      <c r="B10" t="str">
        <f>'Quant interpretation'!B118</f>
        <v>I</v>
      </c>
      <c r="F10" t="str">
        <f>'Quant interpretation'!I118</f>
        <v>Prefer not to quantify</v>
      </c>
    </row>
    <row r="11" spans="1:6" x14ac:dyDescent="0.3">
      <c r="A11" t="s">
        <v>537</v>
      </c>
      <c r="B11" t="str">
        <f>'Quant interpretation'!B119</f>
        <v>J</v>
      </c>
      <c r="F11" t="str">
        <f>'Quant interpretation'!I119</f>
        <v>Error in triples</v>
      </c>
    </row>
    <row r="12" spans="1:6" x14ac:dyDescent="0.3">
      <c r="A12" t="s">
        <v>537</v>
      </c>
      <c r="B12" t="str">
        <f>'Quant interpretation'!B120</f>
        <v>K</v>
      </c>
      <c r="C12">
        <f>'Quant interpretation'!F120</f>
        <v>0</v>
      </c>
      <c r="D12">
        <f>'Quant interpretation'!G120</f>
        <v>0</v>
      </c>
      <c r="E12">
        <f>'Quant interpretation'!H120</f>
        <v>0.03</v>
      </c>
    </row>
    <row r="13" spans="1:6" x14ac:dyDescent="0.3">
      <c r="A13" t="s">
        <v>537</v>
      </c>
      <c r="B13" t="str">
        <f>'Quant interpretation'!B121</f>
        <v>L</v>
      </c>
      <c r="F13" t="str">
        <f>'Quant interpretation'!I121</f>
        <v>Error in triples</v>
      </c>
    </row>
    <row r="14" spans="1:6" x14ac:dyDescent="0.3">
      <c r="A14" t="s">
        <v>537</v>
      </c>
      <c r="B14" t="str">
        <f>'Quant interpretation'!B122</f>
        <v>M</v>
      </c>
      <c r="C14">
        <f>'Quant interpretation'!F122</f>
        <v>0.03</v>
      </c>
      <c r="D14">
        <f>'Quant interpretation'!G122</f>
        <v>0.1</v>
      </c>
      <c r="E14">
        <f>'Quant interpretation'!H122</f>
        <v>0.22500000000000001</v>
      </c>
    </row>
    <row r="15" spans="1:6" x14ac:dyDescent="0.3">
      <c r="A15" t="s">
        <v>537</v>
      </c>
      <c r="B15" t="str">
        <f>'Quant interpretation'!B123</f>
        <v>N</v>
      </c>
      <c r="C15">
        <f>'Quant interpretation'!F123</f>
        <v>0</v>
      </c>
      <c r="D15">
        <f>'Quant interpretation'!G123</f>
        <v>0.03</v>
      </c>
      <c r="E15">
        <f>'Quant interpretation'!H123</f>
        <v>0.05</v>
      </c>
    </row>
    <row r="16" spans="1:6" x14ac:dyDescent="0.3">
      <c r="A16" t="s">
        <v>559</v>
      </c>
      <c r="B16" t="str">
        <f>'Quant interpretation'!C26</f>
        <v>A</v>
      </c>
      <c r="C16">
        <f>'Quant interpretation'!D26</f>
        <v>37</v>
      </c>
      <c r="D16">
        <f>'Quant interpretation'!E26</f>
        <v>75</v>
      </c>
      <c r="E16">
        <f>'Quant interpretation'!F26</f>
        <v>200</v>
      </c>
    </row>
    <row r="17" spans="1:6" x14ac:dyDescent="0.3">
      <c r="A17" t="s">
        <v>559</v>
      </c>
      <c r="B17" t="str">
        <f>'Quant interpretation'!C27</f>
        <v>B</v>
      </c>
      <c r="C17">
        <f>'Quant interpretation'!D27</f>
        <v>5</v>
      </c>
      <c r="D17">
        <f>'Quant interpretation'!E27</f>
        <v>75</v>
      </c>
      <c r="E17">
        <f>'Quant interpretation'!F27</f>
        <v>200</v>
      </c>
    </row>
    <row r="18" spans="1:6" x14ac:dyDescent="0.3">
      <c r="A18" t="s">
        <v>559</v>
      </c>
      <c r="B18" t="str">
        <f>'Quant interpretation'!C28</f>
        <v>C</v>
      </c>
      <c r="C18">
        <f>'Quant interpretation'!D28</f>
        <v>5</v>
      </c>
      <c r="D18">
        <f>'Quant interpretation'!E28</f>
        <v>57</v>
      </c>
      <c r="E18">
        <f>'Quant interpretation'!F28</f>
        <v>125</v>
      </c>
    </row>
    <row r="19" spans="1:6" x14ac:dyDescent="0.3">
      <c r="A19" t="s">
        <v>559</v>
      </c>
      <c r="B19" t="str">
        <f>'Quant interpretation'!C29</f>
        <v>D</v>
      </c>
      <c r="C19">
        <f>'Quant interpretation'!D29</f>
        <v>0</v>
      </c>
      <c r="D19">
        <f>'Quant interpretation'!E29</f>
        <v>18</v>
      </c>
      <c r="E19">
        <f>'Quant interpretation'!F29</f>
        <v>37</v>
      </c>
    </row>
    <row r="20" spans="1:6" x14ac:dyDescent="0.3">
      <c r="A20" t="s">
        <v>559</v>
      </c>
      <c r="B20" t="str">
        <f>'Quant interpretation'!C30</f>
        <v>E</v>
      </c>
      <c r="C20">
        <f>'Quant interpretation'!D30</f>
        <v>150</v>
      </c>
      <c r="D20">
        <f>'Quant interpretation'!E30</f>
        <v>200</v>
      </c>
      <c r="E20">
        <f>'Quant interpretation'!F30</f>
        <v>375</v>
      </c>
    </row>
    <row r="21" spans="1:6" x14ac:dyDescent="0.3">
      <c r="A21" t="s">
        <v>559</v>
      </c>
      <c r="B21" t="str">
        <f>'Quant interpretation'!C31</f>
        <v>F</v>
      </c>
      <c r="F21" t="str">
        <f>'Quant interpretation'!G31</f>
        <v>Prefer not to quantify</v>
      </c>
    </row>
    <row r="22" spans="1:6" x14ac:dyDescent="0.3">
      <c r="A22" t="s">
        <v>559</v>
      </c>
      <c r="B22" t="str">
        <f>'Quant interpretation'!C32</f>
        <v>G</v>
      </c>
      <c r="C22">
        <f>'Quant interpretation'!D32</f>
        <v>18</v>
      </c>
      <c r="D22">
        <f>'Quant interpretation'!E32</f>
        <v>75</v>
      </c>
      <c r="E22">
        <f>'Quant interpretation'!F32</f>
        <v>375</v>
      </c>
    </row>
    <row r="23" spans="1:6" x14ac:dyDescent="0.3">
      <c r="A23" t="s">
        <v>559</v>
      </c>
      <c r="B23" t="str">
        <f>'Quant interpretation'!C33</f>
        <v>H</v>
      </c>
      <c r="C23">
        <f>'Quant interpretation'!D33</f>
        <v>5</v>
      </c>
      <c r="D23">
        <f>'Quant interpretation'!E33</f>
        <v>125</v>
      </c>
      <c r="E23">
        <f>'Quant interpretation'!F33</f>
        <v>500</v>
      </c>
    </row>
    <row r="24" spans="1:6" x14ac:dyDescent="0.3">
      <c r="A24" t="s">
        <v>559</v>
      </c>
      <c r="B24" t="str">
        <f>'Quant interpretation'!C34</f>
        <v>I</v>
      </c>
      <c r="C24">
        <f>'Quant interpretation'!D34</f>
        <v>125</v>
      </c>
      <c r="D24">
        <f>'Quant interpretation'!E34</f>
        <v>200</v>
      </c>
      <c r="E24">
        <f>'Quant interpretation'!F34</f>
        <v>500</v>
      </c>
    </row>
    <row r="25" spans="1:6" x14ac:dyDescent="0.3">
      <c r="A25" t="s">
        <v>559</v>
      </c>
      <c r="B25" t="str">
        <f>'Quant interpretation'!C35</f>
        <v>J</v>
      </c>
      <c r="F25" t="str">
        <f>'Quant interpretation'!G35</f>
        <v>Error in triples</v>
      </c>
    </row>
    <row r="26" spans="1:6" x14ac:dyDescent="0.3">
      <c r="A26" t="s">
        <v>559</v>
      </c>
      <c r="B26" t="str">
        <f>'Quant interpretation'!C36</f>
        <v>K</v>
      </c>
      <c r="C26">
        <f>'Quant interpretation'!D36</f>
        <v>5</v>
      </c>
      <c r="D26">
        <f>'Quant interpretation'!E36</f>
        <v>80</v>
      </c>
      <c r="E26">
        <f>'Quant interpretation'!F36</f>
        <v>375</v>
      </c>
    </row>
    <row r="27" spans="1:6" x14ac:dyDescent="0.3">
      <c r="A27" t="s">
        <v>559</v>
      </c>
      <c r="B27" t="str">
        <f>'Quant interpretation'!C37</f>
        <v>L</v>
      </c>
      <c r="F27" t="str">
        <f>'Quant interpretation'!G37</f>
        <v>Error in triples</v>
      </c>
    </row>
    <row r="28" spans="1:6" x14ac:dyDescent="0.3">
      <c r="A28" t="s">
        <v>559</v>
      </c>
      <c r="B28" t="str">
        <f>'Quant interpretation'!C38</f>
        <v>M</v>
      </c>
      <c r="F28" t="str">
        <f>'Quant interpretation'!G38</f>
        <v>Prefer not to quantify</v>
      </c>
    </row>
    <row r="29" spans="1:6" x14ac:dyDescent="0.3">
      <c r="A29" t="s">
        <v>559</v>
      </c>
      <c r="B29" t="str">
        <f>'Quant interpretation'!C39</f>
        <v>N</v>
      </c>
      <c r="C29">
        <f>'Quant interpretation'!D39</f>
        <v>150</v>
      </c>
      <c r="D29">
        <f>'Quant interpretation'!E39</f>
        <v>200</v>
      </c>
      <c r="E29">
        <f>'Quant interpretation'!F39</f>
        <v>375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D023-6DBD-4D7D-8785-070346EF9D69}">
  <sheetPr>
    <tabColor theme="3"/>
  </sheetPr>
  <dimension ref="A1"/>
  <sheetViews>
    <sheetView workbookViewId="0">
      <selection activeCell="M34" sqref="M34"/>
    </sheetView>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94EB8-4C17-4643-9643-C943FDA5E7E5}">
  <sheetPr>
    <tabColor theme="4" tint="0.79998168889431442"/>
  </sheetPr>
  <dimension ref="A1:K113"/>
  <sheetViews>
    <sheetView topLeftCell="A31" zoomScale="85" zoomScaleNormal="85" workbookViewId="0">
      <selection activeCell="D61" sqref="D61"/>
    </sheetView>
  </sheetViews>
  <sheetFormatPr defaultRowHeight="14.4" x14ac:dyDescent="0.3"/>
  <cols>
    <col min="1" max="1" width="18.5546875" customWidth="1"/>
    <col min="2" max="2" width="64.44140625" customWidth="1"/>
    <col min="3" max="3" width="24.44140625" customWidth="1"/>
    <col min="4" max="4" width="37.33203125" customWidth="1"/>
    <col min="5" max="5" width="21.77734375" customWidth="1"/>
    <col min="6" max="6" width="19.33203125" customWidth="1"/>
    <col min="7" max="7" width="25.5546875" customWidth="1"/>
    <col min="8" max="8" width="11.88671875" bestFit="1" customWidth="1"/>
  </cols>
  <sheetData>
    <row r="1" spans="1:11" x14ac:dyDescent="0.3">
      <c r="B1" s="22" t="s">
        <v>1348</v>
      </c>
    </row>
    <row r="4" spans="1:11" x14ac:dyDescent="0.3">
      <c r="B4" s="227" t="s">
        <v>1166</v>
      </c>
      <c r="C4" s="227" t="s">
        <v>1346</v>
      </c>
      <c r="D4" s="227" t="s">
        <v>1347</v>
      </c>
    </row>
    <row r="5" spans="1:11" x14ac:dyDescent="0.3">
      <c r="B5" s="211" t="s">
        <v>1162</v>
      </c>
      <c r="C5" s="254">
        <f>'Scenario sets'!C210/1000</f>
        <v>4002.58754184601</v>
      </c>
      <c r="D5" s="211" t="s">
        <v>1167</v>
      </c>
    </row>
    <row r="6" spans="1:11" x14ac:dyDescent="0.3">
      <c r="B6" s="211" t="s">
        <v>1161</v>
      </c>
      <c r="C6" s="254">
        <f>'Scenario sets'!C154/1000</f>
        <v>407.30721447622199</v>
      </c>
      <c r="D6" s="211" t="s">
        <v>1167</v>
      </c>
    </row>
    <row r="7" spans="1:11" x14ac:dyDescent="0.3">
      <c r="B7" s="211" t="s">
        <v>1165</v>
      </c>
      <c r="C7" s="238">
        <f>SUMIF('Scenario sets'!$H$5:$H$221,"Yes",'Scenario sets'!$C$5:$C$221)/1000</f>
        <v>4447.7039806107277</v>
      </c>
      <c r="D7" s="211" t="s">
        <v>1167</v>
      </c>
      <c r="F7">
        <v>74</v>
      </c>
    </row>
    <row r="8" spans="1:11" x14ac:dyDescent="0.3">
      <c r="B8" s="211" t="s">
        <v>1309</v>
      </c>
      <c r="C8" s="238">
        <f>SUMIF('Scenario sets'!$G$5:$G$221,"Yes",'Scenario sets'!$C$5:$C$221)/1000</f>
        <v>40439.305306974551</v>
      </c>
      <c r="D8" s="211" t="s">
        <v>1167</v>
      </c>
      <c r="F8">
        <v>134</v>
      </c>
      <c r="G8">
        <f>(F8-F7)</f>
        <v>60</v>
      </c>
      <c r="H8">
        <f>G8/F7</f>
        <v>0.81081081081081086</v>
      </c>
    </row>
    <row r="9" spans="1:11" x14ac:dyDescent="0.3">
      <c r="B9" s="211" t="s">
        <v>1310</v>
      </c>
      <c r="C9" s="255">
        <f>'Scenario sets'!C2</f>
        <v>117147.97810864738</v>
      </c>
      <c r="D9" s="211" t="s">
        <v>1167</v>
      </c>
    </row>
    <row r="10" spans="1:11" x14ac:dyDescent="0.3">
      <c r="B10" s="211" t="s">
        <v>1311</v>
      </c>
      <c r="C10" s="241">
        <f>C7/C9</f>
        <v>3.7966544983693715E-2</v>
      </c>
      <c r="D10" s="211"/>
    </row>
    <row r="11" spans="1:11" x14ac:dyDescent="0.3">
      <c r="B11" s="211" t="s">
        <v>1312</v>
      </c>
      <c r="C11" s="241">
        <f>C8/C9</f>
        <v>0.34519849134288633</v>
      </c>
      <c r="D11" s="211"/>
      <c r="E11" s="90">
        <f>C11/C10</f>
        <v>9.0921755321993594</v>
      </c>
    </row>
    <row r="12" spans="1:11" x14ac:dyDescent="0.3">
      <c r="C12" s="90"/>
    </row>
    <row r="13" spans="1:11" x14ac:dyDescent="0.3">
      <c r="B13" s="22" t="s">
        <v>1163</v>
      </c>
    </row>
    <row r="14" spans="1:11" x14ac:dyDescent="0.3">
      <c r="B14" s="22" t="s">
        <v>1340</v>
      </c>
      <c r="C14" s="22" t="s">
        <v>1341</v>
      </c>
    </row>
    <row r="15" spans="1:11" x14ac:dyDescent="0.3">
      <c r="A15" s="248" t="s">
        <v>527</v>
      </c>
      <c r="B15" s="248" t="s">
        <v>1338</v>
      </c>
      <c r="C15" s="248" t="s">
        <v>528</v>
      </c>
      <c r="D15" s="248" t="s">
        <v>529</v>
      </c>
      <c r="E15" s="248" t="s">
        <v>530</v>
      </c>
      <c r="F15" s="248" t="s">
        <v>531</v>
      </c>
      <c r="G15" s="248" t="s">
        <v>532</v>
      </c>
      <c r="H15" s="248" t="s">
        <v>533</v>
      </c>
      <c r="I15" s="248" t="s">
        <v>534</v>
      </c>
      <c r="J15" s="248" t="s">
        <v>535</v>
      </c>
      <c r="K15" s="248" t="s">
        <v>536</v>
      </c>
    </row>
    <row r="16" spans="1:11" x14ac:dyDescent="0.3">
      <c r="A16" s="211" t="s">
        <v>559</v>
      </c>
      <c r="B16" s="211" t="s">
        <v>1339</v>
      </c>
      <c r="C16" s="211">
        <f>'PERT1a_2026-08-24'!C2</f>
        <v>129.06340059238499</v>
      </c>
      <c r="D16" s="211">
        <f>'PERT1a_2026-08-24'!D2</f>
        <v>113.596507790448</v>
      </c>
      <c r="E16" s="211">
        <f>'PERT1a_2026-08-24'!E2</f>
        <v>0</v>
      </c>
      <c r="F16" s="211">
        <f>'PERT1a_2026-08-24'!F2</f>
        <v>500</v>
      </c>
      <c r="G16" s="211">
        <f>'PERT1a_2026-08-24'!G2</f>
        <v>20.510354489675201</v>
      </c>
      <c r="H16" s="211">
        <f>'PERT1a_2026-08-24'!H2</f>
        <v>290.85765359178703</v>
      </c>
      <c r="I16" s="211">
        <f>'PERT1a_2026-08-24'!I2</f>
        <v>10</v>
      </c>
      <c r="J16" s="211">
        <f>'PERT1a_2026-08-24'!J2</f>
        <v>5</v>
      </c>
      <c r="K16" s="211">
        <f>'PERT1a_2026-08-24'!K2</f>
        <v>10000</v>
      </c>
    </row>
    <row r="17" spans="1:11" x14ac:dyDescent="0.3">
      <c r="A17" s="211" t="s">
        <v>559</v>
      </c>
      <c r="B17" s="211" t="s">
        <v>1337</v>
      </c>
      <c r="C17" s="211">
        <f>'PERT1a_2026-08-24'!C3</f>
        <v>129.06340059238499</v>
      </c>
      <c r="D17" s="211">
        <f>'PERT1a_2026-08-24'!D3</f>
        <v>109.117619599195</v>
      </c>
      <c r="E17" s="211">
        <f>'PERT1a_2026-08-24'!E3</f>
        <v>0</v>
      </c>
      <c r="F17" s="211">
        <f>'PERT1a_2026-08-24'!F3</f>
        <v>500</v>
      </c>
      <c r="G17" s="211">
        <f>'PERT1a_2026-08-24'!G3</f>
        <v>17.422920846046701</v>
      </c>
      <c r="H17" s="211">
        <f>'PERT1a_2026-08-24'!H3</f>
        <v>273.42063068668898</v>
      </c>
      <c r="I17" s="211">
        <f>'PERT1a_2026-08-24'!I3</f>
        <v>10</v>
      </c>
      <c r="J17" s="211">
        <f>'PERT1a_2026-08-24'!J3</f>
        <v>5</v>
      </c>
      <c r="K17" s="211">
        <f>'PERT1a_2026-08-24'!K3</f>
        <v>10000</v>
      </c>
    </row>
    <row r="18" spans="1:11" x14ac:dyDescent="0.3">
      <c r="B18" s="22"/>
      <c r="C18" s="239">
        <f>C16*Inflation!$D$7</f>
        <v>102.48820820486381</v>
      </c>
    </row>
    <row r="19" spans="1:11" x14ac:dyDescent="0.3">
      <c r="B19" s="22"/>
    </row>
    <row r="20" spans="1:11" x14ac:dyDescent="0.3">
      <c r="B20" s="211"/>
      <c r="C20" s="227" t="s">
        <v>1343</v>
      </c>
      <c r="D20" s="227" t="s">
        <v>1170</v>
      </c>
      <c r="E20" t="s">
        <v>1386</v>
      </c>
      <c r="F20" t="s">
        <v>1387</v>
      </c>
      <c r="G20" t="s">
        <v>1388</v>
      </c>
    </row>
    <row r="21" spans="1:11" x14ac:dyDescent="0.3">
      <c r="B21" s="214" t="s">
        <v>1344</v>
      </c>
      <c r="C21" s="250">
        <f>D16</f>
        <v>113.596507790448</v>
      </c>
      <c r="D21" s="251">
        <f>C21/$C$6</f>
        <v>0.27889638030725233</v>
      </c>
      <c r="F21" s="43"/>
    </row>
    <row r="22" spans="1:11" x14ac:dyDescent="0.3">
      <c r="B22" t="s">
        <v>1385</v>
      </c>
      <c r="C22" s="239">
        <f>G16*Inflation!$D$7</f>
        <v>16.287107511851982</v>
      </c>
      <c r="D22" s="251">
        <f>G16/C6</f>
        <v>5.0355981334753809E-2</v>
      </c>
      <c r="E22" s="44">
        <f>C22*$C$26</f>
        <v>0.48861322535555946</v>
      </c>
      <c r="F22" s="45">
        <f>G16*$C$26/$C$6</f>
        <v>1.5106794400426143E-3</v>
      </c>
      <c r="G22" s="46">
        <f>G16*$C$26/$C$5</f>
        <v>1.5372821412582328E-4</v>
      </c>
    </row>
    <row r="23" spans="1:11" x14ac:dyDescent="0.3">
      <c r="B23" s="252" t="s">
        <v>1345</v>
      </c>
      <c r="C23" s="239">
        <f>C21*Inflation!$D$7</f>
        <v>90.206073048874771</v>
      </c>
      <c r="D23" s="253">
        <f>D21</f>
        <v>0.27889638030725233</v>
      </c>
      <c r="E23" s="44">
        <f t="shared" ref="E23:E24" si="0">C23*$C$26</f>
        <v>2.7061821914662429</v>
      </c>
      <c r="F23" s="45">
        <f>D16*$C$26/$C$6</f>
        <v>8.3668914092175709E-3</v>
      </c>
      <c r="G23" s="46">
        <f>D16*$C$26/$C$5</f>
        <v>8.5142303524527146E-4</v>
      </c>
      <c r="H23" s="43"/>
    </row>
    <row r="24" spans="1:11" x14ac:dyDescent="0.3">
      <c r="B24" t="s">
        <v>1384</v>
      </c>
      <c r="C24" s="239">
        <f>H16*Inflation!$D$7</f>
        <v>230.96772301420393</v>
      </c>
      <c r="D24" s="37">
        <f>H16/C6</f>
        <v>0.7140989485438316</v>
      </c>
      <c r="E24" s="44">
        <f t="shared" si="0"/>
        <v>6.9290316904261173</v>
      </c>
      <c r="F24" s="45">
        <f>H16*$C$26/$C$6</f>
        <v>2.1422968456314948E-2</v>
      </c>
      <c r="G24" s="46">
        <f>H16*$C$26/$C$5</f>
        <v>2.180022177286163E-3</v>
      </c>
    </row>
    <row r="26" spans="1:11" x14ac:dyDescent="0.3">
      <c r="A26" s="211" t="s">
        <v>1171</v>
      </c>
      <c r="B26" s="211" t="s">
        <v>1169</v>
      </c>
      <c r="C26" s="249">
        <f>'Quant interpretation'!C57</f>
        <v>0.03</v>
      </c>
      <c r="D26" t="s">
        <v>1168</v>
      </c>
    </row>
    <row r="29" spans="1:11" x14ac:dyDescent="0.3">
      <c r="A29" s="211"/>
      <c r="B29" s="211"/>
      <c r="C29" s="227" t="s">
        <v>1349</v>
      </c>
      <c r="D29" s="227" t="s">
        <v>561</v>
      </c>
      <c r="E29" s="227" t="s">
        <v>562</v>
      </c>
    </row>
    <row r="30" spans="1:11" x14ac:dyDescent="0.3">
      <c r="A30" s="211" t="s">
        <v>1350</v>
      </c>
      <c r="B30" s="256" t="s">
        <v>560</v>
      </c>
      <c r="C30" s="257">
        <f>C21*C26</f>
        <v>3.4078952337134401</v>
      </c>
      <c r="D30" s="258">
        <f>C30/$C$6</f>
        <v>8.3668914092175709E-3</v>
      </c>
      <c r="E30" s="259">
        <f>C30/$C$5</f>
        <v>8.5142303524527146E-4</v>
      </c>
    </row>
    <row r="31" spans="1:11" x14ac:dyDescent="0.3">
      <c r="A31" s="211" t="s">
        <v>1350</v>
      </c>
      <c r="B31" s="252" t="s">
        <v>1351</v>
      </c>
      <c r="C31" s="260">
        <f>C30*Inflation!$D$7</f>
        <v>2.7061821914662429</v>
      </c>
      <c r="D31" s="211"/>
      <c r="E31" s="211"/>
    </row>
    <row r="33" spans="1:11" x14ac:dyDescent="0.3">
      <c r="B33" s="22" t="s">
        <v>1164</v>
      </c>
      <c r="D33" s="22"/>
    </row>
    <row r="34" spans="1:11" x14ac:dyDescent="0.3">
      <c r="B34" s="22" t="s">
        <v>1340</v>
      </c>
      <c r="D34" s="22"/>
    </row>
    <row r="35" spans="1:11" x14ac:dyDescent="0.3">
      <c r="A35" s="248" t="s">
        <v>527</v>
      </c>
      <c r="B35" s="248" t="s">
        <v>1338</v>
      </c>
      <c r="C35" s="248" t="s">
        <v>528</v>
      </c>
      <c r="D35" s="248" t="s">
        <v>529</v>
      </c>
      <c r="E35" s="248" t="s">
        <v>530</v>
      </c>
      <c r="F35" s="248" t="s">
        <v>531</v>
      </c>
      <c r="G35" s="248" t="s">
        <v>532</v>
      </c>
      <c r="H35" s="248" t="s">
        <v>533</v>
      </c>
      <c r="I35" s="248" t="s">
        <v>534</v>
      </c>
      <c r="J35" s="248" t="s">
        <v>535</v>
      </c>
      <c r="K35" s="248" t="s">
        <v>536</v>
      </c>
    </row>
    <row r="36" spans="1:11" x14ac:dyDescent="0.3">
      <c r="A36" s="211" t="s">
        <v>537</v>
      </c>
      <c r="B36" s="211" t="s">
        <v>1339</v>
      </c>
      <c r="C36" s="211">
        <f>'PERT2a_2026-08-24'!C2</f>
        <v>0.19667489988710801</v>
      </c>
      <c r="D36" s="211">
        <f>'PERT2a_2026-08-24'!D2</f>
        <v>0.13855828493047101</v>
      </c>
      <c r="E36" s="211">
        <f>'PERT2a_2026-08-24'!E2</f>
        <v>0</v>
      </c>
      <c r="F36" s="211">
        <f>'PERT2a_2026-08-24'!F2</f>
        <v>1</v>
      </c>
      <c r="G36" s="211">
        <f>'PERT2a_2026-08-24'!G2</f>
        <v>4.2975583339302202E-3</v>
      </c>
      <c r="H36" s="211">
        <f>'PERT2a_2026-08-24'!H2</f>
        <v>0.58462563786271704</v>
      </c>
      <c r="I36" s="211">
        <f>'PERT2a_2026-08-24'!I2</f>
        <v>10</v>
      </c>
      <c r="J36" s="211">
        <f>'PERT2a_2026-08-24'!J2</f>
        <v>5</v>
      </c>
      <c r="K36" s="211">
        <f>'PERT2a_2026-08-24'!K2</f>
        <v>10000</v>
      </c>
    </row>
    <row r="37" spans="1:11" x14ac:dyDescent="0.3">
      <c r="A37" s="211" t="s">
        <v>537</v>
      </c>
      <c r="B37" s="211" t="s">
        <v>1337</v>
      </c>
      <c r="C37" s="211">
        <f>'PERT2a_2026-08-24'!C3</f>
        <v>0.19667489988710801</v>
      </c>
      <c r="D37" s="211">
        <f>'PERT2a_2026-08-24'!D3</f>
        <v>0.133799637968849</v>
      </c>
      <c r="E37" s="211">
        <f>'PERT2a_2026-08-24'!E3</f>
        <v>0</v>
      </c>
      <c r="F37" s="211">
        <f>'PERT2a_2026-08-24'!F3</f>
        <v>1</v>
      </c>
      <c r="G37" s="211">
        <f>'PERT2a_2026-08-24'!G3</f>
        <v>3.2766648958796698E-3</v>
      </c>
      <c r="H37" s="211">
        <f>'PERT2a_2026-08-24'!H3</f>
        <v>0.56192087411698</v>
      </c>
      <c r="I37" s="211">
        <f>'PERT2a_2026-08-24'!I3</f>
        <v>10</v>
      </c>
      <c r="J37" s="211">
        <f>'PERT2a_2026-08-24'!J3</f>
        <v>5</v>
      </c>
      <c r="K37" s="211">
        <f>'PERT2a_2026-08-24'!K3</f>
        <v>10000</v>
      </c>
    </row>
    <row r="38" spans="1:11" ht="15" x14ac:dyDescent="0.3">
      <c r="D38" s="236"/>
    </row>
    <row r="41" spans="1:11" x14ac:dyDescent="0.3">
      <c r="B41" s="227" t="s">
        <v>563</v>
      </c>
      <c r="C41" s="248" t="s">
        <v>494</v>
      </c>
      <c r="D41" s="245" t="s">
        <v>564</v>
      </c>
      <c r="E41" s="246" t="s">
        <v>565</v>
      </c>
      <c r="F41" s="247" t="s">
        <v>566</v>
      </c>
      <c r="G41" s="248" t="s">
        <v>495</v>
      </c>
    </row>
    <row r="42" spans="1:11" x14ac:dyDescent="0.3">
      <c r="B42" s="211" t="s">
        <v>1173</v>
      </c>
      <c r="C42" s="237">
        <f>E$36*$C$7*$D21</f>
        <v>0</v>
      </c>
      <c r="D42" s="237">
        <f>G$36*$C$7*$D21</f>
        <v>5.3308999646295545</v>
      </c>
      <c r="E42" s="237">
        <f>D$36*$C$7*$D21</f>
        <v>171.87442236752031</v>
      </c>
      <c r="F42" s="237">
        <f>H$36*$C$7*$D21</f>
        <v>725.19801944228652</v>
      </c>
      <c r="G42" s="237">
        <f>F$36*$C$7*$D21</f>
        <v>1240.4485408704895</v>
      </c>
    </row>
    <row r="43" spans="1:11" x14ac:dyDescent="0.3">
      <c r="B43" s="252" t="s">
        <v>1342</v>
      </c>
      <c r="C43" s="238">
        <f>C42*Inflation!$D$7</f>
        <v>0</v>
      </c>
      <c r="D43" s="260">
        <f>D42*Inflation!$D$7</f>
        <v>4.2332247793453144</v>
      </c>
      <c r="E43" s="239">
        <f>E42*Inflation!$D$7</f>
        <v>136.48409621815318</v>
      </c>
      <c r="F43" s="239">
        <f>F42*Inflation!$D$7</f>
        <v>575.8739136363746</v>
      </c>
      <c r="G43" s="238">
        <f>G42*Inflation!$D$7</f>
        <v>985.03020794924919</v>
      </c>
    </row>
    <row r="44" spans="1:11" x14ac:dyDescent="0.3">
      <c r="B44" s="252"/>
      <c r="C44" s="238"/>
      <c r="D44" s="273">
        <f>D43/15</f>
        <v>0.28221498528968764</v>
      </c>
      <c r="E44" s="260">
        <f t="shared" ref="E44:F44" si="1">E43/15</f>
        <v>9.0989397478768783</v>
      </c>
      <c r="F44" s="260">
        <f t="shared" si="1"/>
        <v>38.391594242424972</v>
      </c>
      <c r="G44" s="238"/>
    </row>
    <row r="45" spans="1:11" x14ac:dyDescent="0.3">
      <c r="B45" s="211" t="s">
        <v>1174</v>
      </c>
      <c r="C45" s="237">
        <f>C42/15</f>
        <v>0</v>
      </c>
      <c r="D45" s="237">
        <f>D42/15</f>
        <v>0.35539333097530362</v>
      </c>
      <c r="E45" s="237">
        <f>E42/15</f>
        <v>11.458294824501355</v>
      </c>
      <c r="F45" s="237">
        <f>F42/15</f>
        <v>48.346534629485767</v>
      </c>
      <c r="G45" s="237">
        <f>G42/15</f>
        <v>82.696569391365969</v>
      </c>
    </row>
    <row r="46" spans="1:11" x14ac:dyDescent="0.3">
      <c r="B46" s="227" t="s">
        <v>1180</v>
      </c>
      <c r="C46" s="240">
        <f>C42/$C$7</f>
        <v>0</v>
      </c>
      <c r="D46" s="241">
        <f>D42/$C$7</f>
        <v>1.1985734634924045E-3</v>
      </c>
      <c r="E46" s="241">
        <f>E42/$C$7</f>
        <v>3.8643404128689274E-2</v>
      </c>
      <c r="F46" s="241">
        <f>F42/$C$7</f>
        <v>0.1630499742347303</v>
      </c>
      <c r="G46" s="240">
        <f>G42/$C$7</f>
        <v>0.27889638030725233</v>
      </c>
    </row>
    <row r="47" spans="1:11" x14ac:dyDescent="0.3">
      <c r="B47" s="227" t="s">
        <v>1172</v>
      </c>
      <c r="C47" s="241">
        <f>C46/15</f>
        <v>0</v>
      </c>
      <c r="D47" s="240">
        <f>D46/15</f>
        <v>7.9904897566160298E-5</v>
      </c>
      <c r="E47" s="240">
        <f>E46/15</f>
        <v>2.5762269419126183E-3</v>
      </c>
      <c r="F47" s="240">
        <f>F46/15</f>
        <v>1.0869998282315354E-2</v>
      </c>
      <c r="G47" s="241">
        <f>G46/15</f>
        <v>1.8593092020483488E-2</v>
      </c>
    </row>
    <row r="48" spans="1:11" x14ac:dyDescent="0.3">
      <c r="B48" s="211"/>
      <c r="C48" s="211"/>
      <c r="D48" s="211"/>
      <c r="E48" s="211"/>
      <c r="F48" s="211"/>
      <c r="G48" s="211"/>
    </row>
    <row r="49" spans="2:7" x14ac:dyDescent="0.3">
      <c r="B49" s="211"/>
      <c r="C49" s="211"/>
      <c r="D49" s="211"/>
      <c r="E49" s="211"/>
      <c r="F49" s="242"/>
      <c r="G49" s="242"/>
    </row>
    <row r="50" spans="2:7" x14ac:dyDescent="0.3">
      <c r="B50" s="227" t="s">
        <v>1175</v>
      </c>
      <c r="C50" s="243">
        <f>C42*$C$26</f>
        <v>0</v>
      </c>
      <c r="D50" s="244">
        <f>D42*$C$26</f>
        <v>0.15992699893888662</v>
      </c>
      <c r="E50" s="244">
        <f>E42*$C$26</f>
        <v>5.1562326710256094</v>
      </c>
      <c r="F50" s="244">
        <f>F42*$C$26</f>
        <v>21.755940583268593</v>
      </c>
      <c r="G50" s="243">
        <f>G42*$C$26</f>
        <v>37.213456226114687</v>
      </c>
    </row>
    <row r="51" spans="2:7" x14ac:dyDescent="0.3">
      <c r="B51" s="227" t="s">
        <v>1176</v>
      </c>
      <c r="C51" s="240">
        <f>C50/$C$5</f>
        <v>0</v>
      </c>
      <c r="D51" s="240">
        <f>D50/$C$5</f>
        <v>3.9955902842071909E-5</v>
      </c>
      <c r="E51" s="240">
        <f>E50/$C$5</f>
        <v>1.2882248338402446E-3</v>
      </c>
      <c r="F51" s="240">
        <f>F50/$C$5</f>
        <v>5.4354690199317074E-3</v>
      </c>
      <c r="G51" s="240">
        <f>G50/$C$5</f>
        <v>9.2973497361538496E-3</v>
      </c>
    </row>
    <row r="52" spans="2:7" x14ac:dyDescent="0.3">
      <c r="G52" s="44"/>
    </row>
    <row r="53" spans="2:7" x14ac:dyDescent="0.3">
      <c r="D53">
        <f>D45*1000</f>
        <v>355.39333097530363</v>
      </c>
    </row>
    <row r="55" spans="2:7" x14ac:dyDescent="0.3">
      <c r="B55" s="211" t="s">
        <v>1363</v>
      </c>
      <c r="C55" s="43">
        <f>C46*$C$8</f>
        <v>0</v>
      </c>
      <c r="D55" s="43">
        <f>D46*$C$8</f>
        <v>48.469478223007258</v>
      </c>
      <c r="E55" s="43">
        <f t="shared" ref="E55:G55" si="2">E46*$C$8</f>
        <v>1562.7124176608663</v>
      </c>
      <c r="F55" s="43">
        <f t="shared" si="2"/>
        <v>6593.6276883725932</v>
      </c>
      <c r="G55" s="43">
        <f t="shared" si="2"/>
        <v>11278.375872255063</v>
      </c>
    </row>
    <row r="56" spans="2:7" x14ac:dyDescent="0.3">
      <c r="B56" s="252" t="s">
        <v>1362</v>
      </c>
      <c r="C56" s="43">
        <f>C55*Inflation!$D$7</f>
        <v>0</v>
      </c>
      <c r="D56" s="43">
        <f>D55*Inflation!$D$7</f>
        <v>38.489222761063495</v>
      </c>
      <c r="E56" s="43">
        <f>E55*Inflation!$D$7</f>
        <v>1240.9373601690354</v>
      </c>
      <c r="F56" s="43">
        <f>F55*Inflation!$D$7</f>
        <v>5235.9467071965319</v>
      </c>
      <c r="G56" s="43">
        <f>G55*Inflation!$D$7</f>
        <v>8956.067555193411</v>
      </c>
    </row>
    <row r="57" spans="2:7" x14ac:dyDescent="0.3">
      <c r="B57" s="252" t="s">
        <v>1374</v>
      </c>
      <c r="C57">
        <f>C56/15</f>
        <v>0</v>
      </c>
      <c r="D57" s="43">
        <f t="shared" ref="D57:F57" si="3">D56/15</f>
        <v>2.5659481840708995</v>
      </c>
      <c r="E57" s="43">
        <f t="shared" si="3"/>
        <v>82.729157344602356</v>
      </c>
      <c r="F57" s="43">
        <f t="shared" si="3"/>
        <v>349.06311381310212</v>
      </c>
      <c r="G57" s="43">
        <f>G56/15</f>
        <v>597.0711703462274</v>
      </c>
    </row>
    <row r="65" spans="2:5" x14ac:dyDescent="0.3">
      <c r="B65" s="22" t="s">
        <v>1364</v>
      </c>
    </row>
    <row r="66" spans="2:5" x14ac:dyDescent="0.3">
      <c r="B66" t="s">
        <v>1365</v>
      </c>
      <c r="C66">
        <v>69.45</v>
      </c>
      <c r="D66" t="s">
        <v>1366</v>
      </c>
      <c r="E66" s="224" t="s">
        <v>1367</v>
      </c>
    </row>
    <row r="73" spans="2:5" x14ac:dyDescent="0.3">
      <c r="B73" t="s">
        <v>1370</v>
      </c>
      <c r="D73" s="224" t="s">
        <v>1369</v>
      </c>
    </row>
    <row r="74" spans="2:5" x14ac:dyDescent="0.3">
      <c r="B74" t="s">
        <v>1368</v>
      </c>
      <c r="C74" s="44">
        <f>C30/C66*1000</f>
        <v>49.069765784210794</v>
      </c>
    </row>
    <row r="76" spans="2:5" x14ac:dyDescent="0.3">
      <c r="B76" t="s">
        <v>1371</v>
      </c>
    </row>
    <row r="77" spans="2:5" x14ac:dyDescent="0.3">
      <c r="B77" t="s">
        <v>1372</v>
      </c>
    </row>
    <row r="80" spans="2:5" x14ac:dyDescent="0.3">
      <c r="B80" t="s">
        <v>1390</v>
      </c>
      <c r="C80" s="91">
        <f xml:space="preserve"> 4995366/1000</f>
        <v>4995.366</v>
      </c>
    </row>
    <row r="81" spans="2:4" x14ac:dyDescent="0.3">
      <c r="B81" t="s">
        <v>1389</v>
      </c>
      <c r="C81" s="37">
        <f>C6/C80</f>
        <v>8.1537011397407516E-2</v>
      </c>
    </row>
    <row r="84" spans="2:4" x14ac:dyDescent="0.3">
      <c r="B84" t="s">
        <v>1391</v>
      </c>
      <c r="C84" s="43">
        <f>28695140/1000</f>
        <v>28695.14</v>
      </c>
    </row>
    <row r="85" spans="2:4" x14ac:dyDescent="0.3">
      <c r="B85" t="s">
        <v>1392</v>
      </c>
      <c r="C85" s="37">
        <f>C5/C84</f>
        <v>0.13948660093123819</v>
      </c>
    </row>
    <row r="88" spans="2:4" x14ac:dyDescent="0.3">
      <c r="B88" t="s">
        <v>1397</v>
      </c>
      <c r="C88" s="43">
        <f>114692/1000</f>
        <v>114.69199999999999</v>
      </c>
    </row>
    <row r="89" spans="2:4" x14ac:dyDescent="0.3">
      <c r="B89" t="s">
        <v>1394</v>
      </c>
      <c r="C89" s="278">
        <v>8.9</v>
      </c>
      <c r="D89" s="224" t="s">
        <v>1393</v>
      </c>
    </row>
    <row r="90" spans="2:4" ht="28.8" x14ac:dyDescent="0.3">
      <c r="B90" s="1" t="s">
        <v>1395</v>
      </c>
      <c r="C90">
        <v>80.599999999999994</v>
      </c>
    </row>
    <row r="91" spans="2:4" x14ac:dyDescent="0.3">
      <c r="B91" t="s">
        <v>1396</v>
      </c>
      <c r="C91" s="3">
        <v>0.7</v>
      </c>
    </row>
    <row r="92" spans="2:4" x14ac:dyDescent="0.3">
      <c r="B92" t="s">
        <v>1398</v>
      </c>
      <c r="C92" s="45">
        <f>C89/C88</f>
        <v>7.7599135074809061E-2</v>
      </c>
    </row>
    <row r="94" spans="2:4" x14ac:dyDescent="0.3">
      <c r="B94" t="s">
        <v>1399</v>
      </c>
      <c r="C94" s="149">
        <f>C92*C6</f>
        <v>31.606687553084576</v>
      </c>
    </row>
    <row r="95" spans="2:4" x14ac:dyDescent="0.3">
      <c r="B95" t="s">
        <v>1399</v>
      </c>
      <c r="C95" s="149">
        <f>C94*Inflation!D7</f>
        <v>25.098616336920969</v>
      </c>
    </row>
    <row r="96" spans="2:4" x14ac:dyDescent="0.3">
      <c r="B96" t="s">
        <v>1400</v>
      </c>
      <c r="C96" s="37">
        <f>C31/C95</f>
        <v>0.10782196736022262</v>
      </c>
    </row>
    <row r="98" spans="2:4" x14ac:dyDescent="0.3">
      <c r="B98" t="s">
        <v>1401</v>
      </c>
      <c r="C98" s="3">
        <f>D23</f>
        <v>0.27889638030725233</v>
      </c>
    </row>
    <row r="99" spans="2:4" x14ac:dyDescent="0.3">
      <c r="B99" t="s">
        <v>1402</v>
      </c>
      <c r="C99" s="37">
        <f>C98/C91</f>
        <v>0.39842340043893193</v>
      </c>
    </row>
    <row r="100" spans="2:4" x14ac:dyDescent="0.3">
      <c r="B100" t="s">
        <v>1403</v>
      </c>
      <c r="C100" s="149">
        <f>C95*C99</f>
        <v>9.9998760672681826</v>
      </c>
    </row>
    <row r="107" spans="2:4" x14ac:dyDescent="0.3">
      <c r="B107" t="s">
        <v>1404</v>
      </c>
      <c r="C107" s="149">
        <f>C6*Inflation!D7</f>
        <v>323.43938257462241</v>
      </c>
    </row>
    <row r="108" spans="2:4" x14ac:dyDescent="0.3">
      <c r="B108" t="s">
        <v>1405</v>
      </c>
      <c r="C108" s="149">
        <f>C107*C91</f>
        <v>226.40756780223566</v>
      </c>
      <c r="D108" s="37">
        <f>C108/$C$107</f>
        <v>0.7</v>
      </c>
    </row>
    <row r="109" spans="2:4" x14ac:dyDescent="0.3">
      <c r="B109" t="s">
        <v>1406</v>
      </c>
      <c r="C109" s="149">
        <f>C107*C92</f>
        <v>25.098616336920969</v>
      </c>
      <c r="D109" s="37">
        <f t="shared" ref="D109:D112" si="4">C109/$C$107</f>
        <v>7.7599135074809061E-2</v>
      </c>
    </row>
    <row r="110" spans="2:4" x14ac:dyDescent="0.3">
      <c r="B110" t="s">
        <v>1410</v>
      </c>
      <c r="C110" s="150">
        <f>16.2*Inflation!P7</f>
        <v>14.004149377593359</v>
      </c>
      <c r="D110" s="37">
        <f>C110/$C$107</f>
        <v>4.3297601133536631E-2</v>
      </c>
    </row>
    <row r="111" spans="2:4" x14ac:dyDescent="0.3">
      <c r="B111" t="s">
        <v>1407</v>
      </c>
      <c r="C111" s="149">
        <f>C107*C98</f>
        <v>90.206073048874771</v>
      </c>
      <c r="D111" s="37">
        <f t="shared" si="4"/>
        <v>0.27889638030725233</v>
      </c>
    </row>
    <row r="112" spans="2:4" x14ac:dyDescent="0.3">
      <c r="B112" t="s">
        <v>1408</v>
      </c>
      <c r="C112" s="44">
        <f>C31</f>
        <v>2.7061821914662429</v>
      </c>
      <c r="D112" s="37">
        <f t="shared" si="4"/>
        <v>8.3668914092175691E-3</v>
      </c>
    </row>
    <row r="113" spans="2:3" x14ac:dyDescent="0.3">
      <c r="B113" t="s">
        <v>1411</v>
      </c>
      <c r="C113" s="37">
        <f>C112/C110</f>
        <v>0.19324145426470063</v>
      </c>
    </row>
  </sheetData>
  <hyperlinks>
    <hyperlink ref="E66" r:id="rId1" display="https://www.ons.gov.uk/peoplepopulationandcommunity/populationandmigration/populationestimates/timeseries/ukpop/pop" xr:uid="{03F38282-F2A9-496C-8B80-4045E3CEDA13}"/>
    <hyperlink ref="D73" r:id="rId2" display="https://londondaily.com/uk-civil-service-budget-cuts-target-2-billion-annual-savings-by-2030" xr:uid="{BC6FD144-EDEE-4D5C-89B8-16E76F14AF29}"/>
    <hyperlink ref="D89" r:id="rId3" display="https://www.finance.gov.pk/dpco/annual_debt_review_2025.pdf" xr:uid="{9F3B67EF-C9D6-4958-B7D2-63313F4BBCB9}"/>
  </hyperlinks>
  <pageMargins left="0.7" right="0.7" top="0.75" bottom="0.75" header="0.3" footer="0.3"/>
  <pageSetup paperSize="9" orientation="portrait" r:id="rId4"/>
  <drawing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BDBE2-77F8-459B-A1C9-1DA2FDC05524}">
  <sheetPr>
    <tabColor theme="4" tint="0.39997558519241921"/>
  </sheetPr>
  <dimension ref="D26:H52"/>
  <sheetViews>
    <sheetView topLeftCell="A34" zoomScale="85" zoomScaleNormal="85" workbookViewId="0">
      <selection activeCell="A49" sqref="A49:XFD49"/>
    </sheetView>
  </sheetViews>
  <sheetFormatPr defaultRowHeight="14.4" x14ac:dyDescent="0.3"/>
  <cols>
    <col min="4" max="4" width="32.6640625" customWidth="1"/>
    <col min="5" max="5" width="19" customWidth="1"/>
    <col min="6" max="6" width="20.109375" customWidth="1"/>
  </cols>
  <sheetData>
    <row r="26" spans="4:8" x14ac:dyDescent="0.3">
      <c r="E26" t="s">
        <v>1382</v>
      </c>
      <c r="F26" t="s">
        <v>1383</v>
      </c>
    </row>
    <row r="27" spans="4:8" x14ac:dyDescent="0.3">
      <c r="D27" t="s">
        <v>1412</v>
      </c>
      <c r="E27" s="275">
        <f>F27*Inflation!$J$7</f>
        <v>115.01007387508395</v>
      </c>
      <c r="F27">
        <v>137</v>
      </c>
      <c r="G27" s="180">
        <v>2022</v>
      </c>
      <c r="H27" t="s">
        <v>1378</v>
      </c>
    </row>
    <row r="28" spans="4:8" ht="72" x14ac:dyDescent="0.3">
      <c r="D28" s="1" t="s">
        <v>1414</v>
      </c>
      <c r="E28" s="275">
        <f>F28*Inflation!$J$7</f>
        <v>91.504365345869701</v>
      </c>
      <c r="F28">
        <v>109</v>
      </c>
      <c r="G28">
        <v>2023</v>
      </c>
    </row>
    <row r="29" spans="4:8" x14ac:dyDescent="0.3">
      <c r="D29" t="s">
        <v>1413</v>
      </c>
      <c r="E29" s="275">
        <f>F29*Inflation!$J$7</f>
        <v>335.79583613163197</v>
      </c>
      <c r="F29">
        <v>400</v>
      </c>
      <c r="G29">
        <v>2023</v>
      </c>
      <c r="H29" t="s">
        <v>1379</v>
      </c>
    </row>
    <row r="30" spans="4:8" x14ac:dyDescent="0.3">
      <c r="D30" s="245" t="s">
        <v>1353</v>
      </c>
      <c r="E30" s="43">
        <f>F30</f>
        <v>0.28221498528968764</v>
      </c>
      <c r="F30" s="43">
        <f>'Preliminary results'!D44</f>
        <v>0.28221498528968764</v>
      </c>
      <c r="G30">
        <v>2019</v>
      </c>
    </row>
    <row r="31" spans="4:8" x14ac:dyDescent="0.3">
      <c r="D31" s="246" t="s">
        <v>1354</v>
      </c>
      <c r="E31" s="43">
        <f t="shared" ref="E31:E35" si="0">F31</f>
        <v>9.0989397478768783</v>
      </c>
      <c r="F31" s="43">
        <f>'Preliminary results'!E44</f>
        <v>9.0989397478768783</v>
      </c>
      <c r="G31">
        <v>2019</v>
      </c>
    </row>
    <row r="32" spans="4:8" x14ac:dyDescent="0.3">
      <c r="D32" s="247" t="s">
        <v>1352</v>
      </c>
      <c r="E32" s="43">
        <f t="shared" si="0"/>
        <v>38.391594242424972</v>
      </c>
      <c r="F32" s="43">
        <f>'Preliminary results'!F44</f>
        <v>38.391594242424972</v>
      </c>
      <c r="G32">
        <v>2019</v>
      </c>
    </row>
    <row r="33" spans="4:7" x14ac:dyDescent="0.3">
      <c r="D33" t="s">
        <v>1375</v>
      </c>
      <c r="E33" s="43">
        <f t="shared" si="0"/>
        <v>2.5659481840708995</v>
      </c>
      <c r="F33" s="43">
        <f>'Preliminary results'!D57</f>
        <v>2.5659481840708995</v>
      </c>
      <c r="G33">
        <v>2019</v>
      </c>
    </row>
    <row r="34" spans="4:7" x14ac:dyDescent="0.3">
      <c r="D34" t="s">
        <v>1376</v>
      </c>
      <c r="E34" s="43">
        <f t="shared" si="0"/>
        <v>82.729157344602356</v>
      </c>
      <c r="F34" s="43">
        <f>'Preliminary results'!E57</f>
        <v>82.729157344602356</v>
      </c>
      <c r="G34">
        <v>2019</v>
      </c>
    </row>
    <row r="35" spans="4:7" x14ac:dyDescent="0.3">
      <c r="D35" t="s">
        <v>1377</v>
      </c>
      <c r="E35" s="43">
        <f t="shared" si="0"/>
        <v>349.06311381310212</v>
      </c>
      <c r="F35" s="43">
        <f>'Preliminary results'!F57</f>
        <v>349.06311381310212</v>
      </c>
      <c r="G35">
        <v>2019</v>
      </c>
    </row>
    <row r="36" spans="4:7" x14ac:dyDescent="0.3">
      <c r="D36" t="s">
        <v>1373</v>
      </c>
      <c r="E36" s="43">
        <f>E29</f>
        <v>335.79583613163197</v>
      </c>
    </row>
    <row r="44" spans="4:7" x14ac:dyDescent="0.3">
      <c r="D44" t="s">
        <v>1415</v>
      </c>
      <c r="E44" s="43">
        <f>F44*Inflation!$J$7</f>
        <v>151.10812625923438</v>
      </c>
      <c r="F44">
        <v>180</v>
      </c>
      <c r="G44" s="37">
        <f>F44/$F$49</f>
        <v>0.45</v>
      </c>
    </row>
    <row r="45" spans="4:7" x14ac:dyDescent="0.3">
      <c r="D45" t="s">
        <v>1416</v>
      </c>
      <c r="E45" s="43">
        <f>F45*Inflation!$J$7</f>
        <v>16.789791806581597</v>
      </c>
      <c r="F45">
        <v>20</v>
      </c>
      <c r="G45" s="37">
        <f t="shared" ref="G45:G48" si="1">F45/$F$49</f>
        <v>0.05</v>
      </c>
    </row>
    <row r="46" spans="4:7" x14ac:dyDescent="0.3">
      <c r="D46" t="s">
        <v>1417</v>
      </c>
      <c r="E46" s="43">
        <f>F46*Inflation!$J$7</f>
        <v>62.961719274680988</v>
      </c>
      <c r="F46">
        <v>75</v>
      </c>
      <c r="G46" s="37">
        <f t="shared" si="1"/>
        <v>0.1875</v>
      </c>
    </row>
    <row r="47" spans="4:7" x14ac:dyDescent="0.3">
      <c r="D47" t="s">
        <v>1418</v>
      </c>
      <c r="E47" s="43">
        <f>F47*Inflation!$J$7</f>
        <v>20.987239758226998</v>
      </c>
      <c r="F47">
        <v>25</v>
      </c>
      <c r="G47" s="37">
        <f t="shared" si="1"/>
        <v>6.25E-2</v>
      </c>
    </row>
    <row r="48" spans="4:7" x14ac:dyDescent="0.3">
      <c r="D48" t="s">
        <v>1419</v>
      </c>
      <c r="E48" s="43">
        <f>F48*Inflation!$J$7</f>
        <v>83.948959032907993</v>
      </c>
      <c r="F48">
        <v>100</v>
      </c>
      <c r="G48" s="37">
        <f t="shared" si="1"/>
        <v>0.25</v>
      </c>
    </row>
    <row r="49" spans="4:7" x14ac:dyDescent="0.3">
      <c r="D49" t="s">
        <v>1420</v>
      </c>
      <c r="E49" s="43">
        <f>F49*Inflation!$J$7*-1</f>
        <v>-335.79583613163197</v>
      </c>
      <c r="F49">
        <v>400</v>
      </c>
    </row>
    <row r="50" spans="4:7" x14ac:dyDescent="0.3">
      <c r="E50" s="43">
        <v>336</v>
      </c>
    </row>
    <row r="51" spans="4:7" x14ac:dyDescent="0.3">
      <c r="D51" t="s">
        <v>1421</v>
      </c>
      <c r="E51">
        <v>-136</v>
      </c>
    </row>
    <row r="52" spans="4:7" x14ac:dyDescent="0.3">
      <c r="E52">
        <v>136</v>
      </c>
      <c r="G52" s="37">
        <f>E52/E49</f>
        <v>-0.40500799999999998</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62083-AD21-4FBA-BFD6-13E36E320350}">
  <sheetPr>
    <tabColor theme="7" tint="0.79998168889431442"/>
  </sheetPr>
  <dimension ref="A1:S158"/>
  <sheetViews>
    <sheetView topLeftCell="A28" workbookViewId="0">
      <selection activeCell="B42" sqref="B42"/>
    </sheetView>
  </sheetViews>
  <sheetFormatPr defaultRowHeight="14.4" x14ac:dyDescent="0.3"/>
  <cols>
    <col min="1" max="1" width="15.33203125" bestFit="1" customWidth="1"/>
    <col min="2" max="2" width="14.6640625" bestFit="1" customWidth="1"/>
    <col min="3" max="3" width="17.88671875" bestFit="1" customWidth="1"/>
    <col min="4" max="4" width="8.21875" bestFit="1" customWidth="1"/>
    <col min="5" max="5" width="9.77734375" bestFit="1" customWidth="1"/>
    <col min="6" max="8" width="5.5546875" bestFit="1" customWidth="1"/>
    <col min="9" max="9" width="6.5546875" bestFit="1" customWidth="1"/>
    <col min="10" max="11" width="5.5546875" bestFit="1" customWidth="1"/>
    <col min="12" max="12" width="6.5546875" bestFit="1" customWidth="1"/>
    <col min="13" max="13" width="7.33203125" bestFit="1" customWidth="1"/>
    <col min="14" max="14" width="11.33203125" bestFit="1" customWidth="1"/>
    <col min="15" max="23" width="24" bestFit="1" customWidth="1"/>
    <col min="24" max="24" width="37.44140625" bestFit="1" customWidth="1"/>
    <col min="25" max="25" width="36.44140625" bestFit="1" customWidth="1"/>
    <col min="26" max="34" width="24" bestFit="1" customWidth="1"/>
    <col min="35" max="35" width="36.109375" bestFit="1" customWidth="1"/>
    <col min="36" max="36" width="37.44140625" bestFit="1" customWidth="1"/>
    <col min="37" max="37" width="36.44140625" bestFit="1" customWidth="1"/>
    <col min="38" max="38" width="34.109375" bestFit="1" customWidth="1"/>
    <col min="39" max="39" width="34" bestFit="1" customWidth="1"/>
    <col min="40" max="41" width="33" bestFit="1" customWidth="1"/>
    <col min="42" max="48" width="30.33203125" bestFit="1" customWidth="1"/>
    <col min="49" max="49" width="35.109375" bestFit="1" customWidth="1"/>
    <col min="50" max="50" width="34.109375" bestFit="1" customWidth="1"/>
    <col min="51" max="51" width="34" bestFit="1" customWidth="1"/>
    <col min="52" max="52" width="33" bestFit="1" customWidth="1"/>
  </cols>
  <sheetData>
    <row r="1" spans="1:17" ht="58.95" customHeight="1" x14ac:dyDescent="0.3">
      <c r="A1" s="234"/>
      <c r="B1" s="235" t="s">
        <v>1358</v>
      </c>
      <c r="C1" s="234"/>
      <c r="D1" s="234"/>
      <c r="E1" s="234"/>
      <c r="F1" s="234"/>
      <c r="G1" s="234"/>
      <c r="H1" s="234"/>
    </row>
    <row r="2" spans="1:17" ht="58.95" customHeight="1" x14ac:dyDescent="0.3">
      <c r="B2" s="18" t="s">
        <v>1360</v>
      </c>
      <c r="C2" s="18"/>
      <c r="D2" s="18"/>
      <c r="E2" s="18"/>
      <c r="F2" s="18"/>
      <c r="G2" s="18"/>
      <c r="H2" s="18"/>
      <c r="J2" s="18" t="s">
        <v>1361</v>
      </c>
      <c r="K2" s="18"/>
      <c r="L2" s="18"/>
      <c r="M2" s="18"/>
      <c r="N2" s="18"/>
      <c r="O2" s="18"/>
      <c r="P2" s="18"/>
    </row>
    <row r="3" spans="1:17" x14ac:dyDescent="0.3">
      <c r="B3">
        <v>1</v>
      </c>
      <c r="C3">
        <v>2</v>
      </c>
      <c r="D3">
        <v>3</v>
      </c>
      <c r="E3">
        <v>4</v>
      </c>
      <c r="F3">
        <v>5</v>
      </c>
      <c r="G3">
        <v>6</v>
      </c>
      <c r="H3">
        <v>7</v>
      </c>
      <c r="J3">
        <v>1</v>
      </c>
      <c r="K3">
        <v>2</v>
      </c>
      <c r="L3">
        <v>3</v>
      </c>
      <c r="M3">
        <v>4</v>
      </c>
      <c r="N3">
        <v>5</v>
      </c>
      <c r="O3">
        <v>6</v>
      </c>
      <c r="P3">
        <v>7</v>
      </c>
    </row>
    <row r="4" spans="1:17" ht="34.5" customHeight="1" x14ac:dyDescent="0.3">
      <c r="C4" s="262" t="s">
        <v>1353</v>
      </c>
      <c r="D4" s="263" t="s">
        <v>1354</v>
      </c>
      <c r="E4" s="264" t="s">
        <v>1352</v>
      </c>
      <c r="F4" s="262" t="s">
        <v>1355</v>
      </c>
      <c r="G4" s="263" t="s">
        <v>1356</v>
      </c>
      <c r="H4" s="264" t="s">
        <v>1357</v>
      </c>
      <c r="K4" s="262" t="s">
        <v>1353</v>
      </c>
      <c r="L4" s="263" t="s">
        <v>1354</v>
      </c>
      <c r="M4" s="264" t="s">
        <v>1352</v>
      </c>
      <c r="N4" s="262" t="s">
        <v>1355</v>
      </c>
      <c r="O4" s="263" t="s">
        <v>1356</v>
      </c>
      <c r="P4" s="264" t="s">
        <v>1357</v>
      </c>
    </row>
    <row r="5" spans="1:17" x14ac:dyDescent="0.3">
      <c r="A5" t="s">
        <v>1220</v>
      </c>
      <c r="B5" s="161" t="s">
        <v>1058</v>
      </c>
      <c r="C5" s="266">
        <f t="shared" ref="C5:E14" si="0">C25</f>
        <v>1.0278587224814957</v>
      </c>
      <c r="D5" s="266">
        <f t="shared" si="0"/>
        <v>33.139362091594002</v>
      </c>
      <c r="E5" s="266">
        <f t="shared" si="0"/>
        <v>139.8265048595519</v>
      </c>
      <c r="F5" s="266">
        <f t="shared" ref="F5:F14" si="1">C43</f>
        <v>3.8743388667839929</v>
      </c>
      <c r="G5" s="266">
        <f t="shared" ref="G5:G14" si="2">D43</f>
        <v>124.9131964964204</v>
      </c>
      <c r="H5" s="266">
        <f t="shared" ref="H5:H14" si="3">E43</f>
        <v>527.05225974640268</v>
      </c>
      <c r="I5" s="266"/>
      <c r="J5" s="161" t="s">
        <v>1058</v>
      </c>
      <c r="K5" s="46">
        <f t="shared" ref="K5:K14" si="4">C5/$H25</f>
        <v>1.9847108486462785E-3</v>
      </c>
      <c r="L5" s="46">
        <f t="shared" ref="L5:L14" si="5">D5/$H25</f>
        <v>6.3989388835086647E-2</v>
      </c>
      <c r="M5" s="46">
        <f t="shared" ref="M5:M14" si="6">E5/$H25</f>
        <v>0.26999350694135915</v>
      </c>
      <c r="N5" s="46">
        <f t="shared" ref="N5:N14" si="7">F5/$H25</f>
        <v>7.4810304296236106E-3</v>
      </c>
      <c r="O5" s="46">
        <f t="shared" ref="O5:O14" si="8">G5/$H25</f>
        <v>0.2411971322547132</v>
      </c>
      <c r="P5" s="46">
        <f t="shared" ref="P5:P14" si="9">H5/$H25</f>
        <v>1.0176946644932066</v>
      </c>
    </row>
    <row r="6" spans="1:17" x14ac:dyDescent="0.3">
      <c r="A6" t="s">
        <v>1126</v>
      </c>
      <c r="B6" s="161" t="s">
        <v>1048</v>
      </c>
      <c r="C6" s="266">
        <f t="shared" si="0"/>
        <v>1.0696463897289545</v>
      </c>
      <c r="D6" s="266">
        <f t="shared" si="0"/>
        <v>34.486645142841851</v>
      </c>
      <c r="E6" s="266">
        <f t="shared" si="0"/>
        <v>145.51116105757458</v>
      </c>
      <c r="F6" s="266">
        <f t="shared" si="1"/>
        <v>2.8250000585878818</v>
      </c>
      <c r="G6" s="266">
        <f t="shared" si="2"/>
        <v>91.08129142913748</v>
      </c>
      <c r="H6" s="266">
        <f t="shared" si="3"/>
        <v>384.3036749902019</v>
      </c>
      <c r="I6" s="266"/>
      <c r="J6" s="161" t="s">
        <v>1048</v>
      </c>
      <c r="K6" s="46">
        <f t="shared" si="4"/>
        <v>3.2183639093189397E-3</v>
      </c>
      <c r="L6" s="46">
        <f t="shared" si="5"/>
        <v>0.10376380002491874</v>
      </c>
      <c r="M6" s="46">
        <f t="shared" si="6"/>
        <v>0.437815593683686</v>
      </c>
      <c r="N6" s="46">
        <f t="shared" si="7"/>
        <v>8.4998914778621239E-3</v>
      </c>
      <c r="O6" s="46">
        <f t="shared" si="8"/>
        <v>0.27404639885147053</v>
      </c>
      <c r="P6" s="46">
        <f t="shared" si="9"/>
        <v>1.1562971554744466</v>
      </c>
    </row>
    <row r="7" spans="1:17" x14ac:dyDescent="0.3">
      <c r="A7" t="s">
        <v>1214</v>
      </c>
      <c r="B7" s="161" t="s">
        <v>1054</v>
      </c>
      <c r="C7" s="269">
        <f t="shared" si="0"/>
        <v>-0.37844073367850262</v>
      </c>
      <c r="D7" s="269">
        <f t="shared" si="0"/>
        <v>-12.201369924947219</v>
      </c>
      <c r="E7" s="269">
        <f t="shared" si="0"/>
        <v>-51.481827151301154</v>
      </c>
      <c r="F7" s="269">
        <f t="shared" si="1"/>
        <v>-3.4325738236057339</v>
      </c>
      <c r="G7" s="269">
        <f t="shared" si="2"/>
        <v>-110.67017709590492</v>
      </c>
      <c r="H7" s="269">
        <f t="shared" si="3"/>
        <v>-466.95600273588991</v>
      </c>
      <c r="I7" s="266"/>
      <c r="J7" s="161" t="s">
        <v>1054</v>
      </c>
      <c r="K7" s="231">
        <f t="shared" si="4"/>
        <v>-2.7375678272133176E-4</v>
      </c>
      <c r="L7" s="231">
        <f t="shared" si="5"/>
        <v>-8.8262374480120847E-3</v>
      </c>
      <c r="M7" s="231">
        <f t="shared" si="6"/>
        <v>-3.724096830847174E-2</v>
      </c>
      <c r="N7" s="231">
        <f t="shared" si="7"/>
        <v>-2.4830581984920858E-3</v>
      </c>
      <c r="O7" s="231">
        <f t="shared" si="8"/>
        <v>-8.0056687689208872E-2</v>
      </c>
      <c r="P7" s="231">
        <f t="shared" si="9"/>
        <v>-0.3377870340194094</v>
      </c>
    </row>
    <row r="8" spans="1:17" x14ac:dyDescent="0.3">
      <c r="A8" t="s">
        <v>1221</v>
      </c>
      <c r="B8" s="161" t="s">
        <v>1011</v>
      </c>
      <c r="C8" s="269">
        <f t="shared" si="0"/>
        <v>-0.40904589849780987</v>
      </c>
      <c r="D8" s="269">
        <f t="shared" si="0"/>
        <v>-13.188116076569433</v>
      </c>
      <c r="E8" s="269">
        <f t="shared" si="0"/>
        <v>-55.645252662739864</v>
      </c>
      <c r="F8" s="266">
        <f t="shared" si="1"/>
        <v>14.652760397514747</v>
      </c>
      <c r="G8" s="266">
        <f t="shared" si="2"/>
        <v>472.42205746164859</v>
      </c>
      <c r="H8" s="266">
        <f t="shared" si="3"/>
        <v>1993.3131160112628</v>
      </c>
      <c r="I8" s="266"/>
      <c r="J8" s="161" t="s">
        <v>1011</v>
      </c>
      <c r="K8" s="231">
        <f t="shared" si="4"/>
        <v>-1.4098479243050631E-4</v>
      </c>
      <c r="L8" s="231">
        <f t="shared" si="5"/>
        <v>-4.5455138761512854E-3</v>
      </c>
      <c r="M8" s="231">
        <f t="shared" si="6"/>
        <v>-1.9179105389419918E-2</v>
      </c>
      <c r="N8" s="46">
        <f t="shared" si="7"/>
        <v>5.0503290480704349E-3</v>
      </c>
      <c r="O8" s="46">
        <f t="shared" si="8"/>
        <v>0.16282848930993468</v>
      </c>
      <c r="P8" s="46">
        <f t="shared" si="9"/>
        <v>0.68703007887844236</v>
      </c>
    </row>
    <row r="9" spans="1:17" x14ac:dyDescent="0.3">
      <c r="A9" t="s">
        <v>1215</v>
      </c>
      <c r="B9" s="161" t="s">
        <v>1053</v>
      </c>
      <c r="C9" s="269">
        <f t="shared" si="0"/>
        <v>-0.11361806739299189</v>
      </c>
      <c r="D9" s="269">
        <f t="shared" si="0"/>
        <v>-3.6631787940596796</v>
      </c>
      <c r="E9" s="269">
        <f t="shared" si="0"/>
        <v>-15.456226527031395</v>
      </c>
      <c r="F9" s="269">
        <f t="shared" si="1"/>
        <v>-1.0893492393090183</v>
      </c>
      <c r="G9" s="269">
        <f t="shared" si="2"/>
        <v>-35.121887956069713</v>
      </c>
      <c r="H9" s="269">
        <f t="shared" si="3"/>
        <v>-148.19147162195119</v>
      </c>
      <c r="I9" s="266"/>
      <c r="J9" s="161" t="s">
        <v>1053</v>
      </c>
      <c r="K9" s="231">
        <f t="shared" si="4"/>
        <v>-2.9291410663979337E-4</v>
      </c>
      <c r="L9" s="231">
        <f t="shared" si="5"/>
        <v>-9.4438918786785356E-3</v>
      </c>
      <c r="M9" s="231">
        <f t="shared" si="6"/>
        <v>-3.9847067364102429E-2</v>
      </c>
      <c r="N9" s="231">
        <f t="shared" si="7"/>
        <v>-2.8084068544068654E-3</v>
      </c>
      <c r="O9" s="231">
        <f t="shared" si="8"/>
        <v>-9.0546307204567342E-2</v>
      </c>
      <c r="P9" s="231">
        <f t="shared" si="9"/>
        <v>-0.38204639031254595</v>
      </c>
    </row>
    <row r="10" spans="1:17" x14ac:dyDescent="0.3">
      <c r="A10" t="s">
        <v>541</v>
      </c>
      <c r="B10" s="161" t="s">
        <v>1046</v>
      </c>
      <c r="C10" s="269">
        <f t="shared" si="0"/>
        <v>-0.86497444340521734</v>
      </c>
      <c r="D10" s="269">
        <f t="shared" si="0"/>
        <v>-27.887783265366537</v>
      </c>
      <c r="E10" s="269">
        <f t="shared" si="0"/>
        <v>-117.66826565638769</v>
      </c>
      <c r="F10" s="269">
        <f t="shared" si="1"/>
        <v>-8.0537236255812861</v>
      </c>
      <c r="G10" s="269">
        <f t="shared" si="2"/>
        <v>-259.66142775868531</v>
      </c>
      <c r="H10" s="269">
        <f t="shared" si="3"/>
        <v>-1095.6019548592224</v>
      </c>
      <c r="I10" s="266"/>
      <c r="J10" s="161" t="s">
        <v>1046</v>
      </c>
      <c r="K10" s="231">
        <f t="shared" si="4"/>
        <v>-2.1328697320796916E-4</v>
      </c>
      <c r="L10" s="231">
        <f t="shared" si="5"/>
        <v>-6.8766203758963054E-3</v>
      </c>
      <c r="M10" s="231">
        <f t="shared" si="6"/>
        <v>-2.9014855196970064E-2</v>
      </c>
      <c r="N10" s="231">
        <f t="shared" si="7"/>
        <v>-1.9859018358869846E-3</v>
      </c>
      <c r="O10" s="231">
        <f t="shared" si="8"/>
        <v>-6.4027787650559012E-2</v>
      </c>
      <c r="P10" s="231">
        <f t="shared" si="9"/>
        <v>-0.27015552491090872</v>
      </c>
    </row>
    <row r="11" spans="1:17" x14ac:dyDescent="0.3">
      <c r="A11" t="s">
        <v>1216</v>
      </c>
      <c r="B11" s="161" t="s">
        <v>1052</v>
      </c>
      <c r="C11" s="266">
        <f t="shared" si="0"/>
        <v>0.79324077793508307</v>
      </c>
      <c r="D11" s="266">
        <f t="shared" si="0"/>
        <v>25.575006361131173</v>
      </c>
      <c r="E11" s="266">
        <f t="shared" si="0"/>
        <v>107.90985479303687</v>
      </c>
      <c r="F11" s="266">
        <f t="shared" si="1"/>
        <v>3.5572192310634416</v>
      </c>
      <c r="G11" s="266">
        <f t="shared" si="2"/>
        <v>114.68889017431599</v>
      </c>
      <c r="H11" s="266">
        <f t="shared" si="3"/>
        <v>483.91235217419535</v>
      </c>
      <c r="I11" s="266"/>
      <c r="J11" s="161" t="s">
        <v>1052</v>
      </c>
      <c r="K11" s="46">
        <f t="shared" si="4"/>
        <v>9.1685504750564292E-4</v>
      </c>
      <c r="L11" s="46">
        <f t="shared" si="5"/>
        <v>2.9560474353363383E-2</v>
      </c>
      <c r="M11" s="46">
        <f t="shared" si="6"/>
        <v>0.1247259316397545</v>
      </c>
      <c r="N11" s="46">
        <f t="shared" si="7"/>
        <v>4.1115566645157616E-3</v>
      </c>
      <c r="O11" s="46">
        <f t="shared" si="8"/>
        <v>0.13256137452094957</v>
      </c>
      <c r="P11" s="46">
        <f t="shared" si="9"/>
        <v>0.55932258525109357</v>
      </c>
    </row>
    <row r="12" spans="1:17" x14ac:dyDescent="0.3">
      <c r="A12" t="s">
        <v>1217</v>
      </c>
      <c r="B12" s="161" t="s">
        <v>1056</v>
      </c>
      <c r="C12" s="269">
        <f t="shared" si="0"/>
        <v>-4.5480615154337295E-2</v>
      </c>
      <c r="D12" s="269">
        <f t="shared" si="0"/>
        <v>-1.4663479919782023</v>
      </c>
      <c r="E12" s="269">
        <f t="shared" si="0"/>
        <v>-6.1870326308466526</v>
      </c>
      <c r="F12" s="266">
        <f t="shared" si="1"/>
        <v>1.765155559928983</v>
      </c>
      <c r="G12" s="266">
        <f t="shared" si="2"/>
        <v>56.910670668098561</v>
      </c>
      <c r="H12" s="266">
        <f t="shared" si="3"/>
        <v>240.12593081119522</v>
      </c>
      <c r="I12" s="266"/>
      <c r="J12" s="161" t="s">
        <v>1056</v>
      </c>
      <c r="K12" s="231">
        <f t="shared" si="4"/>
        <v>-7.4303962299845138E-5</v>
      </c>
      <c r="L12" s="231">
        <f t="shared" si="5"/>
        <v>-2.3956462669791163E-3</v>
      </c>
      <c r="M12" s="231">
        <f t="shared" si="6"/>
        <v>-1.0108065552550023E-2</v>
      </c>
      <c r="N12" s="46">
        <f t="shared" si="7"/>
        <v>2.8838231790234963E-3</v>
      </c>
      <c r="O12" s="46">
        <f t="shared" si="8"/>
        <v>9.2977817327917683E-2</v>
      </c>
      <c r="P12" s="46">
        <f t="shared" si="9"/>
        <v>0.39230577795974964</v>
      </c>
    </row>
    <row r="13" spans="1:17" x14ac:dyDescent="0.3">
      <c r="A13" t="s">
        <v>1218</v>
      </c>
      <c r="B13" s="161" t="s">
        <v>861</v>
      </c>
      <c r="C13" s="269">
        <f t="shared" si="0"/>
        <v>-2.0382339152326652</v>
      </c>
      <c r="D13" s="269">
        <f t="shared" si="0"/>
        <v>-65.715034826178282</v>
      </c>
      <c r="E13" s="269">
        <f t="shared" si="0"/>
        <v>-277.27460809509722</v>
      </c>
      <c r="F13" s="269">
        <f t="shared" si="1"/>
        <v>-18.487408360635744</v>
      </c>
      <c r="G13" s="269">
        <f t="shared" si="2"/>
        <v>-596.05557300633768</v>
      </c>
      <c r="H13" s="269">
        <f t="shared" si="3"/>
        <v>-2514.9659563505734</v>
      </c>
      <c r="I13" s="266"/>
      <c r="J13" s="161" t="s">
        <v>861</v>
      </c>
      <c r="K13" s="231">
        <f t="shared" si="4"/>
        <v>-5.9204570614613194E-4</v>
      </c>
      <c r="L13" s="231">
        <f t="shared" si="5"/>
        <v>-1.908824296726571E-2</v>
      </c>
      <c r="M13" s="231">
        <f t="shared" si="6"/>
        <v>-8.0539941916978164E-2</v>
      </c>
      <c r="N13" s="231">
        <f t="shared" si="7"/>
        <v>-5.3700366066350494E-3</v>
      </c>
      <c r="O13" s="231">
        <f t="shared" si="8"/>
        <v>-0.17313623327801006</v>
      </c>
      <c r="P13" s="231">
        <f t="shared" si="9"/>
        <v>-0.73052203892460998</v>
      </c>
    </row>
    <row r="14" spans="1:17" x14ac:dyDescent="0.3">
      <c r="A14" t="s">
        <v>1219</v>
      </c>
      <c r="B14" s="161" t="s">
        <v>1021</v>
      </c>
      <c r="C14" s="266">
        <f t="shared" si="0"/>
        <v>0.98918175115828388</v>
      </c>
      <c r="D14" s="266">
        <f t="shared" si="0"/>
        <v>31.892371499159555</v>
      </c>
      <c r="E14" s="266">
        <f t="shared" si="0"/>
        <v>134.56501745822749</v>
      </c>
      <c r="F14" s="266">
        <f t="shared" si="1"/>
        <v>4.7544776018362862</v>
      </c>
      <c r="G14" s="266">
        <f t="shared" si="2"/>
        <v>153.2898941823814</v>
      </c>
      <c r="H14" s="266">
        <f t="shared" si="3"/>
        <v>646.78342554004121</v>
      </c>
      <c r="I14" s="266"/>
      <c r="J14" s="161" t="s">
        <v>1021</v>
      </c>
      <c r="K14" s="46">
        <f t="shared" si="4"/>
        <v>2.5832826917327775E-3</v>
      </c>
      <c r="L14" s="46">
        <f t="shared" si="5"/>
        <v>8.3288042056598205E-2</v>
      </c>
      <c r="M14" s="46">
        <f t="shared" si="6"/>
        <v>0.35142124296724286</v>
      </c>
      <c r="N14" s="46">
        <f t="shared" si="7"/>
        <v>1.2416484314104085E-2</v>
      </c>
      <c r="O14" s="46">
        <f t="shared" si="8"/>
        <v>0.40032191252538618</v>
      </c>
      <c r="P14" s="46">
        <f t="shared" si="9"/>
        <v>1.6890975056310629</v>
      </c>
    </row>
    <row r="15" spans="1:17" x14ac:dyDescent="0.3">
      <c r="A15" s="22" t="s">
        <v>493</v>
      </c>
      <c r="C15" s="268">
        <f>C36</f>
        <v>3.0036323181124858E-2</v>
      </c>
      <c r="D15" s="268">
        <f>D36</f>
        <v>0.96840603482580467</v>
      </c>
      <c r="E15" s="268">
        <f>E36</f>
        <v>4.0860421742675097</v>
      </c>
      <c r="F15" s="268">
        <f>C54</f>
        <v>0.36501099857434588</v>
      </c>
      <c r="G15" s="268">
        <f>D54</f>
        <v>11.768379627081684</v>
      </c>
      <c r="H15" s="268">
        <f>E54</f>
        <v>49.654890355680493</v>
      </c>
      <c r="I15" s="266"/>
      <c r="L15" s="45"/>
      <c r="M15" s="45"/>
      <c r="N15" s="45"/>
      <c r="O15" s="45"/>
      <c r="P15" s="45"/>
      <c r="Q15" s="45"/>
    </row>
    <row r="22" spans="1:14" x14ac:dyDescent="0.3">
      <c r="A22" s="234"/>
      <c r="B22" s="235" t="s">
        <v>1209</v>
      </c>
      <c r="C22" s="234"/>
      <c r="D22" s="234"/>
      <c r="E22" s="234"/>
      <c r="F22" s="234"/>
      <c r="G22" s="234"/>
      <c r="H22" s="234"/>
    </row>
    <row r="24" spans="1:14" s="164" customFormat="1" ht="115.2" x14ac:dyDescent="0.3">
      <c r="B24" s="163" t="s">
        <v>1200</v>
      </c>
      <c r="C24" s="265" t="s">
        <v>1203</v>
      </c>
      <c r="D24" s="265" t="s">
        <v>1204</v>
      </c>
      <c r="E24" s="265" t="s">
        <v>1205</v>
      </c>
      <c r="F24" s="164" t="s">
        <v>1257</v>
      </c>
      <c r="G24" s="22" t="s">
        <v>1335</v>
      </c>
      <c r="H24" s="164" t="s">
        <v>1258</v>
      </c>
      <c r="I24" s="164" t="s">
        <v>1206</v>
      </c>
      <c r="J24" s="164" t="s">
        <v>1207</v>
      </c>
      <c r="K24" s="164" t="s">
        <v>1208</v>
      </c>
    </row>
    <row r="25" spans="1:14" x14ac:dyDescent="0.3">
      <c r="B25" s="161" t="s">
        <v>1058</v>
      </c>
      <c r="C25" s="266">
        <v>1.0278587224814957</v>
      </c>
      <c r="D25" s="266">
        <v>33.139362091594002</v>
      </c>
      <c r="E25" s="266">
        <v>139.8265048595519</v>
      </c>
      <c r="F25" s="90">
        <f>SUMIF('Scenario sets'!$F$5:$F$221,'MSET pivots'!B25,'Scenario sets'!$C$5:$C$221)/1000</f>
        <v>4336.7866917030051</v>
      </c>
      <c r="G25" s="37">
        <f t="shared" ref="G25:G34" si="10">F25/$F$36</f>
        <v>3.7050690314042137E-2</v>
      </c>
      <c r="H25" s="233">
        <f>VLOOKUP(B25,'Baseline govt spend'!$A$7:$E$106,5,0)</f>
        <v>517.88839829367203</v>
      </c>
      <c r="I25" s="45">
        <f t="shared" ref="I25:I34" si="11">C25/$F25</f>
        <v>2.37009287186746E-4</v>
      </c>
      <c r="J25" s="45">
        <f t="shared" ref="J25:J34" si="12">D25/$F25</f>
        <v>7.6414554017598139E-3</v>
      </c>
      <c r="K25" s="45">
        <f t="shared" ref="K25:K34" si="13">E25/$F25</f>
        <v>3.2241960419004075E-2</v>
      </c>
      <c r="M25" s="162">
        <f t="shared" ref="M25:M35" si="14">E25</f>
        <v>139.8265048595519</v>
      </c>
      <c r="N25" s="162">
        <v>163.062123345266</v>
      </c>
    </row>
    <row r="26" spans="1:14" x14ac:dyDescent="0.3">
      <c r="B26" s="161" t="s">
        <v>1048</v>
      </c>
      <c r="C26" s="266">
        <v>1.0696463897289545</v>
      </c>
      <c r="D26" s="266">
        <v>34.486645142841851</v>
      </c>
      <c r="E26" s="266">
        <v>145.51116105757458</v>
      </c>
      <c r="F26" s="90">
        <f>SUMIF('Scenario sets'!$F$5:$F$221,'MSET pivots'!B26,'Scenario sets'!$C$5:$C$221)/1000</f>
        <v>3146.1833628570553</v>
      </c>
      <c r="G26" s="37">
        <f t="shared" si="10"/>
        <v>2.6878948340120789E-2</v>
      </c>
      <c r="H26" s="233">
        <f>VLOOKUP(B26,'Baseline govt spend'!$A$7:$E$106,5,0)</f>
        <v>332.35719137656804</v>
      </c>
      <c r="I26" s="45">
        <f t="shared" si="11"/>
        <v>3.3998221539052531E-4</v>
      </c>
      <c r="J26" s="45">
        <f t="shared" si="12"/>
        <v>1.0961422512743969E-2</v>
      </c>
      <c r="K26" s="45">
        <f t="shared" si="13"/>
        <v>4.6250057379184542E-2</v>
      </c>
      <c r="M26" s="162">
        <f t="shared" si="14"/>
        <v>145.51116105757458</v>
      </c>
      <c r="N26" s="162">
        <v>169.691425215241</v>
      </c>
    </row>
    <row r="27" spans="1:14" x14ac:dyDescent="0.3">
      <c r="B27" s="161" t="s">
        <v>1054</v>
      </c>
      <c r="C27" s="266">
        <v>-0.37844073367850262</v>
      </c>
      <c r="D27" s="266">
        <v>-12.201369924947219</v>
      </c>
      <c r="E27" s="266">
        <v>-51.481827151301154</v>
      </c>
      <c r="F27" s="90">
        <f>SUMIF('Scenario sets'!$F$5:$F$221,'MSET pivots'!B27,'Scenario sets'!$C$5:$C$221)/1000</f>
        <v>6497.7393474061164</v>
      </c>
      <c r="G27" s="37">
        <f t="shared" si="10"/>
        <v>5.5512467044481789E-2</v>
      </c>
      <c r="H27" s="233">
        <f>VLOOKUP(B27,'Baseline govt spend'!$A$7:$E$106,5,0)</f>
        <v>1382.397652093</v>
      </c>
      <c r="I27" s="165">
        <f t="shared" si="11"/>
        <v>-5.8241907445791178E-5</v>
      </c>
      <c r="J27" s="165">
        <f t="shared" si="12"/>
        <v>-1.8777869152012045E-3</v>
      </c>
      <c r="K27" s="165">
        <f t="shared" si="13"/>
        <v>-7.9230366745709161E-3</v>
      </c>
      <c r="M27" s="162">
        <f t="shared" si="14"/>
        <v>-51.481827151301154</v>
      </c>
      <c r="N27" s="162">
        <v>-60.036801015781698</v>
      </c>
    </row>
    <row r="28" spans="1:14" x14ac:dyDescent="0.3">
      <c r="B28" s="161" t="s">
        <v>1011</v>
      </c>
      <c r="C28" s="266">
        <v>-0.40904589849780987</v>
      </c>
      <c r="D28" s="266">
        <v>-13.188116076569433</v>
      </c>
      <c r="E28" s="266">
        <v>-55.645252662739864</v>
      </c>
      <c r="F28" s="90">
        <f>SUMIF('Scenario sets'!$F$5:$F$221,'MSET pivots'!B28,'Scenario sets'!$C$5:$C$221)/1000</f>
        <v>21823.093772843193</v>
      </c>
      <c r="G28" s="37">
        <f t="shared" si="10"/>
        <v>0.1864423469613633</v>
      </c>
      <c r="H28" s="233">
        <f>VLOOKUP(B28,'Baseline govt spend'!$A$7:$E$106,5,0)</f>
        <v>2901.34766627</v>
      </c>
      <c r="I28" s="165">
        <f t="shared" si="11"/>
        <v>-1.8743717217896456E-5</v>
      </c>
      <c r="J28" s="165">
        <f t="shared" si="12"/>
        <v>-6.0431926902045454E-4</v>
      </c>
      <c r="K28" s="165">
        <f t="shared" si="13"/>
        <v>-2.5498333665222661E-3</v>
      </c>
      <c r="M28" s="162">
        <f t="shared" si="14"/>
        <v>-55.645252662739864</v>
      </c>
      <c r="N28" s="162">
        <v>-64.892082244236605</v>
      </c>
    </row>
    <row r="29" spans="1:14" x14ac:dyDescent="0.3">
      <c r="B29" s="161" t="s">
        <v>1053</v>
      </c>
      <c r="C29" s="266">
        <v>-0.11361806739299189</v>
      </c>
      <c r="D29" s="266">
        <v>-3.6631787940596796</v>
      </c>
      <c r="E29" s="266">
        <v>-15.456226527031395</v>
      </c>
      <c r="F29" s="90">
        <f>SUMIF('Scenario sets'!$F$5:$F$221,'MSET pivots'!B29,'Scenario sets'!$C$5:$C$221)/1000</f>
        <v>3576.0074978719695</v>
      </c>
      <c r="G29" s="37">
        <f t="shared" si="10"/>
        <v>3.0551086733832045E-2</v>
      </c>
      <c r="H29" s="233">
        <f>VLOOKUP(B29,'Baseline govt spend'!$A$7:$E$106,5,0)</f>
        <v>387.88868414832598</v>
      </c>
      <c r="I29" s="165">
        <f t="shared" si="11"/>
        <v>-3.1772323592890778E-5</v>
      </c>
      <c r="J29" s="165">
        <f t="shared" si="12"/>
        <v>-1.0243767095677468E-3</v>
      </c>
      <c r="K29" s="165">
        <f t="shared" si="13"/>
        <v>-4.3222019350432498E-3</v>
      </c>
      <c r="M29" s="162">
        <f t="shared" si="14"/>
        <v>-15.456226527031395</v>
      </c>
      <c r="N29" s="162">
        <v>-18.024659337188606</v>
      </c>
    </row>
    <row r="30" spans="1:14" x14ac:dyDescent="0.3">
      <c r="B30" s="161" t="s">
        <v>1046</v>
      </c>
      <c r="C30" s="266">
        <v>-0.86497444340521734</v>
      </c>
      <c r="D30" s="266">
        <v>-27.887783265366537</v>
      </c>
      <c r="E30" s="266">
        <v>-117.66826565638769</v>
      </c>
      <c r="F30" s="90">
        <f>SUMIF('Scenario sets'!$F$5:$F$221,'MSET pivots'!B30,'Scenario sets'!$C$5:$C$221)/1000</f>
        <v>28695.139984499383</v>
      </c>
      <c r="G30" s="37">
        <f t="shared" si="10"/>
        <v>0.2451526488765991</v>
      </c>
      <c r="H30" s="233">
        <f>VLOOKUP(B30,'Baseline govt spend'!$A$7:$E$106,5,0)</f>
        <v>4055.44900560715</v>
      </c>
      <c r="I30" s="45">
        <f t="shared" si="11"/>
        <v>-3.0143586818968702E-5</v>
      </c>
      <c r="J30" s="45">
        <f t="shared" si="12"/>
        <v>-9.7186433941186669E-4</v>
      </c>
      <c r="K30" s="45">
        <f t="shared" si="13"/>
        <v>-4.1006339651923655E-3</v>
      </c>
      <c r="M30" s="162">
        <f t="shared" si="14"/>
        <v>-117.66826565638769</v>
      </c>
      <c r="N30" s="162">
        <v>-137.22174681801556</v>
      </c>
    </row>
    <row r="31" spans="1:14" x14ac:dyDescent="0.3">
      <c r="B31" s="161" t="s">
        <v>1052</v>
      </c>
      <c r="C31" s="266">
        <v>0.79324077793508307</v>
      </c>
      <c r="D31" s="266">
        <v>25.575006361131173</v>
      </c>
      <c r="E31" s="266">
        <v>107.90985479303687</v>
      </c>
      <c r="F31" s="90">
        <f>SUMIF('Scenario sets'!$F$5:$F$221,'MSET pivots'!B31,'Scenario sets'!$C$5:$C$221)/1000</f>
        <v>7196.9915993889936</v>
      </c>
      <c r="G31" s="37">
        <f t="shared" si="10"/>
        <v>6.1486424373114079E-2</v>
      </c>
      <c r="H31" s="233">
        <f>VLOOKUP(B31,'Baseline govt spend'!$A$7:$E$106,5,0)</f>
        <v>865.17577679605995</v>
      </c>
      <c r="I31" s="45">
        <f t="shared" si="11"/>
        <v>1.1021838319255885E-4</v>
      </c>
      <c r="J31" s="45">
        <f t="shared" si="12"/>
        <v>3.5535690167128203E-3</v>
      </c>
      <c r="K31" s="45">
        <f t="shared" si="13"/>
        <v>1.4993744719974127E-2</v>
      </c>
      <c r="M31" s="162">
        <f t="shared" si="14"/>
        <v>107.90985479303687</v>
      </c>
      <c r="N31" s="162">
        <v>125.841735585869</v>
      </c>
    </row>
    <row r="32" spans="1:14" x14ac:dyDescent="0.3">
      <c r="B32" s="161" t="s">
        <v>1056</v>
      </c>
      <c r="C32" s="266">
        <v>-4.5480615154337295E-2</v>
      </c>
      <c r="D32" s="266">
        <v>-1.4663479919782023</v>
      </c>
      <c r="E32" s="266">
        <v>-6.1870326308466526</v>
      </c>
      <c r="F32" s="90">
        <f>SUMIF('Scenario sets'!$F$5:$F$221,'MSET pivots'!B32,'Scenario sets'!$C$5:$C$221)/1000</f>
        <v>3693.1830487903535</v>
      </c>
      <c r="G32" s="37">
        <f t="shared" si="10"/>
        <v>3.1552158577591437E-2</v>
      </c>
      <c r="H32" s="233">
        <f>VLOOKUP(B32,'Baseline govt spend'!$A$7:$E$106,5,0)</f>
        <v>612.08869280490694</v>
      </c>
      <c r="I32" s="165">
        <f t="shared" si="11"/>
        <v>-1.2314747076843047E-5</v>
      </c>
      <c r="J32" s="165">
        <f t="shared" si="12"/>
        <v>-3.9704178552928278E-4</v>
      </c>
      <c r="K32" s="165">
        <f t="shared" si="13"/>
        <v>-1.6752575079843719E-3</v>
      </c>
      <c r="M32" s="162">
        <f t="shared" si="14"/>
        <v>-6.1870326308466526</v>
      </c>
      <c r="N32" s="162">
        <v>-7.2151605234333722</v>
      </c>
    </row>
    <row r="33" spans="1:14" x14ac:dyDescent="0.3">
      <c r="B33" s="161" t="s">
        <v>861</v>
      </c>
      <c r="C33" s="266">
        <v>-2.0382339152326652</v>
      </c>
      <c r="D33" s="266">
        <v>-65.715034826178282</v>
      </c>
      <c r="E33" s="266">
        <v>-277.27460809509722</v>
      </c>
      <c r="F33" s="90">
        <f>SUMIF('Scenario sets'!$F$5:$F$221,'MSET pivots'!B33,'Scenario sets'!$C$5:$C$221)/1000</f>
        <v>33089.599772425921</v>
      </c>
      <c r="G33" s="37">
        <f t="shared" si="10"/>
        <v>0.28269606068688596</v>
      </c>
      <c r="H33" s="233">
        <f>VLOOKUP(B33,'Baseline govt spend'!$A$7:$E$106,5,0)</f>
        <v>3442.6968966642198</v>
      </c>
      <c r="I33" s="165">
        <f t="shared" si="11"/>
        <v>-6.1597418199393192E-5</v>
      </c>
      <c r="J33" s="165">
        <f t="shared" si="12"/>
        <v>-1.9859724891849446E-3</v>
      </c>
      <c r="K33" s="165">
        <f t="shared" si="13"/>
        <v>-8.3795092718575125E-3</v>
      </c>
      <c r="M33" s="162">
        <f t="shared" si="14"/>
        <v>-277.27460809509722</v>
      </c>
      <c r="N33" s="162">
        <v>-323.35061504345759</v>
      </c>
    </row>
    <row r="34" spans="1:14" x14ac:dyDescent="0.3">
      <c r="B34" s="161" t="s">
        <v>1021</v>
      </c>
      <c r="C34" s="266">
        <v>0.98918175115828388</v>
      </c>
      <c r="D34" s="266">
        <v>31.892371499159555</v>
      </c>
      <c r="E34" s="266">
        <v>134.56501745822749</v>
      </c>
      <c r="F34" s="90">
        <f>SUMIF('Scenario sets'!$F$5:$F$221,'MSET pivots'!B34,'Scenario sets'!$C$5:$C$221)/1000</f>
        <v>4995.3664304786098</v>
      </c>
      <c r="G34" s="37">
        <f t="shared" si="10"/>
        <v>4.2677168091969413E-2</v>
      </c>
      <c r="H34" s="233">
        <f>VLOOKUP(B34,'Baseline govt spend'!$A$7:$E$106,5,0)</f>
        <v>382.91657135471098</v>
      </c>
      <c r="I34" s="45">
        <f t="shared" si="11"/>
        <v>1.9801985798737685E-4</v>
      </c>
      <c r="J34" s="45">
        <f t="shared" si="12"/>
        <v>6.384390803559915E-3</v>
      </c>
      <c r="K34" s="45">
        <f t="shared" si="13"/>
        <v>2.6937967280477301E-2</v>
      </c>
      <c r="M34" s="162">
        <f t="shared" si="14"/>
        <v>134.56501745822749</v>
      </c>
      <c r="N34" s="162">
        <v>156.92631019255899</v>
      </c>
    </row>
    <row r="35" spans="1:14" x14ac:dyDescent="0.3">
      <c r="B35" s="161" t="s">
        <v>1201</v>
      </c>
      <c r="C35" s="266">
        <v>-9.7644761168312694E-5</v>
      </c>
      <c r="D35" s="266">
        <v>-3.1481808014351765E-3</v>
      </c>
      <c r="E35" s="266">
        <v>-1.3283270719392733E-2</v>
      </c>
      <c r="F35" s="90"/>
      <c r="G35" s="37"/>
      <c r="H35" s="233"/>
      <c r="M35" s="162">
        <f t="shared" si="14"/>
        <v>-1.3283270719392733E-2</v>
      </c>
      <c r="N35" s="162">
        <v>-1.5490613390142372E-2</v>
      </c>
    </row>
    <row r="36" spans="1:14" x14ac:dyDescent="0.3">
      <c r="B36" s="161" t="s">
        <v>1202</v>
      </c>
      <c r="C36" s="266">
        <v>3.0036323181124858E-2</v>
      </c>
      <c r="D36" s="266">
        <v>0.96840603482580467</v>
      </c>
      <c r="E36" s="266">
        <v>4.0860421742675097</v>
      </c>
      <c r="F36" s="90">
        <f>SUM(F25:F35)</f>
        <v>117050.0915082646</v>
      </c>
      <c r="H36" s="90">
        <f>SUM(H25:H34)</f>
        <v>14880.206535408617</v>
      </c>
    </row>
    <row r="37" spans="1:14" x14ac:dyDescent="0.3">
      <c r="B37" s="267" t="s">
        <v>1304</v>
      </c>
      <c r="C37" s="266">
        <f>SUM(C25,C26,C31,C34)</f>
        <v>3.8799276413038171</v>
      </c>
      <c r="D37" s="266">
        <f t="shared" ref="D37:E37" si="15">SUM(D25,D26,D31,D34)</f>
        <v>125.09338509472659</v>
      </c>
      <c r="E37" s="266">
        <f t="shared" si="15"/>
        <v>527.8125381683908</v>
      </c>
    </row>
    <row r="38" spans="1:14" x14ac:dyDescent="0.3">
      <c r="B38" s="267" t="s">
        <v>1305</v>
      </c>
      <c r="C38" s="266">
        <f>SUM(C27,C28,C29,C30,C32,C33)</f>
        <v>-3.8497936733615239</v>
      </c>
      <c r="D38" s="266">
        <f t="shared" ref="D38:E38" si="16">SUM(D27,D28,D29,D30,D32,D33)</f>
        <v>-124.12183087909935</v>
      </c>
      <c r="E38" s="266">
        <f t="shared" si="16"/>
        <v>-523.71321272340401</v>
      </c>
    </row>
    <row r="39" spans="1:14" x14ac:dyDescent="0.3">
      <c r="C39" s="44"/>
      <c r="D39" s="44"/>
      <c r="E39" s="44"/>
    </row>
    <row r="40" spans="1:14" x14ac:dyDescent="0.3">
      <c r="A40" s="234"/>
      <c r="B40" s="235" t="s">
        <v>1213</v>
      </c>
      <c r="C40" s="234"/>
      <c r="D40" s="234"/>
      <c r="E40" s="234"/>
    </row>
    <row r="42" spans="1:14" ht="115.2" x14ac:dyDescent="0.3">
      <c r="B42" s="164" t="s">
        <v>1200</v>
      </c>
      <c r="C42" s="277" t="s">
        <v>1210</v>
      </c>
      <c r="D42" s="276" t="s">
        <v>1211</v>
      </c>
      <c r="E42" s="276" t="s">
        <v>1212</v>
      </c>
      <c r="F42" s="164" t="s">
        <v>1257</v>
      </c>
      <c r="G42" s="22" t="s">
        <v>1335</v>
      </c>
      <c r="H42" s="164" t="s">
        <v>1258</v>
      </c>
      <c r="I42" s="164" t="s">
        <v>1206</v>
      </c>
      <c r="J42" s="164" t="s">
        <v>1207</v>
      </c>
      <c r="K42" s="164" t="s">
        <v>1208</v>
      </c>
    </row>
    <row r="43" spans="1:14" x14ac:dyDescent="0.3">
      <c r="A43" t="s">
        <v>1220</v>
      </c>
      <c r="B43" s="267" t="s">
        <v>1058</v>
      </c>
      <c r="C43" s="266">
        <v>3.8743388667839929</v>
      </c>
      <c r="D43" s="266">
        <v>124.9131964964204</v>
      </c>
      <c r="E43" s="266">
        <v>527.05225974640268</v>
      </c>
      <c r="F43" s="90">
        <f>SUMIF('Scenario sets'!$F$5:$F$221,'MSET pivots'!B43,'Scenario sets'!$C$5:$C$221)/1000</f>
        <v>4336.7866917030051</v>
      </c>
      <c r="G43" s="37">
        <f t="shared" ref="G43:G52" si="17">F43/$F$54</f>
        <v>3.7050690314042137E-2</v>
      </c>
      <c r="H43" s="233">
        <f>VLOOKUP(B43,'Baseline govt spend'!$A$7:$E$106,5,0)</f>
        <v>517.88839829367203</v>
      </c>
      <c r="I43" s="45">
        <f t="shared" ref="I43:I52" si="18">C43/$F43</f>
        <v>8.9336625068423307E-4</v>
      </c>
      <c r="J43" s="45">
        <f t="shared" ref="J43:J52" si="19">D43/$F43</f>
        <v>2.8803168192569891E-2</v>
      </c>
      <c r="K43" s="45">
        <f t="shared" ref="K43:K52" si="20">E43/$F43</f>
        <v>0.12153059332033586</v>
      </c>
    </row>
    <row r="44" spans="1:14" x14ac:dyDescent="0.3">
      <c r="A44" t="s">
        <v>1126</v>
      </c>
      <c r="B44" s="267" t="s">
        <v>1048</v>
      </c>
      <c r="C44" s="266">
        <v>2.8250000585878818</v>
      </c>
      <c r="D44" s="266">
        <v>91.08129142913748</v>
      </c>
      <c r="E44" s="266">
        <v>384.3036749902019</v>
      </c>
      <c r="F44" s="90">
        <f>SUMIF('Scenario sets'!$F$5:$F$221,'MSET pivots'!B44,'Scenario sets'!$C$5:$C$221)/1000</f>
        <v>3146.1833628570553</v>
      </c>
      <c r="G44" s="37">
        <f t="shared" si="17"/>
        <v>2.6878948340120789E-2</v>
      </c>
      <c r="H44" s="233">
        <f>VLOOKUP(B44,'Baseline govt spend'!$A$7:$E$106,5,0)</f>
        <v>332.35719137656804</v>
      </c>
      <c r="I44" s="45">
        <f t="shared" si="18"/>
        <v>8.9791335493634222E-4</v>
      </c>
      <c r="J44" s="45">
        <f t="shared" si="19"/>
        <v>2.8949772128483441E-2</v>
      </c>
      <c r="K44" s="45">
        <f t="shared" si="20"/>
        <v>0.12214916636048033</v>
      </c>
    </row>
    <row r="45" spans="1:14" x14ac:dyDescent="0.3">
      <c r="A45" t="s">
        <v>1214</v>
      </c>
      <c r="B45" s="267" t="s">
        <v>1054</v>
      </c>
      <c r="C45" s="266">
        <v>-3.4325738236057339</v>
      </c>
      <c r="D45" s="266">
        <v>-110.67017709590492</v>
      </c>
      <c r="E45" s="266">
        <v>-466.95600273588991</v>
      </c>
      <c r="F45" s="90">
        <f>SUMIF('Scenario sets'!$F$5:$F$221,'MSET pivots'!B45,'Scenario sets'!$C$5:$C$221)/1000</f>
        <v>6497.7393474061164</v>
      </c>
      <c r="G45" s="37">
        <f t="shared" si="17"/>
        <v>5.5512467044481789E-2</v>
      </c>
      <c r="H45" s="233">
        <f>VLOOKUP(B45,'Baseline govt spend'!$A$7:$E$106,5,0)</f>
        <v>1382.397652093</v>
      </c>
      <c r="I45" s="165">
        <f t="shared" si="18"/>
        <v>-5.2827200970688524E-4</v>
      </c>
      <c r="J45" s="165">
        <f t="shared" si="19"/>
        <v>-1.7032104733484609E-2</v>
      </c>
      <c r="K45" s="165">
        <f t="shared" si="20"/>
        <v>-7.1864378943162402E-2</v>
      </c>
    </row>
    <row r="46" spans="1:14" x14ac:dyDescent="0.3">
      <c r="A46" t="s">
        <v>1221</v>
      </c>
      <c r="B46" s="267" t="s">
        <v>1011</v>
      </c>
      <c r="C46" s="266">
        <v>14.652760397514747</v>
      </c>
      <c r="D46" s="266">
        <v>472.42205746164859</v>
      </c>
      <c r="E46" s="266">
        <v>1993.3131160112628</v>
      </c>
      <c r="F46" s="90">
        <f>SUMIF('Scenario sets'!$F$5:$F$221,'MSET pivots'!B46,'Scenario sets'!$C$5:$C$221)/1000</f>
        <v>21823.093772843193</v>
      </c>
      <c r="G46" s="37">
        <f t="shared" si="17"/>
        <v>0.1864423469613633</v>
      </c>
      <c r="H46" s="233">
        <f>VLOOKUP(B46,'Baseline govt spend'!$A$7:$E$106,5,0)</f>
        <v>2901.34766627</v>
      </c>
      <c r="I46" s="45">
        <f t="shared" si="18"/>
        <v>6.7143369084308026E-4</v>
      </c>
      <c r="J46" s="45">
        <f t="shared" si="19"/>
        <v>2.1647804036361417E-2</v>
      </c>
      <c r="K46" s="45">
        <f t="shared" si="20"/>
        <v>9.1339621080295919E-2</v>
      </c>
    </row>
    <row r="47" spans="1:14" x14ac:dyDescent="0.3">
      <c r="A47" t="s">
        <v>1215</v>
      </c>
      <c r="B47" s="267" t="s">
        <v>1053</v>
      </c>
      <c r="C47" s="266">
        <v>-1.0893492393090183</v>
      </c>
      <c r="D47" s="266">
        <v>-35.121887956069713</v>
      </c>
      <c r="E47" s="266">
        <v>-148.19147162195119</v>
      </c>
      <c r="F47" s="90">
        <f>SUMIF('Scenario sets'!$F$5:$F$221,'MSET pivots'!B47,'Scenario sets'!$C$5:$C$221)/1000</f>
        <v>3576.0074978719695</v>
      </c>
      <c r="G47" s="37">
        <f t="shared" si="17"/>
        <v>3.0551086733832045E-2</v>
      </c>
      <c r="H47" s="233">
        <f>VLOOKUP(B47,'Baseline govt spend'!$A$7:$E$106,5,0)</f>
        <v>387.88868414832598</v>
      </c>
      <c r="I47" s="165">
        <f t="shared" si="18"/>
        <v>-3.0462722462334723E-4</v>
      </c>
      <c r="J47" s="165">
        <f t="shared" si="19"/>
        <v>-9.8215364416797905E-3</v>
      </c>
      <c r="K47" s="165">
        <f t="shared" si="20"/>
        <v>-4.1440481237843545E-2</v>
      </c>
    </row>
    <row r="48" spans="1:14" x14ac:dyDescent="0.3">
      <c r="A48" t="s">
        <v>541</v>
      </c>
      <c r="B48" s="267" t="s">
        <v>1046</v>
      </c>
      <c r="C48" s="266">
        <v>-8.0537236255812861</v>
      </c>
      <c r="D48" s="266">
        <v>-259.66142775868531</v>
      </c>
      <c r="E48" s="266">
        <v>-1095.6019548592224</v>
      </c>
      <c r="F48" s="90">
        <f>SUMIF('Scenario sets'!$F$5:$F$221,'MSET pivots'!B48,'Scenario sets'!$C$5:$C$221)/1000</f>
        <v>28695.139984499383</v>
      </c>
      <c r="G48" s="37">
        <f t="shared" si="17"/>
        <v>0.2451526488765991</v>
      </c>
      <c r="H48" s="233">
        <f>VLOOKUP(B48,'Baseline govt spend'!$A$7:$E$106,5,0)</f>
        <v>4055.44900560715</v>
      </c>
      <c r="I48" s="165">
        <f t="shared" si="18"/>
        <v>-2.8066507533790625E-4</v>
      </c>
      <c r="J48" s="165">
        <f t="shared" si="19"/>
        <v>-9.0489688462558442E-3</v>
      </c>
      <c r="K48" s="165">
        <f t="shared" si="20"/>
        <v>-3.8180749613037177E-2</v>
      </c>
    </row>
    <row r="49" spans="1:19" x14ac:dyDescent="0.3">
      <c r="A49" t="s">
        <v>1216</v>
      </c>
      <c r="B49" s="267" t="s">
        <v>1052</v>
      </c>
      <c r="C49" s="266">
        <v>3.5572192310634416</v>
      </c>
      <c r="D49" s="266">
        <v>114.68889017431599</v>
      </c>
      <c r="E49" s="266">
        <v>483.91235217419535</v>
      </c>
      <c r="F49" s="90">
        <f>SUMIF('Scenario sets'!$F$5:$F$221,'MSET pivots'!B49,'Scenario sets'!$C$5:$C$221)/1000</f>
        <v>7196.9915993889936</v>
      </c>
      <c r="G49" s="37">
        <f t="shared" si="17"/>
        <v>6.1486424373114079E-2</v>
      </c>
      <c r="H49" s="233">
        <f>VLOOKUP(B49,'Baseline govt spend'!$A$7:$E$106,5,0)</f>
        <v>865.17577679605995</v>
      </c>
      <c r="I49" s="45">
        <f t="shared" si="18"/>
        <v>4.9426474686526528E-4</v>
      </c>
      <c r="J49" s="45">
        <f t="shared" si="19"/>
        <v>1.5935670980087399E-2</v>
      </c>
      <c r="K49" s="45">
        <f t="shared" si="20"/>
        <v>6.7238143256312582E-2</v>
      </c>
    </row>
    <row r="50" spans="1:19" x14ac:dyDescent="0.3">
      <c r="A50" t="s">
        <v>1217</v>
      </c>
      <c r="B50" s="267" t="s">
        <v>1056</v>
      </c>
      <c r="C50" s="266">
        <v>1.765155559928983</v>
      </c>
      <c r="D50" s="266">
        <v>56.910670668098561</v>
      </c>
      <c r="E50" s="266">
        <v>240.12593081119522</v>
      </c>
      <c r="F50" s="90">
        <f>SUMIF('Scenario sets'!$F$5:$F$221,'MSET pivots'!B50,'Scenario sets'!$C$5:$C$221)/1000</f>
        <v>3693.1830487903535</v>
      </c>
      <c r="G50" s="37">
        <f t="shared" si="17"/>
        <v>3.1552158577591437E-2</v>
      </c>
      <c r="H50" s="233">
        <f>VLOOKUP(B50,'Baseline govt spend'!$A$7:$E$106,5,0)</f>
        <v>612.08869280490694</v>
      </c>
      <c r="I50" s="45">
        <f t="shared" si="18"/>
        <v>4.7794965389195455E-4</v>
      </c>
      <c r="J50" s="45">
        <f t="shared" si="19"/>
        <v>1.5409653384697191E-2</v>
      </c>
      <c r="K50" s="45">
        <f t="shared" si="20"/>
        <v>6.5018691908554291E-2</v>
      </c>
    </row>
    <row r="51" spans="1:19" x14ac:dyDescent="0.3">
      <c r="A51" t="s">
        <v>1218</v>
      </c>
      <c r="B51" s="267" t="s">
        <v>861</v>
      </c>
      <c r="C51" s="266">
        <v>-18.487408360635744</v>
      </c>
      <c r="D51" s="266">
        <v>-596.05557300633768</v>
      </c>
      <c r="E51" s="266">
        <v>-2514.9659563505734</v>
      </c>
      <c r="F51" s="90">
        <f>SUMIF('Scenario sets'!$F$5:$F$221,'MSET pivots'!B51,'Scenario sets'!$C$5:$C$221)/1000</f>
        <v>33089.599772425921</v>
      </c>
      <c r="G51" s="37">
        <f t="shared" si="17"/>
        <v>0.28269606068688596</v>
      </c>
      <c r="H51" s="233">
        <f>VLOOKUP(B51,'Baseline govt spend'!$A$7:$E$106,5,0)</f>
        <v>3442.6968966642198</v>
      </c>
      <c r="I51" s="165">
        <f t="shared" si="18"/>
        <v>-5.5870752404934155E-4</v>
      </c>
      <c r="J51" s="165">
        <f t="shared" si="19"/>
        <v>-1.8013381156185518E-2</v>
      </c>
      <c r="K51" s="165">
        <f t="shared" si="20"/>
        <v>-7.6004725764206235E-2</v>
      </c>
    </row>
    <row r="52" spans="1:19" x14ac:dyDescent="0.3">
      <c r="A52" t="s">
        <v>1219</v>
      </c>
      <c r="B52" s="267" t="s">
        <v>1021</v>
      </c>
      <c r="C52" s="266">
        <v>4.7544776018362862</v>
      </c>
      <c r="D52" s="266">
        <v>153.2898941823814</v>
      </c>
      <c r="E52" s="266">
        <v>646.78342554004121</v>
      </c>
      <c r="F52" s="90">
        <f>SUMIF('Scenario sets'!$F$5:$F$221,'MSET pivots'!B52,'Scenario sets'!$C$5:$C$221)/1000</f>
        <v>4995.3664304786098</v>
      </c>
      <c r="G52" s="37">
        <f t="shared" si="17"/>
        <v>4.2677168091969413E-2</v>
      </c>
      <c r="H52" s="233">
        <f>VLOOKUP(B52,'Baseline govt spend'!$A$7:$E$106,5,0)</f>
        <v>382.91657135471098</v>
      </c>
      <c r="I52" s="45">
        <f t="shared" si="18"/>
        <v>9.5177754585277867E-4</v>
      </c>
      <c r="J52" s="45">
        <f t="shared" si="19"/>
        <v>3.0686416365194372E-2</v>
      </c>
      <c r="K52" s="45">
        <f t="shared" si="20"/>
        <v>0.12947667294110243</v>
      </c>
    </row>
    <row r="53" spans="1:19" x14ac:dyDescent="0.3">
      <c r="B53" s="267" t="s">
        <v>1201</v>
      </c>
      <c r="C53" s="266">
        <v>-8.8566800920358575E-4</v>
      </c>
      <c r="D53" s="266">
        <v>-2.8554967923101148E-2</v>
      </c>
      <c r="E53" s="266">
        <v>-0.12048334998206357</v>
      </c>
      <c r="F53" s="90"/>
      <c r="G53" s="37"/>
      <c r="H53" s="233"/>
    </row>
    <row r="54" spans="1:19" x14ac:dyDescent="0.3">
      <c r="B54" s="267" t="s">
        <v>1202</v>
      </c>
      <c r="C54" s="266">
        <v>0.36501099857434588</v>
      </c>
      <c r="D54" s="266">
        <v>11.768379627081684</v>
      </c>
      <c r="E54" s="266">
        <v>49.654890355680493</v>
      </c>
      <c r="F54" s="90">
        <f>SUM(F43:F53)</f>
        <v>117050.0915082646</v>
      </c>
      <c r="H54" s="90">
        <f>SUM(H43:H52)</f>
        <v>14880.206535408617</v>
      </c>
    </row>
    <row r="55" spans="1:19" x14ac:dyDescent="0.3">
      <c r="B55" s="267" t="s">
        <v>1304</v>
      </c>
      <c r="C55" s="266">
        <f>SUM(C43,C44,C46,C49,C50,C52)</f>
        <v>31.428951715715332</v>
      </c>
      <c r="D55" s="266">
        <f t="shared" ref="D55:E55" si="21">SUM(D43,D44,D46,D49,D50,D52)</f>
        <v>1013.3060004120024</v>
      </c>
      <c r="E55" s="266">
        <f t="shared" si="21"/>
        <v>4275.4907592732998</v>
      </c>
      <c r="F55" s="266"/>
      <c r="G55" s="266"/>
      <c r="H55" s="266"/>
    </row>
    <row r="56" spans="1:19" x14ac:dyDescent="0.3">
      <c r="B56" s="267" t="s">
        <v>1305</v>
      </c>
      <c r="C56" s="266">
        <f>SUM(C45,C47,C48,C51)</f>
        <v>-31.063055049131783</v>
      </c>
      <c r="D56" s="266">
        <f t="shared" ref="D56:E56" si="22">SUM(D45,D47,D48,D51)</f>
        <v>-1001.5090658169977</v>
      </c>
      <c r="E56" s="266">
        <f t="shared" si="22"/>
        <v>-4225.715385567637</v>
      </c>
      <c r="F56" s="266"/>
      <c r="G56" s="266"/>
      <c r="H56" s="266"/>
    </row>
    <row r="57" spans="1:19" x14ac:dyDescent="0.3">
      <c r="B57" s="183" t="s">
        <v>1278</v>
      </c>
    </row>
    <row r="61" spans="1:19" x14ac:dyDescent="0.3">
      <c r="A61" s="235"/>
      <c r="B61" s="235" t="s">
        <v>1336</v>
      </c>
      <c r="C61" s="235"/>
      <c r="D61" s="235"/>
      <c r="E61" s="235"/>
      <c r="F61" s="235"/>
      <c r="G61" s="235"/>
      <c r="H61" s="235"/>
      <c r="I61" s="235"/>
      <c r="J61" s="235"/>
      <c r="K61" s="235"/>
      <c r="L61" s="235"/>
      <c r="M61" s="235"/>
      <c r="N61" s="235"/>
      <c r="O61" s="235"/>
      <c r="P61" s="235"/>
      <c r="Q61" s="235"/>
      <c r="R61" s="235"/>
      <c r="S61" s="235"/>
    </row>
    <row r="62" spans="1:19" x14ac:dyDescent="0.3">
      <c r="C62" s="18" t="s">
        <v>1359</v>
      </c>
      <c r="D62">
        <v>2030</v>
      </c>
      <c r="E62">
        <v>2031</v>
      </c>
      <c r="F62">
        <v>2032</v>
      </c>
      <c r="G62">
        <v>2033</v>
      </c>
      <c r="H62">
        <v>2034</v>
      </c>
      <c r="I62">
        <v>2035</v>
      </c>
      <c r="J62">
        <v>2036</v>
      </c>
      <c r="K62">
        <v>2037</v>
      </c>
      <c r="L62">
        <v>2038</v>
      </c>
      <c r="M62">
        <v>2039</v>
      </c>
      <c r="N62">
        <v>2040</v>
      </c>
      <c r="O62">
        <v>2041</v>
      </c>
      <c r="P62">
        <v>2042</v>
      </c>
      <c r="Q62">
        <v>2043</v>
      </c>
      <c r="R62">
        <v>2044</v>
      </c>
      <c r="S62">
        <v>2045</v>
      </c>
    </row>
    <row r="63" spans="1:19" x14ac:dyDescent="0.3">
      <c r="B63" t="s">
        <v>1306</v>
      </c>
      <c r="C63" s="18">
        <f>SUM(E63:S63)</f>
        <v>0.99999999999999989</v>
      </c>
      <c r="E63">
        <f>1/15</f>
        <v>6.6666666666666666E-2</v>
      </c>
      <c r="F63">
        <f t="shared" ref="F63:S63" si="23">1/15</f>
        <v>6.6666666666666666E-2</v>
      </c>
      <c r="G63">
        <f t="shared" si="23"/>
        <v>6.6666666666666666E-2</v>
      </c>
      <c r="H63">
        <f t="shared" si="23"/>
        <v>6.6666666666666666E-2</v>
      </c>
      <c r="I63">
        <f t="shared" si="23"/>
        <v>6.6666666666666666E-2</v>
      </c>
      <c r="J63">
        <f t="shared" si="23"/>
        <v>6.6666666666666666E-2</v>
      </c>
      <c r="K63">
        <f t="shared" si="23"/>
        <v>6.6666666666666666E-2</v>
      </c>
      <c r="L63">
        <f t="shared" si="23"/>
        <v>6.6666666666666666E-2</v>
      </c>
      <c r="M63">
        <f t="shared" si="23"/>
        <v>6.6666666666666666E-2</v>
      </c>
      <c r="N63">
        <f t="shared" si="23"/>
        <v>6.6666666666666666E-2</v>
      </c>
      <c r="O63">
        <f t="shared" si="23"/>
        <v>6.6666666666666666E-2</v>
      </c>
      <c r="P63">
        <f t="shared" si="23"/>
        <v>6.6666666666666666E-2</v>
      </c>
      <c r="Q63">
        <f t="shared" si="23"/>
        <v>6.6666666666666666E-2</v>
      </c>
      <c r="R63">
        <f t="shared" si="23"/>
        <v>6.6666666666666666E-2</v>
      </c>
      <c r="S63">
        <f t="shared" si="23"/>
        <v>6.6666666666666666E-2</v>
      </c>
    </row>
    <row r="64" spans="1:19" x14ac:dyDescent="0.3">
      <c r="B64" t="s">
        <v>1307</v>
      </c>
      <c r="C64" s="18">
        <f>SUM(E64:S64)</f>
        <v>1</v>
      </c>
      <c r="D64">
        <v>0</v>
      </c>
      <c r="E64" s="31">
        <f>(H64/4)</f>
        <v>2.0833333333333332E-2</v>
      </c>
      <c r="F64" s="31">
        <f>E64+E64</f>
        <v>4.1666666666666664E-2</v>
      </c>
      <c r="G64" s="31">
        <f>E64+F64</f>
        <v>6.25E-2</v>
      </c>
      <c r="H64">
        <f>(1/12)</f>
        <v>8.3333333333333329E-2</v>
      </c>
      <c r="I64">
        <f t="shared" ref="I64:P64" si="24">(1/12)</f>
        <v>8.3333333333333329E-2</v>
      </c>
      <c r="J64">
        <f t="shared" si="24"/>
        <v>8.3333333333333329E-2</v>
      </c>
      <c r="K64">
        <f t="shared" si="24"/>
        <v>8.3333333333333329E-2</v>
      </c>
      <c r="L64">
        <f t="shared" si="24"/>
        <v>8.3333333333333329E-2</v>
      </c>
      <c r="M64">
        <f t="shared" si="24"/>
        <v>8.3333333333333329E-2</v>
      </c>
      <c r="N64">
        <f t="shared" si="24"/>
        <v>8.3333333333333329E-2</v>
      </c>
      <c r="O64">
        <f t="shared" si="24"/>
        <v>8.3333333333333329E-2</v>
      </c>
      <c r="P64">
        <f t="shared" si="24"/>
        <v>8.3333333333333329E-2</v>
      </c>
      <c r="Q64" s="31">
        <f>G64</f>
        <v>6.25E-2</v>
      </c>
      <c r="R64" s="31">
        <f>F64</f>
        <v>4.1666666666666664E-2</v>
      </c>
      <c r="S64" s="31">
        <f>E64</f>
        <v>2.0833333333333332E-2</v>
      </c>
    </row>
    <row r="65" spans="2:19" x14ac:dyDescent="0.3">
      <c r="B65" t="s">
        <v>1308</v>
      </c>
      <c r="C65" s="18">
        <f>SUM(E65:S65)</f>
        <v>1.0000049999999998</v>
      </c>
      <c r="E65" s="18">
        <v>3.3334000000000003E-2</v>
      </c>
      <c r="F65" s="18">
        <f t="shared" ref="F65:R65" si="25">(($S$65-$E$65)/($S$62-$E$62))+E65</f>
        <v>3.8095857142857147E-2</v>
      </c>
      <c r="G65" s="18">
        <f t="shared" si="25"/>
        <v>4.2857714285714291E-2</v>
      </c>
      <c r="H65" s="18">
        <f t="shared" si="25"/>
        <v>4.7619571428571435E-2</v>
      </c>
      <c r="I65" s="18">
        <f t="shared" si="25"/>
        <v>5.2381428571428579E-2</v>
      </c>
      <c r="J65" s="18">
        <f t="shared" si="25"/>
        <v>5.7143285714285723E-2</v>
      </c>
      <c r="K65" s="18">
        <f t="shared" si="25"/>
        <v>6.1905142857142867E-2</v>
      </c>
      <c r="L65" s="18">
        <f t="shared" si="25"/>
        <v>6.6667000000000004E-2</v>
      </c>
      <c r="M65" s="18">
        <f t="shared" si="25"/>
        <v>7.1428857142857141E-2</v>
      </c>
      <c r="N65" s="18">
        <f t="shared" si="25"/>
        <v>7.6190714285714278E-2</v>
      </c>
      <c r="O65" s="18">
        <f t="shared" si="25"/>
        <v>8.0952571428571415E-2</v>
      </c>
      <c r="P65" s="18">
        <f t="shared" si="25"/>
        <v>8.5714428571428553E-2</v>
      </c>
      <c r="Q65" s="18">
        <f t="shared" si="25"/>
        <v>9.047628571428569E-2</v>
      </c>
      <c r="R65" s="18">
        <f t="shared" si="25"/>
        <v>9.5238142857142827E-2</v>
      </c>
      <c r="S65" s="18">
        <v>0.1</v>
      </c>
    </row>
    <row r="145" ht="39" customHeight="1" x14ac:dyDescent="0.3"/>
    <row r="146" ht="39" customHeight="1" x14ac:dyDescent="0.3"/>
    <row r="147" ht="39" customHeight="1" x14ac:dyDescent="0.3"/>
    <row r="148" ht="39" customHeight="1" x14ac:dyDescent="0.3"/>
    <row r="149" ht="39" customHeight="1" x14ac:dyDescent="0.3"/>
    <row r="150" ht="39" customHeight="1" x14ac:dyDescent="0.3"/>
    <row r="151" ht="39" customHeight="1" x14ac:dyDescent="0.3"/>
    <row r="152" ht="39" customHeight="1" x14ac:dyDescent="0.3"/>
    <row r="153" ht="39" customHeight="1" x14ac:dyDescent="0.3"/>
    <row r="154" ht="39" customHeight="1" x14ac:dyDescent="0.3"/>
    <row r="155" ht="39" customHeight="1" x14ac:dyDescent="0.3"/>
    <row r="156" ht="39" customHeight="1" x14ac:dyDescent="0.3"/>
    <row r="157" ht="39" customHeight="1" x14ac:dyDescent="0.3"/>
    <row r="158" ht="39" customHeight="1" x14ac:dyDescent="0.3"/>
  </sheetData>
  <pageMargins left="0.7" right="0.7" top="0.75" bottom="0.75" header="0.3" footer="0.3"/>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AF31F-1E36-4D1A-8B70-B6F461D0C683}">
  <sheetPr filterMode="1">
    <tabColor theme="7" tint="0.79998168889431442"/>
  </sheetPr>
  <dimension ref="A1:R116"/>
  <sheetViews>
    <sheetView workbookViewId="0">
      <selection activeCell="C73" sqref="C73"/>
    </sheetView>
  </sheetViews>
  <sheetFormatPr defaultRowHeight="14.4" x14ac:dyDescent="0.3"/>
  <cols>
    <col min="3" max="3" width="45.6640625" customWidth="1"/>
    <col min="4" max="4" width="32.109375" customWidth="1"/>
    <col min="5" max="5" width="20" customWidth="1"/>
    <col min="8" max="8" width="17.21875" customWidth="1"/>
  </cols>
  <sheetData>
    <row r="1" spans="1:14" x14ac:dyDescent="0.3">
      <c r="C1" s="22" t="s">
        <v>1271</v>
      </c>
      <c r="D1" s="22" t="s">
        <v>1288</v>
      </c>
    </row>
    <row r="2" spans="1:14" x14ac:dyDescent="0.3">
      <c r="G2" t="s">
        <v>1299</v>
      </c>
      <c r="K2" t="s">
        <v>1300</v>
      </c>
    </row>
    <row r="3" spans="1:14" x14ac:dyDescent="0.3">
      <c r="B3" t="s">
        <v>1259</v>
      </c>
      <c r="C3" t="s">
        <v>1260</v>
      </c>
      <c r="D3" t="s">
        <v>1272</v>
      </c>
      <c r="E3" t="s">
        <v>1273</v>
      </c>
      <c r="G3" t="s">
        <v>1297</v>
      </c>
      <c r="H3" t="s">
        <v>1298</v>
      </c>
      <c r="I3" t="s">
        <v>1301</v>
      </c>
      <c r="K3" t="s">
        <v>1297</v>
      </c>
      <c r="L3" t="s">
        <v>1298</v>
      </c>
      <c r="M3" t="s">
        <v>1301</v>
      </c>
    </row>
    <row r="4" spans="1:14" hidden="1" x14ac:dyDescent="0.3">
      <c r="B4">
        <v>2016</v>
      </c>
      <c r="C4" t="s">
        <v>1261</v>
      </c>
      <c r="D4">
        <v>0</v>
      </c>
    </row>
    <row r="5" spans="1:14" hidden="1" x14ac:dyDescent="0.3">
      <c r="B5">
        <v>2017</v>
      </c>
      <c r="C5" t="s">
        <v>1261</v>
      </c>
      <c r="D5">
        <v>0</v>
      </c>
    </row>
    <row r="6" spans="1:14" hidden="1" x14ac:dyDescent="0.3">
      <c r="B6">
        <v>2018</v>
      </c>
      <c r="C6" t="s">
        <v>1261</v>
      </c>
      <c r="D6">
        <v>332357191.37656802</v>
      </c>
    </row>
    <row r="7" spans="1:14" x14ac:dyDescent="0.3">
      <c r="A7" t="s">
        <v>1048</v>
      </c>
      <c r="B7">
        <v>2019</v>
      </c>
      <c r="C7" t="s">
        <v>1261</v>
      </c>
      <c r="D7" s="90">
        <v>332357191.37656802</v>
      </c>
      <c r="E7" s="148">
        <f>D7/1000000</f>
        <v>332.35719137656804</v>
      </c>
      <c r="G7" s="150">
        <f>VLOOKUP(A7,'MSET pivots'!$B$25:$E$35,3, FALSE)</f>
        <v>34.486645142841851</v>
      </c>
      <c r="H7" s="196">
        <f>G7/E7</f>
        <v>0.10376380002491874</v>
      </c>
      <c r="I7" s="45">
        <f>H7/15</f>
        <v>6.9175866683279155E-3</v>
      </c>
      <c r="K7">
        <f>VLOOKUP(A7,'MSET pivots'!$B$43:$E$52,4, FALSE)</f>
        <v>384.3036749902019</v>
      </c>
      <c r="L7" s="37">
        <f>K7/E7</f>
        <v>1.1562971554744466</v>
      </c>
      <c r="M7" s="45">
        <f>L7/15</f>
        <v>7.7086477031629769E-2</v>
      </c>
      <c r="N7" s="149">
        <f>M7*E7</f>
        <v>25.620244999346792</v>
      </c>
    </row>
    <row r="8" spans="1:14" hidden="1" x14ac:dyDescent="0.3">
      <c r="B8">
        <v>2020</v>
      </c>
      <c r="C8" t="s">
        <v>1261</v>
      </c>
      <c r="D8">
        <v>315744764.70279902</v>
      </c>
    </row>
    <row r="9" spans="1:14" hidden="1" x14ac:dyDescent="0.3">
      <c r="B9">
        <v>2021</v>
      </c>
      <c r="C9" t="s">
        <v>1261</v>
      </c>
      <c r="D9">
        <v>315995791.842116</v>
      </c>
    </row>
    <row r="10" spans="1:14" hidden="1" x14ac:dyDescent="0.3">
      <c r="B10">
        <v>2022</v>
      </c>
      <c r="C10" t="s">
        <v>1261</v>
      </c>
      <c r="D10">
        <v>325929607.38836497</v>
      </c>
    </row>
    <row r="11" spans="1:14" hidden="1" x14ac:dyDescent="0.3">
      <c r="B11">
        <v>2023</v>
      </c>
      <c r="C11" t="s">
        <v>1261</v>
      </c>
      <c r="D11">
        <v>329600915.434205</v>
      </c>
    </row>
    <row r="12" spans="1:14" hidden="1" x14ac:dyDescent="0.3">
      <c r="B12">
        <v>2024</v>
      </c>
      <c r="C12" t="s">
        <v>1261</v>
      </c>
      <c r="D12">
        <v>338655352.687527</v>
      </c>
    </row>
    <row r="13" spans="1:14" hidden="1" x14ac:dyDescent="0.3">
      <c r="B13">
        <v>2025</v>
      </c>
      <c r="C13" t="s">
        <v>1261</v>
      </c>
      <c r="D13">
        <v>341840677.00563002</v>
      </c>
    </row>
    <row r="14" spans="1:14" hidden="1" x14ac:dyDescent="0.3">
      <c r="B14">
        <v>2026</v>
      </c>
      <c r="C14" t="s">
        <v>1261</v>
      </c>
      <c r="D14">
        <v>347885269.441248</v>
      </c>
    </row>
    <row r="15" spans="1:14" hidden="1" x14ac:dyDescent="0.3">
      <c r="B15">
        <v>2016</v>
      </c>
      <c r="C15" t="s">
        <v>1262</v>
      </c>
      <c r="D15">
        <v>0</v>
      </c>
    </row>
    <row r="16" spans="1:14" hidden="1" x14ac:dyDescent="0.3">
      <c r="B16">
        <v>2017</v>
      </c>
      <c r="C16" t="s">
        <v>1262</v>
      </c>
      <c r="D16">
        <v>0</v>
      </c>
    </row>
    <row r="17" spans="1:14" hidden="1" x14ac:dyDescent="0.3">
      <c r="B17">
        <v>2018</v>
      </c>
      <c r="C17" t="s">
        <v>1262</v>
      </c>
      <c r="D17">
        <v>1382397652.0929999</v>
      </c>
    </row>
    <row r="18" spans="1:14" x14ac:dyDescent="0.3">
      <c r="A18" t="s">
        <v>1054</v>
      </c>
      <c r="B18">
        <v>2019</v>
      </c>
      <c r="C18" t="s">
        <v>1262</v>
      </c>
      <c r="D18" s="90">
        <v>1382397652.0929999</v>
      </c>
      <c r="E18" s="148">
        <f>D18/1000000</f>
        <v>1382.397652093</v>
      </c>
      <c r="G18" s="150">
        <f>VLOOKUP(A18,'MSET pivots'!$B$25:$E$35,3, FALSE)</f>
        <v>-12.201369924947219</v>
      </c>
      <c r="H18" s="196">
        <f>G18/E18</f>
        <v>-8.8262374480120847E-3</v>
      </c>
      <c r="I18" s="198">
        <f>H18/15</f>
        <v>-5.8841582986747228E-4</v>
      </c>
      <c r="K18">
        <f>VLOOKUP(A18,'MSET pivots'!$B$43:$E$52,4, FALSE)</f>
        <v>-466.95600273588991</v>
      </c>
      <c r="L18" s="37">
        <f>K18/E18</f>
        <v>-0.3377870340194094</v>
      </c>
      <c r="M18" s="45">
        <f>L18/15</f>
        <v>-2.2519135601293962E-2</v>
      </c>
      <c r="N18" s="149">
        <f>M18*E18</f>
        <v>-31.130400182392663</v>
      </c>
    </row>
    <row r="19" spans="1:14" hidden="1" x14ac:dyDescent="0.3">
      <c r="B19">
        <v>2020</v>
      </c>
      <c r="C19" t="s">
        <v>1262</v>
      </c>
      <c r="D19">
        <v>1375985900.8742199</v>
      </c>
    </row>
    <row r="20" spans="1:14" hidden="1" x14ac:dyDescent="0.3">
      <c r="B20">
        <v>2021</v>
      </c>
      <c r="C20" t="s">
        <v>1262</v>
      </c>
      <c r="D20">
        <v>1382576649.1046</v>
      </c>
    </row>
    <row r="21" spans="1:14" hidden="1" x14ac:dyDescent="0.3">
      <c r="B21">
        <v>2022</v>
      </c>
      <c r="C21" t="s">
        <v>1262</v>
      </c>
      <c r="D21">
        <v>1382372808.8686099</v>
      </c>
    </row>
    <row r="22" spans="1:14" hidden="1" x14ac:dyDescent="0.3">
      <c r="B22">
        <v>2023</v>
      </c>
      <c r="C22" t="s">
        <v>1262</v>
      </c>
      <c r="D22">
        <v>1384067531.07934</v>
      </c>
    </row>
    <row r="23" spans="1:14" hidden="1" x14ac:dyDescent="0.3">
      <c r="B23">
        <v>2024</v>
      </c>
      <c r="C23" t="s">
        <v>1262</v>
      </c>
      <c r="D23">
        <v>1380755139.09375</v>
      </c>
    </row>
    <row r="24" spans="1:14" hidden="1" x14ac:dyDescent="0.3">
      <c r="B24">
        <v>2025</v>
      </c>
      <c r="C24" t="s">
        <v>1262</v>
      </c>
      <c r="D24">
        <v>1383266287.7928801</v>
      </c>
    </row>
    <row r="25" spans="1:14" hidden="1" x14ac:dyDescent="0.3">
      <c r="B25">
        <v>2026</v>
      </c>
      <c r="C25" t="s">
        <v>1262</v>
      </c>
      <c r="D25">
        <v>1381010676.4678199</v>
      </c>
    </row>
    <row r="26" spans="1:14" hidden="1" x14ac:dyDescent="0.3">
      <c r="B26">
        <v>2016</v>
      </c>
      <c r="C26" t="s">
        <v>1263</v>
      </c>
      <c r="D26">
        <v>0</v>
      </c>
    </row>
    <row r="27" spans="1:14" hidden="1" x14ac:dyDescent="0.3">
      <c r="B27">
        <v>2017</v>
      </c>
      <c r="C27" t="s">
        <v>1263</v>
      </c>
      <c r="D27">
        <v>0</v>
      </c>
    </row>
    <row r="28" spans="1:14" hidden="1" x14ac:dyDescent="0.3">
      <c r="B28">
        <v>2018</v>
      </c>
      <c r="C28" t="s">
        <v>1263</v>
      </c>
      <c r="D28">
        <v>2901347666.27</v>
      </c>
    </row>
    <row r="29" spans="1:14" x14ac:dyDescent="0.3">
      <c r="A29" t="s">
        <v>1011</v>
      </c>
      <c r="B29">
        <v>2019</v>
      </c>
      <c r="C29" t="s">
        <v>1263</v>
      </c>
      <c r="D29" s="90">
        <v>2901347666.27</v>
      </c>
      <c r="E29" s="148">
        <f>D29/1000000</f>
        <v>2901.34766627</v>
      </c>
      <c r="G29" s="150">
        <f>VLOOKUP(A29,'MSET pivots'!$B$25:$E$35,3, FALSE)</f>
        <v>-13.188116076569433</v>
      </c>
      <c r="H29" s="196">
        <f>G29/E29</f>
        <v>-4.5455138761512854E-3</v>
      </c>
      <c r="I29" s="198">
        <f>H29/15</f>
        <v>-3.0303425841008569E-4</v>
      </c>
      <c r="K29">
        <f>VLOOKUP(A29,'MSET pivots'!$B$43:$E$52,4, FALSE)</f>
        <v>1993.3131160112628</v>
      </c>
      <c r="L29" s="37">
        <f>K29/E29</f>
        <v>0.68703007887844236</v>
      </c>
      <c r="M29" s="45">
        <f>L29/15</f>
        <v>4.5802005258562824E-2</v>
      </c>
      <c r="N29" s="149">
        <f>M29*E29</f>
        <v>132.88754106741752</v>
      </c>
    </row>
    <row r="30" spans="1:14" hidden="1" x14ac:dyDescent="0.3">
      <c r="B30">
        <v>2020</v>
      </c>
      <c r="C30" t="s">
        <v>1263</v>
      </c>
      <c r="D30">
        <v>2890540323.66856</v>
      </c>
    </row>
    <row r="31" spans="1:14" hidden="1" x14ac:dyDescent="0.3">
      <c r="B31">
        <v>2021</v>
      </c>
      <c r="C31" t="s">
        <v>1263</v>
      </c>
      <c r="D31">
        <v>3111689765.5270801</v>
      </c>
    </row>
    <row r="32" spans="1:14" hidden="1" x14ac:dyDescent="0.3">
      <c r="B32">
        <v>2022</v>
      </c>
      <c r="C32" t="s">
        <v>1263</v>
      </c>
      <c r="D32">
        <v>3120688711.8986201</v>
      </c>
    </row>
    <row r="33" spans="1:14" hidden="1" x14ac:dyDescent="0.3">
      <c r="B33">
        <v>2023</v>
      </c>
      <c r="C33" t="s">
        <v>1263</v>
      </c>
      <c r="D33">
        <v>3158119389.0552602</v>
      </c>
    </row>
    <row r="34" spans="1:14" hidden="1" x14ac:dyDescent="0.3">
      <c r="B34">
        <v>2024</v>
      </c>
      <c r="C34" t="s">
        <v>1263</v>
      </c>
      <c r="D34">
        <v>3257525745.6057401</v>
      </c>
    </row>
    <row r="35" spans="1:14" hidden="1" x14ac:dyDescent="0.3">
      <c r="B35">
        <v>2025</v>
      </c>
      <c r="C35" t="s">
        <v>1263</v>
      </c>
      <c r="D35">
        <v>3265794586.1384802</v>
      </c>
    </row>
    <row r="36" spans="1:14" hidden="1" x14ac:dyDescent="0.3">
      <c r="B36">
        <v>2026</v>
      </c>
      <c r="C36" t="s">
        <v>1263</v>
      </c>
      <c r="D36">
        <v>3324221167.4282699</v>
      </c>
    </row>
    <row r="37" spans="1:14" hidden="1" x14ac:dyDescent="0.3">
      <c r="B37">
        <v>2016</v>
      </c>
      <c r="C37" t="s">
        <v>1264</v>
      </c>
      <c r="D37">
        <v>0</v>
      </c>
    </row>
    <row r="38" spans="1:14" hidden="1" x14ac:dyDescent="0.3">
      <c r="B38">
        <v>2017</v>
      </c>
      <c r="C38" t="s">
        <v>1264</v>
      </c>
      <c r="D38">
        <v>0</v>
      </c>
    </row>
    <row r="39" spans="1:14" hidden="1" x14ac:dyDescent="0.3">
      <c r="B39">
        <v>2018</v>
      </c>
      <c r="C39" t="s">
        <v>1264</v>
      </c>
      <c r="D39">
        <v>387888684.14832598</v>
      </c>
    </row>
    <row r="40" spans="1:14" x14ac:dyDescent="0.3">
      <c r="A40" t="s">
        <v>1053</v>
      </c>
      <c r="B40">
        <v>2019</v>
      </c>
      <c r="C40" t="s">
        <v>1264</v>
      </c>
      <c r="D40" s="90">
        <v>387888684.14832598</v>
      </c>
      <c r="E40" s="148">
        <f>D40/1000000</f>
        <v>387.88868414832598</v>
      </c>
      <c r="G40" s="150">
        <f>VLOOKUP(A40,'MSET pivots'!$B$25:$E$35,3, FALSE)</f>
        <v>-3.6631787940596796</v>
      </c>
      <c r="H40" s="196">
        <f>G40/E40</f>
        <v>-9.4438918786785356E-3</v>
      </c>
      <c r="I40" s="198">
        <f>H40/15</f>
        <v>-6.2959279191190237E-4</v>
      </c>
      <c r="K40">
        <f>VLOOKUP(A40,'MSET pivots'!$B$43:$E$52,4, FALSE)</f>
        <v>-148.19147162195119</v>
      </c>
      <c r="L40" s="37">
        <f>K40/E40</f>
        <v>-0.38204639031254595</v>
      </c>
      <c r="M40" s="45">
        <f>L40/15</f>
        <v>-2.546975935416973E-2</v>
      </c>
      <c r="N40" s="149">
        <f>M40*E40</f>
        <v>-9.8794314414634137</v>
      </c>
    </row>
    <row r="41" spans="1:14" hidden="1" x14ac:dyDescent="0.3">
      <c r="B41">
        <v>2020</v>
      </c>
      <c r="C41" t="s">
        <v>1264</v>
      </c>
      <c r="D41">
        <v>370397906.23010898</v>
      </c>
    </row>
    <row r="42" spans="1:14" hidden="1" x14ac:dyDescent="0.3">
      <c r="B42">
        <v>2021</v>
      </c>
      <c r="C42" t="s">
        <v>1264</v>
      </c>
      <c r="D42">
        <v>378386384.57375002</v>
      </c>
    </row>
    <row r="43" spans="1:14" hidden="1" x14ac:dyDescent="0.3">
      <c r="B43">
        <v>2022</v>
      </c>
      <c r="C43" t="s">
        <v>1264</v>
      </c>
      <c r="D43">
        <v>369051446.36269498</v>
      </c>
    </row>
    <row r="44" spans="1:14" hidden="1" x14ac:dyDescent="0.3">
      <c r="B44">
        <v>2023</v>
      </c>
      <c r="C44" t="s">
        <v>1264</v>
      </c>
      <c r="D44">
        <v>368942529.48761302</v>
      </c>
    </row>
    <row r="45" spans="1:14" hidden="1" x14ac:dyDescent="0.3">
      <c r="B45">
        <v>2024</v>
      </c>
      <c r="C45" t="s">
        <v>1264</v>
      </c>
      <c r="D45">
        <v>372034793.87639898</v>
      </c>
    </row>
    <row r="46" spans="1:14" hidden="1" x14ac:dyDescent="0.3">
      <c r="B46">
        <v>2025</v>
      </c>
      <c r="C46" t="s">
        <v>1264</v>
      </c>
      <c r="D46">
        <v>371946472.79809201</v>
      </c>
    </row>
    <row r="47" spans="1:14" hidden="1" x14ac:dyDescent="0.3">
      <c r="B47">
        <v>2026</v>
      </c>
      <c r="C47" t="s">
        <v>1264</v>
      </c>
      <c r="D47">
        <v>374956216.45905203</v>
      </c>
    </row>
    <row r="48" spans="1:14" hidden="1" x14ac:dyDescent="0.3">
      <c r="B48">
        <v>2016</v>
      </c>
      <c r="C48" t="s">
        <v>1265</v>
      </c>
      <c r="D48">
        <v>0</v>
      </c>
    </row>
    <row r="49" spans="1:14" hidden="1" x14ac:dyDescent="0.3">
      <c r="B49">
        <v>2017</v>
      </c>
      <c r="C49" t="s">
        <v>1265</v>
      </c>
      <c r="D49">
        <v>0</v>
      </c>
    </row>
    <row r="50" spans="1:14" hidden="1" x14ac:dyDescent="0.3">
      <c r="B50">
        <v>2018</v>
      </c>
      <c r="C50" t="s">
        <v>1265</v>
      </c>
      <c r="D50">
        <v>4055449005.6071501</v>
      </c>
    </row>
    <row r="51" spans="1:14" x14ac:dyDescent="0.3">
      <c r="A51" t="s">
        <v>1046</v>
      </c>
      <c r="B51">
        <v>2019</v>
      </c>
      <c r="C51" t="s">
        <v>1265</v>
      </c>
      <c r="D51" s="90">
        <v>4055449005.6071501</v>
      </c>
      <c r="E51" s="148">
        <f>D51/1000000</f>
        <v>4055.44900560715</v>
      </c>
      <c r="G51" s="150">
        <f>VLOOKUP(A51,'MSET pivots'!$B$25:$E$35,3, FALSE)</f>
        <v>-27.887783265366537</v>
      </c>
      <c r="H51" s="196">
        <f>G51/E51</f>
        <v>-6.8766203758963054E-3</v>
      </c>
      <c r="I51" s="198">
        <f>H51/15</f>
        <v>-4.5844135839308704E-4</v>
      </c>
      <c r="K51">
        <f>VLOOKUP(A51,'MSET pivots'!$B$43:$E$52,4, FALSE)</f>
        <v>-1095.6019548592224</v>
      </c>
      <c r="L51" s="37">
        <f>K51/E51</f>
        <v>-0.27015552491090872</v>
      </c>
      <c r="M51" s="45">
        <f>L51/15</f>
        <v>-1.8010368327393913E-2</v>
      </c>
      <c r="N51" s="149">
        <f>M51*E51</f>
        <v>-73.040130323948148</v>
      </c>
    </row>
    <row r="52" spans="1:14" hidden="1" x14ac:dyDescent="0.3">
      <c r="B52">
        <v>2020</v>
      </c>
      <c r="C52" t="s">
        <v>1265</v>
      </c>
      <c r="D52">
        <v>4032725402.5504599</v>
      </c>
    </row>
    <row r="53" spans="1:14" hidden="1" x14ac:dyDescent="0.3">
      <c r="B53">
        <v>2021</v>
      </c>
      <c r="C53" t="s">
        <v>1265</v>
      </c>
      <c r="D53">
        <v>4070231624.96455</v>
      </c>
    </row>
    <row r="54" spans="1:14" hidden="1" x14ac:dyDescent="0.3">
      <c r="B54">
        <v>2022</v>
      </c>
      <c r="C54" t="s">
        <v>1265</v>
      </c>
      <c r="D54">
        <v>4106319589.5794401</v>
      </c>
    </row>
    <row r="55" spans="1:14" hidden="1" x14ac:dyDescent="0.3">
      <c r="B55">
        <v>2023</v>
      </c>
      <c r="C55" t="s">
        <v>1265</v>
      </c>
      <c r="D55">
        <v>4143904175.8505998</v>
      </c>
    </row>
    <row r="56" spans="1:14" hidden="1" x14ac:dyDescent="0.3">
      <c r="B56">
        <v>2024</v>
      </c>
      <c r="C56" t="s">
        <v>1265</v>
      </c>
      <c r="D56">
        <v>4127923138.8009801</v>
      </c>
    </row>
    <row r="57" spans="1:14" hidden="1" x14ac:dyDescent="0.3">
      <c r="B57">
        <v>2025</v>
      </c>
      <c r="C57" t="s">
        <v>1265</v>
      </c>
      <c r="D57">
        <v>4134243140.48139</v>
      </c>
    </row>
    <row r="58" spans="1:14" hidden="1" x14ac:dyDescent="0.3">
      <c r="B58">
        <v>2026</v>
      </c>
      <c r="C58" t="s">
        <v>1265</v>
      </c>
      <c r="D58">
        <v>4130884857.8812299</v>
      </c>
    </row>
    <row r="59" spans="1:14" hidden="1" x14ac:dyDescent="0.3">
      <c r="B59">
        <v>2016</v>
      </c>
      <c r="C59" t="s">
        <v>1266</v>
      </c>
      <c r="D59">
        <v>0</v>
      </c>
    </row>
    <row r="60" spans="1:14" hidden="1" x14ac:dyDescent="0.3">
      <c r="B60">
        <v>2017</v>
      </c>
      <c r="C60" t="s">
        <v>1266</v>
      </c>
      <c r="D60">
        <v>0</v>
      </c>
    </row>
    <row r="61" spans="1:14" hidden="1" x14ac:dyDescent="0.3">
      <c r="B61">
        <v>2018</v>
      </c>
      <c r="C61" t="s">
        <v>1266</v>
      </c>
      <c r="D61">
        <v>865175776.79605997</v>
      </c>
    </row>
    <row r="62" spans="1:14" x14ac:dyDescent="0.3">
      <c r="A62" t="s">
        <v>1052</v>
      </c>
      <c r="B62">
        <v>2019</v>
      </c>
      <c r="C62" t="s">
        <v>1266</v>
      </c>
      <c r="D62" s="90">
        <v>865175776.79605997</v>
      </c>
      <c r="E62" s="148">
        <f>D62/1000000</f>
        <v>865.17577679605995</v>
      </c>
      <c r="G62" s="150">
        <f>VLOOKUP(A62,'MSET pivots'!$B$25:$E$35,3, FALSE)</f>
        <v>25.575006361131173</v>
      </c>
      <c r="H62" s="196">
        <f>G62/E62</f>
        <v>2.9560474353363383E-2</v>
      </c>
      <c r="I62" s="45">
        <f>H62/15</f>
        <v>1.9706982902242256E-3</v>
      </c>
      <c r="K62">
        <f>VLOOKUP(A62,'MSET pivots'!$B$43:$E$52,4, FALSE)</f>
        <v>483.91235217419535</v>
      </c>
      <c r="L62" s="37">
        <f>K62/E62</f>
        <v>0.55932258525109357</v>
      </c>
      <c r="M62" s="45">
        <f>L62/15</f>
        <v>3.7288172350072903E-2</v>
      </c>
      <c r="N62" s="149">
        <f>M62*E62</f>
        <v>32.26082347827969</v>
      </c>
    </row>
    <row r="63" spans="1:14" hidden="1" x14ac:dyDescent="0.3">
      <c r="B63">
        <v>2020</v>
      </c>
      <c r="C63" t="s">
        <v>1266</v>
      </c>
      <c r="D63">
        <v>830516078.00449896</v>
      </c>
    </row>
    <row r="64" spans="1:14" hidden="1" x14ac:dyDescent="0.3">
      <c r="B64">
        <v>2021</v>
      </c>
      <c r="C64" t="s">
        <v>1266</v>
      </c>
      <c r="D64">
        <v>843475979.15192401</v>
      </c>
    </row>
    <row r="65" spans="1:14" hidden="1" x14ac:dyDescent="0.3">
      <c r="B65">
        <v>2022</v>
      </c>
      <c r="C65" t="s">
        <v>1266</v>
      </c>
      <c r="D65">
        <v>862555463.56719899</v>
      </c>
    </row>
    <row r="66" spans="1:14" hidden="1" x14ac:dyDescent="0.3">
      <c r="B66">
        <v>2023</v>
      </c>
      <c r="C66" t="s">
        <v>1266</v>
      </c>
      <c r="D66">
        <v>858486368.02725399</v>
      </c>
    </row>
    <row r="67" spans="1:14" hidden="1" x14ac:dyDescent="0.3">
      <c r="B67">
        <v>2024</v>
      </c>
      <c r="C67" t="s">
        <v>1266</v>
      </c>
      <c r="D67">
        <v>867925826.66559994</v>
      </c>
    </row>
    <row r="68" spans="1:14" hidden="1" x14ac:dyDescent="0.3">
      <c r="B68">
        <v>2025</v>
      </c>
      <c r="C68" t="s">
        <v>1266</v>
      </c>
      <c r="D68">
        <v>864996890.36833096</v>
      </c>
    </row>
    <row r="69" spans="1:14" hidden="1" x14ac:dyDescent="0.3">
      <c r="B69">
        <v>2026</v>
      </c>
      <c r="C69" t="s">
        <v>1266</v>
      </c>
      <c r="D69">
        <v>868489254.95129502</v>
      </c>
    </row>
    <row r="70" spans="1:14" hidden="1" x14ac:dyDescent="0.3">
      <c r="B70">
        <v>2016</v>
      </c>
      <c r="C70" t="s">
        <v>1267</v>
      </c>
      <c r="D70">
        <v>0</v>
      </c>
    </row>
    <row r="71" spans="1:14" hidden="1" x14ac:dyDescent="0.3">
      <c r="B71">
        <v>2017</v>
      </c>
      <c r="C71" t="s">
        <v>1267</v>
      </c>
      <c r="D71">
        <v>0</v>
      </c>
    </row>
    <row r="72" spans="1:14" hidden="1" x14ac:dyDescent="0.3">
      <c r="B72">
        <v>2018</v>
      </c>
      <c r="C72" t="s">
        <v>1267</v>
      </c>
      <c r="D72">
        <v>612088692.80490696</v>
      </c>
    </row>
    <row r="73" spans="1:14" x14ac:dyDescent="0.3">
      <c r="A73" t="s">
        <v>1056</v>
      </c>
      <c r="B73">
        <v>2019</v>
      </c>
      <c r="C73" t="s">
        <v>1267</v>
      </c>
      <c r="D73" s="90">
        <v>612088692.80490696</v>
      </c>
      <c r="E73" s="148">
        <f>D73/1000000</f>
        <v>612.08869280490694</v>
      </c>
      <c r="G73" s="150">
        <f>VLOOKUP(A73,'MSET pivots'!$B$25:$E$35,3, FALSE)</f>
        <v>-1.4663479919782023</v>
      </c>
      <c r="H73" s="196">
        <f>G73/E73</f>
        <v>-2.3956462669791163E-3</v>
      </c>
      <c r="I73" s="198">
        <f>H73/15</f>
        <v>-1.5970975113194108E-4</v>
      </c>
      <c r="K73">
        <f>VLOOKUP(A73,'MSET pivots'!$B$43:$E$52,4, FALSE)</f>
        <v>240.12593081119522</v>
      </c>
      <c r="L73" s="37">
        <f>K73/E73</f>
        <v>0.39230577795974964</v>
      </c>
      <c r="M73" s="45">
        <f>L73/15</f>
        <v>2.6153718530649975E-2</v>
      </c>
      <c r="N73" s="149">
        <f>M73*E73</f>
        <v>16.008395387413014</v>
      </c>
    </row>
    <row r="74" spans="1:14" hidden="1" x14ac:dyDescent="0.3">
      <c r="B74">
        <v>2020</v>
      </c>
      <c r="C74" t="s">
        <v>1267</v>
      </c>
      <c r="D74">
        <v>592883031.68770194</v>
      </c>
    </row>
    <row r="75" spans="1:14" hidden="1" x14ac:dyDescent="0.3">
      <c r="B75">
        <v>2021</v>
      </c>
      <c r="C75" t="s">
        <v>1267</v>
      </c>
      <c r="D75">
        <v>596494248.55236006</v>
      </c>
    </row>
    <row r="76" spans="1:14" hidden="1" x14ac:dyDescent="0.3">
      <c r="B76">
        <v>2022</v>
      </c>
      <c r="C76" t="s">
        <v>1267</v>
      </c>
      <c r="D76">
        <v>628913973.48798895</v>
      </c>
    </row>
    <row r="77" spans="1:14" hidden="1" x14ac:dyDescent="0.3">
      <c r="B77">
        <v>2023</v>
      </c>
      <c r="C77" t="s">
        <v>1267</v>
      </c>
      <c r="D77">
        <v>634054648.46083903</v>
      </c>
    </row>
    <row r="78" spans="1:14" hidden="1" x14ac:dyDescent="0.3">
      <c r="B78">
        <v>2024</v>
      </c>
      <c r="C78" t="s">
        <v>1267</v>
      </c>
      <c r="D78">
        <v>648451490.59344494</v>
      </c>
    </row>
    <row r="79" spans="1:14" hidden="1" x14ac:dyDescent="0.3">
      <c r="B79">
        <v>2025</v>
      </c>
      <c r="C79" t="s">
        <v>1267</v>
      </c>
      <c r="D79">
        <v>654339725.68937397</v>
      </c>
    </row>
    <row r="80" spans="1:14" hidden="1" x14ac:dyDescent="0.3">
      <c r="B80">
        <v>2026</v>
      </c>
      <c r="C80" t="s">
        <v>1267</v>
      </c>
      <c r="D80">
        <v>666572473.79674494</v>
      </c>
    </row>
    <row r="81" spans="1:18" hidden="1" x14ac:dyDescent="0.3">
      <c r="B81">
        <v>2016</v>
      </c>
      <c r="C81" t="s">
        <v>1268</v>
      </c>
      <c r="D81">
        <v>0</v>
      </c>
    </row>
    <row r="82" spans="1:18" hidden="1" x14ac:dyDescent="0.3">
      <c r="B82">
        <v>2017</v>
      </c>
      <c r="C82" t="s">
        <v>1268</v>
      </c>
      <c r="D82">
        <v>0</v>
      </c>
    </row>
    <row r="83" spans="1:18" hidden="1" x14ac:dyDescent="0.3">
      <c r="B83">
        <v>2018</v>
      </c>
      <c r="C83" t="s">
        <v>1268</v>
      </c>
      <c r="D83">
        <v>3442696896.6642199</v>
      </c>
    </row>
    <row r="84" spans="1:18" x14ac:dyDescent="0.3">
      <c r="A84" t="s">
        <v>861</v>
      </c>
      <c r="B84">
        <v>2019</v>
      </c>
      <c r="C84" t="s">
        <v>1268</v>
      </c>
      <c r="D84" s="90">
        <v>3442696896.6642199</v>
      </c>
      <c r="E84" s="148">
        <f>D84/1000000</f>
        <v>3442.6968966642198</v>
      </c>
      <c r="G84" s="150">
        <f>VLOOKUP(A84,'MSET pivots'!$B$25:$E$35,3, FALSE)</f>
        <v>-65.715034826178282</v>
      </c>
      <c r="H84" s="196">
        <f>G84/E84</f>
        <v>-1.908824296726571E-2</v>
      </c>
      <c r="I84" s="198">
        <f>H84/15</f>
        <v>-1.2725495311510474E-3</v>
      </c>
      <c r="K84">
        <f>VLOOKUP(A84,'MSET pivots'!$B$43:$E$52,4, FALSE)</f>
        <v>-2514.9659563505734</v>
      </c>
      <c r="L84" s="37">
        <f>K84/E84</f>
        <v>-0.73052203892460998</v>
      </c>
      <c r="M84" s="197">
        <f>L84/15</f>
        <v>-4.8701469261640665E-2</v>
      </c>
      <c r="N84" s="149">
        <f>M84*E84</f>
        <v>-167.66439709003822</v>
      </c>
      <c r="P84" s="149"/>
      <c r="R84" t="s">
        <v>1289</v>
      </c>
    </row>
    <row r="85" spans="1:18" hidden="1" x14ac:dyDescent="0.3">
      <c r="B85">
        <v>2020</v>
      </c>
      <c r="C85" t="s">
        <v>1268</v>
      </c>
      <c r="D85">
        <v>3452573700.9296198</v>
      </c>
    </row>
    <row r="86" spans="1:18" hidden="1" x14ac:dyDescent="0.3">
      <c r="B86">
        <v>2021</v>
      </c>
      <c r="C86" t="s">
        <v>1268</v>
      </c>
      <c r="D86">
        <v>3490080085.0488701</v>
      </c>
    </row>
    <row r="87" spans="1:18" hidden="1" x14ac:dyDescent="0.3">
      <c r="B87">
        <v>2022</v>
      </c>
      <c r="C87" t="s">
        <v>1268</v>
      </c>
      <c r="D87">
        <v>3493885122.1407199</v>
      </c>
    </row>
    <row r="88" spans="1:18" hidden="1" x14ac:dyDescent="0.3">
      <c r="B88">
        <v>2023</v>
      </c>
      <c r="C88" t="s">
        <v>1268</v>
      </c>
      <c r="D88">
        <v>3530028503.9695601</v>
      </c>
    </row>
    <row r="89" spans="1:18" hidden="1" x14ac:dyDescent="0.3">
      <c r="B89">
        <v>2024</v>
      </c>
      <c r="C89" t="s">
        <v>1268</v>
      </c>
      <c r="D89">
        <v>3547469713.4224601</v>
      </c>
    </row>
    <row r="90" spans="1:18" hidden="1" x14ac:dyDescent="0.3">
      <c r="B90">
        <v>2025</v>
      </c>
      <c r="C90" t="s">
        <v>1268</v>
      </c>
      <c r="D90">
        <v>3556768875.3972998</v>
      </c>
    </row>
    <row r="91" spans="1:18" hidden="1" x14ac:dyDescent="0.3">
      <c r="B91">
        <v>2026</v>
      </c>
      <c r="C91" t="s">
        <v>1268</v>
      </c>
      <c r="D91">
        <v>3570163474.6914902</v>
      </c>
    </row>
    <row r="92" spans="1:18" hidden="1" x14ac:dyDescent="0.3">
      <c r="B92">
        <v>2016</v>
      </c>
      <c r="C92" t="s">
        <v>1269</v>
      </c>
      <c r="D92">
        <v>0</v>
      </c>
    </row>
    <row r="93" spans="1:18" hidden="1" x14ac:dyDescent="0.3">
      <c r="B93">
        <v>2017</v>
      </c>
      <c r="C93" t="s">
        <v>1269</v>
      </c>
      <c r="D93">
        <v>0</v>
      </c>
    </row>
    <row r="94" spans="1:18" hidden="1" x14ac:dyDescent="0.3">
      <c r="B94">
        <v>2018</v>
      </c>
      <c r="C94" t="s">
        <v>1269</v>
      </c>
      <c r="D94">
        <v>382916571.354711</v>
      </c>
    </row>
    <row r="95" spans="1:18" x14ac:dyDescent="0.3">
      <c r="A95" t="s">
        <v>1021</v>
      </c>
      <c r="B95">
        <v>2019</v>
      </c>
      <c r="C95" t="s">
        <v>1269</v>
      </c>
      <c r="D95" s="90">
        <v>382916571.354711</v>
      </c>
      <c r="E95" s="148">
        <f>D95/1000000</f>
        <v>382.91657135471098</v>
      </c>
      <c r="G95" s="150">
        <f>VLOOKUP(A95,'MSET pivots'!$B$25:$E$35,3, FALSE)</f>
        <v>31.892371499159555</v>
      </c>
      <c r="H95" s="196">
        <f>G95/E95</f>
        <v>8.3288042056598205E-2</v>
      </c>
      <c r="I95" s="45">
        <f>H95/15</f>
        <v>5.5525361371065469E-3</v>
      </c>
      <c r="K95">
        <f>VLOOKUP(A95,'MSET pivots'!$B$43:$E$52,4, FALSE)</f>
        <v>646.78342554004121</v>
      </c>
      <c r="L95" s="37">
        <f>K95/E95</f>
        <v>1.6890975056310629</v>
      </c>
      <c r="M95" s="45">
        <f>L95/15</f>
        <v>0.11260650037540419</v>
      </c>
      <c r="N95" s="149">
        <f>M95*E95</f>
        <v>43.118895036002748</v>
      </c>
    </row>
    <row r="96" spans="1:18" hidden="1" x14ac:dyDescent="0.3">
      <c r="B96">
        <v>2020</v>
      </c>
      <c r="C96" t="s">
        <v>1269</v>
      </c>
      <c r="D96">
        <v>374367478.63880002</v>
      </c>
    </row>
    <row r="97" spans="1:14" hidden="1" x14ac:dyDescent="0.3">
      <c r="B97">
        <v>2021</v>
      </c>
      <c r="C97" t="s">
        <v>1269</v>
      </c>
      <c r="D97">
        <v>391461479.25456202</v>
      </c>
    </row>
    <row r="98" spans="1:14" hidden="1" x14ac:dyDescent="0.3">
      <c r="B98">
        <v>2022</v>
      </c>
      <c r="C98" t="s">
        <v>1269</v>
      </c>
      <c r="D98">
        <v>414527250.174353</v>
      </c>
    </row>
    <row r="99" spans="1:14" hidden="1" x14ac:dyDescent="0.3">
      <c r="B99">
        <v>2023</v>
      </c>
      <c r="C99" t="s">
        <v>1269</v>
      </c>
      <c r="D99">
        <v>435225269.58118403</v>
      </c>
    </row>
    <row r="100" spans="1:14" hidden="1" x14ac:dyDescent="0.3">
      <c r="B100">
        <v>2024</v>
      </c>
      <c r="C100" t="s">
        <v>1269</v>
      </c>
      <c r="D100">
        <v>454778119.20912498</v>
      </c>
    </row>
    <row r="101" spans="1:14" hidden="1" x14ac:dyDescent="0.3">
      <c r="B101">
        <v>2025</v>
      </c>
      <c r="C101" t="s">
        <v>1269</v>
      </c>
      <c r="D101">
        <v>464211598.78789699</v>
      </c>
    </row>
    <row r="102" spans="1:14" hidden="1" x14ac:dyDescent="0.3">
      <c r="B102">
        <v>2026</v>
      </c>
      <c r="C102" t="s">
        <v>1269</v>
      </c>
      <c r="D102">
        <v>473824259.56334901</v>
      </c>
    </row>
    <row r="103" spans="1:14" hidden="1" x14ac:dyDescent="0.3">
      <c r="B103">
        <v>2016</v>
      </c>
      <c r="C103" t="s">
        <v>1270</v>
      </c>
      <c r="D103">
        <v>0</v>
      </c>
    </row>
    <row r="104" spans="1:14" hidden="1" x14ac:dyDescent="0.3">
      <c r="B104">
        <v>2017</v>
      </c>
      <c r="C104" t="s">
        <v>1270</v>
      </c>
      <c r="D104">
        <v>0</v>
      </c>
    </row>
    <row r="105" spans="1:14" hidden="1" x14ac:dyDescent="0.3">
      <c r="B105">
        <v>2018</v>
      </c>
      <c r="C105" t="s">
        <v>1270</v>
      </c>
      <c r="D105">
        <v>517888398.29367203</v>
      </c>
    </row>
    <row r="106" spans="1:14" x14ac:dyDescent="0.3">
      <c r="A106" t="s">
        <v>1058</v>
      </c>
      <c r="B106">
        <v>2019</v>
      </c>
      <c r="C106" t="s">
        <v>1270</v>
      </c>
      <c r="D106" s="90">
        <v>517888398.29367203</v>
      </c>
      <c r="E106" s="148">
        <f>D106/1000000</f>
        <v>517.88839829367203</v>
      </c>
      <c r="G106" s="150">
        <f>VLOOKUP(A106,'MSET pivots'!$B$25:$E$35,3, FALSE)</f>
        <v>33.139362091594002</v>
      </c>
      <c r="H106" s="196">
        <f>G106/E106</f>
        <v>6.3989388835086647E-2</v>
      </c>
      <c r="I106" s="45">
        <f>H106/15</f>
        <v>4.265959255672443E-3</v>
      </c>
      <c r="K106">
        <f>VLOOKUP(A106,'MSET pivots'!$B$43:$E$52,4, FALSE)</f>
        <v>527.05225974640268</v>
      </c>
      <c r="L106" s="37">
        <f>K106/E106</f>
        <v>1.0176946644932066</v>
      </c>
      <c r="M106" s="45">
        <f>L106/15</f>
        <v>6.7846310966213769E-2</v>
      </c>
      <c r="N106" s="149">
        <f>M106*E106</f>
        <v>35.136817316426843</v>
      </c>
    </row>
    <row r="107" spans="1:14" hidden="1" x14ac:dyDescent="0.3">
      <c r="B107">
        <v>2020</v>
      </c>
      <c r="C107" t="s">
        <v>1270</v>
      </c>
      <c r="D107">
        <v>499542427.86694098</v>
      </c>
    </row>
    <row r="108" spans="1:14" hidden="1" x14ac:dyDescent="0.3">
      <c r="B108">
        <v>2021</v>
      </c>
      <c r="C108" t="s">
        <v>1270</v>
      </c>
      <c r="D108">
        <v>495202845.81759</v>
      </c>
    </row>
    <row r="109" spans="1:14" hidden="1" x14ac:dyDescent="0.3">
      <c r="B109">
        <v>2022</v>
      </c>
      <c r="C109" t="s">
        <v>1270</v>
      </c>
      <c r="D109">
        <v>500697999.502536</v>
      </c>
    </row>
    <row r="110" spans="1:14" hidden="1" x14ac:dyDescent="0.3">
      <c r="B110">
        <v>2023</v>
      </c>
      <c r="C110" t="s">
        <v>1270</v>
      </c>
      <c r="D110">
        <v>511413509.38470799</v>
      </c>
    </row>
    <row r="111" spans="1:14" hidden="1" x14ac:dyDescent="0.3">
      <c r="B111">
        <v>2024</v>
      </c>
      <c r="C111" t="s">
        <v>1270</v>
      </c>
      <c r="D111">
        <v>528675185.13352603</v>
      </c>
    </row>
    <row r="112" spans="1:14" hidden="1" x14ac:dyDescent="0.3">
      <c r="B112">
        <v>2025</v>
      </c>
      <c r="C112" t="s">
        <v>1270</v>
      </c>
      <c r="D112">
        <v>538904889.90192103</v>
      </c>
    </row>
    <row r="113" spans="2:8" hidden="1" x14ac:dyDescent="0.3">
      <c r="B113">
        <v>2026</v>
      </c>
      <c r="C113" t="s">
        <v>1270</v>
      </c>
      <c r="D113">
        <v>553012084.07747197</v>
      </c>
    </row>
    <row r="116" spans="2:8" x14ac:dyDescent="0.3">
      <c r="H116" s="274"/>
    </row>
  </sheetData>
  <autoFilter ref="B3:D113" xr:uid="{1B1AF31F-1E36-4D1A-8B70-B6F461D0C683}">
    <filterColumn colId="0">
      <filters>
        <filter val="2019"/>
      </filters>
    </filterColumn>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DE85F-E5FF-4FBB-8455-C03A6415E94E}">
  <sheetPr filterMode="1">
    <tabColor theme="3" tint="0.89999084444715716"/>
  </sheetPr>
  <dimension ref="A1:AF221"/>
  <sheetViews>
    <sheetView zoomScale="70" zoomScaleNormal="70" workbookViewId="0">
      <pane xSplit="2" ySplit="4" topLeftCell="C5" activePane="bottomRight" state="frozen"/>
      <selection pane="topRight" activeCell="C1" sqref="C1"/>
      <selection pane="bottomLeft" activeCell="A4" sqref="A4"/>
      <selection pane="bottomRight" activeCell="F5" sqref="F5:F184"/>
    </sheetView>
  </sheetViews>
  <sheetFormatPr defaultRowHeight="14.4" x14ac:dyDescent="0.3"/>
  <cols>
    <col min="2" max="2" width="31" customWidth="1"/>
    <col min="3" max="3" width="27.44140625" customWidth="1"/>
    <col min="4" max="4" width="25.88671875" customWidth="1"/>
    <col min="5" max="5" width="17.6640625" customWidth="1"/>
    <col min="6" max="6" width="19.6640625" customWidth="1"/>
    <col min="7" max="7" width="15.33203125" customWidth="1"/>
    <col min="8" max="8" width="19" customWidth="1"/>
    <col min="9" max="9" width="12" bestFit="1" customWidth="1"/>
    <col min="10" max="13" width="18.109375" customWidth="1"/>
    <col min="14" max="20" width="20.33203125" customWidth="1"/>
    <col min="21" max="25" width="18.109375" customWidth="1"/>
    <col min="26" max="26" width="22.6640625" customWidth="1"/>
    <col min="27" max="29" width="18.109375" customWidth="1"/>
    <col min="31" max="31" width="19.44140625" bestFit="1" customWidth="1"/>
    <col min="32" max="32" width="13.88671875" bestFit="1" customWidth="1"/>
  </cols>
  <sheetData>
    <row r="1" spans="1:32" x14ac:dyDescent="0.3">
      <c r="C1" s="231">
        <f>(C3-'World Bank 2026'!E226)/'World Bank 2026'!E226</f>
        <v>-1.0157889684315663E-2</v>
      </c>
      <c r="I1" s="232">
        <f>1-I3</f>
        <v>7.0953763966602468E-3</v>
      </c>
    </row>
    <row r="2" spans="1:32" x14ac:dyDescent="0.3">
      <c r="C2" s="90">
        <f>C3/1000</f>
        <v>117147.97810864738</v>
      </c>
      <c r="G2">
        <f>COUNTIF(G5:G221,"Yes")</f>
        <v>128</v>
      </c>
      <c r="H2">
        <f>COUNTIF(H5:H221,"Yes")</f>
        <v>66</v>
      </c>
      <c r="U2" s="150"/>
      <c r="V2" s="150"/>
      <c r="W2" s="150"/>
      <c r="X2" s="150"/>
      <c r="Y2" s="150"/>
      <c r="Z2" s="150"/>
      <c r="AA2" s="150"/>
      <c r="AB2" s="150"/>
      <c r="AC2" s="150"/>
    </row>
    <row r="3" spans="1:32" x14ac:dyDescent="0.3">
      <c r="C3" s="90">
        <f>SUM(C5:C221)</f>
        <v>117147978.10864738</v>
      </c>
      <c r="D3">
        <f>SUM(D5:D221)</f>
        <v>0.99999999999999989</v>
      </c>
      <c r="I3" s="190">
        <f>SUM(I4:I216)</f>
        <v>0.99290462360333975</v>
      </c>
      <c r="J3" s="152">
        <f>SUM(J4:J216)</f>
        <v>4.2332247793453126</v>
      </c>
      <c r="K3" s="152">
        <f>SUM(K4:K216)</f>
        <v>136.48409621815316</v>
      </c>
      <c r="L3" s="152">
        <f>SUM(L4:L216)</f>
        <v>575.87391363637482</v>
      </c>
      <c r="M3" s="153">
        <f>SUM(M4:M216)</f>
        <v>985.03020794924919</v>
      </c>
      <c r="N3" s="153">
        <f t="shared" ref="N3:Q3" si="0">SUM(N4:N216)</f>
        <v>4.2031884561641899</v>
      </c>
      <c r="O3" s="153">
        <f t="shared" si="0"/>
        <v>135.51569018332737</v>
      </c>
      <c r="P3" s="153">
        <f t="shared" si="0"/>
        <v>571.78787146210709</v>
      </c>
      <c r="Q3" s="153">
        <f t="shared" si="0"/>
        <v>978.04104786176913</v>
      </c>
      <c r="R3" s="153">
        <f t="shared" ref="R3" si="1">SUM(R4:R216)</f>
        <v>3.0036323181124869E-2</v>
      </c>
      <c r="S3" s="153">
        <f t="shared" ref="S3" si="2">SUM(S4:S216)</f>
        <v>0.96840603482579901</v>
      </c>
      <c r="T3" s="153">
        <f t="shared" ref="T3" si="3">SUM(T4:T216)</f>
        <v>4.0860421742676252</v>
      </c>
      <c r="U3" s="150">
        <f t="shared" ref="U3:Z3" si="4">SUM(U4:U216)</f>
        <v>38.396650449801477</v>
      </c>
      <c r="V3" s="150">
        <f t="shared" si="4"/>
        <v>1237.9527210591377</v>
      </c>
      <c r="W3" s="150">
        <f t="shared" si="4"/>
        <v>5223.3534758044871</v>
      </c>
      <c r="X3" s="150">
        <f t="shared" si="4"/>
        <v>38.124211762489139</v>
      </c>
      <c r="Y3" s="150">
        <f t="shared" si="4"/>
        <v>1229.1689805419535</v>
      </c>
      <c r="Z3" s="150">
        <f t="shared" si="4"/>
        <v>5186.2918168408523</v>
      </c>
      <c r="AA3" s="150"/>
      <c r="AB3" s="150"/>
      <c r="AC3" s="150">
        <f t="shared" ref="AC3" si="5">SUM(AC4:AC216)</f>
        <v>37.061658963637385</v>
      </c>
      <c r="AE3" s="91"/>
    </row>
    <row r="4" spans="1:32" s="1" customFormat="1" ht="49.95" customHeight="1" x14ac:dyDescent="0.3">
      <c r="A4" s="155" t="s">
        <v>1036</v>
      </c>
      <c r="B4" s="155" t="s">
        <v>1037</v>
      </c>
      <c r="C4" s="155" t="s">
        <v>1038</v>
      </c>
      <c r="D4" s="155" t="s">
        <v>1039</v>
      </c>
      <c r="E4" s="155" t="s">
        <v>1040</v>
      </c>
      <c r="F4" s="155" t="s">
        <v>1041</v>
      </c>
      <c r="G4" s="155" t="s">
        <v>1042</v>
      </c>
      <c r="H4" s="155" t="s">
        <v>1043</v>
      </c>
      <c r="I4" s="156" t="s">
        <v>1044</v>
      </c>
      <c r="J4" s="157" t="s">
        <v>1177</v>
      </c>
      <c r="K4" s="158" t="s">
        <v>1178</v>
      </c>
      <c r="L4" s="158" t="s">
        <v>1179</v>
      </c>
      <c r="M4" s="158" t="s">
        <v>1192</v>
      </c>
      <c r="N4" s="158" t="s">
        <v>1181</v>
      </c>
      <c r="O4" s="158" t="s">
        <v>1182</v>
      </c>
      <c r="P4" s="158" t="s">
        <v>1183</v>
      </c>
      <c r="Q4" s="158" t="s">
        <v>1196</v>
      </c>
      <c r="R4" s="158" t="s">
        <v>1193</v>
      </c>
      <c r="S4" s="158" t="s">
        <v>1194</v>
      </c>
      <c r="T4" s="158" t="s">
        <v>1195</v>
      </c>
      <c r="U4" s="159" t="s">
        <v>1186</v>
      </c>
      <c r="V4" s="160" t="s">
        <v>1187</v>
      </c>
      <c r="W4" s="160" t="s">
        <v>1188</v>
      </c>
      <c r="X4" s="160" t="s">
        <v>1189</v>
      </c>
      <c r="Y4" s="160" t="s">
        <v>1190</v>
      </c>
      <c r="Z4" s="160" t="s">
        <v>1191</v>
      </c>
      <c r="AA4" s="160" t="s">
        <v>1197</v>
      </c>
      <c r="AB4" s="160" t="s">
        <v>1198</v>
      </c>
      <c r="AC4" s="160" t="s">
        <v>1199</v>
      </c>
      <c r="AE4" s="184">
        <f>4995366*1000000/1000000000</f>
        <v>4995.366</v>
      </c>
      <c r="AF4" s="1">
        <f>'Baseline govt spend'!E95/'Scenario sets'!AE4</f>
        <v>7.6654357529500533E-2</v>
      </c>
    </row>
    <row r="5" spans="1:32" x14ac:dyDescent="0.3">
      <c r="A5" t="s">
        <v>847</v>
      </c>
      <c r="B5" t="s">
        <v>848</v>
      </c>
      <c r="C5" s="90">
        <v>17778.508875739601</v>
      </c>
      <c r="D5" s="37">
        <f>C5/$C$3</f>
        <v>1.5176112437255342E-4</v>
      </c>
      <c r="E5" t="s">
        <v>848</v>
      </c>
      <c r="F5" t="s">
        <v>1021</v>
      </c>
      <c r="G5" t="s">
        <v>1045</v>
      </c>
      <c r="H5" t="s">
        <v>1045</v>
      </c>
      <c r="I5" s="93" t="str">
        <f>VLOOKUP(B5,'Beynon 2023'!$B$88:$R$336,15,FALSE)</f>
        <v/>
      </c>
      <c r="J5" s="36">
        <f>IF(H5="Yes",C5/1000*'Preliminary results'!$D$46*Inflation!$D$7)</f>
        <v>1.6921185546673285E-2</v>
      </c>
      <c r="K5" s="36">
        <f>IF(H5="Yes",C5/1000*'Preliminary results'!$E$46*Inflation!$D$7)</f>
        <v>0.54555872571324904</v>
      </c>
      <c r="L5" s="36">
        <f>IF(H5="Yes",C5/1000*'Preliminary results'!$F$46*Inflation!$D$7)</f>
        <v>2.3019021790846232</v>
      </c>
      <c r="M5" s="150">
        <f>IF(H5="Yes",C5/1000*'Preliminary results'!$G$46*Inflation!$D$7)</f>
        <v>3.9373951978909969</v>
      </c>
      <c r="N5" s="151">
        <f>IFERROR($J$3*$I5,0)</f>
        <v>0</v>
      </c>
      <c r="O5" s="151">
        <f>IFERROR($K$3*$I5,0)</f>
        <v>0</v>
      </c>
      <c r="P5" s="151">
        <f>IFERROR($L$3*$I5,0)</f>
        <v>0</v>
      </c>
      <c r="Q5" s="151">
        <f>IFERROR($M$3*$I5,0)</f>
        <v>0</v>
      </c>
      <c r="R5" s="151">
        <f>J5-N5</f>
        <v>1.6921185546673285E-2</v>
      </c>
      <c r="S5" s="151">
        <f t="shared" ref="S5:T5" si="6">K5-O5</f>
        <v>0.54555872571324904</v>
      </c>
      <c r="T5" s="151">
        <f t="shared" si="6"/>
        <v>2.3019021790846232</v>
      </c>
      <c r="U5" s="150">
        <f>IF(G5="Yes",C5/1000*'Preliminary results'!$D$46*Inflation!$D$7)</f>
        <v>1.6921185546673285E-2</v>
      </c>
      <c r="V5" s="150">
        <f>IF(G5="Yes",C5/1000*'Preliminary results'!$E$46*Inflation!$D$7)</f>
        <v>0.54555872571324904</v>
      </c>
      <c r="W5" s="150">
        <f>IF(G5="Yes",C5/1000*'Preliminary results'!$F$46*Inflation!$D$7)</f>
        <v>2.3019021790846232</v>
      </c>
      <c r="X5" s="151">
        <f t="shared" ref="X5:X36" si="7">IFERROR($U$3*$I5,0)</f>
        <v>0</v>
      </c>
      <c r="Y5" s="151">
        <f>IFERROR($V$3*$I5,0)</f>
        <v>0</v>
      </c>
      <c r="Z5" s="151">
        <f>IFERROR($W$3*$I5,0)</f>
        <v>0</v>
      </c>
      <c r="AA5" s="151">
        <f>U5-X5</f>
        <v>1.6921185546673285E-2</v>
      </c>
      <c r="AB5" s="151">
        <f t="shared" ref="AB5:AC5" si="8">V5-Y5</f>
        <v>0.54555872571324904</v>
      </c>
      <c r="AC5" s="151">
        <f t="shared" si="8"/>
        <v>2.3019021790846232</v>
      </c>
    </row>
    <row r="6" spans="1:32" hidden="1" x14ac:dyDescent="0.3">
      <c r="A6" t="s">
        <v>798</v>
      </c>
      <c r="B6" t="s">
        <v>799</v>
      </c>
      <c r="C6" s="90">
        <v>30540.1882713421</v>
      </c>
      <c r="D6" s="37">
        <f t="shared" ref="D6:D69" si="9">C6/$C$3</f>
        <v>2.6069752772871587E-4</v>
      </c>
      <c r="E6" t="s">
        <v>799</v>
      </c>
      <c r="F6" t="s">
        <v>1046</v>
      </c>
      <c r="G6" t="s">
        <v>1047</v>
      </c>
      <c r="H6" t="s">
        <v>1047</v>
      </c>
      <c r="I6" s="93">
        <f>VLOOKUP(B6,'Beynon 2023'!$B$88:$R$336,15,FALSE)</f>
        <v>5.8332434313221465E-5</v>
      </c>
      <c r="J6" s="36" t="b">
        <f>IF(H6="Yes",C6/1000*'Preliminary results'!$D$46*Inflation!$D$7)</f>
        <v>0</v>
      </c>
      <c r="K6" s="36" t="b">
        <f>IF(H6="Yes",C6/1000*'Preliminary results'!$E$46*Inflation!$D$7)</f>
        <v>0</v>
      </c>
      <c r="L6" s="36" t="b">
        <f>IF(H6="Yes",C6/1000*'Preliminary results'!$F$46*Inflation!$D$7)</f>
        <v>0</v>
      </c>
      <c r="M6" s="150" t="b">
        <f>IF(H6="Yes",C6/1000*'Preliminary results'!$G$46*Inflation!$D$7)</f>
        <v>0</v>
      </c>
      <c r="N6" s="151">
        <f>IFERROR($J$3*$I6,0)</f>
        <v>2.4693430637426188E-4</v>
      </c>
      <c r="O6" s="151">
        <f t="shared" ref="O6:O69" si="10">IFERROR($K$3*$I6,0)</f>
        <v>7.9614495774448166E-3</v>
      </c>
      <c r="P6" s="151">
        <f t="shared" ref="P6:P69" si="11">IFERROR($L$3*$I6,0)</f>
        <v>3.3592127239891606E-2</v>
      </c>
      <c r="Q6" s="151">
        <f t="shared" ref="Q6:Q69" si="12">IFERROR($M$3*$I6,0)</f>
        <v>5.7459209901738459E-2</v>
      </c>
      <c r="R6" s="151">
        <f>J6-N6</f>
        <v>-2.4693430637426188E-4</v>
      </c>
      <c r="S6" s="151">
        <f t="shared" ref="S6:S69" si="13">K6-O6</f>
        <v>-7.9614495774448166E-3</v>
      </c>
      <c r="T6" s="151">
        <f t="shared" ref="T6:T69" si="14">L6-P6</f>
        <v>-3.3592127239891606E-2</v>
      </c>
      <c r="U6" s="150" t="b">
        <f>IF(G6="Yes",C6/1000*'Preliminary results'!$D$46*Inflation!$D$7)</f>
        <v>0</v>
      </c>
      <c r="V6" s="150" t="b">
        <f>IF(G6="Yes",C6/1000*'Preliminary results'!$E$46*Inflation!$D$7)</f>
        <v>0</v>
      </c>
      <c r="W6" s="150" t="b">
        <f>IF(G6="Yes",C6/1000*'Preliminary results'!$F$46*Inflation!$D$7)</f>
        <v>0</v>
      </c>
      <c r="X6" s="151">
        <f t="shared" si="7"/>
        <v>2.2397700902107701E-3</v>
      </c>
      <c r="Y6" s="151">
        <f t="shared" ref="Y6:Y69" si="15">IFERROR($V$3*$I6,0)</f>
        <v>7.2212795784055928E-2</v>
      </c>
      <c r="Z6" s="151">
        <f t="shared" ref="Z6:Z69" si="16">IFERROR($W$3*$I6,0)</f>
        <v>0.30469092352210225</v>
      </c>
      <c r="AA6" s="151">
        <f t="shared" ref="AA6:AA69" si="17">U6-X6</f>
        <v>-2.2397700902107701E-3</v>
      </c>
      <c r="AB6" s="151">
        <f t="shared" ref="AB6:AB69" si="18">V6-Y6</f>
        <v>-7.2212795784055928E-2</v>
      </c>
      <c r="AC6" s="151">
        <f t="shared" ref="AC6:AC69" si="19">W6-Z6</f>
        <v>-0.30469092352210225</v>
      </c>
    </row>
    <row r="7" spans="1:32" hidden="1" x14ac:dyDescent="0.3">
      <c r="A7" t="s">
        <v>671</v>
      </c>
      <c r="B7" t="s">
        <v>672</v>
      </c>
      <c r="C7" s="90">
        <v>287031.22598773602</v>
      </c>
      <c r="D7" s="37">
        <f t="shared" si="9"/>
        <v>2.450159453213376E-3</v>
      </c>
      <c r="E7" t="s">
        <v>672</v>
      </c>
      <c r="F7" t="s">
        <v>1048</v>
      </c>
      <c r="G7" t="s">
        <v>1045</v>
      </c>
      <c r="H7" t="s">
        <v>1047</v>
      </c>
      <c r="I7" s="45" t="str">
        <f>VLOOKUP(B7,'Beynon 2023'!$B$88:$R$336,15,FALSE)</f>
        <v/>
      </c>
      <c r="J7" s="36" t="b">
        <f>IF(H7="Yes",C7/1000*'Preliminary results'!$D$46*Inflation!$D$7)</f>
        <v>0</v>
      </c>
      <c r="K7" s="36" t="b">
        <f>IF(H7="Yes",C7/1000*'Preliminary results'!$E$46*Inflation!$D$7)</f>
        <v>0</v>
      </c>
      <c r="L7" s="36" t="b">
        <f>IF(H7="Yes",C7/1000*'Preliminary results'!$F$46*Inflation!$D$7)</f>
        <v>0</v>
      </c>
      <c r="M7" s="150" t="b">
        <f>IF(H7="Yes",C7/1000*'Preliminary results'!$G$46*Inflation!$D$7)</f>
        <v>0</v>
      </c>
      <c r="N7" s="151">
        <f t="shared" ref="N7:N70" si="20">IFERROR($J$3*$I7,0)</f>
        <v>0</v>
      </c>
      <c r="O7" s="151">
        <f t="shared" si="10"/>
        <v>0</v>
      </c>
      <c r="P7" s="151">
        <f t="shared" si="11"/>
        <v>0</v>
      </c>
      <c r="Q7" s="151">
        <f t="shared" si="12"/>
        <v>0</v>
      </c>
      <c r="R7" s="151">
        <f t="shared" ref="R7:R69" si="21">J7-N7</f>
        <v>0</v>
      </c>
      <c r="S7" s="151">
        <f t="shared" si="13"/>
        <v>0</v>
      </c>
      <c r="T7" s="151">
        <f t="shared" si="14"/>
        <v>0</v>
      </c>
      <c r="U7" s="150">
        <f>IF(G7="Yes",C7/1000*'Preliminary results'!$D$46*Inflation!$D$7)</f>
        <v>0.27318987585372179</v>
      </c>
      <c r="V7" s="150">
        <f>IF(G7="Yes",C7/1000*'Preliminary results'!$E$46*Inflation!$D$7)</f>
        <v>8.8079597104718683</v>
      </c>
      <c r="W7" s="150">
        <f>IF(G7="Yes",C7/1000*'Preliminary results'!$F$46*Inflation!$D$7)</f>
        <v>37.163848171097762</v>
      </c>
      <c r="X7" s="151">
        <f t="shared" si="7"/>
        <v>0</v>
      </c>
      <c r="Y7" s="151">
        <f t="shared" si="15"/>
        <v>0</v>
      </c>
      <c r="Z7" s="151">
        <f t="shared" si="16"/>
        <v>0</v>
      </c>
      <c r="AA7" s="151">
        <f t="shared" si="17"/>
        <v>0.27318987585372179</v>
      </c>
      <c r="AB7" s="151">
        <f t="shared" si="18"/>
        <v>8.8079597104718683</v>
      </c>
      <c r="AC7" s="151">
        <f t="shared" si="19"/>
        <v>37.163848171097762</v>
      </c>
    </row>
    <row r="8" spans="1:32" hidden="1" x14ac:dyDescent="0.3">
      <c r="A8" t="s">
        <v>983</v>
      </c>
      <c r="B8" t="s">
        <v>984</v>
      </c>
      <c r="C8" s="90">
        <v>0</v>
      </c>
      <c r="D8" s="37">
        <f t="shared" si="9"/>
        <v>0</v>
      </c>
      <c r="E8" t="s">
        <v>1049</v>
      </c>
      <c r="F8" s="8"/>
      <c r="G8" t="s">
        <v>1047</v>
      </c>
      <c r="H8" t="s">
        <v>1047</v>
      </c>
      <c r="I8" t="s">
        <v>1049</v>
      </c>
      <c r="J8" s="36" t="b">
        <f>IF(H8="Yes",C8/1000*'Preliminary results'!$D$46*Inflation!$D$7)</f>
        <v>0</v>
      </c>
      <c r="K8" s="36" t="b">
        <f>IF(H8="Yes",C8/1000*'Preliminary results'!$E$46*Inflation!$D$7)</f>
        <v>0</v>
      </c>
      <c r="L8" s="36" t="b">
        <f>IF(H8="Yes",C8/1000*'Preliminary results'!$F$46*Inflation!$D$7)</f>
        <v>0</v>
      </c>
      <c r="M8" s="150" t="b">
        <f>IF(H8="Yes",C8/1000*'Preliminary results'!$G$46*Inflation!$D$7)</f>
        <v>0</v>
      </c>
      <c r="N8" s="151">
        <f t="shared" si="20"/>
        <v>0</v>
      </c>
      <c r="O8" s="151">
        <f t="shared" si="10"/>
        <v>0</v>
      </c>
      <c r="P8" s="151">
        <f t="shared" si="11"/>
        <v>0</v>
      </c>
      <c r="Q8" s="151">
        <f t="shared" si="12"/>
        <v>0</v>
      </c>
      <c r="R8" s="151">
        <f t="shared" si="21"/>
        <v>0</v>
      </c>
      <c r="S8" s="151">
        <f t="shared" si="13"/>
        <v>0</v>
      </c>
      <c r="T8" s="151">
        <f t="shared" si="14"/>
        <v>0</v>
      </c>
      <c r="U8" s="150" t="b">
        <f>IF(G8="Yes",C8/1000*'Preliminary results'!$D$46*Inflation!$D$7)</f>
        <v>0</v>
      </c>
      <c r="V8" s="150" t="b">
        <f>IF(G8="Yes",C8/1000*'Preliminary results'!$E$46*Inflation!$D$7)</f>
        <v>0</v>
      </c>
      <c r="W8" s="150" t="b">
        <f>IF(G8="Yes",C8/1000*'Preliminary results'!$F$46*Inflation!$D$7)</f>
        <v>0</v>
      </c>
      <c r="X8" s="151">
        <f t="shared" si="7"/>
        <v>0</v>
      </c>
      <c r="Y8" s="151">
        <f t="shared" si="15"/>
        <v>0</v>
      </c>
      <c r="Z8" s="151">
        <f t="shared" si="16"/>
        <v>0</v>
      </c>
      <c r="AA8" s="151">
        <f t="shared" si="17"/>
        <v>0</v>
      </c>
      <c r="AB8" s="151">
        <f t="shared" si="18"/>
        <v>0</v>
      </c>
      <c r="AC8" s="151">
        <f t="shared" si="19"/>
        <v>0</v>
      </c>
    </row>
    <row r="9" spans="1:32" hidden="1" x14ac:dyDescent="0.3">
      <c r="A9" t="s">
        <v>911</v>
      </c>
      <c r="B9" t="s">
        <v>912</v>
      </c>
      <c r="C9" s="90">
        <v>4500.9827318078414</v>
      </c>
      <c r="D9" s="37">
        <f t="shared" si="9"/>
        <v>3.8421343709692228E-5</v>
      </c>
      <c r="E9" t="s">
        <v>1050</v>
      </c>
      <c r="F9" t="s">
        <v>1046</v>
      </c>
      <c r="G9" t="s">
        <v>1047</v>
      </c>
      <c r="H9" t="s">
        <v>1047</v>
      </c>
      <c r="I9" s="93">
        <f>VLOOKUP(B9,'Beynon 2023'!$B$88:$R$336,15,FALSE)</f>
        <v>2.3797814895476248E-5</v>
      </c>
      <c r="J9" s="36" t="b">
        <f>IF(H9="Yes",C9/1000*'Preliminary results'!$D$46*Inflation!$D$7)</f>
        <v>0</v>
      </c>
      <c r="K9" s="36" t="b">
        <f>IF(H9="Yes",C9/1000*'Preliminary results'!$E$46*Inflation!$D$7)</f>
        <v>0</v>
      </c>
      <c r="L9" s="36" t="b">
        <f>IF(H9="Yes",C9/1000*'Preliminary results'!$F$46*Inflation!$D$7)</f>
        <v>0</v>
      </c>
      <c r="M9" s="150" t="b">
        <f>IF(H9="Yes",C9/1000*'Preliminary results'!$G$46*Inflation!$D$7)</f>
        <v>0</v>
      </c>
      <c r="N9" s="151">
        <f t="shared" si="20"/>
        <v>1.0074149970980304E-4</v>
      </c>
      <c r="O9" s="151">
        <f t="shared" si="10"/>
        <v>3.2480232579759787E-3</v>
      </c>
      <c r="P9" s="151">
        <f t="shared" si="11"/>
        <v>1.3704540799851924E-2</v>
      </c>
      <c r="Q9" s="151">
        <f t="shared" si="12"/>
        <v>2.3441566555228707E-2</v>
      </c>
      <c r="R9" s="151">
        <f t="shared" si="21"/>
        <v>-1.0074149970980304E-4</v>
      </c>
      <c r="S9" s="151">
        <f t="shared" si="13"/>
        <v>-3.2480232579759787E-3</v>
      </c>
      <c r="T9" s="151">
        <f t="shared" si="14"/>
        <v>-1.3704540799851924E-2</v>
      </c>
      <c r="U9" s="150" t="b">
        <f>IF(G9="Yes",C9/1000*'Preliminary results'!$D$46*Inflation!$D$7)</f>
        <v>0</v>
      </c>
      <c r="V9" s="150" t="b">
        <f>IF(G9="Yes",C9/1000*'Preliminary results'!$E$46*Inflation!$D$7)</f>
        <v>0</v>
      </c>
      <c r="W9" s="150" t="b">
        <f>IF(G9="Yes",C9/1000*'Preliminary results'!$F$46*Inflation!$D$7)</f>
        <v>0</v>
      </c>
      <c r="X9" s="151">
        <f t="shared" si="7"/>
        <v>9.1375638001068042E-4</v>
      </c>
      <c r="Y9" s="151">
        <f t="shared" si="15"/>
        <v>2.9460569705116502E-2</v>
      </c>
      <c r="Z9" s="151">
        <f t="shared" si="16"/>
        <v>0.12430439915083766</v>
      </c>
      <c r="AA9" s="151">
        <f t="shared" si="17"/>
        <v>-9.1375638001068042E-4</v>
      </c>
      <c r="AB9" s="151">
        <f t="shared" si="18"/>
        <v>-2.9460569705116502E-2</v>
      </c>
      <c r="AC9" s="151">
        <f t="shared" si="19"/>
        <v>-0.12430439915083766</v>
      </c>
    </row>
    <row r="10" spans="1:32" hidden="1" x14ac:dyDescent="0.3">
      <c r="A10" t="s">
        <v>707</v>
      </c>
      <c r="B10" t="s">
        <v>708</v>
      </c>
      <c r="C10" s="90">
        <v>122174.889423635</v>
      </c>
      <c r="D10" s="37">
        <f t="shared" si="9"/>
        <v>1.0429107816980459E-3</v>
      </c>
      <c r="E10" t="s">
        <v>708</v>
      </c>
      <c r="F10" t="s">
        <v>1048</v>
      </c>
      <c r="G10" t="s">
        <v>1045</v>
      </c>
      <c r="H10" t="s">
        <v>1047</v>
      </c>
      <c r="I10" s="93" t="str">
        <f>VLOOKUP(B10,'Beynon 2023'!$B$88:$R$336,15,FALSE)</f>
        <v/>
      </c>
      <c r="J10" s="36" t="b">
        <f>IF(H10="Yes",C10/1000*'Preliminary results'!$D$46*Inflation!$D$7)</f>
        <v>0</v>
      </c>
      <c r="K10" s="36" t="b">
        <f>IF(H10="Yes",C10/1000*'Preliminary results'!$E$46*Inflation!$D$7)</f>
        <v>0</v>
      </c>
      <c r="L10" s="36" t="b">
        <f>IF(H10="Yes",C10/1000*'Preliminary results'!$F$46*Inflation!$D$7)</f>
        <v>0</v>
      </c>
      <c r="M10" s="150" t="b">
        <f>IF(H10="Yes",C10/1000*'Preliminary results'!$G$46*Inflation!$D$7)</f>
        <v>0</v>
      </c>
      <c r="N10" s="151">
        <f t="shared" si="20"/>
        <v>0</v>
      </c>
      <c r="O10" s="151">
        <f t="shared" si="10"/>
        <v>0</v>
      </c>
      <c r="P10" s="151">
        <f t="shared" si="11"/>
        <v>0</v>
      </c>
      <c r="Q10" s="151">
        <f t="shared" si="12"/>
        <v>0</v>
      </c>
      <c r="R10" s="151">
        <f t="shared" si="21"/>
        <v>0</v>
      </c>
      <c r="S10" s="151">
        <f t="shared" si="13"/>
        <v>0</v>
      </c>
      <c r="T10" s="151">
        <f t="shared" si="14"/>
        <v>0</v>
      </c>
      <c r="U10" s="150">
        <f>IF(G10="Yes",C10/1000*'Preliminary results'!$D$46*Inflation!$D$7)</f>
        <v>0.11628331642046195</v>
      </c>
      <c r="V10" s="150">
        <f>IF(G10="Yes",C10/1000*'Preliminary results'!$E$46*Inflation!$D$7)</f>
        <v>3.7491095262252463</v>
      </c>
      <c r="W10" s="150">
        <f>IF(G10="Yes",C10/1000*'Preliminary results'!$F$46*Inflation!$D$7)</f>
        <v>15.818798199519344</v>
      </c>
      <c r="X10" s="151">
        <f t="shared" si="7"/>
        <v>0</v>
      </c>
      <c r="Y10" s="151">
        <f t="shared" si="15"/>
        <v>0</v>
      </c>
      <c r="Z10" s="151">
        <f t="shared" si="16"/>
        <v>0</v>
      </c>
      <c r="AA10" s="151">
        <f t="shared" si="17"/>
        <v>0.11628331642046195</v>
      </c>
      <c r="AB10" s="151">
        <f t="shared" si="18"/>
        <v>3.7491095262252463</v>
      </c>
      <c r="AC10" s="151">
        <f t="shared" si="19"/>
        <v>15.818798199519344</v>
      </c>
    </row>
    <row r="11" spans="1:32" hidden="1" x14ac:dyDescent="0.3">
      <c r="A11" t="s">
        <v>941</v>
      </c>
      <c r="B11" t="s">
        <v>942</v>
      </c>
      <c r="C11" s="90">
        <v>2338.1962962962998</v>
      </c>
      <c r="D11" s="37">
        <f t="shared" si="9"/>
        <v>1.995933975170933E-5</v>
      </c>
      <c r="E11" t="s">
        <v>1051</v>
      </c>
      <c r="F11" t="s">
        <v>1052</v>
      </c>
      <c r="G11" t="s">
        <v>1045</v>
      </c>
      <c r="H11" t="s">
        <v>1047</v>
      </c>
      <c r="I11" s="93" t="str">
        <f>VLOOKUP(B11,'Beynon 2023'!$B$88:$R$336,15,FALSE)</f>
        <v/>
      </c>
      <c r="J11" s="36" t="b">
        <f>IF(H11="Yes",C11/1000*'Preliminary results'!$D$46*Inflation!$D$7)</f>
        <v>0</v>
      </c>
      <c r="K11" s="36" t="b">
        <f>IF(H11="Yes",C11/1000*'Preliminary results'!$E$46*Inflation!$D$7)</f>
        <v>0</v>
      </c>
      <c r="L11" s="36" t="b">
        <f>IF(H11="Yes",C11/1000*'Preliminary results'!$F$46*Inflation!$D$7)</f>
        <v>0</v>
      </c>
      <c r="M11" s="150" t="b">
        <f>IF(H11="Yes",C11/1000*'Preliminary results'!$G$46*Inflation!$D$7)</f>
        <v>0</v>
      </c>
      <c r="N11" s="151">
        <f t="shared" si="20"/>
        <v>0</v>
      </c>
      <c r="O11" s="151">
        <f t="shared" si="10"/>
        <v>0</v>
      </c>
      <c r="P11" s="151">
        <f t="shared" si="11"/>
        <v>0</v>
      </c>
      <c r="Q11" s="151">
        <f t="shared" si="12"/>
        <v>0</v>
      </c>
      <c r="R11" s="151">
        <f t="shared" si="21"/>
        <v>0</v>
      </c>
      <c r="S11" s="151">
        <f t="shared" si="13"/>
        <v>0</v>
      </c>
      <c r="T11" s="151">
        <f t="shared" si="14"/>
        <v>0</v>
      </c>
      <c r="U11" s="150">
        <f>IF(G11="Yes",C11/1000*'Preliminary results'!$D$46*Inflation!$D$7)</f>
        <v>2.2254427326109491E-3</v>
      </c>
      <c r="V11" s="150">
        <f>IF(G11="Yes",C11/1000*'Preliminary results'!$E$46*Inflation!$D$7)</f>
        <v>7.1750865091703642E-2</v>
      </c>
      <c r="W11" s="150">
        <f>IF(G11="Yes",C11/1000*'Preliminary results'!$F$46*Inflation!$D$7)</f>
        <v>0.3027418771276531</v>
      </c>
      <c r="X11" s="151">
        <f t="shared" si="7"/>
        <v>0</v>
      </c>
      <c r="Y11" s="151">
        <f t="shared" si="15"/>
        <v>0</v>
      </c>
      <c r="Z11" s="151">
        <f t="shared" si="16"/>
        <v>0</v>
      </c>
      <c r="AA11" s="151">
        <f t="shared" si="17"/>
        <v>2.2254427326109491E-3</v>
      </c>
      <c r="AB11" s="151">
        <f t="shared" si="18"/>
        <v>7.1750865091703642E-2</v>
      </c>
      <c r="AC11" s="151">
        <f t="shared" si="19"/>
        <v>0.3027418771276531</v>
      </c>
    </row>
    <row r="12" spans="1:32" hidden="1" x14ac:dyDescent="0.3">
      <c r="A12" t="s">
        <v>618</v>
      </c>
      <c r="B12" t="s">
        <v>619</v>
      </c>
      <c r="C12" s="90">
        <v>683097.89161859709</v>
      </c>
      <c r="D12" s="37">
        <f t="shared" si="9"/>
        <v>5.8310685565999849E-3</v>
      </c>
      <c r="E12" t="s">
        <v>619</v>
      </c>
      <c r="F12" t="s">
        <v>1052</v>
      </c>
      <c r="G12" t="s">
        <v>1045</v>
      </c>
      <c r="H12" t="s">
        <v>1047</v>
      </c>
      <c r="I12" s="45">
        <f>VLOOKUP(B12,'Beynon 2023'!$B$88:$R$336,15,FALSE)</f>
        <v>3.9283122891778871E-3</v>
      </c>
      <c r="J12" s="36" t="b">
        <f>IF(H12="Yes",C12/1000*'Preliminary results'!$D$46*Inflation!$D$7)</f>
        <v>0</v>
      </c>
      <c r="K12" s="36" t="b">
        <f>IF(H12="Yes",C12/1000*'Preliminary results'!$E$46*Inflation!$D$7)</f>
        <v>0</v>
      </c>
      <c r="L12" s="36" t="b">
        <f>IF(H12="Yes",C12/1000*'Preliminary results'!$F$46*Inflation!$D$7)</f>
        <v>0</v>
      </c>
      <c r="M12" s="150" t="b">
        <f>IF(H12="Yes",C12/1000*'Preliminary results'!$G$46*Inflation!$D$7)</f>
        <v>0</v>
      </c>
      <c r="N12" s="151">
        <f t="shared" si="20"/>
        <v>1.662942892355454E-2</v>
      </c>
      <c r="O12" s="151">
        <f t="shared" si="10"/>
        <v>0.53615215245110825</v>
      </c>
      <c r="P12" s="151">
        <f t="shared" si="11"/>
        <v>2.2622125719547364</v>
      </c>
      <c r="Q12" s="151">
        <f t="shared" si="12"/>
        <v>3.8695062710984853</v>
      </c>
      <c r="R12" s="151">
        <f t="shared" si="21"/>
        <v>-1.662942892355454E-2</v>
      </c>
      <c r="S12" s="151">
        <f t="shared" si="13"/>
        <v>-0.53615215245110825</v>
      </c>
      <c r="T12" s="151">
        <f t="shared" si="14"/>
        <v>-2.2622125719547364</v>
      </c>
      <c r="U12" s="150">
        <f>IF(G12="Yes",C12/1000*'Preliminary results'!$D$46*Inflation!$D$7)</f>
        <v>0.65015723486195576</v>
      </c>
      <c r="V12" s="150">
        <f>IF(G12="Yes",C12/1000*'Preliminary results'!$E$46*Inflation!$D$7)</f>
        <v>20.961826320394685</v>
      </c>
      <c r="W12" s="150">
        <f>IF(G12="Yes",C12/1000*'Preliminary results'!$F$46*Inflation!$D$7)</f>
        <v>88.445242299857725</v>
      </c>
      <c r="X12" s="151">
        <f t="shared" si="7"/>
        <v>0.15083403382522279</v>
      </c>
      <c r="Y12" s="151">
        <f t="shared" si="15"/>
        <v>4.8630648875578153</v>
      </c>
      <c r="Z12" s="151">
        <f t="shared" si="16"/>
        <v>20.518963649722799</v>
      </c>
      <c r="AA12" s="151">
        <f t="shared" si="17"/>
        <v>0.499323201036733</v>
      </c>
      <c r="AB12" s="151">
        <f t="shared" si="18"/>
        <v>16.09876143283687</v>
      </c>
      <c r="AC12" s="151">
        <f t="shared" si="19"/>
        <v>67.926278650134918</v>
      </c>
    </row>
    <row r="13" spans="1:32" hidden="1" x14ac:dyDescent="0.3">
      <c r="A13" t="s">
        <v>802</v>
      </c>
      <c r="B13" t="s">
        <v>803</v>
      </c>
      <c r="C13" s="90">
        <v>29243.452882354501</v>
      </c>
      <c r="D13" s="37">
        <f t="shared" si="9"/>
        <v>2.4962831928036381E-4</v>
      </c>
      <c r="E13" t="s">
        <v>803</v>
      </c>
      <c r="F13" t="s">
        <v>1053</v>
      </c>
      <c r="G13" t="s">
        <v>1047</v>
      </c>
      <c r="H13" t="s">
        <v>1047</v>
      </c>
      <c r="I13" s="93">
        <f>VLOOKUP(B13,'Beynon 2023'!$B$88:$R$336,15,FALSE)</f>
        <v>4.6169952860765271E-5</v>
      </c>
      <c r="J13" s="36" t="b">
        <f>IF(H13="Yes",C13/1000*'Preliminary results'!$D$46*Inflation!$D$7)</f>
        <v>0</v>
      </c>
      <c r="K13" s="36" t="b">
        <f>IF(H13="Yes",C13/1000*'Preliminary results'!$E$46*Inflation!$D$7)</f>
        <v>0</v>
      </c>
      <c r="L13" s="36" t="b">
        <f>IF(H13="Yes",C13/1000*'Preliminary results'!$F$46*Inflation!$D$7)</f>
        <v>0</v>
      </c>
      <c r="M13" s="150" t="b">
        <f>IF(H13="Yes",C13/1000*'Preliminary results'!$G$46*Inflation!$D$7)</f>
        <v>0</v>
      </c>
      <c r="N13" s="151">
        <f t="shared" si="20"/>
        <v>1.9544778851139654E-4</v>
      </c>
      <c r="O13" s="151">
        <f t="shared" si="10"/>
        <v>6.301464288636283E-3</v>
      </c>
      <c r="P13" s="151">
        <f t="shared" si="11"/>
        <v>2.6588071446335838E-2</v>
      </c>
      <c r="Q13" s="151">
        <f t="shared" si="12"/>
        <v>4.5478798267446649E-2</v>
      </c>
      <c r="R13" s="151">
        <f t="shared" si="21"/>
        <v>-1.9544778851139654E-4</v>
      </c>
      <c r="S13" s="151">
        <f t="shared" si="13"/>
        <v>-6.301464288636283E-3</v>
      </c>
      <c r="T13" s="151">
        <f t="shared" si="14"/>
        <v>-2.6588071446335838E-2</v>
      </c>
      <c r="U13" s="150" t="b">
        <f>IF(G13="Yes",C13/1000*'Preliminary results'!$D$46*Inflation!$D$7)</f>
        <v>0</v>
      </c>
      <c r="V13" s="150" t="b">
        <f>IF(G13="Yes",C13/1000*'Preliminary results'!$E$46*Inflation!$D$7)</f>
        <v>0</v>
      </c>
      <c r="W13" s="150" t="b">
        <f>IF(G13="Yes",C13/1000*'Preliminary results'!$F$46*Inflation!$D$7)</f>
        <v>0</v>
      </c>
      <c r="X13" s="151">
        <f t="shared" si="7"/>
        <v>1.7727715412786159E-3</v>
      </c>
      <c r="Y13" s="151">
        <f t="shared" si="15"/>
        <v>5.7156218775156489E-2</v>
      </c>
      <c r="Z13" s="151">
        <f t="shared" si="16"/>
        <v>0.2411619837530076</v>
      </c>
      <c r="AA13" s="151">
        <f t="shared" si="17"/>
        <v>-1.7727715412786159E-3</v>
      </c>
      <c r="AB13" s="151">
        <f t="shared" si="18"/>
        <v>-5.7156218775156489E-2</v>
      </c>
      <c r="AC13" s="151">
        <f t="shared" si="19"/>
        <v>-0.2411619837530076</v>
      </c>
    </row>
    <row r="14" spans="1:32" hidden="1" x14ac:dyDescent="0.3">
      <c r="A14" t="s">
        <v>913</v>
      </c>
      <c r="B14" t="s">
        <v>914</v>
      </c>
      <c r="C14" s="90">
        <v>4167.5880702921704</v>
      </c>
      <c r="D14" s="37">
        <f t="shared" si="9"/>
        <v>3.5575416132466197E-5</v>
      </c>
      <c r="E14" t="s">
        <v>1051</v>
      </c>
      <c r="F14" t="s">
        <v>1052</v>
      </c>
      <c r="G14" t="s">
        <v>1047</v>
      </c>
      <c r="H14" t="s">
        <v>1047</v>
      </c>
      <c r="I14" s="93" t="str">
        <f>VLOOKUP(B14,'Beynon 2023'!$B$88:$R$336,15,FALSE)</f>
        <v/>
      </c>
      <c r="J14" s="36" t="b">
        <f>IF(H14="Yes",C14/1000*'Preliminary results'!$D$46*Inflation!$D$7)</f>
        <v>0</v>
      </c>
      <c r="K14" s="36" t="b">
        <f>IF(H14="Yes",C14/1000*'Preliminary results'!$E$46*Inflation!$D$7)</f>
        <v>0</v>
      </c>
      <c r="L14" s="36" t="b">
        <f>IF(H14="Yes",C14/1000*'Preliminary results'!$F$46*Inflation!$D$7)</f>
        <v>0</v>
      </c>
      <c r="M14" s="150" t="b">
        <f>IF(H14="Yes",C14/1000*'Preliminary results'!$G$46*Inflation!$D$7)</f>
        <v>0</v>
      </c>
      <c r="N14" s="151">
        <f t="shared" si="20"/>
        <v>0</v>
      </c>
      <c r="O14" s="151">
        <f t="shared" si="10"/>
        <v>0</v>
      </c>
      <c r="P14" s="151">
        <f t="shared" si="11"/>
        <v>0</v>
      </c>
      <c r="Q14" s="151">
        <f t="shared" si="12"/>
        <v>0</v>
      </c>
      <c r="R14" s="151">
        <f t="shared" si="21"/>
        <v>0</v>
      </c>
      <c r="S14" s="151">
        <f t="shared" si="13"/>
        <v>0</v>
      </c>
      <c r="T14" s="151">
        <f t="shared" si="14"/>
        <v>0</v>
      </c>
      <c r="U14" s="150" t="b">
        <f>IF(G14="Yes",C14/1000*'Preliminary results'!$D$46*Inflation!$D$7)</f>
        <v>0</v>
      </c>
      <c r="V14" s="150" t="b">
        <f>IF(G14="Yes",C14/1000*'Preliminary results'!$E$46*Inflation!$D$7)</f>
        <v>0</v>
      </c>
      <c r="W14" s="150" t="b">
        <f>IF(G14="Yes",C14/1000*'Preliminary results'!$F$46*Inflation!$D$7)</f>
        <v>0</v>
      </c>
      <c r="X14" s="151">
        <f t="shared" si="7"/>
        <v>0</v>
      </c>
      <c r="Y14" s="151">
        <f t="shared" si="15"/>
        <v>0</v>
      </c>
      <c r="Z14" s="151">
        <f t="shared" si="16"/>
        <v>0</v>
      </c>
      <c r="AA14" s="151">
        <f t="shared" si="17"/>
        <v>0</v>
      </c>
      <c r="AB14" s="151">
        <f t="shared" si="18"/>
        <v>0</v>
      </c>
      <c r="AC14" s="151">
        <f t="shared" si="19"/>
        <v>0</v>
      </c>
    </row>
    <row r="15" spans="1:32" hidden="1" x14ac:dyDescent="0.3">
      <c r="A15" t="s">
        <v>601</v>
      </c>
      <c r="B15" t="s">
        <v>602</v>
      </c>
      <c r="C15" s="90">
        <v>1798518.9336892101</v>
      </c>
      <c r="D15" s="37">
        <f t="shared" si="9"/>
        <v>1.5352539264665729E-2</v>
      </c>
      <c r="E15" t="s">
        <v>602</v>
      </c>
      <c r="F15" t="s">
        <v>1054</v>
      </c>
      <c r="G15" t="s">
        <v>1047</v>
      </c>
      <c r="H15" t="s">
        <v>1047</v>
      </c>
      <c r="I15" s="45">
        <f>VLOOKUP(B15,'Beynon 2023'!$B$88:$R$336,15,FALSE)</f>
        <v>3.5702701628111629E-2</v>
      </c>
      <c r="J15" s="36" t="b">
        <f>IF(H15="Yes",C15/1000*'Preliminary results'!$D$46*Inflation!$D$7)</f>
        <v>0</v>
      </c>
      <c r="K15" s="36" t="b">
        <f>IF(H15="Yes",C15/1000*'Preliminary results'!$E$46*Inflation!$D$7)</f>
        <v>0</v>
      </c>
      <c r="L15" s="36" t="b">
        <f>IF(H15="Yes",C15/1000*'Preliminary results'!$F$46*Inflation!$D$7)</f>
        <v>0</v>
      </c>
      <c r="M15" s="150" t="b">
        <f>IF(H15="Yes",C15/1000*'Preliminary results'!$G$46*Inflation!$D$7)</f>
        <v>0</v>
      </c>
      <c r="N15" s="151">
        <f t="shared" si="20"/>
        <v>0.15113756122169439</v>
      </c>
      <c r="O15" s="151">
        <f t="shared" si="10"/>
        <v>4.8728509642592011</v>
      </c>
      <c r="P15" s="151">
        <f t="shared" si="11"/>
        <v>20.560254513972414</v>
      </c>
      <c r="Q15" s="151">
        <f t="shared" si="12"/>
        <v>35.168239609088793</v>
      </c>
      <c r="R15" s="151">
        <f t="shared" si="21"/>
        <v>-0.15113756122169439</v>
      </c>
      <c r="S15" s="151">
        <f t="shared" si="13"/>
        <v>-4.8728509642592011</v>
      </c>
      <c r="T15" s="151">
        <f t="shared" si="14"/>
        <v>-20.560254513972414</v>
      </c>
      <c r="U15" s="150" t="b">
        <f>IF(G15="Yes",C15/1000*'Preliminary results'!$D$46*Inflation!$D$7)</f>
        <v>0</v>
      </c>
      <c r="V15" s="150" t="b">
        <f>IF(G15="Yes",C15/1000*'Preliminary results'!$E$46*Inflation!$D$7)</f>
        <v>0</v>
      </c>
      <c r="W15" s="150" t="b">
        <f>IF(G15="Yes",C15/1000*'Preliminary results'!$F$46*Inflation!$D$7)</f>
        <v>0</v>
      </c>
      <c r="X15" s="151">
        <f t="shared" si="7"/>
        <v>1.3708641545281604</v>
      </c>
      <c r="Y15" s="151">
        <f t="shared" si="15"/>
        <v>44.1982566296833</v>
      </c>
      <c r="Z15" s="151">
        <f t="shared" si="16"/>
        <v>186.48783064480739</v>
      </c>
      <c r="AA15" s="151">
        <f t="shared" si="17"/>
        <v>-1.3708641545281604</v>
      </c>
      <c r="AB15" s="151">
        <f t="shared" si="18"/>
        <v>-44.1982566296833</v>
      </c>
      <c r="AC15" s="151">
        <f t="shared" si="19"/>
        <v>-186.48783064480739</v>
      </c>
    </row>
    <row r="16" spans="1:32" hidden="1" x14ac:dyDescent="0.3">
      <c r="A16" t="s">
        <v>626</v>
      </c>
      <c r="B16" t="s">
        <v>627</v>
      </c>
      <c r="C16" s="90">
        <v>579470.02109541802</v>
      </c>
      <c r="D16" s="37">
        <f t="shared" si="9"/>
        <v>4.9464790639237154E-3</v>
      </c>
      <c r="E16" t="s">
        <v>627</v>
      </c>
      <c r="F16" t="s">
        <v>1046</v>
      </c>
      <c r="G16" t="s">
        <v>1047</v>
      </c>
      <c r="H16" t="s">
        <v>1047</v>
      </c>
      <c r="I16" s="45">
        <f>VLOOKUP(B16,'Beynon 2023'!$B$88:$R$336,15,FALSE)</f>
        <v>3.9375006082531692E-3</v>
      </c>
      <c r="J16" s="36" t="b">
        <f>IF(H16="Yes",C16/1000*'Preliminary results'!$D$46*Inflation!$D$7)</f>
        <v>0</v>
      </c>
      <c r="K16" s="36" t="b">
        <f>IF(H16="Yes",C16/1000*'Preliminary results'!$E$46*Inflation!$D$7)</f>
        <v>0</v>
      </c>
      <c r="L16" s="36" t="b">
        <f>IF(H16="Yes",C16/1000*'Preliminary results'!$F$46*Inflation!$D$7)</f>
        <v>0</v>
      </c>
      <c r="M16" s="150" t="b">
        <f>IF(H16="Yes",C16/1000*'Preliminary results'!$G$46*Inflation!$D$7)</f>
        <v>0</v>
      </c>
      <c r="N16" s="151">
        <f t="shared" si="20"/>
        <v>1.6668325143544556E-2</v>
      </c>
      <c r="O16" s="151">
        <f t="shared" si="10"/>
        <v>0.53740621187586213</v>
      </c>
      <c r="P16" s="151">
        <f t="shared" si="11"/>
        <v>2.2675038852203588</v>
      </c>
      <c r="Q16" s="151">
        <f t="shared" si="12"/>
        <v>3.8785570429479144</v>
      </c>
      <c r="R16" s="151">
        <f t="shared" si="21"/>
        <v>-1.6668325143544556E-2</v>
      </c>
      <c r="S16" s="151">
        <f t="shared" si="13"/>
        <v>-0.53740621187586213</v>
      </c>
      <c r="T16" s="151">
        <f t="shared" si="14"/>
        <v>-2.2675038852203588</v>
      </c>
      <c r="U16" s="150" t="b">
        <f>IF(G16="Yes",C16/1000*'Preliminary results'!$D$46*Inflation!$D$7)</f>
        <v>0</v>
      </c>
      <c r="V16" s="150" t="b">
        <f>IF(G16="Yes",C16/1000*'Preliminary results'!$E$46*Inflation!$D$7)</f>
        <v>0</v>
      </c>
      <c r="W16" s="150" t="b">
        <f>IF(G16="Yes",C16/1000*'Preliminary results'!$F$46*Inflation!$D$7)</f>
        <v>0</v>
      </c>
      <c r="X16" s="151">
        <f t="shared" si="7"/>
        <v>0.15118683450097764</v>
      </c>
      <c r="Y16" s="151">
        <f t="shared" si="15"/>
        <v>4.8744395921590211</v>
      </c>
      <c r="Z16" s="151">
        <f t="shared" si="16"/>
        <v>20.566957488101473</v>
      </c>
      <c r="AA16" s="151">
        <f t="shared" si="17"/>
        <v>-0.15118683450097764</v>
      </c>
      <c r="AB16" s="151">
        <f t="shared" si="18"/>
        <v>-4.8744395921590211</v>
      </c>
      <c r="AC16" s="151">
        <f t="shared" si="19"/>
        <v>-20.566957488101473</v>
      </c>
    </row>
    <row r="17" spans="1:31" hidden="1" x14ac:dyDescent="0.3">
      <c r="A17" t="s">
        <v>744</v>
      </c>
      <c r="B17" t="s">
        <v>745</v>
      </c>
      <c r="C17" s="90">
        <v>75937.647058823495</v>
      </c>
      <c r="D17" s="37">
        <f t="shared" si="9"/>
        <v>6.4821986930407036E-4</v>
      </c>
      <c r="E17" t="s">
        <v>745</v>
      </c>
      <c r="F17" t="s">
        <v>1053</v>
      </c>
      <c r="G17" t="s">
        <v>1045</v>
      </c>
      <c r="H17" t="s">
        <v>1047</v>
      </c>
      <c r="I17" s="93">
        <f>VLOOKUP(B17,'Beynon 2023'!$B$88:$R$336,15,FALSE)</f>
        <v>2.791079530520719E-4</v>
      </c>
      <c r="J17" s="36" t="b">
        <f>IF(H17="Yes",C17/1000*'Preliminary results'!$D$46*Inflation!$D$7)</f>
        <v>0</v>
      </c>
      <c r="K17" s="36" t="b">
        <f>IF(H17="Yes",C17/1000*'Preliminary results'!$E$46*Inflation!$D$7)</f>
        <v>0</v>
      </c>
      <c r="L17" s="36" t="b">
        <f>IF(H17="Yes",C17/1000*'Preliminary results'!$F$46*Inflation!$D$7)</f>
        <v>0</v>
      </c>
      <c r="M17" s="150" t="b">
        <f>IF(H17="Yes",C17/1000*'Preliminary results'!$G$46*Inflation!$D$7)</f>
        <v>0</v>
      </c>
      <c r="N17" s="151">
        <f t="shared" si="20"/>
        <v>1.1815267029723789E-3</v>
      </c>
      <c r="O17" s="151">
        <f t="shared" si="10"/>
        <v>3.8093796719610752E-2</v>
      </c>
      <c r="P17" s="151">
        <f t="shared" si="11"/>
        <v>0.16073098925113422</v>
      </c>
      <c r="Q17" s="151">
        <f t="shared" si="12"/>
        <v>0.27492976503517164</v>
      </c>
      <c r="R17" s="151">
        <f t="shared" si="21"/>
        <v>-1.1815267029723789E-3</v>
      </c>
      <c r="S17" s="151">
        <f t="shared" si="13"/>
        <v>-3.8093796719610752E-2</v>
      </c>
      <c r="T17" s="151">
        <f t="shared" si="14"/>
        <v>-0.16073098925113422</v>
      </c>
      <c r="U17" s="150">
        <f>IF(G17="Yes",C17/1000*'Preliminary results'!$D$46*Inflation!$D$7)</f>
        <v>7.2275747355481521E-2</v>
      </c>
      <c r="V17" s="150">
        <f>IF(G17="Yes",C17/1000*'Preliminary results'!$E$46*Inflation!$D$7)</f>
        <v>2.3302542554402357</v>
      </c>
      <c r="W17" s="150">
        <f>IF(G17="Yes",C17/1000*'Preliminary results'!$F$46*Inflation!$D$7)</f>
        <v>9.8321538921521601</v>
      </c>
      <c r="X17" s="151">
        <f t="shared" si="7"/>
        <v>1.0716810511100006E-2</v>
      </c>
      <c r="Y17" s="151">
        <f t="shared" si="15"/>
        <v>0.34552244995005849</v>
      </c>
      <c r="Z17" s="151">
        <f t="shared" si="16"/>
        <v>1.4578794966992152</v>
      </c>
      <c r="AA17" s="151">
        <f t="shared" si="17"/>
        <v>6.1558936844381518E-2</v>
      </c>
      <c r="AB17" s="151">
        <f t="shared" si="18"/>
        <v>1.9847318054901772</v>
      </c>
      <c r="AC17" s="151">
        <f t="shared" si="19"/>
        <v>8.3742743954529448</v>
      </c>
    </row>
    <row r="18" spans="1:31" hidden="1" x14ac:dyDescent="0.3">
      <c r="A18" t="s">
        <v>859</v>
      </c>
      <c r="B18" t="s">
        <v>860</v>
      </c>
      <c r="C18" s="90">
        <v>15832.8</v>
      </c>
      <c r="D18" s="37">
        <f t="shared" si="9"/>
        <v>1.3515214052875992E-4</v>
      </c>
      <c r="E18" t="s">
        <v>1055</v>
      </c>
      <c r="F18" t="s">
        <v>1052</v>
      </c>
      <c r="G18" t="s">
        <v>1045</v>
      </c>
      <c r="H18" t="s">
        <v>1047</v>
      </c>
      <c r="I18" s="93" t="str">
        <f>VLOOKUP(E18,'Beynon 2023'!$B$88:$R$336,15,FALSE)</f>
        <v/>
      </c>
      <c r="J18" s="36" t="b">
        <f>IF(H18="Yes",C18/1000*'Preliminary results'!$D$46*Inflation!$D$7)</f>
        <v>0</v>
      </c>
      <c r="K18" s="36" t="b">
        <f>IF(H18="Yes",C18/1000*'Preliminary results'!$E$46*Inflation!$D$7)</f>
        <v>0</v>
      </c>
      <c r="L18" s="36" t="b">
        <f>IF(H18="Yes",C18/1000*'Preliminary results'!$F$46*Inflation!$D$7)</f>
        <v>0</v>
      </c>
      <c r="M18" s="150" t="b">
        <f>IF(H18="Yes",C18/1000*'Preliminary results'!$G$46*Inflation!$D$7)</f>
        <v>0</v>
      </c>
      <c r="N18" s="151">
        <f t="shared" si="20"/>
        <v>0</v>
      </c>
      <c r="O18" s="151">
        <f t="shared" si="10"/>
        <v>0</v>
      </c>
      <c r="P18" s="151">
        <f t="shared" si="11"/>
        <v>0</v>
      </c>
      <c r="Q18" s="151">
        <f t="shared" si="12"/>
        <v>0</v>
      </c>
      <c r="R18" s="151">
        <f t="shared" si="21"/>
        <v>0</v>
      </c>
      <c r="S18" s="151">
        <f t="shared" si="13"/>
        <v>0</v>
      </c>
      <c r="T18" s="151">
        <f t="shared" si="14"/>
        <v>0</v>
      </c>
      <c r="U18" s="150">
        <f>IF(G18="Yes",C18/1000*'Preliminary results'!$D$46*Inflation!$D$7)</f>
        <v>1.5069303527977878E-2</v>
      </c>
      <c r="V18" s="150">
        <f>IF(G18="Yes",C18/1000*'Preliminary results'!$E$46*Inflation!$D$7)</f>
        <v>0.48585189302684939</v>
      </c>
      <c r="W18" s="150">
        <f>IF(G18="Yes",C18/1000*'Preliminary results'!$F$46*Inflation!$D$7)</f>
        <v>2.0499782673418867</v>
      </c>
      <c r="X18" s="151">
        <f t="shared" si="7"/>
        <v>0</v>
      </c>
      <c r="Y18" s="151">
        <f t="shared" si="15"/>
        <v>0</v>
      </c>
      <c r="Z18" s="151">
        <f t="shared" si="16"/>
        <v>0</v>
      </c>
      <c r="AA18" s="151">
        <f t="shared" si="17"/>
        <v>1.5069303527977878E-2</v>
      </c>
      <c r="AB18" s="151">
        <f t="shared" si="18"/>
        <v>0.48585189302684939</v>
      </c>
      <c r="AC18" s="151">
        <f t="shared" si="19"/>
        <v>2.0499782673418867</v>
      </c>
    </row>
    <row r="19" spans="1:31" hidden="1" x14ac:dyDescent="0.3">
      <c r="A19" t="s">
        <v>768</v>
      </c>
      <c r="B19" t="s">
        <v>769</v>
      </c>
      <c r="C19" s="90">
        <v>48965.725531914897</v>
      </c>
      <c r="D19" s="37">
        <f t="shared" si="9"/>
        <v>4.1798182369398015E-4</v>
      </c>
      <c r="E19" t="s">
        <v>769</v>
      </c>
      <c r="F19" t="s">
        <v>1056</v>
      </c>
      <c r="G19" t="s">
        <v>1045</v>
      </c>
      <c r="H19" t="s">
        <v>1047</v>
      </c>
      <c r="I19" s="45">
        <f>VLOOKUP(B19,'Beynon 2023'!$B$88:$R$336,15,FALSE)</f>
        <v>9.2212214362320257E-4</v>
      </c>
      <c r="J19" s="36" t="b">
        <f>IF(H19="Yes",C19/1000*'Preliminary results'!$D$46*Inflation!$D$7)</f>
        <v>0</v>
      </c>
      <c r="K19" s="36" t="b">
        <f>IF(H19="Yes",C19/1000*'Preliminary results'!$E$46*Inflation!$D$7)</f>
        <v>0</v>
      </c>
      <c r="L19" s="36" t="b">
        <f>IF(H19="Yes",C19/1000*'Preliminary results'!$F$46*Inflation!$D$7)</f>
        <v>0</v>
      </c>
      <c r="M19" s="150" t="b">
        <f>IF(H19="Yes",C19/1000*'Preliminary results'!$G$46*Inflation!$D$7)</f>
        <v>0</v>
      </c>
      <c r="N19" s="151">
        <f t="shared" si="20"/>
        <v>3.9035503079687586E-3</v>
      </c>
      <c r="O19" s="151">
        <f t="shared" si="10"/>
        <v>0.12585500737515881</v>
      </c>
      <c r="P19" s="151">
        <f t="shared" si="11"/>
        <v>0.53102608769905701</v>
      </c>
      <c r="Q19" s="151">
        <f t="shared" si="12"/>
        <v>0.90831816688777067</v>
      </c>
      <c r="R19" s="151">
        <f t="shared" si="21"/>
        <v>-3.9035503079687586E-3</v>
      </c>
      <c r="S19" s="151">
        <f t="shared" si="13"/>
        <v>-0.12585500737515881</v>
      </c>
      <c r="T19" s="151">
        <f t="shared" si="14"/>
        <v>-0.53102608769905701</v>
      </c>
      <c r="U19" s="150">
        <f>IF(G19="Yes",C19/1000*'Preliminary results'!$D$46*Inflation!$D$7)</f>
        <v>4.6604478077666718E-2</v>
      </c>
      <c r="V19" s="150">
        <f>IF(G19="Yes",C19/1000*'Preliminary results'!$E$46*Inflation!$D$7)</f>
        <v>1.5025826412961691</v>
      </c>
      <c r="W19" s="150">
        <f>IF(G19="Yes",C19/1000*'Preliminary results'!$F$46*Inflation!$D$7)</f>
        <v>6.3399192300195351</v>
      </c>
      <c r="X19" s="151">
        <f t="shared" si="7"/>
        <v>3.5406401620721742E-2</v>
      </c>
      <c r="Y19" s="151">
        <f t="shared" si="15"/>
        <v>1.1415436168472286</v>
      </c>
      <c r="Z19" s="151">
        <f t="shared" si="16"/>
        <v>4.8165699040105396</v>
      </c>
      <c r="AA19" s="151">
        <f t="shared" si="17"/>
        <v>1.1198076456944976E-2</v>
      </c>
      <c r="AB19" s="151">
        <f t="shared" si="18"/>
        <v>0.36103902444894054</v>
      </c>
      <c r="AC19" s="151">
        <f t="shared" si="19"/>
        <v>1.5233493260089954</v>
      </c>
    </row>
    <row r="20" spans="1:31" x14ac:dyDescent="0.3">
      <c r="A20" t="s">
        <v>644</v>
      </c>
      <c r="B20" t="s">
        <v>645</v>
      </c>
      <c r="C20" s="90">
        <v>456319.22925557801</v>
      </c>
      <c r="D20" s="37">
        <f t="shared" si="9"/>
        <v>3.8952377721139212E-3</v>
      </c>
      <c r="E20" t="s">
        <v>645</v>
      </c>
      <c r="F20" t="s">
        <v>1021</v>
      </c>
      <c r="G20" t="s">
        <v>1045</v>
      </c>
      <c r="H20" t="s">
        <v>1045</v>
      </c>
      <c r="I20" s="93" t="str">
        <f>VLOOKUP(B20,'Beynon 2023'!$B$88:$R$336,15,FALSE)</f>
        <v/>
      </c>
      <c r="J20" s="36">
        <f>IF(H20="Yes",C20/1000*'Preliminary results'!$D$46*Inflation!$D$7)</f>
        <v>0.43431439614630557</v>
      </c>
      <c r="K20" s="36">
        <f>IF(H20="Yes",C20/1000*'Preliminary results'!$E$46*Inflation!$D$7)</f>
        <v>14.002801864381251</v>
      </c>
      <c r="L20" s="36">
        <f>IF(H20="Yes",C20/1000*'Preliminary results'!$F$46*Inflation!$D$7)</f>
        <v>59.082695603060422</v>
      </c>
      <c r="M20" s="150">
        <f>IF(H20="Yes",C20/1000*'Preliminary results'!$G$46*Inflation!$D$7)</f>
        <v>101.0607331882601</v>
      </c>
      <c r="N20" s="151">
        <f t="shared" si="20"/>
        <v>0</v>
      </c>
      <c r="O20" s="151">
        <f t="shared" si="10"/>
        <v>0</v>
      </c>
      <c r="P20" s="151">
        <f t="shared" si="11"/>
        <v>0</v>
      </c>
      <c r="Q20" s="151">
        <f t="shared" si="12"/>
        <v>0</v>
      </c>
      <c r="R20" s="151">
        <f t="shared" si="21"/>
        <v>0.43431439614630557</v>
      </c>
      <c r="S20" s="151">
        <f t="shared" si="13"/>
        <v>14.002801864381251</v>
      </c>
      <c r="T20" s="151">
        <f t="shared" si="14"/>
        <v>59.082695603060422</v>
      </c>
      <c r="U20" s="150">
        <f>IF(G20="Yes",C20/1000*'Preliminary results'!$D$46*Inflation!$D$7)</f>
        <v>0.43431439614630557</v>
      </c>
      <c r="V20" s="150">
        <f>IF(G20="Yes",C20/1000*'Preliminary results'!$E$46*Inflation!$D$7)</f>
        <v>14.002801864381251</v>
      </c>
      <c r="W20" s="150">
        <f>IF(G20="Yes",C20/1000*'Preliminary results'!$F$46*Inflation!$D$7)</f>
        <v>59.082695603060422</v>
      </c>
      <c r="X20" s="151">
        <f t="shared" si="7"/>
        <v>0</v>
      </c>
      <c r="Y20" s="151">
        <f t="shared" si="15"/>
        <v>0</v>
      </c>
      <c r="Z20" s="151">
        <f t="shared" si="16"/>
        <v>0</v>
      </c>
      <c r="AA20" s="151">
        <f t="shared" si="17"/>
        <v>0.43431439614630557</v>
      </c>
      <c r="AB20" s="151">
        <f t="shared" si="18"/>
        <v>14.002801864381251</v>
      </c>
      <c r="AC20" s="151">
        <f t="shared" si="19"/>
        <v>59.082695603060422</v>
      </c>
    </row>
    <row r="21" spans="1:31" hidden="1" x14ac:dyDescent="0.3">
      <c r="A21" t="s">
        <v>889</v>
      </c>
      <c r="B21" t="s">
        <v>890</v>
      </c>
      <c r="C21" s="90">
        <v>8016.55</v>
      </c>
      <c r="D21" s="37">
        <f t="shared" si="9"/>
        <v>6.8430971916264355E-5</v>
      </c>
      <c r="E21" t="s">
        <v>1051</v>
      </c>
      <c r="F21" t="s">
        <v>1052</v>
      </c>
      <c r="G21" t="s">
        <v>1045</v>
      </c>
      <c r="H21" t="s">
        <v>1045</v>
      </c>
      <c r="I21" s="93" t="str">
        <f>VLOOKUP(B21,'Beynon 2023'!$B$88:$R$336,15,FALSE)</f>
        <v/>
      </c>
      <c r="J21" s="36">
        <f>IF(H21="Yes",C21/1000*'Preliminary results'!$D$46*Inflation!$D$7)</f>
        <v>7.6299722852060953E-3</v>
      </c>
      <c r="K21" s="36">
        <f>IF(H21="Yes",C21/1000*'Preliminary results'!$E$46*Inflation!$D$7)</f>
        <v>0.24599919111239898</v>
      </c>
      <c r="L21" s="36">
        <f>IF(H21="Yes",C21/1000*'Preliminary results'!$F$46*Inflation!$D$7)</f>
        <v>1.0379562224659948</v>
      </c>
      <c r="M21" s="150">
        <f>IF(H21="Yes",C21/1000*'Preliminary results'!$G$46*Inflation!$D$7)</f>
        <v>1.7754202950465368</v>
      </c>
      <c r="N21" s="151">
        <f t="shared" si="20"/>
        <v>0</v>
      </c>
      <c r="O21" s="151">
        <f t="shared" si="10"/>
        <v>0</v>
      </c>
      <c r="P21" s="151">
        <f t="shared" si="11"/>
        <v>0</v>
      </c>
      <c r="Q21" s="151">
        <f t="shared" si="12"/>
        <v>0</v>
      </c>
      <c r="R21" s="151">
        <f t="shared" si="21"/>
        <v>7.6299722852060953E-3</v>
      </c>
      <c r="S21" s="151">
        <f t="shared" si="13"/>
        <v>0.24599919111239898</v>
      </c>
      <c r="T21" s="151">
        <f t="shared" si="14"/>
        <v>1.0379562224659948</v>
      </c>
      <c r="U21" s="150">
        <f>IF(G21="Yes",C21/1000*'Preliminary results'!$D$46*Inflation!$D$7)</f>
        <v>7.6299722852060953E-3</v>
      </c>
      <c r="V21" s="150">
        <f>IF(G21="Yes",C21/1000*'Preliminary results'!$E$46*Inflation!$D$7)</f>
        <v>0.24599919111239898</v>
      </c>
      <c r="W21" s="150">
        <f>IF(G21="Yes",C21/1000*'Preliminary results'!$F$46*Inflation!$D$7)</f>
        <v>1.0379562224659948</v>
      </c>
      <c r="X21" s="151">
        <f t="shared" si="7"/>
        <v>0</v>
      </c>
      <c r="Y21" s="151">
        <f t="shared" si="15"/>
        <v>0</v>
      </c>
      <c r="Z21" s="151">
        <f t="shared" si="16"/>
        <v>0</v>
      </c>
      <c r="AA21" s="151">
        <f t="shared" si="17"/>
        <v>7.6299722852060953E-3</v>
      </c>
      <c r="AB21" s="151">
        <f t="shared" si="18"/>
        <v>0.24599919111239898</v>
      </c>
      <c r="AC21" s="151">
        <f t="shared" si="19"/>
        <v>1.0379562224659948</v>
      </c>
      <c r="AE21" s="90"/>
    </row>
    <row r="22" spans="1:31" hidden="1" x14ac:dyDescent="0.3">
      <c r="A22" t="s">
        <v>729</v>
      </c>
      <c r="B22" t="s">
        <v>730</v>
      </c>
      <c r="C22" s="90">
        <v>93397.215864197991</v>
      </c>
      <c r="D22" s="37">
        <f t="shared" si="9"/>
        <v>7.9725845355673103E-4</v>
      </c>
      <c r="E22" t="s">
        <v>730</v>
      </c>
      <c r="F22" t="s">
        <v>1053</v>
      </c>
      <c r="G22" t="s">
        <v>1047</v>
      </c>
      <c r="H22" t="s">
        <v>1047</v>
      </c>
      <c r="I22" s="45">
        <f>VLOOKUP(B22,'Beynon 2023'!$B$88:$R$336,15,FALSE)</f>
        <v>7.5930173855065432E-4</v>
      </c>
      <c r="J22" s="36" t="b">
        <f>IF(H22="Yes",C22/1000*'Preliminary results'!$D$46*Inflation!$D$7)</f>
        <v>0</v>
      </c>
      <c r="K22" s="36" t="b">
        <f>IF(H22="Yes",C22/1000*'Preliminary results'!$E$46*Inflation!$D$7)</f>
        <v>0</v>
      </c>
      <c r="L22" s="36" t="b">
        <f>IF(H22="Yes",C22/1000*'Preliminary results'!$F$46*Inflation!$D$7)</f>
        <v>0</v>
      </c>
      <c r="M22" s="150" t="b">
        <f>IF(H22="Yes",C22/1000*'Preliminary results'!$G$46*Inflation!$D$7)</f>
        <v>0</v>
      </c>
      <c r="N22" s="151">
        <f t="shared" si="20"/>
        <v>3.214294934632606E-3</v>
      </c>
      <c r="O22" s="151">
        <f t="shared" si="10"/>
        <v>0.10363261154295847</v>
      </c>
      <c r="P22" s="151">
        <f t="shared" si="11"/>
        <v>0.43726206381006877</v>
      </c>
      <c r="Q22" s="151">
        <f t="shared" si="12"/>
        <v>0.74793514942077743</v>
      </c>
      <c r="R22" s="151">
        <f t="shared" si="21"/>
        <v>-3.214294934632606E-3</v>
      </c>
      <c r="S22" s="151">
        <f t="shared" si="13"/>
        <v>-0.10363261154295847</v>
      </c>
      <c r="T22" s="151">
        <f t="shared" si="14"/>
        <v>-0.43726206381006877</v>
      </c>
      <c r="U22" s="150" t="b">
        <f>IF(G22="Yes",C22/1000*'Preliminary results'!$D$46*Inflation!$D$7)</f>
        <v>0</v>
      </c>
      <c r="V22" s="150" t="b">
        <f>IF(G22="Yes",C22/1000*'Preliminary results'!$E$46*Inflation!$D$7)</f>
        <v>0</v>
      </c>
      <c r="W22" s="150" t="b">
        <f>IF(G22="Yes",C22/1000*'Preliminary results'!$F$46*Inflation!$D$7)</f>
        <v>0</v>
      </c>
      <c r="X22" s="151">
        <f t="shared" si="7"/>
        <v>2.9154643441056026E-2</v>
      </c>
      <c r="Y22" s="151">
        <f t="shared" si="15"/>
        <v>0.93997965334371647</v>
      </c>
      <c r="Z22" s="151">
        <f t="shared" si="16"/>
        <v>3.9661013752429501</v>
      </c>
      <c r="AA22" s="151">
        <f t="shared" si="17"/>
        <v>-2.9154643441056026E-2</v>
      </c>
      <c r="AB22" s="151">
        <f t="shared" si="18"/>
        <v>-0.93997965334371647</v>
      </c>
      <c r="AC22" s="151">
        <f t="shared" si="19"/>
        <v>-3.9661013752429501</v>
      </c>
    </row>
    <row r="23" spans="1:31" hidden="1" x14ac:dyDescent="0.3">
      <c r="A23" t="s">
        <v>614</v>
      </c>
      <c r="B23" t="s">
        <v>615</v>
      </c>
      <c r="C23" s="90">
        <v>725466.46285964595</v>
      </c>
      <c r="D23" s="37">
        <f t="shared" si="9"/>
        <v>6.1927356713474086E-3</v>
      </c>
      <c r="E23" t="s">
        <v>615</v>
      </c>
      <c r="F23" t="s">
        <v>1046</v>
      </c>
      <c r="G23" t="s">
        <v>1047</v>
      </c>
      <c r="H23" t="s">
        <v>1047</v>
      </c>
      <c r="I23" s="45">
        <f>VLOOKUP(B23,'Beynon 2023'!$B$88:$R$336,15,FALSE)</f>
        <v>7.2560832492151407E-3</v>
      </c>
      <c r="J23" s="36" t="b">
        <f>IF(H23="Yes",C23/1000*'Preliminary results'!$D$46*Inflation!$D$7)</f>
        <v>0</v>
      </c>
      <c r="K23" s="36" t="b">
        <f>IF(H23="Yes",C23/1000*'Preliminary results'!$E$46*Inflation!$D$7)</f>
        <v>0</v>
      </c>
      <c r="L23" s="36" t="b">
        <f>IF(H23="Yes",C23/1000*'Preliminary results'!$F$46*Inflation!$D$7)</f>
        <v>0</v>
      </c>
      <c r="M23" s="150" t="b">
        <f>IF(H23="Yes",C23/1000*'Preliminary results'!$G$46*Inflation!$D$7)</f>
        <v>0</v>
      </c>
      <c r="N23" s="151">
        <f t="shared" si="20"/>
        <v>3.0716631411569984E-2</v>
      </c>
      <c r="O23" s="151">
        <f t="shared" si="10"/>
        <v>0.99033996435280869</v>
      </c>
      <c r="P23" s="151">
        <f t="shared" si="11"/>
        <v>4.1785890583968657</v>
      </c>
      <c r="Q23" s="151">
        <f t="shared" si="12"/>
        <v>7.1474611918714537</v>
      </c>
      <c r="R23" s="151">
        <f t="shared" si="21"/>
        <v>-3.0716631411569984E-2</v>
      </c>
      <c r="S23" s="151">
        <f t="shared" si="13"/>
        <v>-0.99033996435280869</v>
      </c>
      <c r="T23" s="151">
        <f t="shared" si="14"/>
        <v>-4.1785890583968657</v>
      </c>
      <c r="U23" s="150" t="b">
        <f>IF(G23="Yes",C23/1000*'Preliminary results'!$D$46*Inflation!$D$7)</f>
        <v>0</v>
      </c>
      <c r="V23" s="150" t="b">
        <f>IF(G23="Yes",C23/1000*'Preliminary results'!$E$46*Inflation!$D$7)</f>
        <v>0</v>
      </c>
      <c r="W23" s="150" t="b">
        <f>IF(G23="Yes",C23/1000*'Preliminary results'!$F$46*Inflation!$D$7)</f>
        <v>0</v>
      </c>
      <c r="X23" s="151">
        <f t="shared" si="7"/>
        <v>0.27860929215477348</v>
      </c>
      <c r="Y23" s="151">
        <f t="shared" si="15"/>
        <v>8.9826880025975129</v>
      </c>
      <c r="Z23" s="151">
        <f t="shared" si="16"/>
        <v>37.901087660514619</v>
      </c>
      <c r="AA23" s="151">
        <f t="shared" si="17"/>
        <v>-0.27860929215477348</v>
      </c>
      <c r="AB23" s="151">
        <f t="shared" si="18"/>
        <v>-8.9826880025975129</v>
      </c>
      <c r="AC23" s="151">
        <f t="shared" si="19"/>
        <v>-37.901087660514619</v>
      </c>
    </row>
    <row r="24" spans="1:31" hidden="1" x14ac:dyDescent="0.3">
      <c r="A24" t="s">
        <v>925</v>
      </c>
      <c r="B24" t="s">
        <v>926</v>
      </c>
      <c r="C24" s="90">
        <v>3326.5</v>
      </c>
      <c r="D24" s="37">
        <f t="shared" si="9"/>
        <v>2.8395709885106856E-5</v>
      </c>
      <c r="E24" t="s">
        <v>926</v>
      </c>
      <c r="F24" t="s">
        <v>1052</v>
      </c>
      <c r="G24" t="s">
        <v>1045</v>
      </c>
      <c r="H24" t="s">
        <v>1047</v>
      </c>
      <c r="I24" s="93" t="str">
        <f>VLOOKUP(B24,'Beynon 2023'!$B$88:$R$336,15,FALSE)</f>
        <v/>
      </c>
      <c r="J24" s="36" t="b">
        <f>IF(H24="Yes",C24/1000*'Preliminary results'!$D$46*Inflation!$D$7)</f>
        <v>0</v>
      </c>
      <c r="K24" s="36" t="b">
        <f>IF(H24="Yes",C24/1000*'Preliminary results'!$E$46*Inflation!$D$7)</f>
        <v>0</v>
      </c>
      <c r="L24" s="36" t="b">
        <f>IF(H24="Yes",C24/1000*'Preliminary results'!$F$46*Inflation!$D$7)</f>
        <v>0</v>
      </c>
      <c r="M24" s="150" t="b">
        <f>IF(H24="Yes",C24/1000*'Preliminary results'!$G$46*Inflation!$D$7)</f>
        <v>0</v>
      </c>
      <c r="N24" s="151">
        <f t="shared" si="20"/>
        <v>0</v>
      </c>
      <c r="O24" s="151">
        <f t="shared" si="10"/>
        <v>0</v>
      </c>
      <c r="P24" s="151">
        <f t="shared" si="11"/>
        <v>0</v>
      </c>
      <c r="Q24" s="151">
        <f t="shared" si="12"/>
        <v>0</v>
      </c>
      <c r="R24" s="151">
        <f t="shared" si="21"/>
        <v>0</v>
      </c>
      <c r="S24" s="151">
        <f t="shared" si="13"/>
        <v>0</v>
      </c>
      <c r="T24" s="151">
        <f t="shared" si="14"/>
        <v>0</v>
      </c>
      <c r="U24" s="150">
        <f>IF(G24="Yes",C24/1000*'Preliminary results'!$D$46*Inflation!$D$7)</f>
        <v>3.1660880062792693E-3</v>
      </c>
      <c r="V24" s="150">
        <f>IF(G24="Yes",C24/1000*'Preliminary results'!$E$46*Inflation!$D$7)</f>
        <v>0.10207836403881908</v>
      </c>
      <c r="W24" s="150">
        <f>IF(G24="Yes",C24/1000*'Preliminary results'!$F$46*Inflation!$D$7)</f>
        <v>0.43070415253857725</v>
      </c>
      <c r="X24" s="151">
        <f t="shared" si="7"/>
        <v>0</v>
      </c>
      <c r="Y24" s="151">
        <f t="shared" si="15"/>
        <v>0</v>
      </c>
      <c r="Z24" s="151">
        <f t="shared" si="16"/>
        <v>0</v>
      </c>
      <c r="AA24" s="151">
        <f t="shared" si="17"/>
        <v>3.1660880062792693E-3</v>
      </c>
      <c r="AB24" s="151">
        <f t="shared" si="18"/>
        <v>0.10207836403881908</v>
      </c>
      <c r="AC24" s="151">
        <f t="shared" si="19"/>
        <v>0.43070415253857725</v>
      </c>
    </row>
    <row r="25" spans="1:31" hidden="1" x14ac:dyDescent="0.3">
      <c r="A25" t="s">
        <v>820</v>
      </c>
      <c r="B25" t="s">
        <v>821</v>
      </c>
      <c r="C25" s="90">
        <v>24566.420903533701</v>
      </c>
      <c r="D25" s="37">
        <f t="shared" si="9"/>
        <v>2.0970418184042315E-4</v>
      </c>
      <c r="E25" t="s">
        <v>821</v>
      </c>
      <c r="F25" t="s">
        <v>1048</v>
      </c>
      <c r="G25" t="s">
        <v>1045</v>
      </c>
      <c r="H25" t="s">
        <v>1045</v>
      </c>
      <c r="I25" s="93" t="str">
        <f>VLOOKUP(B25,'Beynon 2023'!$B$88:$R$336,15,FALSE)</f>
        <v/>
      </c>
      <c r="J25" s="36">
        <f>IF(H25="Yes",C25/1000*'Preliminary results'!$D$46*Inflation!$D$7)</f>
        <v>2.3381767797951713E-2</v>
      </c>
      <c r="K25" s="36">
        <f>IF(H25="Yes",C25/1000*'Preliminary results'!$E$46*Inflation!$D$7)</f>
        <v>0.75385542044844966</v>
      </c>
      <c r="L25" s="36">
        <f>IF(H25="Yes",C25/1000*'Preliminary results'!$F$46*Inflation!$D$7)</f>
        <v>3.1807784446602954</v>
      </c>
      <c r="M25" s="150">
        <f>IF(H25="Yes",C25/1000*'Preliminary results'!$G$46*Inflation!$D$7)</f>
        <v>5.4407098126736821</v>
      </c>
      <c r="N25" s="151">
        <f t="shared" si="20"/>
        <v>0</v>
      </c>
      <c r="O25" s="151">
        <f t="shared" si="10"/>
        <v>0</v>
      </c>
      <c r="P25" s="151">
        <f t="shared" si="11"/>
        <v>0</v>
      </c>
      <c r="Q25" s="151">
        <f t="shared" si="12"/>
        <v>0</v>
      </c>
      <c r="R25" s="151">
        <f t="shared" si="21"/>
        <v>2.3381767797951713E-2</v>
      </c>
      <c r="S25" s="151">
        <f t="shared" si="13"/>
        <v>0.75385542044844966</v>
      </c>
      <c r="T25" s="151">
        <f t="shared" si="14"/>
        <v>3.1807784446602954</v>
      </c>
      <c r="U25" s="150">
        <f>IF(G25="Yes",C25/1000*'Preliminary results'!$D$46*Inflation!$D$7)</f>
        <v>2.3381767797951713E-2</v>
      </c>
      <c r="V25" s="150">
        <f>IF(G25="Yes",C25/1000*'Preliminary results'!$E$46*Inflation!$D$7)</f>
        <v>0.75385542044844966</v>
      </c>
      <c r="W25" s="150">
        <f>IF(G25="Yes",C25/1000*'Preliminary results'!$F$46*Inflation!$D$7)</f>
        <v>3.1807784446602954</v>
      </c>
      <c r="X25" s="151">
        <f t="shared" si="7"/>
        <v>0</v>
      </c>
      <c r="Y25" s="151">
        <f t="shared" si="15"/>
        <v>0</v>
      </c>
      <c r="Z25" s="151">
        <f t="shared" si="16"/>
        <v>0</v>
      </c>
      <c r="AA25" s="151">
        <f t="shared" si="17"/>
        <v>2.3381767797951713E-2</v>
      </c>
      <c r="AB25" s="151">
        <f t="shared" si="18"/>
        <v>0.75385542044844966</v>
      </c>
      <c r="AC25" s="151">
        <f t="shared" si="19"/>
        <v>3.1807784446602954</v>
      </c>
    </row>
    <row r="26" spans="1:31" hidden="1" x14ac:dyDescent="0.3">
      <c r="A26" t="s">
        <v>883</v>
      </c>
      <c r="B26" t="s">
        <v>884</v>
      </c>
      <c r="C26" s="90">
        <v>9194.4989999999998</v>
      </c>
      <c r="D26" s="37">
        <f t="shared" si="9"/>
        <v>7.8486194541681979E-5</v>
      </c>
      <c r="E26" t="s">
        <v>1051</v>
      </c>
      <c r="F26" t="s">
        <v>1052</v>
      </c>
      <c r="G26" t="s">
        <v>1047</v>
      </c>
      <c r="H26" t="s">
        <v>1047</v>
      </c>
      <c r="I26" s="93">
        <f>VLOOKUP(B26,'Beynon 2023'!$B$88:$R$336,15,FALSE)</f>
        <v>0</v>
      </c>
      <c r="J26" s="36" t="b">
        <f>IF(H26="Yes",C26/1000*'Preliminary results'!$D$46*Inflation!$D$7)</f>
        <v>0</v>
      </c>
      <c r="K26" s="36" t="b">
        <f>IF(H26="Yes",C26/1000*'Preliminary results'!$E$46*Inflation!$D$7)</f>
        <v>0</v>
      </c>
      <c r="L26" s="36" t="b">
        <f>IF(H26="Yes",C26/1000*'Preliminary results'!$F$46*Inflation!$D$7)</f>
        <v>0</v>
      </c>
      <c r="M26" s="150" t="b">
        <f>IF(H26="Yes",C26/1000*'Preliminary results'!$G$46*Inflation!$D$7)</f>
        <v>0</v>
      </c>
      <c r="N26" s="151">
        <f t="shared" si="20"/>
        <v>0</v>
      </c>
      <c r="O26" s="151">
        <f t="shared" si="10"/>
        <v>0</v>
      </c>
      <c r="P26" s="151">
        <f t="shared" si="11"/>
        <v>0</v>
      </c>
      <c r="Q26" s="151">
        <f t="shared" si="12"/>
        <v>0</v>
      </c>
      <c r="R26" s="151">
        <f t="shared" si="21"/>
        <v>0</v>
      </c>
      <c r="S26" s="151">
        <f t="shared" si="13"/>
        <v>0</v>
      </c>
      <c r="T26" s="151">
        <f t="shared" si="14"/>
        <v>0</v>
      </c>
      <c r="U26" s="150" t="b">
        <f>IF(G26="Yes",C26/1000*'Preliminary results'!$D$46*Inflation!$D$7)</f>
        <v>0</v>
      </c>
      <c r="V26" s="150" t="b">
        <f>IF(G26="Yes",C26/1000*'Preliminary results'!$E$46*Inflation!$D$7)</f>
        <v>0</v>
      </c>
      <c r="W26" s="150" t="b">
        <f>IF(G26="Yes",C26/1000*'Preliminary results'!$F$46*Inflation!$D$7)</f>
        <v>0</v>
      </c>
      <c r="X26" s="151">
        <f t="shared" si="7"/>
        <v>0</v>
      </c>
      <c r="Y26" s="151">
        <f t="shared" si="15"/>
        <v>0</v>
      </c>
      <c r="Z26" s="151">
        <f t="shared" si="16"/>
        <v>0</v>
      </c>
      <c r="AA26" s="151">
        <f t="shared" si="17"/>
        <v>0</v>
      </c>
      <c r="AB26" s="151">
        <f t="shared" si="18"/>
        <v>0</v>
      </c>
      <c r="AC26" s="151">
        <f t="shared" si="19"/>
        <v>0</v>
      </c>
    </row>
    <row r="27" spans="1:31" x14ac:dyDescent="0.3">
      <c r="A27" t="s">
        <v>917</v>
      </c>
      <c r="B27" t="s">
        <v>918</v>
      </c>
      <c r="C27" s="90">
        <v>3579.32014513077</v>
      </c>
      <c r="D27" s="37">
        <f t="shared" si="9"/>
        <v>3.0553836292515229E-5</v>
      </c>
      <c r="E27" t="s">
        <v>918</v>
      </c>
      <c r="F27" t="s">
        <v>1021</v>
      </c>
      <c r="G27" t="s">
        <v>1045</v>
      </c>
      <c r="H27" t="s">
        <v>1045</v>
      </c>
      <c r="I27" s="93" t="str">
        <f>VLOOKUP(B27,'Beynon 2023'!$B$88:$R$336,15,FALSE)</f>
        <v/>
      </c>
      <c r="J27" s="36">
        <f>IF(H27="Yes",C27/1000*'Preliminary results'!$D$46*Inflation!$D$7)</f>
        <v>3.4067165435539772E-3</v>
      </c>
      <c r="K27" s="36">
        <f>IF(H27="Yes",C27/1000*'Preliminary results'!$E$46*Inflation!$D$7)</f>
        <v>0.10983650827781075</v>
      </c>
      <c r="L27" s="36">
        <f>IF(H27="Yes",C27/1000*'Preliminary results'!$F$46*Inflation!$D$7)</f>
        <v>0.46343846378259601</v>
      </c>
      <c r="M27" s="150">
        <f>IF(H27="Yes",C27/1000*'Preliminary results'!$G$46*Inflation!$D$7)</f>
        <v>0.79270978514873414</v>
      </c>
      <c r="N27" s="151">
        <f t="shared" si="20"/>
        <v>0</v>
      </c>
      <c r="O27" s="151">
        <f t="shared" si="10"/>
        <v>0</v>
      </c>
      <c r="P27" s="151">
        <f t="shared" si="11"/>
        <v>0</v>
      </c>
      <c r="Q27" s="151">
        <f t="shared" si="12"/>
        <v>0</v>
      </c>
      <c r="R27" s="151">
        <f t="shared" si="21"/>
        <v>3.4067165435539772E-3</v>
      </c>
      <c r="S27" s="151">
        <f t="shared" si="13"/>
        <v>0.10983650827781075</v>
      </c>
      <c r="T27" s="151">
        <f t="shared" si="14"/>
        <v>0.46343846378259601</v>
      </c>
      <c r="U27" s="150">
        <f>IF(G27="Yes",C27/1000*'Preliminary results'!$D$46*Inflation!$D$7)</f>
        <v>3.4067165435539772E-3</v>
      </c>
      <c r="V27" s="150">
        <f>IF(G27="Yes",C27/1000*'Preliminary results'!$E$46*Inflation!$D$7)</f>
        <v>0.10983650827781075</v>
      </c>
      <c r="W27" s="150">
        <f>IF(G27="Yes",C27/1000*'Preliminary results'!$F$46*Inflation!$D$7)</f>
        <v>0.46343846378259601</v>
      </c>
      <c r="X27" s="151">
        <f t="shared" si="7"/>
        <v>0</v>
      </c>
      <c r="Y27" s="151">
        <f t="shared" si="15"/>
        <v>0</v>
      </c>
      <c r="Z27" s="151">
        <f t="shared" si="16"/>
        <v>0</v>
      </c>
      <c r="AA27" s="151">
        <f t="shared" si="17"/>
        <v>3.4067165435539772E-3</v>
      </c>
      <c r="AB27" s="151">
        <f t="shared" si="18"/>
        <v>0.10983650827781075</v>
      </c>
      <c r="AC27" s="151">
        <f t="shared" si="19"/>
        <v>0.46343846378259601</v>
      </c>
    </row>
    <row r="28" spans="1:31" hidden="1" x14ac:dyDescent="0.3">
      <c r="A28" t="s">
        <v>746</v>
      </c>
      <c r="B28" t="s">
        <v>747</v>
      </c>
      <c r="C28" s="90">
        <v>64768.947525325602</v>
      </c>
      <c r="D28" s="37">
        <f t="shared" si="9"/>
        <v>5.5288148008202477E-4</v>
      </c>
      <c r="E28" t="s">
        <v>747</v>
      </c>
      <c r="F28" t="s">
        <v>1052</v>
      </c>
      <c r="G28" t="s">
        <v>1045</v>
      </c>
      <c r="H28" t="s">
        <v>1047</v>
      </c>
      <c r="I28" s="93" t="str">
        <f>VLOOKUP(B28,'Beynon 2023'!$B$88:$R$336,15,FALSE)</f>
        <v/>
      </c>
      <c r="J28" s="36" t="b">
        <f>IF(H28="Yes",C28/1000*'Preliminary results'!$D$46*Inflation!$D$7)</f>
        <v>0</v>
      </c>
      <c r="K28" s="36" t="b">
        <f>IF(H28="Yes",C28/1000*'Preliminary results'!$E$46*Inflation!$D$7)</f>
        <v>0</v>
      </c>
      <c r="L28" s="36" t="b">
        <f>IF(H28="Yes",C28/1000*'Preliminary results'!$F$46*Inflation!$D$7)</f>
        <v>0</v>
      </c>
      <c r="M28" s="150" t="b">
        <f>IF(H28="Yes",C28/1000*'Preliminary results'!$G$46*Inflation!$D$7)</f>
        <v>0</v>
      </c>
      <c r="N28" s="151">
        <f t="shared" si="20"/>
        <v>0</v>
      </c>
      <c r="O28" s="151">
        <f t="shared" si="10"/>
        <v>0</v>
      </c>
      <c r="P28" s="151">
        <f t="shared" si="11"/>
        <v>0</v>
      </c>
      <c r="Q28" s="151">
        <f t="shared" si="12"/>
        <v>0</v>
      </c>
      <c r="R28" s="151">
        <f t="shared" si="21"/>
        <v>0</v>
      </c>
      <c r="S28" s="151">
        <f t="shared" si="13"/>
        <v>0</v>
      </c>
      <c r="T28" s="151">
        <f t="shared" si="14"/>
        <v>0</v>
      </c>
      <c r="U28" s="150">
        <f>IF(G28="Yes",C28/1000*'Preliminary results'!$D$46*Inflation!$D$7)</f>
        <v>6.1645629923121815E-2</v>
      </c>
      <c r="V28" s="150">
        <f>IF(G28="Yes",C28/1000*'Preliminary results'!$E$46*Inflation!$D$7)</f>
        <v>1.987526891297567</v>
      </c>
      <c r="W28" s="150">
        <f>IF(G28="Yes",C28/1000*'Preliminary results'!$F$46*Inflation!$D$7)</f>
        <v>8.386067835476009</v>
      </c>
      <c r="X28" s="151">
        <f t="shared" si="7"/>
        <v>0</v>
      </c>
      <c r="Y28" s="151">
        <f t="shared" si="15"/>
        <v>0</v>
      </c>
      <c r="Z28" s="151">
        <f t="shared" si="16"/>
        <v>0</v>
      </c>
      <c r="AA28" s="151">
        <f t="shared" si="17"/>
        <v>6.1645629923121815E-2</v>
      </c>
      <c r="AB28" s="151">
        <f t="shared" si="18"/>
        <v>1.987526891297567</v>
      </c>
      <c r="AC28" s="151">
        <f t="shared" si="19"/>
        <v>8.386067835476009</v>
      </c>
    </row>
    <row r="29" spans="1:31" hidden="1" x14ac:dyDescent="0.3">
      <c r="A29" t="s">
        <v>792</v>
      </c>
      <c r="B29" t="s">
        <v>793</v>
      </c>
      <c r="C29" s="90">
        <v>32599.982936393098</v>
      </c>
      <c r="D29" s="37">
        <f t="shared" si="9"/>
        <v>2.7828037207913795E-4</v>
      </c>
      <c r="E29" t="s">
        <v>793</v>
      </c>
      <c r="F29" t="s">
        <v>1046</v>
      </c>
      <c r="G29" t="s">
        <v>1047</v>
      </c>
      <c r="H29" t="s">
        <v>1047</v>
      </c>
      <c r="I29" s="93">
        <f>VLOOKUP(B29,'Beynon 2023'!$B$88:$R$336,15,FALSE)</f>
        <v>1.4741104213891287E-4</v>
      </c>
      <c r="J29" s="36" t="b">
        <f>IF(H29="Yes",C29/1000*'Preliminary results'!$D$46*Inflation!$D$7)</f>
        <v>0</v>
      </c>
      <c r="K29" s="36" t="b">
        <f>IF(H29="Yes",C29/1000*'Preliminary results'!$E$46*Inflation!$D$7)</f>
        <v>0</v>
      </c>
      <c r="L29" s="36" t="b">
        <f>IF(H29="Yes",C29/1000*'Preliminary results'!$F$46*Inflation!$D$7)</f>
        <v>0</v>
      </c>
      <c r="M29" s="150" t="b">
        <f>IF(H29="Yes",C29/1000*'Preliminary results'!$G$46*Inflation!$D$7)</f>
        <v>0</v>
      </c>
      <c r="N29" s="151">
        <f t="shared" si="20"/>
        <v>6.2402407633156199E-4</v>
      </c>
      <c r="O29" s="151">
        <f t="shared" si="10"/>
        <v>2.0119262858905612E-2</v>
      </c>
      <c r="P29" s="151">
        <f t="shared" si="11"/>
        <v>8.4890173749752315E-2</v>
      </c>
      <c r="Q29" s="151">
        <f t="shared" si="12"/>
        <v>0.14520432949210887</v>
      </c>
      <c r="R29" s="151">
        <f t="shared" si="21"/>
        <v>-6.2402407633156199E-4</v>
      </c>
      <c r="S29" s="151">
        <f t="shared" si="13"/>
        <v>-2.0119262858905612E-2</v>
      </c>
      <c r="T29" s="151">
        <f t="shared" si="14"/>
        <v>-8.4890173749752315E-2</v>
      </c>
      <c r="U29" s="150" t="b">
        <f>IF(G29="Yes",C29/1000*'Preliminary results'!$D$46*Inflation!$D$7)</f>
        <v>0</v>
      </c>
      <c r="V29" s="150" t="b">
        <f>IF(G29="Yes",C29/1000*'Preliminary results'!$E$46*Inflation!$D$7)</f>
        <v>0</v>
      </c>
      <c r="W29" s="150" t="b">
        <f>IF(G29="Yes",C29/1000*'Preliminary results'!$F$46*Inflation!$D$7)</f>
        <v>0</v>
      </c>
      <c r="X29" s="151">
        <f t="shared" si="7"/>
        <v>5.6600902574487936E-3</v>
      </c>
      <c r="Y29" s="151">
        <f t="shared" si="15"/>
        <v>0.18248790073003041</v>
      </c>
      <c r="Z29" s="151">
        <f t="shared" si="16"/>
        <v>0.76997997932825224</v>
      </c>
      <c r="AA29" s="151">
        <f t="shared" si="17"/>
        <v>-5.6600902574487936E-3</v>
      </c>
      <c r="AB29" s="151">
        <f t="shared" si="18"/>
        <v>-0.18248790073003041</v>
      </c>
      <c r="AC29" s="151">
        <f t="shared" si="19"/>
        <v>-0.76997997932825224</v>
      </c>
    </row>
    <row r="30" spans="1:31" hidden="1" x14ac:dyDescent="0.3">
      <c r="A30" t="s">
        <v>839</v>
      </c>
      <c r="B30" t="s">
        <v>840</v>
      </c>
      <c r="C30" s="90">
        <v>19928.479839447598</v>
      </c>
      <c r="D30" s="37">
        <f t="shared" si="9"/>
        <v>1.7011373274377121E-4</v>
      </c>
      <c r="E30" t="s">
        <v>840</v>
      </c>
      <c r="F30" t="s">
        <v>1048</v>
      </c>
      <c r="G30" t="s">
        <v>1045</v>
      </c>
      <c r="H30" t="s">
        <v>1047</v>
      </c>
      <c r="I30" s="93">
        <f>VLOOKUP(B30,'Beynon 2023'!$B$88:$R$336,15,FALSE)</f>
        <v>1.2504070444792809E-4</v>
      </c>
      <c r="J30" s="36" t="b">
        <f>IF(H30="Yes",C30/1000*'Preliminary results'!$D$46*Inflation!$D$7)</f>
        <v>0</v>
      </c>
      <c r="K30" s="36" t="b">
        <f>IF(H30="Yes",C30/1000*'Preliminary results'!$E$46*Inflation!$D$7)</f>
        <v>0</v>
      </c>
      <c r="L30" s="36" t="b">
        <f>IF(H30="Yes",C30/1000*'Preliminary results'!$F$46*Inflation!$D$7)</f>
        <v>0</v>
      </c>
      <c r="M30" s="150" t="b">
        <f>IF(H30="Yes",C30/1000*'Preliminary results'!$G$46*Inflation!$D$7)</f>
        <v>0</v>
      </c>
      <c r="N30" s="151">
        <f t="shared" si="20"/>
        <v>5.293254084957628E-4</v>
      </c>
      <c r="O30" s="151">
        <f t="shared" si="10"/>
        <v>1.7066067537056667E-2</v>
      </c>
      <c r="P30" s="151">
        <f t="shared" si="11"/>
        <v>7.200767983427761E-2</v>
      </c>
      <c r="Q30" s="151">
        <f t="shared" si="12"/>
        <v>0.12316887110446322</v>
      </c>
      <c r="R30" s="151">
        <f t="shared" si="21"/>
        <v>-5.293254084957628E-4</v>
      </c>
      <c r="S30" s="151">
        <f t="shared" si="13"/>
        <v>-1.7066067537056667E-2</v>
      </c>
      <c r="T30" s="151">
        <f t="shared" si="14"/>
        <v>-7.200767983427761E-2</v>
      </c>
      <c r="U30" s="150">
        <f>IF(G30="Yes",C30/1000*'Preliminary results'!$D$46*Inflation!$D$7)</f>
        <v>1.8967479634166014E-2</v>
      </c>
      <c r="V30" s="150">
        <f>IF(G30="Yes",C30/1000*'Preliminary results'!$E$46*Inflation!$D$7)</f>
        <v>0.61153362987867088</v>
      </c>
      <c r="W30" s="150">
        <f>IF(G30="Yes",C30/1000*'Preliminary results'!$F$46*Inflation!$D$7)</f>
        <v>2.5802732663855101</v>
      </c>
      <c r="X30" s="151">
        <f t="shared" si="7"/>
        <v>4.8011442206840312E-3</v>
      </c>
      <c r="Y30" s="151">
        <f t="shared" si="15"/>
        <v>0.15479448031446399</v>
      </c>
      <c r="Z30" s="151">
        <f t="shared" si="16"/>
        <v>0.65313179819512679</v>
      </c>
      <c r="AA30" s="151">
        <f t="shared" si="17"/>
        <v>1.4166335413481983E-2</v>
      </c>
      <c r="AB30" s="151">
        <f t="shared" si="18"/>
        <v>0.45673914956420691</v>
      </c>
      <c r="AC30" s="151">
        <f t="shared" si="19"/>
        <v>1.9271414681903833</v>
      </c>
    </row>
    <row r="31" spans="1:31" hidden="1" x14ac:dyDescent="0.3">
      <c r="A31" t="s">
        <v>593</v>
      </c>
      <c r="B31" t="s">
        <v>594</v>
      </c>
      <c r="C31" s="90">
        <v>2279920.0924921301</v>
      </c>
      <c r="D31" s="37">
        <f t="shared" si="9"/>
        <v>1.9461881709794834E-2</v>
      </c>
      <c r="E31" t="s">
        <v>594</v>
      </c>
      <c r="F31" t="s">
        <v>1052</v>
      </c>
      <c r="G31" t="s">
        <v>1045</v>
      </c>
      <c r="H31" t="s">
        <v>1047</v>
      </c>
      <c r="I31" s="45">
        <f>VLOOKUP(B31,'Beynon 2023'!$B$88:$R$336,15,FALSE)</f>
        <v>1.6636795131883535E-2</v>
      </c>
      <c r="J31" s="36" t="b">
        <f>IF(H31="Yes",C31/1000*'Preliminary results'!$D$46*Inflation!$D$7)</f>
        <v>0</v>
      </c>
      <c r="K31" s="36" t="b">
        <f>IF(H31="Yes",C31/1000*'Preliminary results'!$E$46*Inflation!$D$7)</f>
        <v>0</v>
      </c>
      <c r="L31" s="36" t="b">
        <f>IF(H31="Yes",C31/1000*'Preliminary results'!$F$46*Inflation!$D$7)</f>
        <v>0</v>
      </c>
      <c r="M31" s="150" t="b">
        <f>IF(H31="Yes",C31/1000*'Preliminary results'!$G$46*Inflation!$D$7)</f>
        <v>0</v>
      </c>
      <c r="N31" s="151">
        <f t="shared" si="20"/>
        <v>7.042729340118084E-2</v>
      </c>
      <c r="O31" s="151">
        <f t="shared" si="10"/>
        <v>2.2706579475416944</v>
      </c>
      <c r="P31" s="151">
        <f t="shared" si="11"/>
        <v>9.5806963229643589</v>
      </c>
      <c r="Q31" s="151">
        <f t="shared" si="12"/>
        <v>16.387745768368294</v>
      </c>
      <c r="R31" s="151">
        <f t="shared" si="21"/>
        <v>-7.042729340118084E-2</v>
      </c>
      <c r="S31" s="151">
        <f t="shared" si="13"/>
        <v>-2.2706579475416944</v>
      </c>
      <c r="T31" s="151">
        <f t="shared" si="14"/>
        <v>-9.5806963229643589</v>
      </c>
      <c r="U31" s="150">
        <f>IF(G31="Yes",C31/1000*'Preliminary results'!$D$46*Inflation!$D$7)</f>
        <v>2.1699767503726002</v>
      </c>
      <c r="V31" s="150">
        <f>IF(G31="Yes",C31/1000*'Preliminary results'!$E$46*Inflation!$D$7)</f>
        <v>69.962577237585961</v>
      </c>
      <c r="W31" s="150">
        <f>IF(G31="Yes",C31/1000*'Preliminary results'!$F$46*Inflation!$D$7)</f>
        <v>295.19646814745158</v>
      </c>
      <c r="X31" s="151">
        <f t="shared" si="7"/>
        <v>0.638797207283891</v>
      </c>
      <c r="Y31" s="151">
        <f t="shared" si="15"/>
        <v>20.595565803218637</v>
      </c>
      <c r="Z31" s="151">
        <f t="shared" si="16"/>
        <v>86.899861678371025</v>
      </c>
      <c r="AA31" s="151">
        <f t="shared" si="17"/>
        <v>1.5311795430887092</v>
      </c>
      <c r="AB31" s="151">
        <f t="shared" si="18"/>
        <v>49.367011434367328</v>
      </c>
      <c r="AC31" s="151">
        <f t="shared" si="19"/>
        <v>208.29660646908056</v>
      </c>
    </row>
    <row r="32" spans="1:31" hidden="1" x14ac:dyDescent="0.3">
      <c r="A32" t="s">
        <v>985</v>
      </c>
      <c r="B32" t="s">
        <v>986</v>
      </c>
      <c r="C32" s="90">
        <v>0</v>
      </c>
      <c r="D32" s="45">
        <f t="shared" si="9"/>
        <v>0</v>
      </c>
      <c r="E32" t="s">
        <v>1051</v>
      </c>
      <c r="F32" t="s">
        <v>1052</v>
      </c>
      <c r="G32" t="s">
        <v>1047</v>
      </c>
      <c r="H32" t="s">
        <v>1047</v>
      </c>
      <c r="I32" t="s">
        <v>1057</v>
      </c>
      <c r="J32" s="36" t="b">
        <f>IF(H32="Yes",C32/1000*'Preliminary results'!$D$46*Inflation!$D$7)</f>
        <v>0</v>
      </c>
      <c r="K32" s="36" t="b">
        <f>IF(H32="Yes",C32/1000*'Preliminary results'!$E$46*Inflation!$D$7)</f>
        <v>0</v>
      </c>
      <c r="L32" s="36" t="b">
        <f>IF(H32="Yes",C32/1000*'Preliminary results'!$F$46*Inflation!$D$7)</f>
        <v>0</v>
      </c>
      <c r="M32" s="150" t="b">
        <f>IF(H32="Yes",C32/1000*'Preliminary results'!$G$46*Inflation!$D$7)</f>
        <v>0</v>
      </c>
      <c r="N32" s="151">
        <f t="shared" si="20"/>
        <v>0</v>
      </c>
      <c r="O32" s="151">
        <f t="shared" si="10"/>
        <v>0</v>
      </c>
      <c r="P32" s="151">
        <f t="shared" si="11"/>
        <v>0</v>
      </c>
      <c r="Q32" s="151">
        <f t="shared" si="12"/>
        <v>0</v>
      </c>
      <c r="R32" s="151">
        <f t="shared" si="21"/>
        <v>0</v>
      </c>
      <c r="S32" s="151">
        <f t="shared" si="13"/>
        <v>0</v>
      </c>
      <c r="T32" s="151">
        <f t="shared" si="14"/>
        <v>0</v>
      </c>
      <c r="U32" s="150" t="b">
        <f>IF(G32="Yes",C32/1000*'Preliminary results'!$D$46*Inflation!$D$7)</f>
        <v>0</v>
      </c>
      <c r="V32" s="150" t="b">
        <f>IF(G32="Yes",C32/1000*'Preliminary results'!$E$46*Inflation!$D$7)</f>
        <v>0</v>
      </c>
      <c r="W32" s="150" t="b">
        <f>IF(G32="Yes",C32/1000*'Preliminary results'!$F$46*Inflation!$D$7)</f>
        <v>0</v>
      </c>
      <c r="X32" s="151">
        <f t="shared" si="7"/>
        <v>0</v>
      </c>
      <c r="Y32" s="151">
        <f t="shared" si="15"/>
        <v>0</v>
      </c>
      <c r="Z32" s="151">
        <f t="shared" si="16"/>
        <v>0</v>
      </c>
      <c r="AA32" s="151">
        <f t="shared" si="17"/>
        <v>0</v>
      </c>
      <c r="AB32" s="151">
        <f t="shared" si="18"/>
        <v>0</v>
      </c>
      <c r="AC32" s="151">
        <f t="shared" si="19"/>
        <v>0</v>
      </c>
    </row>
    <row r="33" spans="1:31" hidden="1" x14ac:dyDescent="0.3">
      <c r="A33" t="s">
        <v>863</v>
      </c>
      <c r="B33" t="s">
        <v>864</v>
      </c>
      <c r="C33" s="90">
        <v>15031.9809941121</v>
      </c>
      <c r="D33" s="45">
        <f t="shared" si="9"/>
        <v>1.2831617956027277E-4</v>
      </c>
      <c r="E33" t="s">
        <v>864</v>
      </c>
      <c r="F33" t="s">
        <v>1058</v>
      </c>
      <c r="G33" t="s">
        <v>1045</v>
      </c>
      <c r="H33" t="s">
        <v>1047</v>
      </c>
      <c r="I33" s="93">
        <f>'Beynon 2023'!P124</f>
        <v>3.8437110264799275E-4</v>
      </c>
      <c r="J33" s="36" t="b">
        <f>IF(H33="Yes",C33/1000*'Preliminary results'!$D$46*Inflation!$D$7)</f>
        <v>0</v>
      </c>
      <c r="K33" s="36" t="b">
        <f>IF(H33="Yes",C33/1000*'Preliminary results'!$E$46*Inflation!$D$7)</f>
        <v>0</v>
      </c>
      <c r="L33" s="36" t="b">
        <f>IF(H33="Yes",C33/1000*'Preliminary results'!$F$46*Inflation!$D$7)</f>
        <v>0</v>
      </c>
      <c r="M33" s="150" t="b">
        <f>IF(H33="Yes",C33/1000*'Preliminary results'!$G$46*Inflation!$D$7)</f>
        <v>0</v>
      </c>
      <c r="N33" s="151">
        <f t="shared" si="20"/>
        <v>1.6271292761937636E-3</v>
      </c>
      <c r="O33" s="151">
        <f t="shared" si="10"/>
        <v>5.2460542557286265E-2</v>
      </c>
      <c r="P33" s="151">
        <f t="shared" si="11"/>
        <v>0.22134929117062835</v>
      </c>
      <c r="Q33" s="151">
        <f t="shared" si="12"/>
        <v>0.37861714717103451</v>
      </c>
      <c r="R33" s="151">
        <f t="shared" si="21"/>
        <v>-1.6271292761937636E-3</v>
      </c>
      <c r="S33" s="151">
        <f t="shared" si="13"/>
        <v>-5.2460542557286265E-2</v>
      </c>
      <c r="T33" s="151">
        <f t="shared" si="14"/>
        <v>-0.22134929117062835</v>
      </c>
      <c r="U33" s="150">
        <f>IF(G33="Yes",C33/1000*'Preliminary results'!$D$46*Inflation!$D$7)</f>
        <v>1.430710197988163E-2</v>
      </c>
      <c r="V33" s="150">
        <f>IF(G33="Yes",C33/1000*'Preliminary results'!$E$46*Inflation!$D$7)</f>
        <v>0.46127762757901236</v>
      </c>
      <c r="W33" s="150">
        <f>IF(G33="Yes",C33/1000*'Preliminary results'!$F$46*Inflation!$D$7)</f>
        <v>1.9462908868315203</v>
      </c>
      <c r="X33" s="151">
        <f t="shared" si="7"/>
        <v>1.475856287137974E-2</v>
      </c>
      <c r="Y33" s="151">
        <f t="shared" si="15"/>
        <v>0.47583325241958374</v>
      </c>
      <c r="Z33" s="151">
        <f t="shared" si="16"/>
        <v>2.0077061350151961</v>
      </c>
      <c r="AA33" s="151">
        <f t="shared" si="17"/>
        <v>-4.5146089149811046E-4</v>
      </c>
      <c r="AB33" s="151">
        <f t="shared" si="18"/>
        <v>-1.455562484057138E-2</v>
      </c>
      <c r="AC33" s="151">
        <f t="shared" si="19"/>
        <v>-6.141524818367583E-2</v>
      </c>
    </row>
    <row r="34" spans="1:31" hidden="1" x14ac:dyDescent="0.3">
      <c r="A34" t="s">
        <v>695</v>
      </c>
      <c r="B34" t="s">
        <v>696</v>
      </c>
      <c r="C34" s="90">
        <v>130777.235529606</v>
      </c>
      <c r="D34" s="37">
        <f t="shared" si="9"/>
        <v>1.1163422334811305E-3</v>
      </c>
      <c r="E34" t="s">
        <v>696</v>
      </c>
      <c r="F34" t="s">
        <v>1046</v>
      </c>
      <c r="G34" t="s">
        <v>1047</v>
      </c>
      <c r="H34" t="s">
        <v>1047</v>
      </c>
      <c r="I34" s="45">
        <f>VLOOKUP(B34,'Beynon 2023'!$B$88:$R$336,15,FALSE)</f>
        <v>8.4384003170442923E-4</v>
      </c>
      <c r="J34" s="36" t="b">
        <f>IF(H34="Yes",C34/1000*'Preliminary results'!$D$46*Inflation!$D$7)</f>
        <v>0</v>
      </c>
      <c r="K34" s="36" t="b">
        <f>IF(H34="Yes",C34/1000*'Preliminary results'!$E$46*Inflation!$D$7)</f>
        <v>0</v>
      </c>
      <c r="L34" s="36" t="b">
        <f>IF(H34="Yes",C34/1000*'Preliminary results'!$F$46*Inflation!$D$7)</f>
        <v>0</v>
      </c>
      <c r="M34" s="150" t="b">
        <f>IF(H34="Yes",C34/1000*'Preliminary results'!$G$46*Inflation!$D$7)</f>
        <v>0</v>
      </c>
      <c r="N34" s="151">
        <f t="shared" si="20"/>
        <v>3.572164532014724E-3</v>
      </c>
      <c r="O34" s="151">
        <f t="shared" si="10"/>
        <v>0.11517074407987672</v>
      </c>
      <c r="P34" s="151">
        <f t="shared" si="11"/>
        <v>0.48594546154067225</v>
      </c>
      <c r="Q34" s="151">
        <f t="shared" si="12"/>
        <v>0.83120792190571491</v>
      </c>
      <c r="R34" s="151">
        <f t="shared" si="21"/>
        <v>-3.572164532014724E-3</v>
      </c>
      <c r="S34" s="151">
        <f t="shared" si="13"/>
        <v>-0.11517074407987672</v>
      </c>
      <c r="T34" s="151">
        <f t="shared" si="14"/>
        <v>-0.48594546154067225</v>
      </c>
      <c r="U34" s="150" t="b">
        <f>IF(G34="Yes",C34/1000*'Preliminary results'!$D$46*Inflation!$D$7)</f>
        <v>0</v>
      </c>
      <c r="V34" s="150" t="b">
        <f>IF(G34="Yes",C34/1000*'Preliminary results'!$E$46*Inflation!$D$7)</f>
        <v>0</v>
      </c>
      <c r="W34" s="150" t="b">
        <f>IF(G34="Yes",C34/1000*'Preliminary results'!$F$46*Inflation!$D$7)</f>
        <v>0</v>
      </c>
      <c r="X34" s="151">
        <f t="shared" si="7"/>
        <v>3.2400630732904362E-2</v>
      </c>
      <c r="Y34" s="151">
        <f t="shared" si="15"/>
        <v>1.0446340633871272</v>
      </c>
      <c r="Z34" s="151">
        <f t="shared" si="16"/>
        <v>4.4076747626262991</v>
      </c>
      <c r="AA34" s="151">
        <f t="shared" si="17"/>
        <v>-3.2400630732904362E-2</v>
      </c>
      <c r="AB34" s="151">
        <f t="shared" si="18"/>
        <v>-1.0446340633871272</v>
      </c>
      <c r="AC34" s="151">
        <f t="shared" si="19"/>
        <v>-4.4076747626262991</v>
      </c>
    </row>
    <row r="35" spans="1:31" hidden="1" x14ac:dyDescent="0.3">
      <c r="A35" t="s">
        <v>810</v>
      </c>
      <c r="B35" t="s">
        <v>811</v>
      </c>
      <c r="C35" s="90">
        <v>27627.2974613181</v>
      </c>
      <c r="D35" s="37">
        <f t="shared" si="9"/>
        <v>2.3583247365733894E-4</v>
      </c>
      <c r="E35" t="s">
        <v>811</v>
      </c>
      <c r="F35" t="s">
        <v>1048</v>
      </c>
      <c r="G35" t="s">
        <v>1045</v>
      </c>
      <c r="H35" t="s">
        <v>1045</v>
      </c>
      <c r="I35" s="93" t="str">
        <f>VLOOKUP(B35,'Beynon 2023'!$B$88:$R$336,15,FALSE)</f>
        <v/>
      </c>
      <c r="J35" s="36">
        <f>IF(H35="Yes",C35/1000*'Preliminary results'!$D$46*Inflation!$D$7)</f>
        <v>2.6295041376278049E-2</v>
      </c>
      <c r="K35" s="36">
        <f>IF(H35="Yes",C35/1000*'Preliminary results'!$E$46*Inflation!$D$7)</f>
        <v>0.84778275294308469</v>
      </c>
      <c r="L35" s="36">
        <f>IF(H35="Yes",C35/1000*'Preliminary results'!$F$46*Inflation!$D$7)</f>
        <v>3.5770905576456338</v>
      </c>
      <c r="M35" s="150">
        <f>IF(H35="Yes",C35/1000*'Preliminary results'!$G$46*Inflation!$D$7)</f>
        <v>6.1186002220546021</v>
      </c>
      <c r="N35" s="151">
        <f t="shared" si="20"/>
        <v>0</v>
      </c>
      <c r="O35" s="151">
        <f t="shared" si="10"/>
        <v>0</v>
      </c>
      <c r="P35" s="151">
        <f t="shared" si="11"/>
        <v>0</v>
      </c>
      <c r="Q35" s="151">
        <f t="shared" si="12"/>
        <v>0</v>
      </c>
      <c r="R35" s="151">
        <f t="shared" si="21"/>
        <v>2.6295041376278049E-2</v>
      </c>
      <c r="S35" s="151">
        <f t="shared" si="13"/>
        <v>0.84778275294308469</v>
      </c>
      <c r="T35" s="151">
        <f t="shared" si="14"/>
        <v>3.5770905576456338</v>
      </c>
      <c r="U35" s="150">
        <f>IF(G35="Yes",C35/1000*'Preliminary results'!$D$46*Inflation!$D$7)</f>
        <v>2.6295041376278049E-2</v>
      </c>
      <c r="V35" s="150">
        <f>IF(G35="Yes",C35/1000*'Preliminary results'!$E$46*Inflation!$D$7)</f>
        <v>0.84778275294308469</v>
      </c>
      <c r="W35" s="150">
        <f>IF(G35="Yes",C35/1000*'Preliminary results'!$F$46*Inflation!$D$7)</f>
        <v>3.5770905576456338</v>
      </c>
      <c r="X35" s="151">
        <f t="shared" si="7"/>
        <v>0</v>
      </c>
      <c r="Y35" s="151">
        <f t="shared" si="15"/>
        <v>0</v>
      </c>
      <c r="Z35" s="151">
        <f t="shared" si="16"/>
        <v>0</v>
      </c>
      <c r="AA35" s="151">
        <f t="shared" si="17"/>
        <v>2.6295041376278049E-2</v>
      </c>
      <c r="AB35" s="151">
        <f t="shared" si="18"/>
        <v>0.84778275294308469</v>
      </c>
      <c r="AC35" s="151">
        <f t="shared" si="19"/>
        <v>3.5770905576456338</v>
      </c>
    </row>
    <row r="36" spans="1:31" hidden="1" x14ac:dyDescent="0.3">
      <c r="A36" t="s">
        <v>921</v>
      </c>
      <c r="B36" t="s">
        <v>922</v>
      </c>
      <c r="C36" s="90">
        <v>3364.7138640848798</v>
      </c>
      <c r="D36" s="37">
        <f t="shared" si="9"/>
        <v>2.8721911537938106E-5</v>
      </c>
      <c r="E36" t="s">
        <v>922</v>
      </c>
      <c r="F36" t="s">
        <v>1048</v>
      </c>
      <c r="G36" t="s">
        <v>1045</v>
      </c>
      <c r="H36" t="s">
        <v>1047</v>
      </c>
      <c r="I36" s="93" t="str">
        <f>VLOOKUP(B36,'Beynon 2023'!$B$88:$R$336,15,FALSE)</f>
        <v/>
      </c>
      <c r="J36" s="36" t="b">
        <f>IF(H36="Yes",C36/1000*'Preliminary results'!$D$46*Inflation!$D$7)</f>
        <v>0</v>
      </c>
      <c r="K36" s="36" t="b">
        <f>IF(H36="Yes",C36/1000*'Preliminary results'!$E$46*Inflation!$D$7)</f>
        <v>0</v>
      </c>
      <c r="L36" s="36" t="b">
        <f>IF(H36="Yes",C36/1000*'Preliminary results'!$F$46*Inflation!$D$7)</f>
        <v>0</v>
      </c>
      <c r="M36" s="150" t="b">
        <f>IF(H36="Yes",C36/1000*'Preliminary results'!$G$46*Inflation!$D$7)</f>
        <v>0</v>
      </c>
      <c r="N36" s="151">
        <f t="shared" si="20"/>
        <v>0</v>
      </c>
      <c r="O36" s="151">
        <f t="shared" si="10"/>
        <v>0</v>
      </c>
      <c r="P36" s="151">
        <f t="shared" si="11"/>
        <v>0</v>
      </c>
      <c r="Q36" s="151">
        <f t="shared" si="12"/>
        <v>0</v>
      </c>
      <c r="R36" s="151">
        <f t="shared" si="21"/>
        <v>0</v>
      </c>
      <c r="S36" s="151">
        <f t="shared" si="13"/>
        <v>0</v>
      </c>
      <c r="T36" s="151">
        <f t="shared" si="14"/>
        <v>0</v>
      </c>
      <c r="U36" s="150">
        <f>IF(G36="Yes",C36/1000*'Preliminary results'!$D$46*Inflation!$D$7)</f>
        <v>3.2024591040555276E-3</v>
      </c>
      <c r="V36" s="150">
        <f>IF(G36="Yes",C36/1000*'Preliminary results'!$E$46*Inflation!$D$7)</f>
        <v>0.10325101058305065</v>
      </c>
      <c r="W36" s="150">
        <f>IF(G36="Yes",C36/1000*'Preliminary results'!$F$46*Inflation!$D$7)</f>
        <v>0.43565195652051092</v>
      </c>
      <c r="X36" s="151">
        <f t="shared" si="7"/>
        <v>0</v>
      </c>
      <c r="Y36" s="151">
        <f t="shared" si="15"/>
        <v>0</v>
      </c>
      <c r="Z36" s="151">
        <f t="shared" si="16"/>
        <v>0</v>
      </c>
      <c r="AA36" s="151">
        <f t="shared" si="17"/>
        <v>3.2024591040555276E-3</v>
      </c>
      <c r="AB36" s="151">
        <f t="shared" si="18"/>
        <v>0.10325101058305065</v>
      </c>
      <c r="AC36" s="151">
        <f t="shared" si="19"/>
        <v>0.43565195652051092</v>
      </c>
    </row>
    <row r="37" spans="1:31" hidden="1" x14ac:dyDescent="0.3">
      <c r="A37" t="s">
        <v>929</v>
      </c>
      <c r="B37" t="s">
        <v>930</v>
      </c>
      <c r="C37" s="90">
        <v>3056.6304353246301</v>
      </c>
      <c r="D37" s="45">
        <f t="shared" si="9"/>
        <v>2.6092046014569691E-5</v>
      </c>
      <c r="E37" t="s">
        <v>1059</v>
      </c>
      <c r="F37" t="s">
        <v>1048</v>
      </c>
      <c r="G37" t="s">
        <v>1045</v>
      </c>
      <c r="H37" t="s">
        <v>1045</v>
      </c>
      <c r="I37" s="93" t="str">
        <f>'Beynon 2023'!P131</f>
        <v/>
      </c>
      <c r="J37" s="36">
        <f>IF(H37="Yes",C37/1000*'Preliminary results'!$D$46*Inflation!$D$7)</f>
        <v>2.9092322143121872E-3</v>
      </c>
      <c r="K37" s="36">
        <f>IF(H37="Yes",C37/1000*'Preliminary results'!$E$46*Inflation!$D$7)</f>
        <v>9.3797034212896924E-2</v>
      </c>
      <c r="L37" s="36">
        <f>IF(H37="Yes",C37/1000*'Preliminary results'!$F$46*Inflation!$D$7)</f>
        <v>0.39576233917634668</v>
      </c>
      <c r="M37" s="150">
        <f>IF(H37="Yes",C37/1000*'Preliminary results'!$G$46*Inflation!$D$7)</f>
        <v>0.67695002330582088</v>
      </c>
      <c r="N37" s="151">
        <f t="shared" si="20"/>
        <v>0</v>
      </c>
      <c r="O37" s="151">
        <f t="shared" si="10"/>
        <v>0</v>
      </c>
      <c r="P37" s="151">
        <f t="shared" si="11"/>
        <v>0</v>
      </c>
      <c r="Q37" s="151">
        <f t="shared" si="12"/>
        <v>0</v>
      </c>
      <c r="R37" s="151">
        <f t="shared" si="21"/>
        <v>2.9092322143121872E-3</v>
      </c>
      <c r="S37" s="151">
        <f t="shared" si="13"/>
        <v>9.3797034212896924E-2</v>
      </c>
      <c r="T37" s="151">
        <f t="shared" si="14"/>
        <v>0.39576233917634668</v>
      </c>
      <c r="U37" s="150">
        <f>IF(G37="Yes",C37/1000*'Preliminary results'!$D$46*Inflation!$D$7)</f>
        <v>2.9092322143121872E-3</v>
      </c>
      <c r="V37" s="150">
        <f>IF(G37="Yes",C37/1000*'Preliminary results'!$E$46*Inflation!$D$7)</f>
        <v>9.3797034212896924E-2</v>
      </c>
      <c r="W37" s="150">
        <f>IF(G37="Yes",C37/1000*'Preliminary results'!$F$46*Inflation!$D$7)</f>
        <v>0.39576233917634668</v>
      </c>
      <c r="X37" s="151">
        <f t="shared" ref="X37:X69" si="22">IFERROR($U$3*$I37,0)</f>
        <v>0</v>
      </c>
      <c r="Y37" s="151">
        <f t="shared" si="15"/>
        <v>0</v>
      </c>
      <c r="Z37" s="151">
        <f t="shared" si="16"/>
        <v>0</v>
      </c>
      <c r="AA37" s="151">
        <f t="shared" si="17"/>
        <v>2.9092322143121872E-3</v>
      </c>
      <c r="AB37" s="151">
        <f t="shared" si="18"/>
        <v>9.3797034212896924E-2</v>
      </c>
      <c r="AC37" s="151">
        <f t="shared" si="19"/>
        <v>0.39576233917634668</v>
      </c>
    </row>
    <row r="38" spans="1:31" hidden="1" x14ac:dyDescent="0.3">
      <c r="A38" t="s">
        <v>760</v>
      </c>
      <c r="B38" t="s">
        <v>761</v>
      </c>
      <c r="C38" s="90">
        <v>51267.065842964097</v>
      </c>
      <c r="D38" s="37">
        <f t="shared" si="9"/>
        <v>4.3762655293476019E-4</v>
      </c>
      <c r="E38" t="s">
        <v>761</v>
      </c>
      <c r="F38" t="s">
        <v>1058</v>
      </c>
      <c r="G38" t="s">
        <v>1045</v>
      </c>
      <c r="H38" t="s">
        <v>1045</v>
      </c>
      <c r="I38" s="93" t="str">
        <f>VLOOKUP(B38,'Beynon 2023'!$B$88:$R$336,15,FALSE)</f>
        <v/>
      </c>
      <c r="J38" s="36">
        <f>IF(H38="Yes",C38/1000*'Preliminary results'!$D$46*Inflation!$D$7)</f>
        <v>4.8794842111089191E-2</v>
      </c>
      <c r="K38" s="36">
        <f>IF(H38="Yes",C38/1000*'Preliminary results'!$E$46*Inflation!$D$7)</f>
        <v>1.5732025282790307</v>
      </c>
      <c r="L38" s="36">
        <f>IF(H38="Yes",C38/1000*'Preliminary results'!$F$46*Inflation!$D$7)</f>
        <v>6.6378891167994265</v>
      </c>
      <c r="M38" s="150">
        <f>IF(H38="Yes",C38/1000*'Preliminary results'!$G$46*Inflation!$D$7)</f>
        <v>11.354084882534949</v>
      </c>
      <c r="N38" s="151">
        <f t="shared" si="20"/>
        <v>0</v>
      </c>
      <c r="O38" s="151">
        <f t="shared" si="10"/>
        <v>0</v>
      </c>
      <c r="P38" s="151">
        <f t="shared" si="11"/>
        <v>0</v>
      </c>
      <c r="Q38" s="151">
        <f t="shared" si="12"/>
        <v>0</v>
      </c>
      <c r="R38" s="151">
        <f t="shared" si="21"/>
        <v>4.8794842111089191E-2</v>
      </c>
      <c r="S38" s="151">
        <f t="shared" si="13"/>
        <v>1.5732025282790307</v>
      </c>
      <c r="T38" s="151">
        <f t="shared" si="14"/>
        <v>6.6378891167994265</v>
      </c>
      <c r="U38" s="150">
        <f>IF(G38="Yes",C38/1000*'Preliminary results'!$D$46*Inflation!$D$7)</f>
        <v>4.8794842111089191E-2</v>
      </c>
      <c r="V38" s="150">
        <f>IF(G38="Yes",C38/1000*'Preliminary results'!$E$46*Inflation!$D$7)</f>
        <v>1.5732025282790307</v>
      </c>
      <c r="W38" s="150">
        <f>IF(G38="Yes",C38/1000*'Preliminary results'!$F$46*Inflation!$D$7)</f>
        <v>6.6378891167994265</v>
      </c>
      <c r="X38" s="151">
        <f t="shared" si="22"/>
        <v>0</v>
      </c>
      <c r="Y38" s="151">
        <f t="shared" si="15"/>
        <v>0</v>
      </c>
      <c r="Z38" s="151">
        <f t="shared" si="16"/>
        <v>0</v>
      </c>
      <c r="AA38" s="151">
        <f t="shared" si="17"/>
        <v>4.8794842111089191E-2</v>
      </c>
      <c r="AB38" s="151">
        <f t="shared" si="18"/>
        <v>1.5732025282790307</v>
      </c>
      <c r="AC38" s="151">
        <f t="shared" si="19"/>
        <v>6.6378891167994265</v>
      </c>
      <c r="AE38" s="43"/>
    </row>
    <row r="39" spans="1:31" hidden="1" x14ac:dyDescent="0.3">
      <c r="A39" t="s">
        <v>754</v>
      </c>
      <c r="B39" t="s">
        <v>755</v>
      </c>
      <c r="C39" s="90">
        <v>58933.453923761001</v>
      </c>
      <c r="D39" s="37">
        <f t="shared" si="9"/>
        <v>5.0306846840415744E-4</v>
      </c>
      <c r="E39" t="s">
        <v>755</v>
      </c>
      <c r="F39" t="s">
        <v>1048</v>
      </c>
      <c r="G39" t="s">
        <v>1045</v>
      </c>
      <c r="H39" t="s">
        <v>1047</v>
      </c>
      <c r="I39" s="93" t="str">
        <f>VLOOKUP(B39,'Beynon 2023'!$B$88:$R$336,15,FALSE)</f>
        <v/>
      </c>
      <c r="J39" s="36" t="b">
        <f>IF(H39="Yes",C39/1000*'Preliminary results'!$D$46*Inflation!$D$7)</f>
        <v>0</v>
      </c>
      <c r="K39" s="36" t="b">
        <f>IF(H39="Yes",C39/1000*'Preliminary results'!$E$46*Inflation!$D$7)</f>
        <v>0</v>
      </c>
      <c r="L39" s="36" t="b">
        <f>IF(H39="Yes",C39/1000*'Preliminary results'!$F$46*Inflation!$D$7)</f>
        <v>0</v>
      </c>
      <c r="M39" s="150" t="b">
        <f>IF(H39="Yes",C39/1000*'Preliminary results'!$G$46*Inflation!$D$7)</f>
        <v>0</v>
      </c>
      <c r="N39" s="151">
        <f t="shared" si="20"/>
        <v>0</v>
      </c>
      <c r="O39" s="151">
        <f t="shared" si="10"/>
        <v>0</v>
      </c>
      <c r="P39" s="151">
        <f t="shared" si="11"/>
        <v>0</v>
      </c>
      <c r="Q39" s="151">
        <f t="shared" si="12"/>
        <v>0</v>
      </c>
      <c r="R39" s="151">
        <f t="shared" si="21"/>
        <v>0</v>
      </c>
      <c r="S39" s="151">
        <f t="shared" si="13"/>
        <v>0</v>
      </c>
      <c r="T39" s="151">
        <f t="shared" si="14"/>
        <v>0</v>
      </c>
      <c r="U39" s="150">
        <f>IF(G39="Yes",C39/1000*'Preliminary results'!$D$46*Inflation!$D$7)</f>
        <v>5.6091538144185063E-2</v>
      </c>
      <c r="V39" s="150">
        <f>IF(G39="Yes",C39/1000*'Preliminary results'!$E$46*Inflation!$D$7)</f>
        <v>1.8084565049435279</v>
      </c>
      <c r="W39" s="150">
        <f>IF(G39="Yes",C39/1000*'Preliminary results'!$F$46*Inflation!$D$7)</f>
        <v>7.6305075389763335</v>
      </c>
      <c r="X39" s="151">
        <f t="shared" si="22"/>
        <v>0</v>
      </c>
      <c r="Y39" s="151">
        <f t="shared" si="15"/>
        <v>0</v>
      </c>
      <c r="Z39" s="151">
        <f t="shared" si="16"/>
        <v>0</v>
      </c>
      <c r="AA39" s="151">
        <f t="shared" si="17"/>
        <v>5.6091538144185063E-2</v>
      </c>
      <c r="AB39" s="151">
        <f t="shared" si="18"/>
        <v>1.8084565049435279</v>
      </c>
      <c r="AC39" s="151">
        <f t="shared" si="19"/>
        <v>7.6305075389763335</v>
      </c>
    </row>
    <row r="40" spans="1:31" hidden="1" x14ac:dyDescent="0.3">
      <c r="A40" t="s">
        <v>591</v>
      </c>
      <c r="B40" t="s">
        <v>592</v>
      </c>
      <c r="C40" s="90">
        <v>2319899.7724259198</v>
      </c>
      <c r="D40" s="37">
        <f t="shared" si="9"/>
        <v>1.9803156741419463E-2</v>
      </c>
      <c r="E40" t="s">
        <v>592</v>
      </c>
      <c r="F40" t="s">
        <v>861</v>
      </c>
      <c r="G40" t="s">
        <v>1047</v>
      </c>
      <c r="H40" t="s">
        <v>1047</v>
      </c>
      <c r="I40" s="45">
        <f>VLOOKUP(B40,'Beynon 2023'!$B$88:$R$336,15,FALSE)</f>
        <v>3.7790172826932825E-2</v>
      </c>
      <c r="J40" s="36" t="b">
        <f>IF(H40="Yes",C40/1000*'Preliminary results'!$D$46*Inflation!$D$7)</f>
        <v>0</v>
      </c>
      <c r="K40" s="36" t="b">
        <f>IF(H40="Yes",C40/1000*'Preliminary results'!$E$46*Inflation!$D$7)</f>
        <v>0</v>
      </c>
      <c r="L40" s="36" t="b">
        <f>IF(H40="Yes",C40/1000*'Preliminary results'!$F$46*Inflation!$D$7)</f>
        <v>0</v>
      </c>
      <c r="M40" s="150" t="b">
        <f>IF(H40="Yes",C40/1000*'Preliminary results'!$G$46*Inflation!$D$7)</f>
        <v>0</v>
      </c>
      <c r="N40" s="151">
        <f t="shared" si="20"/>
        <v>0.15997429602671392</v>
      </c>
      <c r="O40" s="151">
        <f t="shared" si="10"/>
        <v>5.157757584211736</v>
      </c>
      <c r="P40" s="151">
        <f t="shared" si="11"/>
        <v>21.762374722840793</v>
      </c>
      <c r="Q40" s="151">
        <f t="shared" si="12"/>
        <v>37.224461798151708</v>
      </c>
      <c r="R40" s="151">
        <f t="shared" si="21"/>
        <v>-0.15997429602671392</v>
      </c>
      <c r="S40" s="151">
        <f t="shared" si="13"/>
        <v>-5.157757584211736</v>
      </c>
      <c r="T40" s="151">
        <f t="shared" si="14"/>
        <v>-21.762374722840793</v>
      </c>
      <c r="U40" s="150" t="b">
        <f>IF(G40="Yes",C40/1000*'Preliminary results'!$D$46*Inflation!$D$7)</f>
        <v>0</v>
      </c>
      <c r="V40" s="150" t="b">
        <f>IF(G40="Yes",C40/1000*'Preliminary results'!$E$46*Inflation!$D$7)</f>
        <v>0</v>
      </c>
      <c r="W40" s="150" t="b">
        <f>IF(G40="Yes",C40/1000*'Preliminary results'!$F$46*Inflation!$D$7)</f>
        <v>0</v>
      </c>
      <c r="X40" s="151">
        <f t="shared" si="22"/>
        <v>1.4510160564733259</v>
      </c>
      <c r="Y40" s="151">
        <f t="shared" si="15"/>
        <v>46.782447280396575</v>
      </c>
      <c r="Z40" s="151">
        <f t="shared" si="16"/>
        <v>197.39143058681185</v>
      </c>
      <c r="AA40" s="151">
        <f t="shared" si="17"/>
        <v>-1.4510160564733259</v>
      </c>
      <c r="AB40" s="151">
        <f t="shared" si="18"/>
        <v>-46.782447280396575</v>
      </c>
      <c r="AC40" s="151">
        <f t="shared" si="19"/>
        <v>-197.39143058681185</v>
      </c>
      <c r="AE40" s="37"/>
    </row>
    <row r="41" spans="1:31" hidden="1" x14ac:dyDescent="0.3">
      <c r="A41" t="s">
        <v>891</v>
      </c>
      <c r="B41" t="s">
        <v>892</v>
      </c>
      <c r="C41" s="90">
        <v>7765.3365053431899</v>
      </c>
      <c r="D41" s="45">
        <f t="shared" si="9"/>
        <v>6.6286560218233804E-5</v>
      </c>
      <c r="E41" t="s">
        <v>1051</v>
      </c>
      <c r="F41" t="s">
        <v>1052</v>
      </c>
      <c r="G41" t="s">
        <v>1047</v>
      </c>
      <c r="H41" t="s">
        <v>1047</v>
      </c>
      <c r="I41" t="s">
        <v>1060</v>
      </c>
      <c r="J41" s="36" t="b">
        <f>IF(H41="Yes",C41/1000*'Preliminary results'!$D$46*Inflation!$D$7)</f>
        <v>0</v>
      </c>
      <c r="K41" s="36" t="b">
        <f>IF(H41="Yes",C41/1000*'Preliminary results'!$E$46*Inflation!$D$7)</f>
        <v>0</v>
      </c>
      <c r="L41" s="36" t="b">
        <f>IF(H41="Yes",C41/1000*'Preliminary results'!$F$46*Inflation!$D$7)</f>
        <v>0</v>
      </c>
      <c r="M41" s="150" t="b">
        <f>IF(H41="Yes",C41/1000*'Preliminary results'!$G$46*Inflation!$D$7)</f>
        <v>0</v>
      </c>
      <c r="N41" s="151">
        <f t="shared" si="20"/>
        <v>0</v>
      </c>
      <c r="O41" s="151">
        <f t="shared" si="10"/>
        <v>0</v>
      </c>
      <c r="P41" s="151">
        <f t="shared" si="11"/>
        <v>0</v>
      </c>
      <c r="Q41" s="151">
        <f t="shared" si="12"/>
        <v>0</v>
      </c>
      <c r="R41" s="151">
        <f t="shared" si="21"/>
        <v>0</v>
      </c>
      <c r="S41" s="151">
        <f t="shared" si="13"/>
        <v>0</v>
      </c>
      <c r="T41" s="151">
        <f t="shared" si="14"/>
        <v>0</v>
      </c>
      <c r="U41" s="150" t="b">
        <f>IF(G41="Yes",C41/1000*'Preliminary results'!$D$46*Inflation!$D$7)</f>
        <v>0</v>
      </c>
      <c r="V41" s="150" t="b">
        <f>IF(G41="Yes",C41/1000*'Preliminary results'!$E$46*Inflation!$D$7)</f>
        <v>0</v>
      </c>
      <c r="W41" s="150" t="b">
        <f>IF(G41="Yes",C41/1000*'Preliminary results'!$F$46*Inflation!$D$7)</f>
        <v>0</v>
      </c>
      <c r="X41" s="151">
        <f t="shared" si="22"/>
        <v>0</v>
      </c>
      <c r="Y41" s="151">
        <f t="shared" si="15"/>
        <v>0</v>
      </c>
      <c r="Z41" s="151">
        <f t="shared" si="16"/>
        <v>0</v>
      </c>
      <c r="AA41" s="151">
        <f t="shared" si="17"/>
        <v>0</v>
      </c>
      <c r="AB41" s="151">
        <f t="shared" si="18"/>
        <v>0</v>
      </c>
      <c r="AC41" s="151">
        <f t="shared" si="19"/>
        <v>0</v>
      </c>
    </row>
    <row r="42" spans="1:31" hidden="1" x14ac:dyDescent="0.3">
      <c r="A42" t="s">
        <v>927</v>
      </c>
      <c r="B42" t="s">
        <v>928</v>
      </c>
      <c r="C42" s="90">
        <v>3066.1092264016502</v>
      </c>
      <c r="D42" s="37">
        <f t="shared" si="9"/>
        <v>2.6172958986607748E-5</v>
      </c>
      <c r="E42" t="s">
        <v>928</v>
      </c>
      <c r="F42" t="s">
        <v>1048</v>
      </c>
      <c r="G42" t="s">
        <v>1045</v>
      </c>
      <c r="H42" t="s">
        <v>1047</v>
      </c>
      <c r="I42" s="93" t="str">
        <f>VLOOKUP(B42,'Beynon 2023'!$B$88:$R$336,15,FALSE)</f>
        <v/>
      </c>
      <c r="J42" s="36" t="b">
        <f>IF(H42="Yes",C42/1000*'Preliminary results'!$D$46*Inflation!$D$7)</f>
        <v>0</v>
      </c>
      <c r="K42" s="36" t="b">
        <f>IF(H42="Yes",C42/1000*'Preliminary results'!$E$46*Inflation!$D$7)</f>
        <v>0</v>
      </c>
      <c r="L42" s="36" t="b">
        <f>IF(H42="Yes",C42/1000*'Preliminary results'!$F$46*Inflation!$D$7)</f>
        <v>0</v>
      </c>
      <c r="M42" s="150" t="b">
        <f>IF(H42="Yes",C42/1000*'Preliminary results'!$G$46*Inflation!$D$7)</f>
        <v>0</v>
      </c>
      <c r="N42" s="151">
        <f t="shared" si="20"/>
        <v>0</v>
      </c>
      <c r="O42" s="151">
        <f t="shared" si="10"/>
        <v>0</v>
      </c>
      <c r="P42" s="151">
        <f t="shared" si="11"/>
        <v>0</v>
      </c>
      <c r="Q42" s="151">
        <f t="shared" si="12"/>
        <v>0</v>
      </c>
      <c r="R42" s="151">
        <f t="shared" si="21"/>
        <v>0</v>
      </c>
      <c r="S42" s="151">
        <f t="shared" si="13"/>
        <v>0</v>
      </c>
      <c r="T42" s="151">
        <f t="shared" si="14"/>
        <v>0</v>
      </c>
      <c r="U42" s="150">
        <f>IF(G42="Yes",C42/1000*'Preliminary results'!$D$46*Inflation!$D$7)</f>
        <v>2.9182539148211251E-3</v>
      </c>
      <c r="V42" s="150">
        <f>IF(G42="Yes",C42/1000*'Preliminary results'!$E$46*Inflation!$D$7)</f>
        <v>9.408790434252505E-2</v>
      </c>
      <c r="W42" s="150">
        <f>IF(G42="Yes",C42/1000*'Preliminary results'!$F$46*Inflation!$D$7)</f>
        <v>0.39698962150850309</v>
      </c>
      <c r="X42" s="151">
        <f t="shared" si="22"/>
        <v>0</v>
      </c>
      <c r="Y42" s="151">
        <f t="shared" si="15"/>
        <v>0</v>
      </c>
      <c r="Z42" s="151">
        <f t="shared" si="16"/>
        <v>0</v>
      </c>
      <c r="AA42" s="151">
        <f t="shared" si="17"/>
        <v>2.9182539148211251E-3</v>
      </c>
      <c r="AB42" s="151">
        <f t="shared" si="18"/>
        <v>9.408790434252505E-2</v>
      </c>
      <c r="AC42" s="151">
        <f t="shared" si="19"/>
        <v>0.39698962150850309</v>
      </c>
    </row>
    <row r="43" spans="1:31" hidden="1" x14ac:dyDescent="0.3">
      <c r="A43" t="s">
        <v>832</v>
      </c>
      <c r="B43" t="s">
        <v>833</v>
      </c>
      <c r="C43" s="90">
        <v>21472.835225433799</v>
      </c>
      <c r="D43" s="37">
        <f t="shared" si="9"/>
        <v>1.8329667803160116E-4</v>
      </c>
      <c r="E43" t="s">
        <v>833</v>
      </c>
      <c r="F43" t="s">
        <v>1048</v>
      </c>
      <c r="G43" t="s">
        <v>1045</v>
      </c>
      <c r="H43" t="s">
        <v>1045</v>
      </c>
      <c r="I43" s="93" t="str">
        <f>VLOOKUP(B43,'Beynon 2023'!$B$88:$R$336,15,FALSE)</f>
        <v/>
      </c>
      <c r="J43" s="36">
        <f>IF(H43="Yes",C43/1000*'Preliminary results'!$D$46*Inflation!$D$7)</f>
        <v>2.0437362413364482E-2</v>
      </c>
      <c r="K43" s="36">
        <f>IF(H43="Yes",C43/1000*'Preliminary results'!$E$46*Inflation!$D$7)</f>
        <v>0.65892436226887385</v>
      </c>
      <c r="L43" s="36">
        <f>IF(H43="Yes",C43/1000*'Preliminary results'!$F$46*Inflation!$D$7)</f>
        <v>2.7802312636016757</v>
      </c>
      <c r="M43" s="150">
        <f>IF(H43="Yes",C43/1000*'Preliminary results'!$G$46*Inflation!$D$7)</f>
        <v>4.7555753349539813</v>
      </c>
      <c r="N43" s="151">
        <f t="shared" si="20"/>
        <v>0</v>
      </c>
      <c r="O43" s="151">
        <f t="shared" si="10"/>
        <v>0</v>
      </c>
      <c r="P43" s="151">
        <f t="shared" si="11"/>
        <v>0</v>
      </c>
      <c r="Q43" s="151">
        <f t="shared" si="12"/>
        <v>0</v>
      </c>
      <c r="R43" s="151">
        <f t="shared" si="21"/>
        <v>2.0437362413364482E-2</v>
      </c>
      <c r="S43" s="151">
        <f t="shared" si="13"/>
        <v>0.65892436226887385</v>
      </c>
      <c r="T43" s="151">
        <f t="shared" si="14"/>
        <v>2.7802312636016757</v>
      </c>
      <c r="U43" s="150">
        <f>IF(G43="Yes",C43/1000*'Preliminary results'!$D$46*Inflation!$D$7)</f>
        <v>2.0437362413364482E-2</v>
      </c>
      <c r="V43" s="150">
        <f>IF(G43="Yes",C43/1000*'Preliminary results'!$E$46*Inflation!$D$7)</f>
        <v>0.65892436226887385</v>
      </c>
      <c r="W43" s="150">
        <f>IF(G43="Yes",C43/1000*'Preliminary results'!$F$46*Inflation!$D$7)</f>
        <v>2.7802312636016757</v>
      </c>
      <c r="X43" s="151">
        <f t="shared" si="22"/>
        <v>0</v>
      </c>
      <c r="Y43" s="151">
        <f t="shared" si="15"/>
        <v>0</v>
      </c>
      <c r="Z43" s="151">
        <f t="shared" si="16"/>
        <v>0</v>
      </c>
      <c r="AA43" s="151">
        <f t="shared" si="17"/>
        <v>2.0437362413364482E-2</v>
      </c>
      <c r="AB43" s="151">
        <f t="shared" si="18"/>
        <v>0.65892436226887385</v>
      </c>
      <c r="AC43" s="151">
        <f t="shared" si="19"/>
        <v>2.7802312636016757</v>
      </c>
    </row>
    <row r="44" spans="1:31" hidden="1" x14ac:dyDescent="0.3">
      <c r="A44" t="s">
        <v>871</v>
      </c>
      <c r="B44" t="s">
        <v>872</v>
      </c>
      <c r="C44" s="90">
        <v>12507.3208383932</v>
      </c>
      <c r="D44" s="37">
        <f t="shared" si="9"/>
        <v>1.0676514473679987E-4</v>
      </c>
      <c r="E44" t="s">
        <v>1049</v>
      </c>
      <c r="F44" s="8"/>
      <c r="G44" t="s">
        <v>1047</v>
      </c>
      <c r="H44" t="s">
        <v>1047</v>
      </c>
      <c r="I44" t="s">
        <v>1049</v>
      </c>
      <c r="J44" s="36" t="b">
        <f>IF(H44="Yes",C44/1000*'Preliminary results'!$D$46*Inflation!$D$7)</f>
        <v>0</v>
      </c>
      <c r="K44" s="36" t="b">
        <f>IF(H44="Yes",C44/1000*'Preliminary results'!$E$46*Inflation!$D$7)</f>
        <v>0</v>
      </c>
      <c r="L44" s="36" t="b">
        <f>IF(H44="Yes",C44/1000*'Preliminary results'!$F$46*Inflation!$D$7)</f>
        <v>0</v>
      </c>
      <c r="M44" s="150" t="b">
        <f>IF(H44="Yes",C44/1000*'Preliminary results'!$G$46*Inflation!$D$7)</f>
        <v>0</v>
      </c>
      <c r="N44" s="151">
        <f t="shared" si="20"/>
        <v>0</v>
      </c>
      <c r="O44" s="151">
        <f t="shared" si="10"/>
        <v>0</v>
      </c>
      <c r="P44" s="151">
        <f t="shared" si="11"/>
        <v>0</v>
      </c>
      <c r="Q44" s="151">
        <f t="shared" si="12"/>
        <v>0</v>
      </c>
      <c r="R44" s="151">
        <f t="shared" si="21"/>
        <v>0</v>
      </c>
      <c r="S44" s="151">
        <f t="shared" si="13"/>
        <v>0</v>
      </c>
      <c r="T44" s="151">
        <f t="shared" si="14"/>
        <v>0</v>
      </c>
      <c r="U44" s="150" t="b">
        <f>IF(G44="Yes",C44/1000*'Preliminary results'!$D$46*Inflation!$D$7)</f>
        <v>0</v>
      </c>
      <c r="V44" s="150" t="b">
        <f>IF(G44="Yes",C44/1000*'Preliminary results'!$E$46*Inflation!$D$7)</f>
        <v>0</v>
      </c>
      <c r="W44" s="150" t="b">
        <f>IF(G44="Yes",C44/1000*'Preliminary results'!$F$46*Inflation!$D$7)</f>
        <v>0</v>
      </c>
      <c r="X44" s="151">
        <f t="shared" si="22"/>
        <v>0</v>
      </c>
      <c r="Y44" s="151">
        <f t="shared" si="15"/>
        <v>0</v>
      </c>
      <c r="Z44" s="151">
        <f t="shared" si="16"/>
        <v>0</v>
      </c>
      <c r="AA44" s="151">
        <f t="shared" si="17"/>
        <v>0</v>
      </c>
      <c r="AB44" s="151">
        <f t="shared" si="18"/>
        <v>0</v>
      </c>
      <c r="AC44" s="151">
        <f t="shared" si="19"/>
        <v>0</v>
      </c>
    </row>
    <row r="45" spans="1:31" hidden="1" x14ac:dyDescent="0.3">
      <c r="A45" t="s">
        <v>660</v>
      </c>
      <c r="B45" t="s">
        <v>661</v>
      </c>
      <c r="C45" s="90">
        <v>357371.15957486199</v>
      </c>
      <c r="D45" s="37">
        <f t="shared" si="9"/>
        <v>3.0505960524851972E-3</v>
      </c>
      <c r="E45" t="s">
        <v>661</v>
      </c>
      <c r="F45" t="s">
        <v>1052</v>
      </c>
      <c r="G45" t="s">
        <v>1045</v>
      </c>
      <c r="H45" t="s">
        <v>1047</v>
      </c>
      <c r="I45" s="45">
        <f>VLOOKUP(B45,'Beynon 2023'!$B$88:$R$336,15,FALSE)</f>
        <v>1.3603311555896714E-3</v>
      </c>
      <c r="J45" s="36" t="b">
        <f>IF(H45="Yes",C45/1000*'Preliminary results'!$D$46*Inflation!$D$7)</f>
        <v>0</v>
      </c>
      <c r="K45" s="36" t="b">
        <f>IF(H45="Yes",C45/1000*'Preliminary results'!$E$46*Inflation!$D$7)</f>
        <v>0</v>
      </c>
      <c r="L45" s="36" t="b">
        <f>IF(H45="Yes",C45/1000*'Preliminary results'!$F$46*Inflation!$D$7)</f>
        <v>0</v>
      </c>
      <c r="M45" s="150" t="b">
        <f>IF(H45="Yes",C45/1000*'Preliminary results'!$G$46*Inflation!$D$7)</f>
        <v>0</v>
      </c>
      <c r="N45" s="151">
        <f t="shared" si="20"/>
        <v>5.7585875559576409E-3</v>
      </c>
      <c r="O45" s="151">
        <f t="shared" si="10"/>
        <v>0.18566356832805217</v>
      </c>
      <c r="P45" s="151">
        <f t="shared" si="11"/>
        <v>0.7833792264109164</v>
      </c>
      <c r="Q45" s="151">
        <f t="shared" si="12"/>
        <v>1.3399672810703365</v>
      </c>
      <c r="R45" s="151">
        <f t="shared" si="21"/>
        <v>-5.7585875559576409E-3</v>
      </c>
      <c r="S45" s="151">
        <f t="shared" si="13"/>
        <v>-0.18566356832805217</v>
      </c>
      <c r="T45" s="151">
        <f t="shared" si="14"/>
        <v>-0.7833792264109164</v>
      </c>
      <c r="U45" s="150">
        <f>IF(G45="Yes",C45/1000*'Preliminary results'!$D$46*Inflation!$D$7)</f>
        <v>0.34013784521872392</v>
      </c>
      <c r="V45" s="150">
        <f>IF(G45="Yes",C45/1000*'Preliminary results'!$E$46*Inflation!$D$7)</f>
        <v>10.966440199626533</v>
      </c>
      <c r="W45" s="150">
        <f>IF(G45="Yes",C45/1000*'Preliminary results'!$F$46*Inflation!$D$7)</f>
        <v>46.271228746856927</v>
      </c>
      <c r="X45" s="151">
        <f t="shared" si="22"/>
        <v>5.2232159877151116E-2</v>
      </c>
      <c r="Y45" s="151">
        <f t="shared" si="15"/>
        <v>1.6840256556037549</v>
      </c>
      <c r="Z45" s="151">
        <f t="shared" si="16"/>
        <v>7.1054904697944448</v>
      </c>
      <c r="AA45" s="151">
        <f t="shared" si="17"/>
        <v>0.28790568534157279</v>
      </c>
      <c r="AB45" s="151">
        <f t="shared" si="18"/>
        <v>9.2824145440227781</v>
      </c>
      <c r="AC45" s="151">
        <f t="shared" si="19"/>
        <v>39.165738277062481</v>
      </c>
    </row>
    <row r="46" spans="1:31" hidden="1" x14ac:dyDescent="0.3">
      <c r="A46" t="s">
        <v>576</v>
      </c>
      <c r="B46" t="s">
        <v>577</v>
      </c>
      <c r="C46" s="90">
        <v>19498039.388042599</v>
      </c>
      <c r="D46" s="37">
        <f t="shared" si="9"/>
        <v>0.16643940171088054</v>
      </c>
      <c r="E46" t="s">
        <v>577</v>
      </c>
      <c r="F46" t="s">
        <v>1011</v>
      </c>
      <c r="G46" t="s">
        <v>1045</v>
      </c>
      <c r="H46" t="s">
        <v>1047</v>
      </c>
      <c r="I46" s="45">
        <f>VLOOKUP(B46,'Beynon 2023'!$B$88:$R$336,15,FALSE)</f>
        <v>8.4442062815567556E-2</v>
      </c>
      <c r="J46" s="36" t="b">
        <f>IF(H46="Yes",C46/1000*'Preliminary results'!$D$46*Inflation!$D$7)</f>
        <v>0</v>
      </c>
      <c r="K46" s="36" t="b">
        <f>IF(H46="Yes",C46/1000*'Preliminary results'!$E$46*Inflation!$D$7)</f>
        <v>0</v>
      </c>
      <c r="L46" s="36" t="b">
        <f>IF(H46="Yes",C46/1000*'Preliminary results'!$F$46*Inflation!$D$7)</f>
        <v>0</v>
      </c>
      <c r="M46" s="150" t="b">
        <f>IF(H46="Yes",C46/1000*'Preliminary results'!$G$46*Inflation!$D$7)</f>
        <v>0</v>
      </c>
      <c r="N46" s="151">
        <f t="shared" si="20"/>
        <v>0.35746223272989397</v>
      </c>
      <c r="O46" s="151">
        <f t="shared" si="10"/>
        <v>11.524998626179254</v>
      </c>
      <c r="P46" s="151">
        <f t="shared" si="11"/>
        <v>48.627981189129486</v>
      </c>
      <c r="Q46" s="151">
        <f t="shared" si="12"/>
        <v>83.177982694882076</v>
      </c>
      <c r="R46" s="151">
        <f t="shared" si="21"/>
        <v>-0.35746223272989397</v>
      </c>
      <c r="S46" s="151">
        <f t="shared" si="13"/>
        <v>-11.524998626179254</v>
      </c>
      <c r="T46" s="151">
        <f t="shared" si="14"/>
        <v>-48.627981189129486</v>
      </c>
      <c r="U46" s="150">
        <f>IF(G46="Yes",C46/1000*'Preliminary results'!$D$46*Inflation!$D$7)</f>
        <v>18.557796077692004</v>
      </c>
      <c r="V46" s="150">
        <f>IF(G46="Yes",C46/1000*'Preliminary results'!$E$46*Inflation!$D$7)</f>
        <v>598.3249549664348</v>
      </c>
      <c r="W46" s="150">
        <f>IF(G46="Yes",C46/1000*'Preliminary results'!$F$46*Inflation!$D$7)</f>
        <v>2524.5412688383249</v>
      </c>
      <c r="X46" s="154">
        <f t="shared" si="22"/>
        <v>3.2422923691895265</v>
      </c>
      <c r="Y46" s="154">
        <f t="shared" si="15"/>
        <v>104.53528143437849</v>
      </c>
      <c r="Z46" s="154">
        <f t="shared" si="16"/>
        <v>441.07074231179564</v>
      </c>
      <c r="AA46" s="154">
        <f t="shared" si="17"/>
        <v>15.315503708502478</v>
      </c>
      <c r="AB46" s="154">
        <f t="shared" si="18"/>
        <v>493.78967353205633</v>
      </c>
      <c r="AC46" s="154">
        <f t="shared" si="19"/>
        <v>2083.4705265265293</v>
      </c>
    </row>
    <row r="47" spans="1:31" hidden="1" x14ac:dyDescent="0.3">
      <c r="A47" t="s">
        <v>642</v>
      </c>
      <c r="B47" t="s">
        <v>643</v>
      </c>
      <c r="C47" s="90">
        <v>457410.03420252301</v>
      </c>
      <c r="D47" s="45">
        <f t="shared" si="9"/>
        <v>3.9045491146104459E-3</v>
      </c>
      <c r="E47" t="s">
        <v>643</v>
      </c>
      <c r="F47" t="s">
        <v>1052</v>
      </c>
      <c r="G47" t="s">
        <v>1045</v>
      </c>
      <c r="H47" t="s">
        <v>1045</v>
      </c>
      <c r="I47" s="45">
        <f>VLOOKUP(B47,'Beynon 2023'!$B$88:$R$336,15,FALSE)</f>
        <v>1.3356125917594911E-3</v>
      </c>
      <c r="J47" s="36">
        <f>IF(H47="Yes",C47/1000*'Preliminary results'!$D$46*Inflation!$D$7)</f>
        <v>0.43535259980171298</v>
      </c>
      <c r="K47" s="36">
        <f>IF(H47="Yes",C47/1000*'Preliminary results'!$E$46*Inflation!$D$7)</f>
        <v>14.03627475915642</v>
      </c>
      <c r="L47" s="36">
        <f>IF(H47="Yes",C47/1000*'Preliminary results'!$F$46*Inflation!$D$7)</f>
        <v>59.223929398418555</v>
      </c>
      <c r="M47" s="150">
        <f>IF(H47="Yes",C47/1000*'Preliminary results'!$G$46*Inflation!$D$7)</f>
        <v>101.3023130749624</v>
      </c>
      <c r="N47" s="151">
        <f t="shared" si="20"/>
        <v>5.6539483190418934E-3</v>
      </c>
      <c r="O47" s="151">
        <f t="shared" si="10"/>
        <v>0.18228987748387929</v>
      </c>
      <c r="P47" s="151">
        <f t="shared" si="11"/>
        <v>0.76914445031855994</v>
      </c>
      <c r="Q47" s="151">
        <f t="shared" si="12"/>
        <v>1.3156187490004871</v>
      </c>
      <c r="R47" s="151">
        <f t="shared" si="21"/>
        <v>0.42969865148267111</v>
      </c>
      <c r="S47" s="151">
        <f t="shared" si="13"/>
        <v>13.85398488167254</v>
      </c>
      <c r="T47" s="151">
        <f t="shared" si="14"/>
        <v>58.454784948099999</v>
      </c>
      <c r="U47" s="150">
        <f>IF(G47="Yes",C47/1000*'Preliminary results'!$D$46*Inflation!$D$7)</f>
        <v>0.43535259980171298</v>
      </c>
      <c r="V47" s="150">
        <f>IF(G47="Yes",C47/1000*'Preliminary results'!$E$46*Inflation!$D$7)</f>
        <v>14.03627475915642</v>
      </c>
      <c r="W47" s="150">
        <f>IF(G47="Yes",C47/1000*'Preliminary results'!$F$46*Inflation!$D$7)</f>
        <v>59.223929398418555</v>
      </c>
      <c r="X47" s="151">
        <f t="shared" si="22"/>
        <v>5.128304982214258E-2</v>
      </c>
      <c r="Y47" s="151">
        <f t="shared" si="15"/>
        <v>1.6534252422495093</v>
      </c>
      <c r="Z47" s="151">
        <f t="shared" si="16"/>
        <v>6.9763766734951771</v>
      </c>
      <c r="AA47" s="151">
        <f t="shared" si="17"/>
        <v>0.38406954997957038</v>
      </c>
      <c r="AB47" s="151">
        <f t="shared" si="18"/>
        <v>12.38284951690691</v>
      </c>
      <c r="AC47" s="151">
        <f t="shared" si="19"/>
        <v>52.247552724923381</v>
      </c>
    </row>
    <row r="48" spans="1:31" hidden="1" x14ac:dyDescent="0.3">
      <c r="A48" t="s">
        <v>949</v>
      </c>
      <c r="B48" t="s">
        <v>950</v>
      </c>
      <c r="C48" s="90">
        <v>1814.9208562702599</v>
      </c>
      <c r="D48" s="37">
        <f t="shared" si="9"/>
        <v>1.549254955631445E-5</v>
      </c>
      <c r="E48" t="s">
        <v>1059</v>
      </c>
      <c r="F48" t="s">
        <v>1048</v>
      </c>
      <c r="G48" t="s">
        <v>1045</v>
      </c>
      <c r="H48" t="s">
        <v>1045</v>
      </c>
      <c r="I48" s="93" t="str">
        <f>VLOOKUP(B48,'Beynon 2023'!$B$88:$R$336,15,FALSE)</f>
        <v/>
      </c>
      <c r="J48" s="36">
        <f>IF(H48="Yes",C48/1000*'Preliminary results'!$D$46*Inflation!$D$7)</f>
        <v>1.7274009184979318E-3</v>
      </c>
      <c r="K48" s="36">
        <f>IF(H48="Yes",C48/1000*'Preliminary results'!$E$46*Inflation!$D$7)</f>
        <v>5.569341706538429E-2</v>
      </c>
      <c r="L48" s="36">
        <f>IF(H48="Yes",C48/1000*'Preliminary results'!$F$46*Inflation!$D$7)</f>
        <v>0.23498991412129003</v>
      </c>
      <c r="M48" s="150">
        <f>IF(H48="Yes",C48/1000*'Preliminary results'!$G$46*Inflation!$D$7)</f>
        <v>0.40194938248067535</v>
      </c>
      <c r="N48" s="151">
        <f t="shared" si="20"/>
        <v>0</v>
      </c>
      <c r="O48" s="151">
        <f t="shared" si="10"/>
        <v>0</v>
      </c>
      <c r="P48" s="151">
        <f t="shared" si="11"/>
        <v>0</v>
      </c>
      <c r="Q48" s="151">
        <f t="shared" si="12"/>
        <v>0</v>
      </c>
      <c r="R48" s="151">
        <f t="shared" si="21"/>
        <v>1.7274009184979318E-3</v>
      </c>
      <c r="S48" s="151">
        <f t="shared" si="13"/>
        <v>5.569341706538429E-2</v>
      </c>
      <c r="T48" s="151">
        <f t="shared" si="14"/>
        <v>0.23498991412129003</v>
      </c>
      <c r="U48" s="150">
        <f>IF(G48="Yes",C48/1000*'Preliminary results'!$D$46*Inflation!$D$7)</f>
        <v>1.7274009184979318E-3</v>
      </c>
      <c r="V48" s="150">
        <f>IF(G48="Yes",C48/1000*'Preliminary results'!$E$46*Inflation!$D$7)</f>
        <v>5.569341706538429E-2</v>
      </c>
      <c r="W48" s="150">
        <f>IF(G48="Yes",C48/1000*'Preliminary results'!$F$46*Inflation!$D$7)</f>
        <v>0.23498991412129003</v>
      </c>
      <c r="X48" s="151">
        <f t="shared" si="22"/>
        <v>0</v>
      </c>
      <c r="Y48" s="151">
        <f t="shared" si="15"/>
        <v>0</v>
      </c>
      <c r="Z48" s="151">
        <f t="shared" si="16"/>
        <v>0</v>
      </c>
      <c r="AA48" s="151">
        <f t="shared" si="17"/>
        <v>1.7274009184979318E-3</v>
      </c>
      <c r="AB48" s="151">
        <f t="shared" si="18"/>
        <v>5.569341706538429E-2</v>
      </c>
      <c r="AC48" s="151">
        <f t="shared" si="19"/>
        <v>0.23498991412129003</v>
      </c>
      <c r="AE48" s="147"/>
    </row>
    <row r="49" spans="1:29" hidden="1" x14ac:dyDescent="0.3">
      <c r="A49" t="s">
        <v>731</v>
      </c>
      <c r="B49" t="s">
        <v>732</v>
      </c>
      <c r="C49" s="90">
        <v>91030.531316993613</v>
      </c>
      <c r="D49" s="47">
        <f t="shared" si="9"/>
        <v>7.7705593205004806E-4</v>
      </c>
      <c r="E49" t="s">
        <v>1061</v>
      </c>
      <c r="F49" t="s">
        <v>1048</v>
      </c>
      <c r="G49" t="s">
        <v>1045</v>
      </c>
      <c r="H49" t="s">
        <v>1047</v>
      </c>
      <c r="I49" s="93" t="str">
        <f>'Beynon 2023'!P148</f>
        <v/>
      </c>
      <c r="J49" s="36" t="b">
        <f>IF(H49="Yes",C49/1000*'Preliminary results'!$D$46*Inflation!$D$7)</f>
        <v>0</v>
      </c>
      <c r="K49" s="36" t="b">
        <f>IF(H49="Yes",C49/1000*'Preliminary results'!$E$46*Inflation!$D$7)</f>
        <v>0</v>
      </c>
      <c r="L49" s="36" t="b">
        <f>IF(H49="Yes",C49/1000*'Preliminary results'!$F$46*Inflation!$D$7)</f>
        <v>0</v>
      </c>
      <c r="M49" s="150" t="b">
        <f>IF(H49="Yes",C49/1000*'Preliminary results'!$G$46*Inflation!$D$7)</f>
        <v>0</v>
      </c>
      <c r="N49" s="151">
        <f t="shared" si="20"/>
        <v>0</v>
      </c>
      <c r="O49" s="151">
        <f t="shared" si="10"/>
        <v>0</v>
      </c>
      <c r="P49" s="151">
        <f t="shared" si="11"/>
        <v>0</v>
      </c>
      <c r="Q49" s="151">
        <f t="shared" si="12"/>
        <v>0</v>
      </c>
      <c r="R49" s="151">
        <f t="shared" si="21"/>
        <v>0</v>
      </c>
      <c r="S49" s="151">
        <f t="shared" si="13"/>
        <v>0</v>
      </c>
      <c r="T49" s="151">
        <f t="shared" si="14"/>
        <v>0</v>
      </c>
      <c r="U49" s="150">
        <f>IF(G49="Yes",C49/1000*'Preliminary results'!$D$46*Inflation!$D$7)</f>
        <v>8.6640815694562709E-2</v>
      </c>
      <c r="V49" s="150">
        <f>IF(G49="Yes",C49/1000*'Preliminary results'!$E$46*Inflation!$D$7)</f>
        <v>2.793400785938132</v>
      </c>
      <c r="W49" s="150">
        <f>IF(G49="Yes",C49/1000*'Preliminary results'!$F$46*Inflation!$D$7)</f>
        <v>11.786330330985166</v>
      </c>
      <c r="X49" s="151">
        <f t="shared" si="22"/>
        <v>0</v>
      </c>
      <c r="Y49" s="151">
        <f t="shared" si="15"/>
        <v>0</v>
      </c>
      <c r="Z49" s="151">
        <f t="shared" si="16"/>
        <v>0</v>
      </c>
      <c r="AA49" s="151">
        <f t="shared" si="17"/>
        <v>8.6640815694562709E-2</v>
      </c>
      <c r="AB49" s="151">
        <f t="shared" si="18"/>
        <v>2.793400785938132</v>
      </c>
      <c r="AC49" s="151">
        <f t="shared" si="19"/>
        <v>11.786330330985166</v>
      </c>
    </row>
    <row r="50" spans="1:29" hidden="1" x14ac:dyDescent="0.3">
      <c r="A50" t="s">
        <v>855</v>
      </c>
      <c r="B50" t="s">
        <v>856</v>
      </c>
      <c r="C50" s="90">
        <v>16306.633778765001</v>
      </c>
      <c r="D50" s="45">
        <f t="shared" si="9"/>
        <v>1.391968862120832E-4</v>
      </c>
      <c r="E50" t="s">
        <v>1062</v>
      </c>
      <c r="F50" t="s">
        <v>1048</v>
      </c>
      <c r="G50" t="s">
        <v>1045</v>
      </c>
      <c r="H50" t="s">
        <v>1047</v>
      </c>
      <c r="I50" s="93" t="str">
        <f>'Beynon 2023'!P139</f>
        <v/>
      </c>
      <c r="J50" s="36" t="b">
        <f>IF(H50="Yes",C50/1000*'Preliminary results'!$D$46*Inflation!$D$7)</f>
        <v>0</v>
      </c>
      <c r="K50" s="36" t="b">
        <f>IF(H50="Yes",C50/1000*'Preliminary results'!$E$46*Inflation!$D$7)</f>
        <v>0</v>
      </c>
      <c r="L50" s="36" t="b">
        <f>IF(H50="Yes",C50/1000*'Preliminary results'!$F$46*Inflation!$D$7)</f>
        <v>0</v>
      </c>
      <c r="M50" s="150" t="b">
        <f>IF(H50="Yes",C50/1000*'Preliminary results'!$G$46*Inflation!$D$7)</f>
        <v>0</v>
      </c>
      <c r="N50" s="151">
        <f t="shared" si="20"/>
        <v>0</v>
      </c>
      <c r="O50" s="151">
        <f t="shared" si="10"/>
        <v>0</v>
      </c>
      <c r="P50" s="151">
        <f t="shared" si="11"/>
        <v>0</v>
      </c>
      <c r="Q50" s="151">
        <f t="shared" si="12"/>
        <v>0</v>
      </c>
      <c r="R50" s="151">
        <f t="shared" si="21"/>
        <v>0</v>
      </c>
      <c r="S50" s="151">
        <f t="shared" si="13"/>
        <v>0</v>
      </c>
      <c r="T50" s="151">
        <f t="shared" si="14"/>
        <v>0</v>
      </c>
      <c r="U50" s="150">
        <f>IF(G50="Yes",C50/1000*'Preliminary results'!$D$46*Inflation!$D$7)</f>
        <v>1.5520287879072978E-2</v>
      </c>
      <c r="V50" s="150">
        <f>IF(G50="Yes",C50/1000*'Preliminary results'!$E$46*Inflation!$D$7)</f>
        <v>0.50039215364992562</v>
      </c>
      <c r="W50" s="150">
        <f>IF(G50="Yes",C50/1000*'Preliminary results'!$F$46*Inflation!$D$7)</f>
        <v>2.1113286885434897</v>
      </c>
      <c r="X50" s="151">
        <f t="shared" si="22"/>
        <v>0</v>
      </c>
      <c r="Y50" s="151">
        <f t="shared" si="15"/>
        <v>0</v>
      </c>
      <c r="Z50" s="151">
        <f t="shared" si="16"/>
        <v>0</v>
      </c>
      <c r="AA50" s="151">
        <f t="shared" si="17"/>
        <v>1.5520287879072978E-2</v>
      </c>
      <c r="AB50" s="151">
        <f t="shared" si="18"/>
        <v>0.50039215364992562</v>
      </c>
      <c r="AC50" s="151">
        <f t="shared" si="19"/>
        <v>2.1113286885434897</v>
      </c>
    </row>
    <row r="51" spans="1:29" hidden="1" x14ac:dyDescent="0.3">
      <c r="A51" t="s">
        <v>717</v>
      </c>
      <c r="B51" t="s">
        <v>718</v>
      </c>
      <c r="C51" s="90">
        <v>102904.92115747801</v>
      </c>
      <c r="D51" s="45">
        <f t="shared" si="9"/>
        <v>8.7841824348039682E-4</v>
      </c>
      <c r="E51" t="s">
        <v>718</v>
      </c>
      <c r="F51" t="s">
        <v>1052</v>
      </c>
      <c r="G51" t="s">
        <v>1045</v>
      </c>
      <c r="H51" t="s">
        <v>1045</v>
      </c>
      <c r="I51" s="93">
        <f>VLOOKUP(B51,'Beynon 2023'!$B$88:$R$336,15,FALSE)</f>
        <v>2.0638952442529246E-4</v>
      </c>
      <c r="J51" s="36">
        <f>IF(H51="Yes",C51/1000*'Preliminary results'!$D$46*Inflation!$D$7)</f>
        <v>9.7942593315438115E-2</v>
      </c>
      <c r="K51" s="36">
        <f>IF(H51="Yes",C51/1000*'Preliminary results'!$E$46*Inflation!$D$7)</f>
        <v>3.1577832566658697</v>
      </c>
      <c r="L51" s="36">
        <f>IF(H51="Yes",C51/1000*'Preliminary results'!$F$46*Inflation!$D$7)</f>
        <v>13.323786820736711</v>
      </c>
      <c r="M51" s="150">
        <f>IF(H51="Yes",C51/1000*'Preliminary results'!$G$46*Inflation!$D$7)</f>
        <v>22.790288276521718</v>
      </c>
      <c r="N51" s="151">
        <f t="shared" si="20"/>
        <v>8.7369324899444272E-4</v>
      </c>
      <c r="O51" s="151">
        <f t="shared" si="10"/>
        <v>2.8168887710080488E-2</v>
      </c>
      <c r="P51" s="151">
        <f t="shared" si="11"/>
        <v>0.11885434316434335</v>
      </c>
      <c r="Q51" s="151">
        <f t="shared" si="12"/>
        <v>0.20329991616319248</v>
      </c>
      <c r="R51" s="151">
        <f t="shared" si="21"/>
        <v>9.706890006644367E-2</v>
      </c>
      <c r="S51" s="151">
        <f t="shared" si="13"/>
        <v>3.1296143689557891</v>
      </c>
      <c r="T51" s="151">
        <f t="shared" si="14"/>
        <v>13.204932477572367</v>
      </c>
      <c r="U51" s="150">
        <f>IF(G51="Yes",C51/1000*'Preliminary results'!$D$46*Inflation!$D$7)</f>
        <v>9.7942593315438115E-2</v>
      </c>
      <c r="V51" s="150">
        <f>IF(G51="Yes",C51/1000*'Preliminary results'!$E$46*Inflation!$D$7)</f>
        <v>3.1577832566658697</v>
      </c>
      <c r="W51" s="150">
        <f>IF(G51="Yes",C51/1000*'Preliminary results'!$F$46*Inflation!$D$7)</f>
        <v>13.323786820736711</v>
      </c>
      <c r="X51" s="151">
        <f t="shared" si="22"/>
        <v>7.9246664258587184E-3</v>
      </c>
      <c r="Y51" s="151">
        <f t="shared" si="15"/>
        <v>0.25550047336039217</v>
      </c>
      <c r="Z51" s="151">
        <f t="shared" si="16"/>
        <v>1.0780454397764865</v>
      </c>
      <c r="AA51" s="151">
        <f t="shared" si="17"/>
        <v>9.0017926889579394E-2</v>
      </c>
      <c r="AB51" s="151">
        <f t="shared" si="18"/>
        <v>2.9022827833054774</v>
      </c>
      <c r="AC51" s="151">
        <f t="shared" si="19"/>
        <v>12.245741380960224</v>
      </c>
    </row>
    <row r="52" spans="1:29" hidden="1" x14ac:dyDescent="0.3">
      <c r="A52" t="s">
        <v>715</v>
      </c>
      <c r="B52" t="s">
        <v>716</v>
      </c>
      <c r="C52" s="90">
        <v>105060.182186274</v>
      </c>
      <c r="D52" s="37">
        <f t="shared" si="9"/>
        <v>8.9681600896976041E-4</v>
      </c>
      <c r="E52" t="s">
        <v>716</v>
      </c>
      <c r="F52" t="s">
        <v>1046</v>
      </c>
      <c r="G52" t="s">
        <v>1047</v>
      </c>
      <c r="H52" t="s">
        <v>1047</v>
      </c>
      <c r="I52" s="93">
        <f>VLOOKUP(B52,'Beynon 2023'!$B$88:$R$336,15,FALSE)</f>
        <v>4.2980291638068104E-4</v>
      </c>
      <c r="J52" s="36" t="b">
        <f>IF(H52="Yes",C52/1000*'Preliminary results'!$D$46*Inflation!$D$7)</f>
        <v>0</v>
      </c>
      <c r="K52" s="36" t="b">
        <f>IF(H52="Yes",C52/1000*'Preliminary results'!$E$46*Inflation!$D$7)</f>
        <v>0</v>
      </c>
      <c r="L52" s="36" t="b">
        <f>IF(H52="Yes",C52/1000*'Preliminary results'!$F$46*Inflation!$D$7)</f>
        <v>0</v>
      </c>
      <c r="M52" s="150" t="b">
        <f>IF(H52="Yes",C52/1000*'Preliminary results'!$G$46*Inflation!$D$7)</f>
        <v>0</v>
      </c>
      <c r="N52" s="151">
        <f t="shared" si="20"/>
        <v>1.8194523558575804E-3</v>
      </c>
      <c r="O52" s="151">
        <f t="shared" si="10"/>
        <v>5.8661262594143705E-2</v>
      </c>
      <c r="P52" s="151">
        <f t="shared" si="11"/>
        <v>0.24751228754847035</v>
      </c>
      <c r="Q52" s="151">
        <f t="shared" si="12"/>
        <v>0.42336885609965602</v>
      </c>
      <c r="R52" s="151">
        <f t="shared" si="21"/>
        <v>-1.8194523558575804E-3</v>
      </c>
      <c r="S52" s="151">
        <f t="shared" si="13"/>
        <v>-5.8661262594143705E-2</v>
      </c>
      <c r="T52" s="151">
        <f t="shared" si="14"/>
        <v>-0.24751228754847035</v>
      </c>
      <c r="U52" s="150" t="b">
        <f>IF(G52="Yes",C52/1000*'Preliminary results'!$D$46*Inflation!$D$7)</f>
        <v>0</v>
      </c>
      <c r="V52" s="150" t="b">
        <f>IF(G52="Yes",C52/1000*'Preliminary results'!$E$46*Inflation!$D$7)</f>
        <v>0</v>
      </c>
      <c r="W52" s="150" t="b">
        <f>IF(G52="Yes",C52/1000*'Preliminary results'!$F$46*Inflation!$D$7)</f>
        <v>0</v>
      </c>
      <c r="X52" s="151">
        <f t="shared" si="22"/>
        <v>1.6502992342574265E-2</v>
      </c>
      <c r="Y52" s="151">
        <f t="shared" si="15"/>
        <v>0.53207568985261711</v>
      </c>
      <c r="Z52" s="151">
        <f t="shared" si="16"/>
        <v>2.2450125571879358</v>
      </c>
      <c r="AA52" s="151">
        <f t="shared" si="17"/>
        <v>-1.6502992342574265E-2</v>
      </c>
      <c r="AB52" s="151">
        <f t="shared" si="18"/>
        <v>-0.53207568985261711</v>
      </c>
      <c r="AC52" s="151">
        <f t="shared" si="19"/>
        <v>-2.2450125571879358</v>
      </c>
    </row>
    <row r="53" spans="1:29" hidden="1" x14ac:dyDescent="0.3">
      <c r="A53" t="s">
        <v>987</v>
      </c>
      <c r="B53" t="s">
        <v>988</v>
      </c>
      <c r="C53" s="90">
        <v>0</v>
      </c>
      <c r="D53" s="37">
        <f t="shared" si="9"/>
        <v>0</v>
      </c>
      <c r="E53" t="s">
        <v>988</v>
      </c>
      <c r="F53" t="s">
        <v>1052</v>
      </c>
      <c r="G53" t="s">
        <v>1045</v>
      </c>
      <c r="H53" t="s">
        <v>1047</v>
      </c>
      <c r="I53" s="45" t="str">
        <f>VLOOKUP(B53,'Beynon 2023'!$B$88:$R$336,15,FALSE)</f>
        <v/>
      </c>
      <c r="J53" s="36" t="b">
        <f>IF(H53="Yes",C53/1000*'Preliminary results'!$D$46*Inflation!$D$7)</f>
        <v>0</v>
      </c>
      <c r="K53" s="36" t="b">
        <f>IF(H53="Yes",C53/1000*'Preliminary results'!$E$46*Inflation!$D$7)</f>
        <v>0</v>
      </c>
      <c r="L53" s="36" t="b">
        <f>IF(H53="Yes",C53/1000*'Preliminary results'!$F$46*Inflation!$D$7)</f>
        <v>0</v>
      </c>
      <c r="M53" s="150" t="b">
        <f>IF(H53="Yes",C53/1000*'Preliminary results'!$G$46*Inflation!$D$7)</f>
        <v>0</v>
      </c>
      <c r="N53" s="151">
        <f t="shared" si="20"/>
        <v>0</v>
      </c>
      <c r="O53" s="151">
        <f t="shared" si="10"/>
        <v>0</v>
      </c>
      <c r="P53" s="151">
        <f t="shared" si="11"/>
        <v>0</v>
      </c>
      <c r="Q53" s="151">
        <f t="shared" si="12"/>
        <v>0</v>
      </c>
      <c r="R53" s="151">
        <f t="shared" si="21"/>
        <v>0</v>
      </c>
      <c r="S53" s="151">
        <f t="shared" si="13"/>
        <v>0</v>
      </c>
      <c r="T53" s="151">
        <f t="shared" si="14"/>
        <v>0</v>
      </c>
      <c r="U53" s="150">
        <f>IF(G53="Yes",C53/1000*'Preliminary results'!$D$46*Inflation!$D$7)</f>
        <v>0</v>
      </c>
      <c r="V53" s="150">
        <f>IF(G53="Yes",C53/1000*'Preliminary results'!$E$46*Inflation!$D$7)</f>
        <v>0</v>
      </c>
      <c r="W53" s="150">
        <f>IF(G53="Yes",C53/1000*'Preliminary results'!$F$46*Inflation!$D$7)</f>
        <v>0</v>
      </c>
      <c r="X53" s="151">
        <f t="shared" si="22"/>
        <v>0</v>
      </c>
      <c r="Y53" s="151">
        <f t="shared" si="15"/>
        <v>0</v>
      </c>
      <c r="Z53" s="151">
        <f t="shared" si="16"/>
        <v>0</v>
      </c>
      <c r="AA53" s="151">
        <f t="shared" si="17"/>
        <v>0</v>
      </c>
      <c r="AB53" s="151">
        <f t="shared" si="18"/>
        <v>0</v>
      </c>
      <c r="AC53" s="151">
        <f t="shared" si="19"/>
        <v>0</v>
      </c>
    </row>
    <row r="54" spans="1:29" hidden="1" x14ac:dyDescent="0.3">
      <c r="A54" t="s">
        <v>919</v>
      </c>
      <c r="B54" t="s">
        <v>920</v>
      </c>
      <c r="C54" s="90">
        <v>3561.1782122905001</v>
      </c>
      <c r="D54" s="45">
        <f t="shared" si="9"/>
        <v>3.0398972904062684E-5</v>
      </c>
      <c r="E54" t="s">
        <v>1051</v>
      </c>
      <c r="F54" t="s">
        <v>1052</v>
      </c>
      <c r="G54" t="s">
        <v>1047</v>
      </c>
      <c r="H54" t="s">
        <v>1047</v>
      </c>
      <c r="I54" t="s">
        <v>1060</v>
      </c>
      <c r="J54" s="36" t="b">
        <f>IF(H54="Yes",C54/1000*'Preliminary results'!$D$46*Inflation!$D$7)</f>
        <v>0</v>
      </c>
      <c r="K54" s="36" t="b">
        <f>IF(H54="Yes",C54/1000*'Preliminary results'!$E$46*Inflation!$D$7)</f>
        <v>0</v>
      </c>
      <c r="L54" s="36" t="b">
        <f>IF(H54="Yes",C54/1000*'Preliminary results'!$F$46*Inflation!$D$7)</f>
        <v>0</v>
      </c>
      <c r="M54" s="150" t="b">
        <f>IF(H54="Yes",C54/1000*'Preliminary results'!$G$46*Inflation!$D$7)</f>
        <v>0</v>
      </c>
      <c r="N54" s="151">
        <f t="shared" si="20"/>
        <v>0</v>
      </c>
      <c r="O54" s="151">
        <f t="shared" si="10"/>
        <v>0</v>
      </c>
      <c r="P54" s="151">
        <f t="shared" si="11"/>
        <v>0</v>
      </c>
      <c r="Q54" s="151">
        <f t="shared" si="12"/>
        <v>0</v>
      </c>
      <c r="R54" s="151">
        <f t="shared" si="21"/>
        <v>0</v>
      </c>
      <c r="S54" s="151">
        <f t="shared" si="13"/>
        <v>0</v>
      </c>
      <c r="T54" s="151">
        <f t="shared" si="14"/>
        <v>0</v>
      </c>
      <c r="U54" s="150" t="b">
        <f>IF(G54="Yes",C54/1000*'Preliminary results'!$D$46*Inflation!$D$7)</f>
        <v>0</v>
      </c>
      <c r="V54" s="150" t="b">
        <f>IF(G54="Yes",C54/1000*'Preliminary results'!$E$46*Inflation!$D$7)</f>
        <v>0</v>
      </c>
      <c r="W54" s="150" t="b">
        <f>IF(G54="Yes",C54/1000*'Preliminary results'!$F$46*Inflation!$D$7)</f>
        <v>0</v>
      </c>
      <c r="X54" s="151">
        <f t="shared" si="22"/>
        <v>0</v>
      </c>
      <c r="Y54" s="151">
        <f t="shared" si="15"/>
        <v>0</v>
      </c>
      <c r="Z54" s="151">
        <f t="shared" si="16"/>
        <v>0</v>
      </c>
      <c r="AA54" s="151">
        <f t="shared" si="17"/>
        <v>0</v>
      </c>
      <c r="AB54" s="151">
        <f t="shared" si="18"/>
        <v>0</v>
      </c>
      <c r="AC54" s="151">
        <f t="shared" si="19"/>
        <v>0</v>
      </c>
    </row>
    <row r="55" spans="1:29" hidden="1" x14ac:dyDescent="0.3">
      <c r="A55" t="s">
        <v>778</v>
      </c>
      <c r="B55" t="s">
        <v>779</v>
      </c>
      <c r="C55" s="90">
        <v>41225.787247330903</v>
      </c>
      <c r="D55" s="37">
        <f t="shared" si="9"/>
        <v>3.519120680776631E-4</v>
      </c>
      <c r="E55" t="s">
        <v>779</v>
      </c>
      <c r="F55" t="s">
        <v>1046</v>
      </c>
      <c r="G55" t="s">
        <v>1047</v>
      </c>
      <c r="H55" t="s">
        <v>1047</v>
      </c>
      <c r="I55" s="93">
        <f>VLOOKUP(B55,'Beynon 2023'!$B$88:$R$336,15,FALSE)</f>
        <v>1.7050932632999455E-4</v>
      </c>
      <c r="J55" s="36" t="b">
        <f>IF(H55="Yes",C55/1000*'Preliminary results'!$D$46*Inflation!$D$7)</f>
        <v>0</v>
      </c>
      <c r="K55" s="36" t="b">
        <f>IF(H55="Yes",C55/1000*'Preliminary results'!$E$46*Inflation!$D$7)</f>
        <v>0</v>
      </c>
      <c r="L55" s="36" t="b">
        <f>IF(H55="Yes",C55/1000*'Preliminary results'!$F$46*Inflation!$D$7)</f>
        <v>0</v>
      </c>
      <c r="M55" s="150" t="b">
        <f>IF(H55="Yes",C55/1000*'Preliminary results'!$G$46*Inflation!$D$7)</f>
        <v>0</v>
      </c>
      <c r="N55" s="151">
        <f t="shared" si="20"/>
        <v>7.2180430532960908E-4</v>
      </c>
      <c r="O55" s="151">
        <f t="shared" si="10"/>
        <v>2.3271811300915452E-2</v>
      </c>
      <c r="P55" s="151">
        <f t="shared" si="11"/>
        <v>9.8191873065155727E-2</v>
      </c>
      <c r="Q55" s="151">
        <f t="shared" si="12"/>
        <v>0.16795683717212093</v>
      </c>
      <c r="R55" s="151">
        <f t="shared" si="21"/>
        <v>-7.2180430532960908E-4</v>
      </c>
      <c r="S55" s="151">
        <f t="shared" si="13"/>
        <v>-2.3271811300915452E-2</v>
      </c>
      <c r="T55" s="151">
        <f t="shared" si="14"/>
        <v>-9.8191873065155727E-2</v>
      </c>
      <c r="U55" s="150" t="b">
        <f>IF(G55="Yes",C55/1000*'Preliminary results'!$D$46*Inflation!$D$7)</f>
        <v>0</v>
      </c>
      <c r="V55" s="150" t="b">
        <f>IF(G55="Yes",C55/1000*'Preliminary results'!$E$46*Inflation!$D$7)</f>
        <v>0</v>
      </c>
      <c r="W55" s="150" t="b">
        <f>IF(G55="Yes",C55/1000*'Preliminary results'!$F$46*Inflation!$D$7)</f>
        <v>0</v>
      </c>
      <c r="X55" s="151">
        <f t="shared" si="22"/>
        <v>6.5469870015239318E-3</v>
      </c>
      <c r="Y55" s="151">
        <f t="shared" si="15"/>
        <v>0.21108248449617723</v>
      </c>
      <c r="Z55" s="151">
        <f t="shared" si="16"/>
        <v>0.89063048234285858</v>
      </c>
      <c r="AA55" s="151">
        <f t="shared" si="17"/>
        <v>-6.5469870015239318E-3</v>
      </c>
      <c r="AB55" s="151">
        <f t="shared" si="18"/>
        <v>-0.21108248449617723</v>
      </c>
      <c r="AC55" s="151">
        <f t="shared" si="19"/>
        <v>-0.89063048234285858</v>
      </c>
    </row>
    <row r="56" spans="1:29" hidden="1" x14ac:dyDescent="0.3">
      <c r="A56" t="s">
        <v>654</v>
      </c>
      <c r="B56" t="s">
        <v>655</v>
      </c>
      <c r="C56" s="90">
        <v>391026.96280047501</v>
      </c>
      <c r="D56" s="37">
        <f t="shared" si="9"/>
        <v>3.3378891305987555E-3</v>
      </c>
      <c r="E56" t="s">
        <v>1063</v>
      </c>
      <c r="F56" t="s">
        <v>1046</v>
      </c>
      <c r="G56" t="s">
        <v>1047</v>
      </c>
      <c r="H56" t="s">
        <v>1047</v>
      </c>
      <c r="I56" s="45">
        <f>VLOOKUP(B56,'Beynon 2023'!$B$88:$R$336,15,FALSE)</f>
        <v>3.5827559814317609E-3</v>
      </c>
      <c r="J56" s="36" t="b">
        <f>IF(H56="Yes",C56/1000*'Preliminary results'!$D$46*Inflation!$D$7)</f>
        <v>0</v>
      </c>
      <c r="K56" s="36" t="b">
        <f>IF(H56="Yes",C56/1000*'Preliminary results'!$E$46*Inflation!$D$7)</f>
        <v>0</v>
      </c>
      <c r="L56" s="36" t="b">
        <f>IF(H56="Yes",C56/1000*'Preliminary results'!$F$46*Inflation!$D$7)</f>
        <v>0</v>
      </c>
      <c r="M56" s="150" t="b">
        <f>IF(H56="Yes",C56/1000*'Preliminary results'!$G$46*Inflation!$D$7)</f>
        <v>0</v>
      </c>
      <c r="N56" s="151">
        <f t="shared" si="20"/>
        <v>1.5166611398944565E-2</v>
      </c>
      <c r="O56" s="151">
        <f t="shared" si="10"/>
        <v>0.48898921209589619</v>
      </c>
      <c r="P56" s="151">
        <f t="shared" si="11"/>
        <v>2.063215708631239</v>
      </c>
      <c r="Q56" s="151">
        <f t="shared" si="12"/>
        <v>3.5291228694211436</v>
      </c>
      <c r="R56" s="151">
        <f t="shared" si="21"/>
        <v>-1.5166611398944565E-2</v>
      </c>
      <c r="S56" s="151">
        <f t="shared" si="13"/>
        <v>-0.48898921209589619</v>
      </c>
      <c r="T56" s="151">
        <f t="shared" si="14"/>
        <v>-2.063215708631239</v>
      </c>
      <c r="U56" s="150" t="b">
        <f>IF(G56="Yes",C56/1000*'Preliminary results'!$D$46*Inflation!$D$7)</f>
        <v>0</v>
      </c>
      <c r="V56" s="150" t="b">
        <f>IF(G56="Yes",C56/1000*'Preliminary results'!$E$46*Inflation!$D$7)</f>
        <v>0</v>
      </c>
      <c r="W56" s="150" t="b">
        <f>IF(G56="Yes",C56/1000*'Preliminary results'!$F$46*Inflation!$D$7)</f>
        <v>0</v>
      </c>
      <c r="X56" s="151">
        <f t="shared" si="22"/>
        <v>0.13756582906597076</v>
      </c>
      <c r="Y56" s="151">
        <f t="shared" si="15"/>
        <v>4.4352825161043503</v>
      </c>
      <c r="Z56" s="151">
        <f t="shared" si="16"/>
        <v>18.714000908570906</v>
      </c>
      <c r="AA56" s="151">
        <f t="shared" si="17"/>
        <v>-0.13756582906597076</v>
      </c>
      <c r="AB56" s="151">
        <f t="shared" si="18"/>
        <v>-4.4352825161043503</v>
      </c>
      <c r="AC56" s="151">
        <f t="shared" si="19"/>
        <v>-18.714000908570906</v>
      </c>
    </row>
    <row r="57" spans="1:29" hidden="1" x14ac:dyDescent="0.3">
      <c r="A57" t="s">
        <v>723</v>
      </c>
      <c r="B57" t="s">
        <v>724</v>
      </c>
      <c r="C57" s="90">
        <v>99773.555666198808</v>
      </c>
      <c r="D57" s="37">
        <f t="shared" si="9"/>
        <v>8.5168824316937946E-4</v>
      </c>
      <c r="E57" t="s">
        <v>1064</v>
      </c>
      <c r="F57" t="s">
        <v>1048</v>
      </c>
      <c r="G57" t="s">
        <v>1045</v>
      </c>
      <c r="H57" t="s">
        <v>1045</v>
      </c>
      <c r="I57" s="93" t="str">
        <f>VLOOKUP(E57,'Beynon 2023'!$B$88:$R$336,15,FALSE)</f>
        <v/>
      </c>
      <c r="J57" s="36">
        <f>IF(H57="Yes",C57/1000*'Preliminary results'!$D$46*Inflation!$D$7)</f>
        <v>9.4962229952980315E-2</v>
      </c>
      <c r="K57" s="36">
        <f>IF(H57="Yes",C57/1000*'Preliminary results'!$E$46*Inflation!$D$7)</f>
        <v>3.0616928714088747</v>
      </c>
      <c r="L57" s="36">
        <f>IF(H57="Yes",C57/1000*'Preliminary results'!$F$46*Inflation!$D$7)</f>
        <v>12.9183480351633</v>
      </c>
      <c r="M57" s="150">
        <f>IF(H57="Yes",C57/1000*'Preliminary results'!$G$46*Inflation!$D$7)</f>
        <v>22.096786727298493</v>
      </c>
      <c r="N57" s="151">
        <f t="shared" si="20"/>
        <v>0</v>
      </c>
      <c r="O57" s="151">
        <f t="shared" si="10"/>
        <v>0</v>
      </c>
      <c r="P57" s="151">
        <f t="shared" si="11"/>
        <v>0</v>
      </c>
      <c r="Q57" s="151">
        <f t="shared" si="12"/>
        <v>0</v>
      </c>
      <c r="R57" s="151">
        <f t="shared" si="21"/>
        <v>9.4962229952980315E-2</v>
      </c>
      <c r="S57" s="151">
        <f t="shared" si="13"/>
        <v>3.0616928714088747</v>
      </c>
      <c r="T57" s="151">
        <f t="shared" si="14"/>
        <v>12.9183480351633</v>
      </c>
      <c r="U57" s="150">
        <f>IF(G57="Yes",C57/1000*'Preliminary results'!$D$46*Inflation!$D$7)</f>
        <v>9.4962229952980315E-2</v>
      </c>
      <c r="V57" s="150">
        <f>IF(G57="Yes",C57/1000*'Preliminary results'!$E$46*Inflation!$D$7)</f>
        <v>3.0616928714088747</v>
      </c>
      <c r="W57" s="150">
        <f>IF(G57="Yes",C57/1000*'Preliminary results'!$F$46*Inflation!$D$7)</f>
        <v>12.9183480351633</v>
      </c>
      <c r="X57" s="151">
        <f t="shared" si="22"/>
        <v>0</v>
      </c>
      <c r="Y57" s="151">
        <f t="shared" si="15"/>
        <v>0</v>
      </c>
      <c r="Z57" s="151">
        <f t="shared" si="16"/>
        <v>0</v>
      </c>
      <c r="AA57" s="151">
        <f t="shared" si="17"/>
        <v>9.4962229952980315E-2</v>
      </c>
      <c r="AB57" s="151">
        <f t="shared" si="18"/>
        <v>3.0616928714088747</v>
      </c>
      <c r="AC57" s="151">
        <f t="shared" si="19"/>
        <v>12.9183480351633</v>
      </c>
    </row>
    <row r="58" spans="1:29" hidden="1" x14ac:dyDescent="0.3">
      <c r="A58" t="s">
        <v>640</v>
      </c>
      <c r="B58" t="s">
        <v>641</v>
      </c>
      <c r="C58" s="90">
        <v>462526.66046839301</v>
      </c>
      <c r="D58" s="37">
        <f t="shared" si="9"/>
        <v>3.9482257221667852E-3</v>
      </c>
      <c r="E58" t="s">
        <v>641</v>
      </c>
      <c r="F58" t="s">
        <v>1046</v>
      </c>
      <c r="G58" t="s">
        <v>1047</v>
      </c>
      <c r="H58" t="s">
        <v>1047</v>
      </c>
      <c r="I58" s="45">
        <f>VLOOKUP(B58,'Beynon 2023'!$B$88:$R$336,15,FALSE)</f>
        <v>4.5935746513612935E-3</v>
      </c>
      <c r="J58" s="36" t="b">
        <f>IF(H58="Yes",C58/1000*'Preliminary results'!$D$46*Inflation!$D$7)</f>
        <v>0</v>
      </c>
      <c r="K58" s="36" t="b">
        <f>IF(H58="Yes",C58/1000*'Preliminary results'!$E$46*Inflation!$D$7)</f>
        <v>0</v>
      </c>
      <c r="L58" s="36" t="b">
        <f>IF(H58="Yes",C58/1000*'Preliminary results'!$F$46*Inflation!$D$7)</f>
        <v>0</v>
      </c>
      <c r="M58" s="150" t="b">
        <f>IF(H58="Yes",C58/1000*'Preliminary results'!$G$46*Inflation!$D$7)</f>
        <v>0</v>
      </c>
      <c r="N58" s="151">
        <f t="shared" si="20"/>
        <v>1.9445634039915134E-2</v>
      </c>
      <c r="O58" s="151">
        <f t="shared" si="10"/>
        <v>0.62694988470166413</v>
      </c>
      <c r="P58" s="151">
        <f t="shared" si="11"/>
        <v>2.6453198120602739</v>
      </c>
      <c r="Q58" s="151">
        <f t="shared" si="12"/>
        <v>4.5248097940608147</v>
      </c>
      <c r="R58" s="151">
        <f t="shared" si="21"/>
        <v>-1.9445634039915134E-2</v>
      </c>
      <c r="S58" s="151">
        <f t="shared" si="13"/>
        <v>-0.62694988470166413</v>
      </c>
      <c r="T58" s="151">
        <f t="shared" si="14"/>
        <v>-2.6453198120602739</v>
      </c>
      <c r="U58" s="150" t="b">
        <f>IF(G58="Yes",C58/1000*'Preliminary results'!$D$46*Inflation!$D$7)</f>
        <v>0</v>
      </c>
      <c r="V58" s="150" t="b">
        <f>IF(G58="Yes",C58/1000*'Preliminary results'!$E$46*Inflation!$D$7)</f>
        <v>0</v>
      </c>
      <c r="W58" s="150" t="b">
        <f>IF(G58="Yes",C58/1000*'Preliminary results'!$F$46*Inflation!$D$7)</f>
        <v>0</v>
      </c>
      <c r="X58" s="151">
        <f t="shared" si="22"/>
        <v>0.17637788020338827</v>
      </c>
      <c r="Y58" s="151">
        <f t="shared" si="15"/>
        <v>5.686628239040993</v>
      </c>
      <c r="Z58" s="151">
        <f t="shared" si="16"/>
        <v>23.993864121555397</v>
      </c>
      <c r="AA58" s="151">
        <f t="shared" si="17"/>
        <v>-0.17637788020338827</v>
      </c>
      <c r="AB58" s="151">
        <f t="shared" si="18"/>
        <v>-5.686628239040993</v>
      </c>
      <c r="AC58" s="151">
        <f t="shared" si="19"/>
        <v>-23.993864121555397</v>
      </c>
    </row>
    <row r="59" spans="1:29" hidden="1" x14ac:dyDescent="0.3">
      <c r="A59" t="s">
        <v>907</v>
      </c>
      <c r="B59" t="s">
        <v>908</v>
      </c>
      <c r="C59" s="90">
        <v>4624.5330923188603</v>
      </c>
      <c r="D59" s="37">
        <f t="shared" si="9"/>
        <v>3.9475995804467894E-5</v>
      </c>
      <c r="E59" t="s">
        <v>908</v>
      </c>
      <c r="F59" t="s">
        <v>1048</v>
      </c>
      <c r="G59" t="s">
        <v>1045</v>
      </c>
      <c r="H59" t="s">
        <v>1047</v>
      </c>
      <c r="I59" s="93" t="str">
        <f>VLOOKUP(B59,'Beynon 2023'!$B$88:$R$336,15,FALSE)</f>
        <v/>
      </c>
      <c r="J59" s="36" t="b">
        <f>IF(H59="Yes",C59/1000*'Preliminary results'!$D$46*Inflation!$D$7)</f>
        <v>0</v>
      </c>
      <c r="K59" s="36" t="b">
        <f>IF(H59="Yes",C59/1000*'Preliminary results'!$E$46*Inflation!$D$7)</f>
        <v>0</v>
      </c>
      <c r="L59" s="36" t="b">
        <f>IF(H59="Yes",C59/1000*'Preliminary results'!$F$46*Inflation!$D$7)</f>
        <v>0</v>
      </c>
      <c r="M59" s="150" t="b">
        <f>IF(H59="Yes",C59/1000*'Preliminary results'!$G$46*Inflation!$D$7)</f>
        <v>0</v>
      </c>
      <c r="N59" s="151">
        <f t="shared" si="20"/>
        <v>0</v>
      </c>
      <c r="O59" s="151">
        <f t="shared" si="10"/>
        <v>0</v>
      </c>
      <c r="P59" s="151">
        <f t="shared" si="11"/>
        <v>0</v>
      </c>
      <c r="Q59" s="151">
        <f t="shared" si="12"/>
        <v>0</v>
      </c>
      <c r="R59" s="151">
        <f t="shared" si="21"/>
        <v>0</v>
      </c>
      <c r="S59" s="151">
        <f t="shared" si="13"/>
        <v>0</v>
      </c>
      <c r="T59" s="151">
        <f t="shared" si="14"/>
        <v>0</v>
      </c>
      <c r="U59" s="150">
        <f>IF(G59="Yes",C59/1000*'Preliminary results'!$D$46*Inflation!$D$7)</f>
        <v>4.4015267573222078E-3</v>
      </c>
      <c r="V59" s="150">
        <f>IF(G59="Yes",C59/1000*'Preliminary results'!$E$46*Inflation!$D$7)</f>
        <v>0.14191034796551641</v>
      </c>
      <c r="W59" s="150">
        <f>IF(G59="Yes",C59/1000*'Preliminary results'!$F$46*Inflation!$D$7)</f>
        <v>0.59876915869947422</v>
      </c>
      <c r="X59" s="151">
        <f t="shared" si="22"/>
        <v>0</v>
      </c>
      <c r="Y59" s="151">
        <f t="shared" si="15"/>
        <v>0</v>
      </c>
      <c r="Z59" s="151">
        <f t="shared" si="16"/>
        <v>0</v>
      </c>
      <c r="AA59" s="151">
        <f t="shared" si="17"/>
        <v>4.4015267573222078E-3</v>
      </c>
      <c r="AB59" s="151">
        <f t="shared" si="18"/>
        <v>0.14191034796551641</v>
      </c>
      <c r="AC59" s="151">
        <f t="shared" si="19"/>
        <v>0.59876915869947422</v>
      </c>
    </row>
    <row r="60" spans="1:29" hidden="1" x14ac:dyDescent="0.3">
      <c r="A60" t="s">
        <v>967</v>
      </c>
      <c r="B60" t="s">
        <v>968</v>
      </c>
      <c r="C60" s="90">
        <v>723.85925925925903</v>
      </c>
      <c r="D60" s="37">
        <f t="shared" si="9"/>
        <v>6.1790162403650289E-6</v>
      </c>
      <c r="E60" t="s">
        <v>1051</v>
      </c>
      <c r="F60" t="s">
        <v>1052</v>
      </c>
      <c r="G60" t="s">
        <v>1045</v>
      </c>
      <c r="H60" t="s">
        <v>1045</v>
      </c>
      <c r="I60" s="93" t="str">
        <f>VLOOKUP(B60,'Beynon 2023'!$B$88:$R$336,15,FALSE)</f>
        <v/>
      </c>
      <c r="J60" s="36">
        <f>IF(H60="Yes",C60/1000*'Preliminary results'!$D$46*Inflation!$D$7)</f>
        <v>6.8895298932058796E-4</v>
      </c>
      <c r="K60" s="36">
        <f>IF(H60="Yes",C60/1000*'Preliminary results'!$E$46*Inflation!$D$7)</f>
        <v>2.2212646619430801E-2</v>
      </c>
      <c r="L60" s="36">
        <f>IF(H60="Yes",C60/1000*'Preliminary results'!$F$46*Inflation!$D$7)</f>
        <v>9.3722888566499754E-2</v>
      </c>
      <c r="M60" s="150">
        <f>IF(H60="Yes",C60/1000*'Preliminary results'!$G$46*Inflation!$D$7)</f>
        <v>0.16031265564940542</v>
      </c>
      <c r="N60" s="151">
        <f t="shared" si="20"/>
        <v>0</v>
      </c>
      <c r="O60" s="151">
        <f t="shared" si="10"/>
        <v>0</v>
      </c>
      <c r="P60" s="151">
        <f t="shared" si="11"/>
        <v>0</v>
      </c>
      <c r="Q60" s="151">
        <f t="shared" si="12"/>
        <v>0</v>
      </c>
      <c r="R60" s="151">
        <f t="shared" si="21"/>
        <v>6.8895298932058796E-4</v>
      </c>
      <c r="S60" s="151">
        <f t="shared" si="13"/>
        <v>2.2212646619430801E-2</v>
      </c>
      <c r="T60" s="151">
        <f t="shared" si="14"/>
        <v>9.3722888566499754E-2</v>
      </c>
      <c r="U60" s="150">
        <f>IF(G60="Yes",C60/1000*'Preliminary results'!$D$46*Inflation!$D$7)</f>
        <v>6.8895298932058796E-4</v>
      </c>
      <c r="V60" s="150">
        <f>IF(G60="Yes",C60/1000*'Preliminary results'!$E$46*Inflation!$D$7)</f>
        <v>2.2212646619430801E-2</v>
      </c>
      <c r="W60" s="150">
        <f>IF(G60="Yes",C60/1000*'Preliminary results'!$F$46*Inflation!$D$7)</f>
        <v>9.3722888566499754E-2</v>
      </c>
      <c r="X60" s="151">
        <f t="shared" si="22"/>
        <v>0</v>
      </c>
      <c r="Y60" s="151">
        <f t="shared" si="15"/>
        <v>0</v>
      </c>
      <c r="Z60" s="151">
        <f t="shared" si="16"/>
        <v>0</v>
      </c>
      <c r="AA60" s="151">
        <f t="shared" si="17"/>
        <v>6.8895298932058796E-4</v>
      </c>
      <c r="AB60" s="151">
        <f t="shared" si="18"/>
        <v>2.2212646619430801E-2</v>
      </c>
      <c r="AC60" s="151">
        <f t="shared" si="19"/>
        <v>9.3722888566499754E-2</v>
      </c>
    </row>
    <row r="61" spans="1:29" hidden="1" x14ac:dyDescent="0.3">
      <c r="A61" t="s">
        <v>701</v>
      </c>
      <c r="B61" t="s">
        <v>702</v>
      </c>
      <c r="C61" s="90">
        <v>127407.46375904301</v>
      </c>
      <c r="D61" s="37">
        <f t="shared" si="9"/>
        <v>1.0875771465802047E-3</v>
      </c>
      <c r="E61" t="s">
        <v>702</v>
      </c>
      <c r="F61" t="s">
        <v>1052</v>
      </c>
      <c r="G61" t="s">
        <v>1045</v>
      </c>
      <c r="H61" t="s">
        <v>1045</v>
      </c>
      <c r="I61" s="93" t="str">
        <f>VLOOKUP(B61,'Beynon 2023'!$B$88:$R$336,15,FALSE)</f>
        <v/>
      </c>
      <c r="J61" s="36">
        <f>IF(H61="Yes",C61/1000*'Preliminary results'!$D$46*Inflation!$D$7)</f>
        <v>0.12126356317990883</v>
      </c>
      <c r="K61" s="36">
        <f>IF(H61="Yes",C61/1000*'Preliminary results'!$E$46*Inflation!$D$7)</f>
        <v>3.9096784809434064</v>
      </c>
      <c r="L61" s="36">
        <f>IF(H61="Yes",C61/1000*'Preliminary results'!$F$46*Inflation!$D$7)</f>
        <v>16.496294515384974</v>
      </c>
      <c r="M61" s="150">
        <f>IF(H61="Yes",C61/1000*'Preliminary results'!$G$46*Inflation!$D$7)</f>
        <v>28.216851001766482</v>
      </c>
      <c r="N61" s="151">
        <f t="shared" si="20"/>
        <v>0</v>
      </c>
      <c r="O61" s="151">
        <f t="shared" si="10"/>
        <v>0</v>
      </c>
      <c r="P61" s="151">
        <f t="shared" si="11"/>
        <v>0</v>
      </c>
      <c r="Q61" s="151">
        <f t="shared" si="12"/>
        <v>0</v>
      </c>
      <c r="R61" s="151">
        <f t="shared" si="21"/>
        <v>0.12126356317990883</v>
      </c>
      <c r="S61" s="151">
        <f t="shared" si="13"/>
        <v>3.9096784809434064</v>
      </c>
      <c r="T61" s="151">
        <f t="shared" si="14"/>
        <v>16.496294515384974</v>
      </c>
      <c r="U61" s="150">
        <f>IF(G61="Yes",C61/1000*'Preliminary results'!$D$46*Inflation!$D$7)</f>
        <v>0.12126356317990883</v>
      </c>
      <c r="V61" s="150">
        <f>IF(G61="Yes",C61/1000*'Preliminary results'!$E$46*Inflation!$D$7)</f>
        <v>3.9096784809434064</v>
      </c>
      <c r="W61" s="150">
        <f>IF(G61="Yes",C61/1000*'Preliminary results'!$F$46*Inflation!$D$7)</f>
        <v>16.496294515384974</v>
      </c>
      <c r="X61" s="151">
        <f t="shared" si="22"/>
        <v>0</v>
      </c>
      <c r="Y61" s="151">
        <f t="shared" si="15"/>
        <v>0</v>
      </c>
      <c r="Z61" s="151">
        <f t="shared" si="16"/>
        <v>0</v>
      </c>
      <c r="AA61" s="151">
        <f t="shared" si="17"/>
        <v>0.12126356317990883</v>
      </c>
      <c r="AB61" s="151">
        <f t="shared" si="18"/>
        <v>3.9096784809434064</v>
      </c>
      <c r="AC61" s="151">
        <f t="shared" si="19"/>
        <v>16.496294515384974</v>
      </c>
    </row>
    <row r="62" spans="1:29" hidden="1" x14ac:dyDescent="0.3">
      <c r="A62" t="s">
        <v>697</v>
      </c>
      <c r="B62" t="s">
        <v>698</v>
      </c>
      <c r="C62" s="90">
        <v>130320.5604</v>
      </c>
      <c r="D62" s="37">
        <f t="shared" si="9"/>
        <v>1.1124439576681031E-3</v>
      </c>
      <c r="E62" t="s">
        <v>698</v>
      </c>
      <c r="F62" t="s">
        <v>1052</v>
      </c>
      <c r="G62" t="s">
        <v>1045</v>
      </c>
      <c r="H62" t="s">
        <v>1047</v>
      </c>
      <c r="I62" s="45">
        <f>VLOOKUP(B62,'Beynon 2023'!$B$88:$R$336,15,FALSE)</f>
        <v>5.2862123662898329E-4</v>
      </c>
      <c r="J62" s="36" t="b">
        <f>IF(H62="Yes",C62/1000*'Preliminary results'!$D$46*Inflation!$D$7)</f>
        <v>0</v>
      </c>
      <c r="K62" s="36" t="b">
        <f>IF(H62="Yes",C62/1000*'Preliminary results'!$E$46*Inflation!$D$7)</f>
        <v>0</v>
      </c>
      <c r="L62" s="36" t="b">
        <f>IF(H62="Yes",C62/1000*'Preliminary results'!$F$46*Inflation!$D$7)</f>
        <v>0</v>
      </c>
      <c r="M62" s="150" t="b">
        <f>IF(H62="Yes",C62/1000*'Preliminary results'!$G$46*Inflation!$D$7)</f>
        <v>0</v>
      </c>
      <c r="N62" s="151">
        <f t="shared" si="20"/>
        <v>2.2377725177859741E-3</v>
      </c>
      <c r="O62" s="151">
        <f t="shared" si="10"/>
        <v>7.2148391723029268E-2</v>
      </c>
      <c r="P62" s="151">
        <f t="shared" si="11"/>
        <v>0.30441918036883275</v>
      </c>
      <c r="Q62" s="151">
        <f t="shared" si="12"/>
        <v>0.52070788664303669</v>
      </c>
      <c r="R62" s="151">
        <f t="shared" si="21"/>
        <v>-2.2377725177859741E-3</v>
      </c>
      <c r="S62" s="151">
        <f t="shared" si="13"/>
        <v>-7.2148391723029268E-2</v>
      </c>
      <c r="T62" s="151">
        <f t="shared" si="14"/>
        <v>-0.30441918036883275</v>
      </c>
      <c r="U62" s="150">
        <f>IF(G62="Yes",C62/1000*'Preliminary results'!$D$46*Inflation!$D$7)</f>
        <v>0.12403618315167084</v>
      </c>
      <c r="V62" s="150">
        <f>IF(G62="Yes",C62/1000*'Preliminary results'!$E$46*Inflation!$D$7)</f>
        <v>3.9990709773798621</v>
      </c>
      <c r="W62" s="150">
        <f>IF(G62="Yes",C62/1000*'Preliminary results'!$F$46*Inflation!$D$7)</f>
        <v>16.873472576411988</v>
      </c>
      <c r="X62" s="151">
        <f t="shared" si="22"/>
        <v>2.0297284843184864E-2</v>
      </c>
      <c r="Y62" s="151">
        <f t="shared" si="15"/>
        <v>0.6544080982944962</v>
      </c>
      <c r="Z62" s="151">
        <f t="shared" si="16"/>
        <v>2.7611755737300663</v>
      </c>
      <c r="AA62" s="151">
        <f t="shared" si="17"/>
        <v>0.10373889830848597</v>
      </c>
      <c r="AB62" s="151">
        <f t="shared" si="18"/>
        <v>3.3446628790853659</v>
      </c>
      <c r="AC62" s="151">
        <f t="shared" si="19"/>
        <v>14.112297002681922</v>
      </c>
    </row>
    <row r="63" spans="1:29" hidden="1" x14ac:dyDescent="0.3">
      <c r="A63" t="s">
        <v>656</v>
      </c>
      <c r="B63" t="s">
        <v>657</v>
      </c>
      <c r="C63" s="90">
        <v>365254.630179737</v>
      </c>
      <c r="D63" s="37">
        <f t="shared" si="9"/>
        <v>3.1178910304451549E-3</v>
      </c>
      <c r="E63" t="s">
        <v>1065</v>
      </c>
      <c r="F63" t="s">
        <v>1048</v>
      </c>
      <c r="G63" t="s">
        <v>1045</v>
      </c>
      <c r="H63" t="s">
        <v>1047</v>
      </c>
      <c r="I63" s="45" t="str">
        <f>VLOOKUP(E63,'Beynon 2023'!$B$88:$R$336,15,FALSE)</f>
        <v/>
      </c>
      <c r="J63" s="36" t="b">
        <f>IF(H63="Yes",C63/1000*'Preliminary results'!$D$46*Inflation!$D$7)</f>
        <v>0</v>
      </c>
      <c r="K63" s="36" t="b">
        <f>IF(H63="Yes",C63/1000*'Preliminary results'!$E$46*Inflation!$D$7)</f>
        <v>0</v>
      </c>
      <c r="L63" s="36" t="b">
        <f>IF(H63="Yes",C63/1000*'Preliminary results'!$F$46*Inflation!$D$7)</f>
        <v>0</v>
      </c>
      <c r="M63" s="150" t="b">
        <f>IF(H63="Yes",C63/1000*'Preliminary results'!$G$46*Inflation!$D$7)</f>
        <v>0</v>
      </c>
      <c r="N63" s="151">
        <f t="shared" si="20"/>
        <v>0</v>
      </c>
      <c r="O63" s="151">
        <f t="shared" si="10"/>
        <v>0</v>
      </c>
      <c r="P63" s="151">
        <f t="shared" si="11"/>
        <v>0</v>
      </c>
      <c r="Q63" s="151">
        <f t="shared" si="12"/>
        <v>0</v>
      </c>
      <c r="R63" s="151">
        <f t="shared" si="21"/>
        <v>0</v>
      </c>
      <c r="S63" s="151">
        <f t="shared" si="13"/>
        <v>0</v>
      </c>
      <c r="T63" s="151">
        <f t="shared" si="14"/>
        <v>0</v>
      </c>
      <c r="U63" s="150">
        <f>IF(G63="Yes",C63/1000*'Preliminary results'!$D$46*Inflation!$D$7)</f>
        <v>0.3476411555238344</v>
      </c>
      <c r="V63" s="150">
        <f>IF(G63="Yes",C63/1000*'Preliminary results'!$E$46*Inflation!$D$7)</f>
        <v>11.208355661010499</v>
      </c>
      <c r="W63" s="150">
        <f>IF(G63="Yes",C63/1000*'Preliminary results'!$F$46*Inflation!$D$7)</f>
        <v>47.29195429200513</v>
      </c>
      <c r="X63" s="151">
        <f t="shared" si="22"/>
        <v>0</v>
      </c>
      <c r="Y63" s="151">
        <f t="shared" si="15"/>
        <v>0</v>
      </c>
      <c r="Z63" s="151">
        <f t="shared" si="16"/>
        <v>0</v>
      </c>
      <c r="AA63" s="151">
        <f t="shared" si="17"/>
        <v>0.3476411555238344</v>
      </c>
      <c r="AB63" s="151">
        <f t="shared" si="18"/>
        <v>11.208355661010499</v>
      </c>
      <c r="AC63" s="151">
        <f t="shared" si="19"/>
        <v>47.29195429200513</v>
      </c>
    </row>
    <row r="64" spans="1:29" hidden="1" x14ac:dyDescent="0.3">
      <c r="A64" t="s">
        <v>790</v>
      </c>
      <c r="B64" t="s">
        <v>791</v>
      </c>
      <c r="C64" s="90">
        <v>36708.11</v>
      </c>
      <c r="D64" s="37">
        <f t="shared" si="9"/>
        <v>3.1334821644088076E-4</v>
      </c>
      <c r="E64" t="s">
        <v>791</v>
      </c>
      <c r="F64" t="s">
        <v>1052</v>
      </c>
      <c r="G64" t="s">
        <v>1045</v>
      </c>
      <c r="H64" t="s">
        <v>1047</v>
      </c>
      <c r="I64" s="93" t="str">
        <f>VLOOKUP(B64,'Beynon 2023'!$B$88:$R$336,15,FALSE)</f>
        <v/>
      </c>
      <c r="J64" s="36" t="b">
        <f>IF(H64="Yes",C64/1000*'Preliminary results'!$D$46*Inflation!$D$7)</f>
        <v>0</v>
      </c>
      <c r="K64" s="36" t="b">
        <f>IF(H64="Yes",C64/1000*'Preliminary results'!$E$46*Inflation!$D$7)</f>
        <v>0</v>
      </c>
      <c r="L64" s="36" t="b">
        <f>IF(H64="Yes",C64/1000*'Preliminary results'!$F$46*Inflation!$D$7)</f>
        <v>0</v>
      </c>
      <c r="M64" s="150" t="b">
        <f>IF(H64="Yes",C64/1000*'Preliminary results'!$G$46*Inflation!$D$7)</f>
        <v>0</v>
      </c>
      <c r="N64" s="151">
        <f t="shared" si="20"/>
        <v>0</v>
      </c>
      <c r="O64" s="151">
        <f t="shared" si="10"/>
        <v>0</v>
      </c>
      <c r="P64" s="151">
        <f t="shared" si="11"/>
        <v>0</v>
      </c>
      <c r="Q64" s="151">
        <f t="shared" si="12"/>
        <v>0</v>
      </c>
      <c r="R64" s="151">
        <f t="shared" si="21"/>
        <v>0</v>
      </c>
      <c r="S64" s="151">
        <f t="shared" si="13"/>
        <v>0</v>
      </c>
      <c r="T64" s="151">
        <f t="shared" si="14"/>
        <v>0</v>
      </c>
      <c r="U64" s="150">
        <f>IF(G64="Yes",C64/1000*'Preliminary results'!$D$46*Inflation!$D$7)</f>
        <v>3.4937954848693852E-2</v>
      </c>
      <c r="V64" s="150">
        <f>IF(G64="Yes",C64/1000*'Preliminary results'!$E$46*Inflation!$D$7)</f>
        <v>1.1264403474393549</v>
      </c>
      <c r="W64" s="150">
        <f>IF(G64="Yes",C64/1000*'Preliminary results'!$F$46*Inflation!$D$7)</f>
        <v>4.7528439527560113</v>
      </c>
      <c r="X64" s="151">
        <f t="shared" si="22"/>
        <v>0</v>
      </c>
      <c r="Y64" s="151">
        <f t="shared" si="15"/>
        <v>0</v>
      </c>
      <c r="Z64" s="151">
        <f t="shared" si="16"/>
        <v>0</v>
      </c>
      <c r="AA64" s="151">
        <f t="shared" si="17"/>
        <v>3.4937954848693852E-2</v>
      </c>
      <c r="AB64" s="151">
        <f t="shared" si="18"/>
        <v>1.1264403474393549</v>
      </c>
      <c r="AC64" s="151">
        <f t="shared" si="19"/>
        <v>4.7528439527560113</v>
      </c>
    </row>
    <row r="65" spans="1:29" hidden="1" x14ac:dyDescent="0.3">
      <c r="A65" t="s">
        <v>869</v>
      </c>
      <c r="B65" t="s">
        <v>870</v>
      </c>
      <c r="C65" s="90">
        <v>12823.210425921699</v>
      </c>
      <c r="D65" s="37">
        <f t="shared" si="9"/>
        <v>1.0946164528788519E-4</v>
      </c>
      <c r="E65" t="s">
        <v>870</v>
      </c>
      <c r="F65" t="s">
        <v>1048</v>
      </c>
      <c r="G65" t="s">
        <v>1045</v>
      </c>
      <c r="H65" t="s">
        <v>1047</v>
      </c>
      <c r="I65" s="93">
        <f>VLOOKUP(B65,'Beynon 2023'!$B$88:$R$336,15,FALSE)</f>
        <v>6.7138689528768223E-5</v>
      </c>
      <c r="J65" s="36" t="b">
        <f>IF(H65="Yes",C65/1000*'Preliminary results'!$D$46*Inflation!$D$7)</f>
        <v>0</v>
      </c>
      <c r="K65" s="36" t="b">
        <f>IF(H65="Yes",C65/1000*'Preliminary results'!$E$46*Inflation!$D$7)</f>
        <v>0</v>
      </c>
      <c r="L65" s="36" t="b">
        <f>IF(H65="Yes",C65/1000*'Preliminary results'!$F$46*Inflation!$D$7)</f>
        <v>0</v>
      </c>
      <c r="M65" s="150" t="b">
        <f>IF(H65="Yes",C65/1000*'Preliminary results'!$G$46*Inflation!$D$7)</f>
        <v>0</v>
      </c>
      <c r="N65" s="151">
        <f t="shared" si="20"/>
        <v>2.842131641659533E-4</v>
      </c>
      <c r="O65" s="151">
        <f t="shared" si="10"/>
        <v>9.1633633616051147E-3</v>
      </c>
      <c r="P65" s="151">
        <f t="shared" si="11"/>
        <v>3.8663419895349257E-2</v>
      </c>
      <c r="Q65" s="151">
        <f t="shared" si="12"/>
        <v>6.6133637307962637E-2</v>
      </c>
      <c r="R65" s="151">
        <f t="shared" si="21"/>
        <v>-2.842131641659533E-4</v>
      </c>
      <c r="S65" s="151">
        <f t="shared" si="13"/>
        <v>-9.1633633616051147E-3</v>
      </c>
      <c r="T65" s="151">
        <f t="shared" si="14"/>
        <v>-3.8663419895349257E-2</v>
      </c>
      <c r="U65" s="150">
        <f>IF(G65="Yes",C65/1000*'Preliminary results'!$D$46*Inflation!$D$7)</f>
        <v>1.2204843749137523E-2</v>
      </c>
      <c r="V65" s="150">
        <f>IF(G65="Yes",C65/1000*'Preliminary results'!$E$46*Inflation!$D$7)</f>
        <v>0.39349837426833473</v>
      </c>
      <c r="W65" s="150">
        <f>IF(G65="Yes",C65/1000*'Preliminary results'!$F$46*Inflation!$D$7)</f>
        <v>1.6603066223719987</v>
      </c>
      <c r="X65" s="151">
        <f t="shared" si="22"/>
        <v>2.5779007934938602E-3</v>
      </c>
      <c r="Y65" s="151">
        <f t="shared" si="15"/>
        <v>8.3114523390483253E-2</v>
      </c>
      <c r="Z65" s="151">
        <f t="shared" si="16"/>
        <v>0.3506891073110498</v>
      </c>
      <c r="AA65" s="151">
        <f t="shared" si="17"/>
        <v>9.6269429556436626E-3</v>
      </c>
      <c r="AB65" s="151">
        <f t="shared" si="18"/>
        <v>0.31038385087785147</v>
      </c>
      <c r="AC65" s="151">
        <f t="shared" si="19"/>
        <v>1.3096175150609488</v>
      </c>
    </row>
    <row r="66" spans="1:29" hidden="1" x14ac:dyDescent="0.3">
      <c r="A66" t="s">
        <v>989</v>
      </c>
      <c r="B66" t="s">
        <v>990</v>
      </c>
      <c r="C66" s="90">
        <v>0</v>
      </c>
      <c r="D66" s="37">
        <f t="shared" si="9"/>
        <v>0</v>
      </c>
      <c r="E66" t="s">
        <v>990</v>
      </c>
      <c r="F66" t="s">
        <v>1048</v>
      </c>
      <c r="G66" t="s">
        <v>1045</v>
      </c>
      <c r="H66" t="s">
        <v>1047</v>
      </c>
      <c r="I66" s="93" t="str">
        <f>VLOOKUP(B66,'Beynon 2023'!$B$88:$R$336,15,FALSE)</f>
        <v/>
      </c>
      <c r="J66" s="36" t="b">
        <f>IF(H66="Yes",C66/1000*'Preliminary results'!$D$46*Inflation!$D$7)</f>
        <v>0</v>
      </c>
      <c r="K66" s="36" t="b">
        <f>IF(H66="Yes",C66/1000*'Preliminary results'!$E$46*Inflation!$D$7)</f>
        <v>0</v>
      </c>
      <c r="L66" s="36" t="b">
        <f>IF(H66="Yes",C66/1000*'Preliminary results'!$F$46*Inflation!$D$7)</f>
        <v>0</v>
      </c>
      <c r="M66" s="150" t="b">
        <f>IF(H66="Yes",C66/1000*'Preliminary results'!$G$46*Inflation!$D$7)</f>
        <v>0</v>
      </c>
      <c r="N66" s="151">
        <f t="shared" si="20"/>
        <v>0</v>
      </c>
      <c r="O66" s="151">
        <f t="shared" si="10"/>
        <v>0</v>
      </c>
      <c r="P66" s="151">
        <f t="shared" si="11"/>
        <v>0</v>
      </c>
      <c r="Q66" s="151">
        <f t="shared" si="12"/>
        <v>0</v>
      </c>
      <c r="R66" s="151">
        <f t="shared" si="21"/>
        <v>0</v>
      </c>
      <c r="S66" s="151">
        <f t="shared" si="13"/>
        <v>0</v>
      </c>
      <c r="T66" s="151">
        <f t="shared" si="14"/>
        <v>0</v>
      </c>
      <c r="U66" s="150">
        <f>IF(G66="Yes",C66/1000*'Preliminary results'!$D$46*Inflation!$D$7)</f>
        <v>0</v>
      </c>
      <c r="V66" s="150">
        <f>IF(G66="Yes",C66/1000*'Preliminary results'!$E$46*Inflation!$D$7)</f>
        <v>0</v>
      </c>
      <c r="W66" s="150">
        <f>IF(G66="Yes",C66/1000*'Preliminary results'!$F$46*Inflation!$D$7)</f>
        <v>0</v>
      </c>
      <c r="X66" s="151">
        <f t="shared" si="22"/>
        <v>0</v>
      </c>
      <c r="Y66" s="151">
        <f t="shared" si="15"/>
        <v>0</v>
      </c>
      <c r="Z66" s="151">
        <f t="shared" si="16"/>
        <v>0</v>
      </c>
      <c r="AA66" s="151">
        <f t="shared" si="17"/>
        <v>0</v>
      </c>
      <c r="AB66" s="151">
        <f t="shared" si="18"/>
        <v>0</v>
      </c>
      <c r="AC66" s="151">
        <f t="shared" si="19"/>
        <v>0</v>
      </c>
    </row>
    <row r="67" spans="1:29" hidden="1" x14ac:dyDescent="0.3">
      <c r="A67" t="s">
        <v>774</v>
      </c>
      <c r="B67" t="s">
        <v>775</v>
      </c>
      <c r="C67" s="90">
        <v>47030.833798586602</v>
      </c>
      <c r="D67" s="37">
        <f t="shared" si="9"/>
        <v>4.0146517727321308E-4</v>
      </c>
      <c r="E67" t="s">
        <v>775</v>
      </c>
      <c r="F67" t="s">
        <v>1046</v>
      </c>
      <c r="G67" t="s">
        <v>1047</v>
      </c>
      <c r="H67" t="s">
        <v>1047</v>
      </c>
      <c r="I67" s="45">
        <f>VLOOKUP(B67,'Beynon 2023'!$B$88:$R$336,15,FALSE)</f>
        <v>6.8476992761014603E-4</v>
      </c>
      <c r="J67" s="36" t="b">
        <f>IF(H67="Yes",C67/1000*'Preliminary results'!$D$46*Inflation!$D$7)</f>
        <v>0</v>
      </c>
      <c r="K67" s="36" t="b">
        <f>IF(H67="Yes",C67/1000*'Preliminary results'!$E$46*Inflation!$D$7)</f>
        <v>0</v>
      </c>
      <c r="L67" s="36" t="b">
        <f>IF(H67="Yes",C67/1000*'Preliminary results'!$F$46*Inflation!$D$7)</f>
        <v>0</v>
      </c>
      <c r="M67" s="150" t="b">
        <f>IF(H67="Yes",C67/1000*'Preliminary results'!$G$46*Inflation!$D$7)</f>
        <v>0</v>
      </c>
      <c r="N67" s="151">
        <f t="shared" si="20"/>
        <v>2.898785025709766E-3</v>
      </c>
      <c r="O67" s="151">
        <f t="shared" si="10"/>
        <v>9.3460204687240936E-2</v>
      </c>
      <c r="P67" s="151">
        <f t="shared" si="11"/>
        <v>0.39434113815335187</v>
      </c>
      <c r="Q67" s="151">
        <f t="shared" si="12"/>
        <v>0.67451906419121443</v>
      </c>
      <c r="R67" s="151">
        <f t="shared" si="21"/>
        <v>-2.898785025709766E-3</v>
      </c>
      <c r="S67" s="151">
        <f t="shared" si="13"/>
        <v>-9.3460204687240936E-2</v>
      </c>
      <c r="T67" s="151">
        <f t="shared" si="14"/>
        <v>-0.39434113815335187</v>
      </c>
      <c r="U67" s="150" t="b">
        <f>IF(G67="Yes",C67/1000*'Preliminary results'!$D$46*Inflation!$D$7)</f>
        <v>0</v>
      </c>
      <c r="V67" s="150" t="b">
        <f>IF(G67="Yes",C67/1000*'Preliminary results'!$E$46*Inflation!$D$7)</f>
        <v>0</v>
      </c>
      <c r="W67" s="150" t="b">
        <f>IF(G67="Yes",C67/1000*'Preliminary results'!$F$46*Inflation!$D$7)</f>
        <v>0</v>
      </c>
      <c r="X67" s="151">
        <f t="shared" si="22"/>
        <v>2.629287154898264E-2</v>
      </c>
      <c r="Y67" s="151">
        <f t="shared" si="15"/>
        <v>0.84771279518444909</v>
      </c>
      <c r="Z67" s="151">
        <f t="shared" si="16"/>
        <v>3.5767953815088434</v>
      </c>
      <c r="AA67" s="151">
        <f t="shared" si="17"/>
        <v>-2.629287154898264E-2</v>
      </c>
      <c r="AB67" s="151">
        <f t="shared" si="18"/>
        <v>-0.84771279518444909</v>
      </c>
      <c r="AC67" s="151">
        <f t="shared" si="19"/>
        <v>-3.5767953815088434</v>
      </c>
    </row>
    <row r="68" spans="1:29" hidden="1" x14ac:dyDescent="0.3">
      <c r="A68" t="s">
        <v>905</v>
      </c>
      <c r="B68" t="s">
        <v>906</v>
      </c>
      <c r="C68" s="90">
        <v>5160.6796128173401</v>
      </c>
      <c r="D68" s="37">
        <f t="shared" si="9"/>
        <v>4.4052656274025782E-5</v>
      </c>
      <c r="E68" t="s">
        <v>1059</v>
      </c>
      <c r="F68" t="s">
        <v>1048</v>
      </c>
      <c r="G68" t="s">
        <v>1045</v>
      </c>
      <c r="H68" t="s">
        <v>1045</v>
      </c>
      <c r="I68" s="93" t="str">
        <f>VLOOKUP(B68,'Beynon 2023'!$B$88:$R$336,15,FALSE)</f>
        <v/>
      </c>
      <c r="J68" s="36">
        <f>IF(H68="Yes",C68/1000*'Preliminary results'!$D$46*Inflation!$D$7)</f>
        <v>4.9118189768197571E-3</v>
      </c>
      <c r="K68" s="36">
        <f>IF(H68="Yes",C68/1000*'Preliminary results'!$E$46*Inflation!$D$7)</f>
        <v>0.15836276332628296</v>
      </c>
      <c r="L68" s="36">
        <f>IF(H68="Yes",C68/1000*'Preliminary results'!$F$46*Inflation!$D$7)</f>
        <v>0.6681876263825659</v>
      </c>
      <c r="M68" s="150">
        <f>IF(H68="Yes",C68/1000*'Preliminary results'!$G$46*Inflation!$D$7)</f>
        <v>1.1429324735489468</v>
      </c>
      <c r="N68" s="151">
        <f t="shared" si="20"/>
        <v>0</v>
      </c>
      <c r="O68" s="151">
        <f t="shared" si="10"/>
        <v>0</v>
      </c>
      <c r="P68" s="151">
        <f t="shared" si="11"/>
        <v>0</v>
      </c>
      <c r="Q68" s="151">
        <f t="shared" si="12"/>
        <v>0</v>
      </c>
      <c r="R68" s="151">
        <f t="shared" si="21"/>
        <v>4.9118189768197571E-3</v>
      </c>
      <c r="S68" s="151">
        <f t="shared" si="13"/>
        <v>0.15836276332628296</v>
      </c>
      <c r="T68" s="151">
        <f t="shared" si="14"/>
        <v>0.6681876263825659</v>
      </c>
      <c r="U68" s="150">
        <f>IF(G68="Yes",C68/1000*'Preliminary results'!$D$46*Inflation!$D$7)</f>
        <v>4.9118189768197571E-3</v>
      </c>
      <c r="V68" s="150">
        <f>IF(G68="Yes",C68/1000*'Preliminary results'!$E$46*Inflation!$D$7)</f>
        <v>0.15836276332628296</v>
      </c>
      <c r="W68" s="150">
        <f>IF(G68="Yes",C68/1000*'Preliminary results'!$F$46*Inflation!$D$7)</f>
        <v>0.6681876263825659</v>
      </c>
      <c r="X68" s="151">
        <f t="shared" si="22"/>
        <v>0</v>
      </c>
      <c r="Y68" s="151">
        <f t="shared" si="15"/>
        <v>0</v>
      </c>
      <c r="Z68" s="151">
        <f t="shared" si="16"/>
        <v>0</v>
      </c>
      <c r="AA68" s="151">
        <f t="shared" si="17"/>
        <v>4.9118189768197571E-3</v>
      </c>
      <c r="AB68" s="151">
        <f t="shared" si="18"/>
        <v>0.15836276332628296</v>
      </c>
      <c r="AC68" s="151">
        <f t="shared" si="19"/>
        <v>0.6681876263825659</v>
      </c>
    </row>
    <row r="69" spans="1:29" hidden="1" x14ac:dyDescent="0.3">
      <c r="A69" t="s">
        <v>703</v>
      </c>
      <c r="B69" t="s">
        <v>704</v>
      </c>
      <c r="C69" s="90">
        <v>126358.75844835601</v>
      </c>
      <c r="D69" s="37">
        <f t="shared" si="9"/>
        <v>1.078625175512344E-3</v>
      </c>
      <c r="E69" t="s">
        <v>1066</v>
      </c>
      <c r="F69" t="s">
        <v>1048</v>
      </c>
      <c r="G69" t="s">
        <v>1045</v>
      </c>
      <c r="H69" t="s">
        <v>1045</v>
      </c>
      <c r="I69" s="93" t="str">
        <f>VLOOKUP(B69,'Beynon 2023'!$B$88:$R$336,15,FALSE)</f>
        <v/>
      </c>
      <c r="J69" s="36">
        <f>IF(H69="Yes",C69/1000*'Preliminary results'!$D$46*Inflation!$D$7)</f>
        <v>0.12026542901298036</v>
      </c>
      <c r="K69" s="36">
        <f>IF(H69="Yes",C69/1000*'Preliminary results'!$E$46*Inflation!$D$7)</f>
        <v>3.877497473135274</v>
      </c>
      <c r="L69" s="36">
        <f>IF(H69="Yes",C69/1000*'Preliminary results'!$F$46*Inflation!$D$7)</f>
        <v>16.360511640861553</v>
      </c>
      <c r="M69" s="150">
        <f>IF(H69="Yes",C69/1000*'Preliminary results'!$G$46*Inflation!$D$7)</f>
        <v>27.984594895072604</v>
      </c>
      <c r="N69" s="151">
        <f t="shared" si="20"/>
        <v>0</v>
      </c>
      <c r="O69" s="151">
        <f t="shared" si="10"/>
        <v>0</v>
      </c>
      <c r="P69" s="151">
        <f t="shared" si="11"/>
        <v>0</v>
      </c>
      <c r="Q69" s="151">
        <f t="shared" si="12"/>
        <v>0</v>
      </c>
      <c r="R69" s="151">
        <f t="shared" si="21"/>
        <v>0.12026542901298036</v>
      </c>
      <c r="S69" s="151">
        <f t="shared" si="13"/>
        <v>3.877497473135274</v>
      </c>
      <c r="T69" s="151">
        <f t="shared" si="14"/>
        <v>16.360511640861553</v>
      </c>
      <c r="U69" s="150">
        <f>IF(G69="Yes",C69/1000*'Preliminary results'!$D$46*Inflation!$D$7)</f>
        <v>0.12026542901298036</v>
      </c>
      <c r="V69" s="150">
        <f>IF(G69="Yes",C69/1000*'Preliminary results'!$E$46*Inflation!$D$7)</f>
        <v>3.877497473135274</v>
      </c>
      <c r="W69" s="150">
        <f>IF(G69="Yes",C69/1000*'Preliminary results'!$F$46*Inflation!$D$7)</f>
        <v>16.360511640861553</v>
      </c>
      <c r="X69" s="151">
        <f t="shared" si="22"/>
        <v>0</v>
      </c>
      <c r="Y69" s="151">
        <f t="shared" si="15"/>
        <v>0</v>
      </c>
      <c r="Z69" s="151">
        <f t="shared" si="16"/>
        <v>0</v>
      </c>
      <c r="AA69" s="151">
        <f t="shared" si="17"/>
        <v>0.12026542901298036</v>
      </c>
      <c r="AB69" s="151">
        <f t="shared" si="18"/>
        <v>3.877497473135274</v>
      </c>
      <c r="AC69" s="151">
        <f t="shared" si="19"/>
        <v>16.360511640861553</v>
      </c>
    </row>
    <row r="70" spans="1:29" hidden="1" x14ac:dyDescent="0.3">
      <c r="A70" t="s">
        <v>915</v>
      </c>
      <c r="B70" t="s">
        <v>916</v>
      </c>
      <c r="C70" s="90">
        <v>4052.9371697653601</v>
      </c>
      <c r="D70" s="37">
        <f t="shared" ref="D70:D133" si="23">C70/$C$3</f>
        <v>3.4596731716585975E-5</v>
      </c>
      <c r="E70" t="s">
        <v>1049</v>
      </c>
      <c r="F70" s="8"/>
      <c r="G70" t="s">
        <v>1047</v>
      </c>
      <c r="H70" t="s">
        <v>1047</v>
      </c>
      <c r="I70" t="s">
        <v>1049</v>
      </c>
      <c r="J70" s="36" t="b">
        <f>IF(H70="Yes",C70/1000*'Preliminary results'!$D$46*Inflation!$D$7)</f>
        <v>0</v>
      </c>
      <c r="K70" s="36" t="b">
        <f>IF(H70="Yes",C70/1000*'Preliminary results'!$E$46*Inflation!$D$7)</f>
        <v>0</v>
      </c>
      <c r="L70" s="36" t="b">
        <f>IF(H70="Yes",C70/1000*'Preliminary results'!$F$46*Inflation!$D$7)</f>
        <v>0</v>
      </c>
      <c r="M70" s="150" t="b">
        <f>IF(H70="Yes",C70/1000*'Preliminary results'!$G$46*Inflation!$D$7)</f>
        <v>0</v>
      </c>
      <c r="N70" s="151">
        <f t="shared" si="20"/>
        <v>0</v>
      </c>
      <c r="O70" s="151">
        <f t="shared" ref="O70:O133" si="24">IFERROR($K$3*$I70,0)</f>
        <v>0</v>
      </c>
      <c r="P70" s="151">
        <f t="shared" ref="P70:P133" si="25">IFERROR($L$3*$I70,0)</f>
        <v>0</v>
      </c>
      <c r="Q70" s="151">
        <f t="shared" ref="Q70:Q133" si="26">IFERROR($M$3*$I70,0)</f>
        <v>0</v>
      </c>
      <c r="R70" s="151">
        <f t="shared" ref="R70:R133" si="27">J70-N70</f>
        <v>0</v>
      </c>
      <c r="S70" s="151">
        <f t="shared" ref="S70:S133" si="28">K70-O70</f>
        <v>0</v>
      </c>
      <c r="T70" s="151">
        <f t="shared" ref="T70:T133" si="29">L70-P70</f>
        <v>0</v>
      </c>
      <c r="U70" s="150" t="b">
        <f>IF(G70="Yes",C70/1000*'Preliminary results'!$D$46*Inflation!$D$7)</f>
        <v>0</v>
      </c>
      <c r="V70" s="150" t="b">
        <f>IF(G70="Yes",C70/1000*'Preliminary results'!$E$46*Inflation!$D$7)</f>
        <v>0</v>
      </c>
      <c r="W70" s="150" t="b">
        <f>IF(G70="Yes",C70/1000*'Preliminary results'!$F$46*Inflation!$D$7)</f>
        <v>0</v>
      </c>
      <c r="X70" s="151">
        <f t="shared" ref="X70:X133" si="30">IFERROR($U$3*$I70,0)</f>
        <v>0</v>
      </c>
      <c r="Y70" s="151">
        <f t="shared" ref="Y70:Y133" si="31">IFERROR($V$3*$I70,0)</f>
        <v>0</v>
      </c>
      <c r="Z70" s="151">
        <f t="shared" ref="Z70:Z133" si="32">IFERROR($W$3*$I70,0)</f>
        <v>0</v>
      </c>
      <c r="AA70" s="151">
        <f t="shared" ref="AA70:AA133" si="33">U70-X70</f>
        <v>0</v>
      </c>
      <c r="AB70" s="151">
        <f t="shared" ref="AB70:AB133" si="34">V70-Y70</f>
        <v>0</v>
      </c>
      <c r="AC70" s="151">
        <f t="shared" ref="AC70:AC133" si="35">W70-Z70</f>
        <v>0</v>
      </c>
    </row>
    <row r="71" spans="1:29" hidden="1" x14ac:dyDescent="0.3">
      <c r="A71" t="s">
        <v>901</v>
      </c>
      <c r="B71" t="s">
        <v>902</v>
      </c>
      <c r="C71" s="90">
        <v>6198.01306206553</v>
      </c>
      <c r="D71" s="37">
        <f t="shared" si="23"/>
        <v>5.290755471952971E-5</v>
      </c>
      <c r="E71" t="s">
        <v>1067</v>
      </c>
      <c r="F71" t="s">
        <v>1058</v>
      </c>
      <c r="G71" t="s">
        <v>1045</v>
      </c>
      <c r="H71" t="s">
        <v>1045</v>
      </c>
      <c r="I71" s="93" t="str">
        <f>VLOOKUP(B71,'Beynon 2023'!$B$88:$R$336,15,FALSE)</f>
        <v/>
      </c>
      <c r="J71" s="36">
        <f>IF(H71="Yes",C71/1000*'Preliminary results'!$D$46*Inflation!$D$7)</f>
        <v>5.8991296613761981E-3</v>
      </c>
      <c r="K71" s="36">
        <f>IF(H71="Yes",C71/1000*'Preliminary results'!$E$46*Inflation!$D$7)</f>
        <v>0.19019480945945616</v>
      </c>
      <c r="L71" s="36">
        <f>IF(H71="Yes",C71/1000*'Preliminary results'!$F$46*Inflation!$D$7)</f>
        <v>0.80249811012173955</v>
      </c>
      <c r="M71" s="150">
        <f>IF(H71="Yes",C71/1000*'Preliminary results'!$G$46*Inflation!$D$7)</f>
        <v>1.3726700612301639</v>
      </c>
      <c r="N71" s="151">
        <f t="shared" ref="N71:N134" si="36">IFERROR($J$3*$I71,0)</f>
        <v>0</v>
      </c>
      <c r="O71" s="151">
        <f t="shared" si="24"/>
        <v>0</v>
      </c>
      <c r="P71" s="151">
        <f t="shared" si="25"/>
        <v>0</v>
      </c>
      <c r="Q71" s="151">
        <f t="shared" si="26"/>
        <v>0</v>
      </c>
      <c r="R71" s="151">
        <f t="shared" si="27"/>
        <v>5.8991296613761981E-3</v>
      </c>
      <c r="S71" s="151">
        <f t="shared" si="28"/>
        <v>0.19019480945945616</v>
      </c>
      <c r="T71" s="151">
        <f t="shared" si="29"/>
        <v>0.80249811012173955</v>
      </c>
      <c r="U71" s="150">
        <f>IF(G71="Yes",C71/1000*'Preliminary results'!$D$46*Inflation!$D$7)</f>
        <v>5.8991296613761981E-3</v>
      </c>
      <c r="V71" s="150">
        <f>IF(G71="Yes",C71/1000*'Preliminary results'!$E$46*Inflation!$D$7)</f>
        <v>0.19019480945945616</v>
      </c>
      <c r="W71" s="150">
        <f>IF(G71="Yes",C71/1000*'Preliminary results'!$F$46*Inflation!$D$7)</f>
        <v>0.80249811012173955</v>
      </c>
      <c r="X71" s="151">
        <f t="shared" si="30"/>
        <v>0</v>
      </c>
      <c r="Y71" s="151">
        <f t="shared" si="31"/>
        <v>0</v>
      </c>
      <c r="Z71" s="151">
        <f t="shared" si="32"/>
        <v>0</v>
      </c>
      <c r="AA71" s="151">
        <f t="shared" si="33"/>
        <v>5.8991296613761981E-3</v>
      </c>
      <c r="AB71" s="151">
        <f t="shared" si="34"/>
        <v>0.19019480945945616</v>
      </c>
      <c r="AC71" s="151">
        <f t="shared" si="35"/>
        <v>0.80249811012173955</v>
      </c>
    </row>
    <row r="72" spans="1:29" hidden="1" x14ac:dyDescent="0.3">
      <c r="A72" t="s">
        <v>666</v>
      </c>
      <c r="B72" t="s">
        <v>667</v>
      </c>
      <c r="C72" s="90">
        <v>317039.36881960701</v>
      </c>
      <c r="D72" s="37">
        <f t="shared" si="23"/>
        <v>2.7063153281704356E-3</v>
      </c>
      <c r="E72" t="s">
        <v>667</v>
      </c>
      <c r="F72" t="s">
        <v>1046</v>
      </c>
      <c r="G72" t="s">
        <v>1047</v>
      </c>
      <c r="H72" t="s">
        <v>1047</v>
      </c>
      <c r="I72" s="45">
        <f>VLOOKUP(B72,'Beynon 2023'!$B$88:$R$336,15,FALSE)</f>
        <v>4.7710227105911386E-3</v>
      </c>
      <c r="J72" s="36" t="b">
        <f>IF(H72="Yes",C72/1000*'Preliminary results'!$D$46*Inflation!$D$7)</f>
        <v>0</v>
      </c>
      <c r="K72" s="36" t="b">
        <f>IF(H72="Yes",C72/1000*'Preliminary results'!$E$46*Inflation!$D$7)</f>
        <v>0</v>
      </c>
      <c r="L72" s="36" t="b">
        <f>IF(H72="Yes",C72/1000*'Preliminary results'!$F$46*Inflation!$D$7)</f>
        <v>0</v>
      </c>
      <c r="M72" s="150" t="b">
        <f>IF(H72="Yes",C72/1000*'Preliminary results'!$G$46*Inflation!$D$7)</f>
        <v>0</v>
      </c>
      <c r="N72" s="151">
        <f t="shared" si="36"/>
        <v>2.0196811561293649E-2</v>
      </c>
      <c r="O72" s="151">
        <f t="shared" si="24"/>
        <v>0.65116872269131487</v>
      </c>
      <c r="P72" s="151">
        <f t="shared" si="25"/>
        <v>2.7475075203961441</v>
      </c>
      <c r="Q72" s="151">
        <f t="shared" si="26"/>
        <v>4.69960149274418</v>
      </c>
      <c r="R72" s="151">
        <f t="shared" si="27"/>
        <v>-2.0196811561293649E-2</v>
      </c>
      <c r="S72" s="151">
        <f t="shared" si="28"/>
        <v>-0.65116872269131487</v>
      </c>
      <c r="T72" s="151">
        <f t="shared" si="29"/>
        <v>-2.7475075203961441</v>
      </c>
      <c r="U72" s="150" t="b">
        <f>IF(G72="Yes",C72/1000*'Preliminary results'!$D$46*Inflation!$D$7)</f>
        <v>0</v>
      </c>
      <c r="V72" s="150" t="b">
        <f>IF(G72="Yes",C72/1000*'Preliminary results'!$E$46*Inflation!$D$7)</f>
        <v>0</v>
      </c>
      <c r="W72" s="150" t="b">
        <f>IF(G72="Yes",C72/1000*'Preliminary results'!$F$46*Inflation!$D$7)</f>
        <v>0</v>
      </c>
      <c r="X72" s="151">
        <f t="shared" si="30"/>
        <v>0.18319129130663231</v>
      </c>
      <c r="Y72" s="151">
        <f t="shared" si="31"/>
        <v>5.9063005468112433</v>
      </c>
      <c r="Z72" s="151">
        <f t="shared" si="32"/>
        <v>24.92073805850837</v>
      </c>
      <c r="AA72" s="151">
        <f t="shared" si="33"/>
        <v>-0.18319129130663231</v>
      </c>
      <c r="AB72" s="151">
        <f t="shared" si="34"/>
        <v>-5.9063005468112433</v>
      </c>
      <c r="AC72" s="151">
        <f t="shared" si="35"/>
        <v>-24.92073805850837</v>
      </c>
    </row>
    <row r="73" spans="1:29" hidden="1" x14ac:dyDescent="0.3">
      <c r="A73" t="s">
        <v>585</v>
      </c>
      <c r="B73" t="s">
        <v>395</v>
      </c>
      <c r="C73" s="90">
        <v>3366315.9274473302</v>
      </c>
      <c r="D73" s="37">
        <f t="shared" si="23"/>
        <v>2.8735587090758699E-2</v>
      </c>
      <c r="E73" t="s">
        <v>395</v>
      </c>
      <c r="F73" t="s">
        <v>1046</v>
      </c>
      <c r="G73" t="s">
        <v>1047</v>
      </c>
      <c r="H73" t="s">
        <v>1047</v>
      </c>
      <c r="I73" s="45">
        <f>VLOOKUP(B73,'Beynon 2023'!$B$88:$R$336,15,FALSE)</f>
        <v>2.2112818755933177E-2</v>
      </c>
      <c r="J73" s="36" t="b">
        <f>IF(H73="Yes",C73/1000*'Preliminary results'!$D$46*Inflation!$D$7)</f>
        <v>0</v>
      </c>
      <c r="K73" s="36" t="b">
        <f>IF(H73="Yes",C73/1000*'Preliminary results'!$E$46*Inflation!$D$7)</f>
        <v>0</v>
      </c>
      <c r="L73" s="36" t="b">
        <f>IF(H73="Yes",C73/1000*'Preliminary results'!$F$46*Inflation!$D$7)</f>
        <v>0</v>
      </c>
      <c r="M73" s="150" t="b">
        <f>IF(H73="Yes",C73/1000*'Preliminary results'!$G$46*Inflation!$D$7)</f>
        <v>0</v>
      </c>
      <c r="N73" s="151">
        <f t="shared" si="36"/>
        <v>9.3608532298788114E-2</v>
      </c>
      <c r="O73" s="151">
        <f t="shared" si="24"/>
        <v>3.0180480827393654</v>
      </c>
      <c r="P73" s="151">
        <f t="shared" si="25"/>
        <v>12.734195478511072</v>
      </c>
      <c r="Q73" s="151">
        <f t="shared" si="26"/>
        <v>21.781794457500915</v>
      </c>
      <c r="R73" s="151">
        <f t="shared" si="27"/>
        <v>-9.3608532298788114E-2</v>
      </c>
      <c r="S73" s="151">
        <f t="shared" si="28"/>
        <v>-3.0180480827393654</v>
      </c>
      <c r="T73" s="151">
        <f t="shared" si="29"/>
        <v>-12.734195478511072</v>
      </c>
      <c r="U73" s="150" t="b">
        <f>IF(G73="Yes",C73/1000*'Preliminary results'!$D$46*Inflation!$D$7)</f>
        <v>0</v>
      </c>
      <c r="V73" s="150" t="b">
        <f>IF(G73="Yes",C73/1000*'Preliminary results'!$E$46*Inflation!$D$7)</f>
        <v>0</v>
      </c>
      <c r="W73" s="150" t="b">
        <f>IF(G73="Yes",C73/1000*'Preliminary results'!$F$46*Inflation!$D$7)</f>
        <v>0</v>
      </c>
      <c r="X73" s="151">
        <f t="shared" si="30"/>
        <v>0.84905817223138014</v>
      </c>
      <c r="Y73" s="151">
        <f t="shared" si="31"/>
        <v>27.374624149195014</v>
      </c>
      <c r="Z73" s="151">
        <f t="shared" si="32"/>
        <v>115.50306870863821</v>
      </c>
      <c r="AA73" s="151">
        <f t="shared" si="33"/>
        <v>-0.84905817223138014</v>
      </c>
      <c r="AB73" s="151">
        <f t="shared" si="34"/>
        <v>-27.374624149195014</v>
      </c>
      <c r="AC73" s="151">
        <f t="shared" si="35"/>
        <v>-115.50306870863821</v>
      </c>
    </row>
    <row r="74" spans="1:29" hidden="1" x14ac:dyDescent="0.3">
      <c r="A74" t="s">
        <v>899</v>
      </c>
      <c r="B74" t="s">
        <v>900</v>
      </c>
      <c r="C74" s="90">
        <v>6323.71635505009</v>
      </c>
      <c r="D74" s="37">
        <f t="shared" si="23"/>
        <v>5.3980584702752966E-5</v>
      </c>
      <c r="E74" t="s">
        <v>1067</v>
      </c>
      <c r="F74" t="s">
        <v>1058</v>
      </c>
      <c r="G74" t="s">
        <v>1047</v>
      </c>
      <c r="H74" t="s">
        <v>1047</v>
      </c>
      <c r="I74" s="93" t="str">
        <f>VLOOKUP(B74,'Beynon 2023'!$B$88:$R$336,15,FALSE)</f>
        <v/>
      </c>
      <c r="J74" s="36" t="b">
        <f>IF(H74="Yes",C74/1000*'Preliminary results'!$D$46*Inflation!$D$7)</f>
        <v>0</v>
      </c>
      <c r="K74" s="36" t="b">
        <f>IF(H74="Yes",C74/1000*'Preliminary results'!$E$46*Inflation!$D$7)</f>
        <v>0</v>
      </c>
      <c r="L74" s="36" t="b">
        <f>IF(H74="Yes",C74/1000*'Preliminary results'!$F$46*Inflation!$D$7)</f>
        <v>0</v>
      </c>
      <c r="M74" s="150" t="b">
        <f>IF(H74="Yes",C74/1000*'Preliminary results'!$G$46*Inflation!$D$7)</f>
        <v>0</v>
      </c>
      <c r="N74" s="151">
        <f t="shared" si="36"/>
        <v>0</v>
      </c>
      <c r="O74" s="151">
        <f t="shared" si="24"/>
        <v>0</v>
      </c>
      <c r="P74" s="151">
        <f t="shared" si="25"/>
        <v>0</v>
      </c>
      <c r="Q74" s="151">
        <f t="shared" si="26"/>
        <v>0</v>
      </c>
      <c r="R74" s="151">
        <f t="shared" si="27"/>
        <v>0</v>
      </c>
      <c r="S74" s="151">
        <f t="shared" si="28"/>
        <v>0</v>
      </c>
      <c r="T74" s="151">
        <f t="shared" si="29"/>
        <v>0</v>
      </c>
      <c r="U74" s="150" t="b">
        <f>IF(G74="Yes",C74/1000*'Preliminary results'!$D$46*Inflation!$D$7)</f>
        <v>0</v>
      </c>
      <c r="V74" s="150" t="b">
        <f>IF(G74="Yes",C74/1000*'Preliminary results'!$E$46*Inflation!$D$7)</f>
        <v>0</v>
      </c>
      <c r="W74" s="150" t="b">
        <f>IF(G74="Yes",C74/1000*'Preliminary results'!$F$46*Inflation!$D$7)</f>
        <v>0</v>
      </c>
      <c r="X74" s="151">
        <f t="shared" si="30"/>
        <v>0</v>
      </c>
      <c r="Y74" s="151">
        <f t="shared" si="31"/>
        <v>0</v>
      </c>
      <c r="Z74" s="151">
        <f t="shared" si="32"/>
        <v>0</v>
      </c>
      <c r="AA74" s="151">
        <f t="shared" si="33"/>
        <v>0</v>
      </c>
      <c r="AB74" s="151">
        <f t="shared" si="34"/>
        <v>0</v>
      </c>
      <c r="AC74" s="151">
        <f t="shared" si="35"/>
        <v>0</v>
      </c>
    </row>
    <row r="75" spans="1:29" hidden="1" x14ac:dyDescent="0.3">
      <c r="A75" t="s">
        <v>834</v>
      </c>
      <c r="B75" t="s">
        <v>835</v>
      </c>
      <c r="C75" s="90">
        <v>21427.119323276402</v>
      </c>
      <c r="D75" s="45">
        <f t="shared" si="23"/>
        <v>1.8290643738984633E-4</v>
      </c>
      <c r="E75" t="s">
        <v>835</v>
      </c>
      <c r="F75" t="s">
        <v>1048</v>
      </c>
      <c r="G75" t="s">
        <v>1045</v>
      </c>
      <c r="H75" t="s">
        <v>1045</v>
      </c>
      <c r="I75" s="93">
        <f>VLOOKUP(B75,'Beynon 2023'!$B$88:$R$336,15,FALSE)</f>
        <v>1.6680152305976177E-4</v>
      </c>
      <c r="J75" s="36">
        <f>IF(H75="Yes",C75/1000*'Preliminary results'!$D$46*Inflation!$D$7)</f>
        <v>2.039385104420267E-2</v>
      </c>
      <c r="K75" s="36">
        <f>IF(H75="Yes",C75/1000*'Preliminary results'!$E$46*Inflation!$D$7)</f>
        <v>0.65752150506076146</v>
      </c>
      <c r="L75" s="36">
        <f>IF(H75="Yes",C75/1000*'Preliminary results'!$F$46*Inflation!$D$7)</f>
        <v>2.7743121206898347</v>
      </c>
      <c r="M75" s="150">
        <f>IF(H75="Yes",C75/1000*'Preliminary results'!$G$46*Inflation!$D$7)</f>
        <v>4.7454506628074089</v>
      </c>
      <c r="N75" s="151">
        <f t="shared" si="36"/>
        <v>7.0610834064912208E-4</v>
      </c>
      <c r="O75" s="151">
        <f t="shared" si="24"/>
        <v>2.2765755122623018E-2</v>
      </c>
      <c r="P75" s="151">
        <f t="shared" si="25"/>
        <v>9.6056645884933026E-2</v>
      </c>
      <c r="Q75" s="151">
        <f t="shared" si="26"/>
        <v>0.16430453894580863</v>
      </c>
      <c r="R75" s="151">
        <f t="shared" si="27"/>
        <v>1.968774270355355E-2</v>
      </c>
      <c r="S75" s="151">
        <f t="shared" si="28"/>
        <v>0.63475574993813844</v>
      </c>
      <c r="T75" s="151">
        <f t="shared" si="29"/>
        <v>2.6782554748049017</v>
      </c>
      <c r="U75" s="150">
        <f>IF(G75="Yes",C75/1000*'Preliminary results'!$D$46*Inflation!$D$7)</f>
        <v>2.039385104420267E-2</v>
      </c>
      <c r="V75" s="150">
        <f>IF(G75="Yes",C75/1000*'Preliminary results'!$E$46*Inflation!$D$7)</f>
        <v>0.65752150506076146</v>
      </c>
      <c r="W75" s="150">
        <f>IF(G75="Yes",C75/1000*'Preliminary results'!$F$46*Inflation!$D$7)</f>
        <v>2.7743121206898347</v>
      </c>
      <c r="X75" s="151">
        <f t="shared" si="30"/>
        <v>6.4046197754201728E-3</v>
      </c>
      <c r="Y75" s="151">
        <f t="shared" si="31"/>
        <v>0.20649239934864058</v>
      </c>
      <c r="Z75" s="151">
        <f t="shared" si="32"/>
        <v>0.87126331524368894</v>
      </c>
      <c r="AA75" s="151">
        <f t="shared" si="33"/>
        <v>1.3989231268782498E-2</v>
      </c>
      <c r="AB75" s="151">
        <f t="shared" si="34"/>
        <v>0.45102910571212085</v>
      </c>
      <c r="AC75" s="151">
        <f t="shared" si="35"/>
        <v>1.9030488054461459</v>
      </c>
    </row>
    <row r="76" spans="1:29" hidden="1" x14ac:dyDescent="0.3">
      <c r="A76" t="s">
        <v>933</v>
      </c>
      <c r="B76" t="s">
        <v>934</v>
      </c>
      <c r="C76" s="90">
        <v>2593.67398753306</v>
      </c>
      <c r="D76" s="37">
        <f t="shared" si="23"/>
        <v>2.2140151536611162E-5</v>
      </c>
      <c r="E76" t="s">
        <v>1068</v>
      </c>
      <c r="F76" t="s">
        <v>1048</v>
      </c>
      <c r="G76" t="s">
        <v>1045</v>
      </c>
      <c r="H76" t="s">
        <v>1047</v>
      </c>
      <c r="I76" s="93" t="str">
        <f>VLOOKUP(E76,'Beynon 2023'!$B$88:$R$336,15,FALSE)</f>
        <v/>
      </c>
      <c r="J76" s="36" t="b">
        <f>IF(H76="Yes",C76/1000*'Preliminary results'!$D$46*Inflation!$D$7)</f>
        <v>0</v>
      </c>
      <c r="K76" s="36" t="b">
        <f>IF(H76="Yes",C76/1000*'Preliminary results'!$E$46*Inflation!$D$7)</f>
        <v>0</v>
      </c>
      <c r="L76" s="36" t="b">
        <f>IF(H76="Yes",C76/1000*'Preliminary results'!$F$46*Inflation!$D$7)</f>
        <v>0</v>
      </c>
      <c r="M76" s="150" t="b">
        <f>IF(H76="Yes",C76/1000*'Preliminary results'!$G$46*Inflation!$D$7)</f>
        <v>0</v>
      </c>
      <c r="N76" s="151">
        <f t="shared" si="36"/>
        <v>0</v>
      </c>
      <c r="O76" s="151">
        <f t="shared" si="24"/>
        <v>0</v>
      </c>
      <c r="P76" s="151">
        <f t="shared" si="25"/>
        <v>0</v>
      </c>
      <c r="Q76" s="151">
        <f t="shared" si="26"/>
        <v>0</v>
      </c>
      <c r="R76" s="151">
        <f t="shared" si="27"/>
        <v>0</v>
      </c>
      <c r="S76" s="151">
        <f t="shared" si="28"/>
        <v>0</v>
      </c>
      <c r="T76" s="151">
        <f t="shared" si="29"/>
        <v>0</v>
      </c>
      <c r="U76" s="150">
        <f>IF(G76="Yes",C76/1000*'Preliminary results'!$D$46*Inflation!$D$7)</f>
        <v>2.468600662596407E-3</v>
      </c>
      <c r="V76" s="150">
        <f>IF(G76="Yes",C76/1000*'Preliminary results'!$E$46*Inflation!$D$7)</f>
        <v>7.9590559897013441E-2</v>
      </c>
      <c r="W76" s="150">
        <f>IF(G76="Yes",C76/1000*'Preliminary results'!$F$46*Inflation!$D$7)</f>
        <v>0.33582027859966301</v>
      </c>
      <c r="X76" s="151">
        <f t="shared" si="30"/>
        <v>0</v>
      </c>
      <c r="Y76" s="151">
        <f t="shared" si="31"/>
        <v>0</v>
      </c>
      <c r="Z76" s="151">
        <f t="shared" si="32"/>
        <v>0</v>
      </c>
      <c r="AA76" s="151">
        <f t="shared" si="33"/>
        <v>2.468600662596407E-3</v>
      </c>
      <c r="AB76" s="151">
        <f t="shared" si="34"/>
        <v>7.9590559897013441E-2</v>
      </c>
      <c r="AC76" s="151">
        <f t="shared" si="35"/>
        <v>0.33582027859966301</v>
      </c>
    </row>
    <row r="77" spans="1:29" hidden="1" x14ac:dyDescent="0.3">
      <c r="A77" t="s">
        <v>785</v>
      </c>
      <c r="B77" t="s">
        <v>786</v>
      </c>
      <c r="C77" s="90">
        <v>38143.6128551367</v>
      </c>
      <c r="D77" s="37">
        <f t="shared" si="23"/>
        <v>3.2560197342681324E-4</v>
      </c>
      <c r="E77" t="s">
        <v>786</v>
      </c>
      <c r="F77" t="s">
        <v>1053</v>
      </c>
      <c r="G77" t="s">
        <v>1047</v>
      </c>
      <c r="H77" t="s">
        <v>1047</v>
      </c>
      <c r="I77" s="93">
        <f>VLOOKUP(B77,'Beynon 2023'!$B$88:$R$336,15,FALSE)</f>
        <v>5.0724685365281622E-5</v>
      </c>
      <c r="J77" s="36" t="b">
        <f>IF(H77="Yes",C77/1000*'Preliminary results'!$D$46*Inflation!$D$7)</f>
        <v>0</v>
      </c>
      <c r="K77" s="36" t="b">
        <f>IF(H77="Yes",C77/1000*'Preliminary results'!$E$46*Inflation!$D$7)</f>
        <v>0</v>
      </c>
      <c r="L77" s="36" t="b">
        <f>IF(H77="Yes",C77/1000*'Preliminary results'!$F$46*Inflation!$D$7)</f>
        <v>0</v>
      </c>
      <c r="M77" s="150" t="b">
        <f>IF(H77="Yes",C77/1000*'Preliminary results'!$G$46*Inflation!$D$7)</f>
        <v>0</v>
      </c>
      <c r="N77" s="151">
        <f t="shared" si="36"/>
        <v>2.147289950128047E-4</v>
      </c>
      <c r="O77" s="151">
        <f t="shared" si="24"/>
        <v>6.9231128380306418E-3</v>
      </c>
      <c r="P77" s="151">
        <f t="shared" si="25"/>
        <v>2.9211023079278475E-2</v>
      </c>
      <c r="Q77" s="151">
        <f t="shared" si="26"/>
        <v>4.9965347373523594E-2</v>
      </c>
      <c r="R77" s="151">
        <f t="shared" si="27"/>
        <v>-2.147289950128047E-4</v>
      </c>
      <c r="S77" s="151">
        <f t="shared" si="28"/>
        <v>-6.9231128380306418E-3</v>
      </c>
      <c r="T77" s="151">
        <f t="shared" si="29"/>
        <v>-2.9211023079278475E-2</v>
      </c>
      <c r="U77" s="150" t="b">
        <f>IF(G77="Yes",C77/1000*'Preliminary results'!$D$46*Inflation!$D$7)</f>
        <v>0</v>
      </c>
      <c r="V77" s="150" t="b">
        <f>IF(G77="Yes",C77/1000*'Preliminary results'!$E$46*Inflation!$D$7)</f>
        <v>0</v>
      </c>
      <c r="W77" s="150" t="b">
        <f>IF(G77="Yes",C77/1000*'Preliminary results'!$F$46*Inflation!$D$7)</f>
        <v>0</v>
      </c>
      <c r="X77" s="151">
        <f t="shared" si="30"/>
        <v>1.9476580131468789E-3</v>
      </c>
      <c r="Y77" s="151">
        <f t="shared" si="31"/>
        <v>6.2794762272819007E-2</v>
      </c>
      <c r="Z77" s="151">
        <f t="shared" si="32"/>
        <v>0.26495296161183274</v>
      </c>
      <c r="AA77" s="151">
        <f t="shared" si="33"/>
        <v>-1.9476580131468789E-3</v>
      </c>
      <c r="AB77" s="151">
        <f t="shared" si="34"/>
        <v>-6.2794762272819007E-2</v>
      </c>
      <c r="AC77" s="151">
        <f t="shared" si="35"/>
        <v>-0.26495296161183274</v>
      </c>
    </row>
    <row r="78" spans="1:29" hidden="1" x14ac:dyDescent="0.3">
      <c r="A78" t="s">
        <v>578</v>
      </c>
      <c r="B78" t="s">
        <v>579</v>
      </c>
      <c r="C78" s="90">
        <v>5050922.9250470502</v>
      </c>
      <c r="D78" s="37">
        <f t="shared" si="23"/>
        <v>4.3115749896789832E-2</v>
      </c>
      <c r="E78" t="s">
        <v>579</v>
      </c>
      <c r="F78" t="s">
        <v>1046</v>
      </c>
      <c r="G78" t="s">
        <v>1047</v>
      </c>
      <c r="H78" t="s">
        <v>1047</v>
      </c>
      <c r="I78" s="45">
        <f>VLOOKUP(B78,'Beynon 2023'!$B$88:$R$336,15,FALSE)</f>
        <v>5.2862588588520026E-2</v>
      </c>
      <c r="J78" s="36" t="b">
        <f>IF(H78="Yes",C78/1000*'Preliminary results'!$D$46*Inflation!$D$7)</f>
        <v>0</v>
      </c>
      <c r="K78" s="36" t="b">
        <f>IF(H78="Yes",C78/1000*'Preliminary results'!$E$46*Inflation!$D$7)</f>
        <v>0</v>
      </c>
      <c r="L78" s="36" t="b">
        <f>IF(H78="Yes",C78/1000*'Preliminary results'!$F$46*Inflation!$D$7)</f>
        <v>0</v>
      </c>
      <c r="M78" s="150" t="b">
        <f>IF(H78="Yes",C78/1000*'Preliminary results'!$G$46*Inflation!$D$7)</f>
        <v>0</v>
      </c>
      <c r="N78" s="151">
        <f t="shared" si="36"/>
        <v>0.22377921991325972</v>
      </c>
      <c r="O78" s="151">
        <f t="shared" si="24"/>
        <v>7.2149026272562127</v>
      </c>
      <c r="P78" s="151">
        <f t="shared" si="25"/>
        <v>30.442185775420594</v>
      </c>
      <c r="Q78" s="151">
        <f t="shared" si="26"/>
        <v>52.07124663008549</v>
      </c>
      <c r="R78" s="151">
        <f t="shared" si="27"/>
        <v>-0.22377921991325972</v>
      </c>
      <c r="S78" s="151">
        <f t="shared" si="28"/>
        <v>-7.2149026272562127</v>
      </c>
      <c r="T78" s="151">
        <f t="shared" si="29"/>
        <v>-30.442185775420594</v>
      </c>
      <c r="U78" s="150" t="b">
        <f>IF(G78="Yes",C78/1000*'Preliminary results'!$D$46*Inflation!$D$7)</f>
        <v>0</v>
      </c>
      <c r="V78" s="150" t="b">
        <f>IF(G78="Yes",C78/1000*'Preliminary results'!$E$46*Inflation!$D$7)</f>
        <v>0</v>
      </c>
      <c r="W78" s="150" t="b">
        <f>IF(G78="Yes",C78/1000*'Preliminary results'!$F$46*Inflation!$D$7)</f>
        <v>0</v>
      </c>
      <c r="X78" s="151">
        <f t="shared" si="30"/>
        <v>2.029746335905068</v>
      </c>
      <c r="Y78" s="151">
        <f t="shared" si="31"/>
        <v>65.441385385388088</v>
      </c>
      <c r="Z78" s="151">
        <f t="shared" si="32"/>
        <v>276.11998584386868</v>
      </c>
      <c r="AA78" s="151">
        <f t="shared" si="33"/>
        <v>-2.029746335905068</v>
      </c>
      <c r="AB78" s="151">
        <f t="shared" si="34"/>
        <v>-65.441385385388088</v>
      </c>
      <c r="AC78" s="151">
        <f t="shared" si="35"/>
        <v>-276.11998584386868</v>
      </c>
    </row>
    <row r="79" spans="1:29" hidden="1" x14ac:dyDescent="0.3">
      <c r="A79" t="s">
        <v>709</v>
      </c>
      <c r="B79" t="s">
        <v>710</v>
      </c>
      <c r="C79" s="90">
        <v>114209.90527871699</v>
      </c>
      <c r="D79" s="37">
        <f t="shared" si="23"/>
        <v>9.749199868630639E-4</v>
      </c>
      <c r="E79" t="s">
        <v>710</v>
      </c>
      <c r="F79" t="s">
        <v>1048</v>
      </c>
      <c r="G79" t="s">
        <v>1045</v>
      </c>
      <c r="H79" t="s">
        <v>1045</v>
      </c>
      <c r="I79" s="93" t="str">
        <f>VLOOKUP(B79,'Beynon 2023'!$B$88:$R$336,15,FALSE)</f>
        <v/>
      </c>
      <c r="J79" s="36">
        <f>IF(H79="Yes",C79/1000*'Preliminary results'!$D$46*Inflation!$D$7)</f>
        <v>0.1087024233582556</v>
      </c>
      <c r="K79" s="36">
        <f>IF(H79="Yes",C79/1000*'Preliminary results'!$E$46*Inflation!$D$7)</f>
        <v>3.5046927064121203</v>
      </c>
      <c r="L79" s="36">
        <f>IF(H79="Yes",C79/1000*'Preliminary results'!$F$46*Inflation!$D$7)</f>
        <v>14.787518552406729</v>
      </c>
      <c r="M79" s="150">
        <f>IF(H79="Yes",C79/1000*'Preliminary results'!$G$46*Inflation!$D$7)</f>
        <v>25.293996011647994</v>
      </c>
      <c r="N79" s="151">
        <f t="shared" si="36"/>
        <v>0</v>
      </c>
      <c r="O79" s="151">
        <f t="shared" si="24"/>
        <v>0</v>
      </c>
      <c r="P79" s="151">
        <f t="shared" si="25"/>
        <v>0</v>
      </c>
      <c r="Q79" s="151">
        <f t="shared" si="26"/>
        <v>0</v>
      </c>
      <c r="R79" s="151">
        <f t="shared" si="27"/>
        <v>0.1087024233582556</v>
      </c>
      <c r="S79" s="151">
        <f t="shared" si="28"/>
        <v>3.5046927064121203</v>
      </c>
      <c r="T79" s="151">
        <f t="shared" si="29"/>
        <v>14.787518552406729</v>
      </c>
      <c r="U79" s="150">
        <f>IF(G79="Yes",C79/1000*'Preliminary results'!$D$46*Inflation!$D$7)</f>
        <v>0.1087024233582556</v>
      </c>
      <c r="V79" s="150">
        <f>IF(G79="Yes",C79/1000*'Preliminary results'!$E$46*Inflation!$D$7)</f>
        <v>3.5046927064121203</v>
      </c>
      <c r="W79" s="150">
        <f>IF(G79="Yes",C79/1000*'Preliminary results'!$F$46*Inflation!$D$7)</f>
        <v>14.787518552406729</v>
      </c>
      <c r="X79" s="151">
        <f t="shared" si="30"/>
        <v>0</v>
      </c>
      <c r="Y79" s="151">
        <f t="shared" si="31"/>
        <v>0</v>
      </c>
      <c r="Z79" s="151">
        <f t="shared" si="32"/>
        <v>0</v>
      </c>
      <c r="AA79" s="151">
        <f t="shared" si="33"/>
        <v>0.1087024233582556</v>
      </c>
      <c r="AB79" s="151">
        <f t="shared" si="34"/>
        <v>3.5046927064121203</v>
      </c>
      <c r="AC79" s="151">
        <f t="shared" si="35"/>
        <v>14.787518552406729</v>
      </c>
    </row>
    <row r="80" spans="1:29" hidden="1" x14ac:dyDescent="0.3">
      <c r="A80" t="s">
        <v>991</v>
      </c>
      <c r="B80" t="s">
        <v>992</v>
      </c>
      <c r="C80" s="90">
        <v>0</v>
      </c>
      <c r="D80" s="37">
        <f t="shared" si="23"/>
        <v>0</v>
      </c>
      <c r="E80" t="s">
        <v>1049</v>
      </c>
      <c r="F80" s="8"/>
      <c r="G80" t="s">
        <v>1047</v>
      </c>
      <c r="H80" t="s">
        <v>1047</v>
      </c>
      <c r="I80" t="s">
        <v>1049</v>
      </c>
      <c r="J80" s="36" t="b">
        <f>IF(H80="Yes",C80/1000*'Preliminary results'!$D$46*Inflation!$D$7)</f>
        <v>0</v>
      </c>
      <c r="K80" s="36" t="b">
        <f>IF(H80="Yes",C80/1000*'Preliminary results'!$E$46*Inflation!$D$7)</f>
        <v>0</v>
      </c>
      <c r="L80" s="36" t="b">
        <f>IF(H80="Yes",C80/1000*'Preliminary results'!$F$46*Inflation!$D$7)</f>
        <v>0</v>
      </c>
      <c r="M80" s="150" t="b">
        <f>IF(H80="Yes",C80/1000*'Preliminary results'!$G$46*Inflation!$D$7)</f>
        <v>0</v>
      </c>
      <c r="N80" s="151">
        <f t="shared" si="36"/>
        <v>0</v>
      </c>
      <c r="O80" s="151">
        <f t="shared" si="24"/>
        <v>0</v>
      </c>
      <c r="P80" s="151">
        <f t="shared" si="25"/>
        <v>0</v>
      </c>
      <c r="Q80" s="151">
        <f t="shared" si="26"/>
        <v>0</v>
      </c>
      <c r="R80" s="151">
        <f t="shared" si="27"/>
        <v>0</v>
      </c>
      <c r="S80" s="151">
        <f t="shared" si="28"/>
        <v>0</v>
      </c>
      <c r="T80" s="151">
        <f t="shared" si="29"/>
        <v>0</v>
      </c>
      <c r="U80" s="150" t="b">
        <f>IF(G80="Yes",C80/1000*'Preliminary results'!$D$46*Inflation!$D$7)</f>
        <v>0</v>
      </c>
      <c r="V80" s="150" t="b">
        <f>IF(G80="Yes",C80/1000*'Preliminary results'!$E$46*Inflation!$D$7)</f>
        <v>0</v>
      </c>
      <c r="W80" s="150" t="b">
        <f>IF(G80="Yes",C80/1000*'Preliminary results'!$F$46*Inflation!$D$7)</f>
        <v>0</v>
      </c>
      <c r="X80" s="151">
        <f t="shared" si="30"/>
        <v>0</v>
      </c>
      <c r="Y80" s="151">
        <f t="shared" si="31"/>
        <v>0</v>
      </c>
      <c r="Z80" s="151">
        <f t="shared" si="32"/>
        <v>0</v>
      </c>
      <c r="AA80" s="151">
        <f t="shared" si="33"/>
        <v>0</v>
      </c>
      <c r="AB80" s="151">
        <f t="shared" si="34"/>
        <v>0</v>
      </c>
      <c r="AC80" s="151">
        <f t="shared" si="35"/>
        <v>0</v>
      </c>
    </row>
    <row r="81" spans="1:29" hidden="1" x14ac:dyDescent="0.3">
      <c r="A81" t="s">
        <v>673</v>
      </c>
      <c r="B81" t="s">
        <v>674</v>
      </c>
      <c r="C81" s="90">
        <v>280635.52132444101</v>
      </c>
      <c r="D81" s="37">
        <f t="shared" si="23"/>
        <v>2.3955643610354864E-3</v>
      </c>
      <c r="E81" t="s">
        <v>674</v>
      </c>
      <c r="F81" t="s">
        <v>1046</v>
      </c>
      <c r="G81" t="s">
        <v>1047</v>
      </c>
      <c r="H81" t="s">
        <v>1047</v>
      </c>
      <c r="I81" s="45">
        <f>VLOOKUP(B81,'Beynon 2023'!$B$88:$R$336,15,FALSE)</f>
        <v>1.9958010663303112E-3</v>
      </c>
      <c r="J81" s="36" t="b">
        <f>IF(H81="Yes",C81/1000*'Preliminary results'!$D$46*Inflation!$D$7)</f>
        <v>0</v>
      </c>
      <c r="K81" s="36" t="b">
        <f>IF(H81="Yes",C81/1000*'Preliminary results'!$E$46*Inflation!$D$7)</f>
        <v>0</v>
      </c>
      <c r="L81" s="36" t="b">
        <f>IF(H81="Yes",C81/1000*'Preliminary results'!$F$46*Inflation!$D$7)</f>
        <v>0</v>
      </c>
      <c r="M81" s="150" t="b">
        <f>IF(H81="Yes",C81/1000*'Preliminary results'!$G$46*Inflation!$D$7)</f>
        <v>0</v>
      </c>
      <c r="N81" s="151">
        <f t="shared" si="36"/>
        <v>8.4486745286332706E-3</v>
      </c>
      <c r="O81" s="151">
        <f t="shared" si="24"/>
        <v>0.27239510476931889</v>
      </c>
      <c r="P81" s="151">
        <f t="shared" si="25"/>
        <v>1.1493297709072865</v>
      </c>
      <c r="Q81" s="151">
        <f t="shared" si="26"/>
        <v>1.9659243393926797</v>
      </c>
      <c r="R81" s="151">
        <f t="shared" si="27"/>
        <v>-8.4486745286332706E-3</v>
      </c>
      <c r="S81" s="151">
        <f t="shared" si="28"/>
        <v>-0.27239510476931889</v>
      </c>
      <c r="T81" s="151">
        <f t="shared" si="29"/>
        <v>-1.1493297709072865</v>
      </c>
      <c r="U81" s="150" t="b">
        <f>IF(G81="Yes",C81/1000*'Preliminary results'!$D$46*Inflation!$D$7)</f>
        <v>0</v>
      </c>
      <c r="V81" s="150" t="b">
        <f>IF(G81="Yes",C81/1000*'Preliminary results'!$E$46*Inflation!$D$7)</f>
        <v>0</v>
      </c>
      <c r="W81" s="150" t="b">
        <f>IF(G81="Yes",C81/1000*'Preliminary results'!$F$46*Inflation!$D$7)</f>
        <v>0</v>
      </c>
      <c r="X81" s="151">
        <f t="shared" si="30"/>
        <v>7.6632075911226005E-2</v>
      </c>
      <c r="Y81" s="151">
        <f t="shared" si="31"/>
        <v>2.4707073607563372</v>
      </c>
      <c r="Z81" s="151">
        <f t="shared" si="32"/>
        <v>10.424774436830733</v>
      </c>
      <c r="AA81" s="151">
        <f t="shared" si="33"/>
        <v>-7.6632075911226005E-2</v>
      </c>
      <c r="AB81" s="151">
        <f t="shared" si="34"/>
        <v>-2.4707073607563372</v>
      </c>
      <c r="AC81" s="151">
        <f t="shared" si="35"/>
        <v>-10.424774436830733</v>
      </c>
    </row>
    <row r="82" spans="1:29" hidden="1" x14ac:dyDescent="0.3">
      <c r="A82" t="s">
        <v>923</v>
      </c>
      <c r="B82" t="s">
        <v>924</v>
      </c>
      <c r="C82" s="90">
        <v>3326.5439743919301</v>
      </c>
      <c r="D82" s="37">
        <f t="shared" si="23"/>
        <v>2.8396085259847763E-5</v>
      </c>
      <c r="E82" t="s">
        <v>1050</v>
      </c>
      <c r="F82" t="s">
        <v>1046</v>
      </c>
      <c r="G82" t="s">
        <v>1047</v>
      </c>
      <c r="H82" t="s">
        <v>1047</v>
      </c>
      <c r="I82" s="93">
        <f>VLOOKUP(B82,'Beynon 2023'!$B$88:$R$336,15,FALSE)</f>
        <v>0</v>
      </c>
      <c r="J82" s="36" t="b">
        <f>IF(H82="Yes",C82/1000*'Preliminary results'!$D$46*Inflation!$D$7)</f>
        <v>0</v>
      </c>
      <c r="K82" s="36" t="b">
        <f>IF(H82="Yes",C82/1000*'Preliminary results'!$E$46*Inflation!$D$7)</f>
        <v>0</v>
      </c>
      <c r="L82" s="36" t="b">
        <f>IF(H82="Yes",C82/1000*'Preliminary results'!$F$46*Inflation!$D$7)</f>
        <v>0</v>
      </c>
      <c r="M82" s="150" t="b">
        <f>IF(H82="Yes",C82/1000*'Preliminary results'!$G$46*Inflation!$D$7)</f>
        <v>0</v>
      </c>
      <c r="N82" s="151">
        <f t="shared" si="36"/>
        <v>0</v>
      </c>
      <c r="O82" s="151">
        <f t="shared" si="24"/>
        <v>0</v>
      </c>
      <c r="P82" s="151">
        <f t="shared" si="25"/>
        <v>0</v>
      </c>
      <c r="Q82" s="151">
        <f t="shared" si="26"/>
        <v>0</v>
      </c>
      <c r="R82" s="151">
        <f t="shared" si="27"/>
        <v>0</v>
      </c>
      <c r="S82" s="151">
        <f t="shared" si="28"/>
        <v>0</v>
      </c>
      <c r="T82" s="151">
        <f t="shared" si="29"/>
        <v>0</v>
      </c>
      <c r="U82" s="150" t="b">
        <f>IF(G82="Yes",C82/1000*'Preliminary results'!$D$46*Inflation!$D$7)</f>
        <v>0</v>
      </c>
      <c r="V82" s="150" t="b">
        <f>IF(G82="Yes",C82/1000*'Preliminary results'!$E$46*Inflation!$D$7)</f>
        <v>0</v>
      </c>
      <c r="W82" s="150" t="b">
        <f>IF(G82="Yes",C82/1000*'Preliminary results'!$F$46*Inflation!$D$7)</f>
        <v>0</v>
      </c>
      <c r="X82" s="151">
        <f t="shared" si="30"/>
        <v>0</v>
      </c>
      <c r="Y82" s="151">
        <f t="shared" si="31"/>
        <v>0</v>
      </c>
      <c r="Z82" s="151">
        <f t="shared" si="32"/>
        <v>0</v>
      </c>
      <c r="AA82" s="151">
        <f t="shared" si="33"/>
        <v>0</v>
      </c>
      <c r="AB82" s="151">
        <f t="shared" si="34"/>
        <v>0</v>
      </c>
      <c r="AC82" s="151">
        <f t="shared" si="35"/>
        <v>0</v>
      </c>
    </row>
    <row r="83" spans="1:29" hidden="1" x14ac:dyDescent="0.3">
      <c r="A83" t="s">
        <v>955</v>
      </c>
      <c r="B83" t="s">
        <v>956</v>
      </c>
      <c r="C83" s="90">
        <v>1420.17322856948</v>
      </c>
      <c r="D83" s="37">
        <f t="shared" si="23"/>
        <v>1.212290004059958E-5</v>
      </c>
      <c r="E83" t="s">
        <v>1051</v>
      </c>
      <c r="F83" t="s">
        <v>1052</v>
      </c>
      <c r="G83" t="s">
        <v>1045</v>
      </c>
      <c r="H83" t="s">
        <v>1045</v>
      </c>
      <c r="I83" s="93" t="str">
        <f>VLOOKUP(B83,'Beynon 2023'!$B$88:$R$336,15,FALSE)</f>
        <v/>
      </c>
      <c r="J83" s="36">
        <f>IF(H83="Yes",C83/1000*'Preliminary results'!$D$46*Inflation!$D$7)</f>
        <v>1.3516889901736772E-3</v>
      </c>
      <c r="K83" s="36">
        <f>IF(H83="Yes",C83/1000*'Preliminary results'!$E$46*Inflation!$D$7)</f>
        <v>4.3580027002585411E-2</v>
      </c>
      <c r="L83" s="36">
        <f>IF(H83="Yes",C83/1000*'Preliminary results'!$F$46*Inflation!$D$7)</f>
        <v>0.18387930463520005</v>
      </c>
      <c r="M83" s="150">
        <f>IF(H83="Yes",C83/1000*'Preliminary results'!$G$46*Inflation!$D$7)</f>
        <v>0.31452487322900979</v>
      </c>
      <c r="N83" s="151">
        <f t="shared" si="36"/>
        <v>0</v>
      </c>
      <c r="O83" s="151">
        <f t="shared" si="24"/>
        <v>0</v>
      </c>
      <c r="P83" s="151">
        <f t="shared" si="25"/>
        <v>0</v>
      </c>
      <c r="Q83" s="151">
        <f t="shared" si="26"/>
        <v>0</v>
      </c>
      <c r="R83" s="151">
        <f t="shared" si="27"/>
        <v>1.3516889901736772E-3</v>
      </c>
      <c r="S83" s="151">
        <f t="shared" si="28"/>
        <v>4.3580027002585411E-2</v>
      </c>
      <c r="T83" s="151">
        <f t="shared" si="29"/>
        <v>0.18387930463520005</v>
      </c>
      <c r="U83" s="150">
        <f>IF(G83="Yes",C83/1000*'Preliminary results'!$D$46*Inflation!$D$7)</f>
        <v>1.3516889901736772E-3</v>
      </c>
      <c r="V83" s="150">
        <f>IF(G83="Yes",C83/1000*'Preliminary results'!$E$46*Inflation!$D$7)</f>
        <v>4.3580027002585411E-2</v>
      </c>
      <c r="W83" s="150">
        <f>IF(G83="Yes",C83/1000*'Preliminary results'!$F$46*Inflation!$D$7)</f>
        <v>0.18387930463520005</v>
      </c>
      <c r="X83" s="151">
        <f t="shared" si="30"/>
        <v>0</v>
      </c>
      <c r="Y83" s="151">
        <f t="shared" si="31"/>
        <v>0</v>
      </c>
      <c r="Z83" s="151">
        <f t="shared" si="32"/>
        <v>0</v>
      </c>
      <c r="AA83" s="151">
        <f t="shared" si="33"/>
        <v>1.3516889901736772E-3</v>
      </c>
      <c r="AB83" s="151">
        <f t="shared" si="34"/>
        <v>4.3580027002585411E-2</v>
      </c>
      <c r="AC83" s="151">
        <f t="shared" si="35"/>
        <v>0.18387930463520005</v>
      </c>
    </row>
    <row r="84" spans="1:29" hidden="1" x14ac:dyDescent="0.3">
      <c r="A84" t="s">
        <v>993</v>
      </c>
      <c r="B84" t="s">
        <v>994</v>
      </c>
      <c r="C84" s="90">
        <v>0</v>
      </c>
      <c r="D84" s="37">
        <f t="shared" si="23"/>
        <v>0</v>
      </c>
      <c r="E84" t="s">
        <v>1049</v>
      </c>
      <c r="F84" s="8"/>
      <c r="G84" t="s">
        <v>1047</v>
      </c>
      <c r="H84" t="s">
        <v>1047</v>
      </c>
      <c r="I84" t="s">
        <v>1049</v>
      </c>
      <c r="J84" s="36" t="b">
        <f>IF(H84="Yes",C84/1000*'Preliminary results'!$D$46*Inflation!$D$7)</f>
        <v>0</v>
      </c>
      <c r="K84" s="36" t="b">
        <f>IF(H84="Yes",C84/1000*'Preliminary results'!$E$46*Inflation!$D$7)</f>
        <v>0</v>
      </c>
      <c r="L84" s="36" t="b">
        <f>IF(H84="Yes",C84/1000*'Preliminary results'!$F$46*Inflation!$D$7)</f>
        <v>0</v>
      </c>
      <c r="M84" s="150" t="b">
        <f>IF(H84="Yes",C84/1000*'Preliminary results'!$G$46*Inflation!$D$7)</f>
        <v>0</v>
      </c>
      <c r="N84" s="151">
        <f t="shared" si="36"/>
        <v>0</v>
      </c>
      <c r="O84" s="151">
        <f t="shared" si="24"/>
        <v>0</v>
      </c>
      <c r="P84" s="151">
        <f t="shared" si="25"/>
        <v>0</v>
      </c>
      <c r="Q84" s="151">
        <f t="shared" si="26"/>
        <v>0</v>
      </c>
      <c r="R84" s="151">
        <f t="shared" si="27"/>
        <v>0</v>
      </c>
      <c r="S84" s="151">
        <f t="shared" si="28"/>
        <v>0</v>
      </c>
      <c r="T84" s="151">
        <f t="shared" si="29"/>
        <v>0</v>
      </c>
      <c r="U84" s="150" t="b">
        <f>IF(G84="Yes",C84/1000*'Preliminary results'!$D$46*Inflation!$D$7)</f>
        <v>0</v>
      </c>
      <c r="V84" s="150" t="b">
        <f>IF(G84="Yes",C84/1000*'Preliminary results'!$E$46*Inflation!$D$7)</f>
        <v>0</v>
      </c>
      <c r="W84" s="150" t="b">
        <f>IF(G84="Yes",C84/1000*'Preliminary results'!$F$46*Inflation!$D$7)</f>
        <v>0</v>
      </c>
      <c r="X84" s="151">
        <f t="shared" si="30"/>
        <v>0</v>
      </c>
      <c r="Y84" s="151">
        <f t="shared" si="31"/>
        <v>0</v>
      </c>
      <c r="Z84" s="151">
        <f t="shared" si="32"/>
        <v>0</v>
      </c>
      <c r="AA84" s="151">
        <f t="shared" si="33"/>
        <v>0</v>
      </c>
      <c r="AB84" s="151">
        <f t="shared" si="34"/>
        <v>0</v>
      </c>
      <c r="AC84" s="151">
        <f t="shared" si="35"/>
        <v>0</v>
      </c>
    </row>
    <row r="85" spans="1:29" hidden="1" x14ac:dyDescent="0.3">
      <c r="A85" t="s">
        <v>705</v>
      </c>
      <c r="B85" t="s">
        <v>706</v>
      </c>
      <c r="C85" s="90">
        <v>123306.008821471</v>
      </c>
      <c r="D85" s="45">
        <f t="shared" si="23"/>
        <v>1.0525662569021246E-3</v>
      </c>
      <c r="E85" t="s">
        <v>706</v>
      </c>
      <c r="F85" t="s">
        <v>1052</v>
      </c>
      <c r="G85" t="s">
        <v>1045</v>
      </c>
      <c r="H85" t="s">
        <v>1045</v>
      </c>
      <c r="I85" s="93">
        <f>VLOOKUP(B85,'Beynon 2023'!$B$88:$R$336,15,FALSE)</f>
        <v>2.8410511679924832E-4</v>
      </c>
      <c r="J85" s="36">
        <f>IF(H85="Yes",C85/1000*'Preliminary results'!$D$46*Inflation!$D$7)</f>
        <v>0.11735989046500078</v>
      </c>
      <c r="K85" s="36">
        <f>IF(H85="Yes",C85/1000*'Preliminary results'!$E$46*Inflation!$D$7)</f>
        <v>3.7838195270259893</v>
      </c>
      <c r="L85" s="36">
        <f>IF(H85="Yes",C85/1000*'Preliminary results'!$F$46*Inflation!$D$7)</f>
        <v>15.965251775850293</v>
      </c>
      <c r="M85" s="150">
        <f>IF(H85="Yes",C85/1000*'Preliminary results'!$G$46*Inflation!$D$7)</f>
        <v>27.308504351975216</v>
      </c>
      <c r="N85" s="151">
        <f t="shared" si="36"/>
        <v>1.2026808203733723E-3</v>
      </c>
      <c r="O85" s="151">
        <f t="shared" si="24"/>
        <v>3.877583009729825E-2</v>
      </c>
      <c r="P85" s="151">
        <f t="shared" si="25"/>
        <v>0.1636087254953025</v>
      </c>
      <c r="Q85" s="151">
        <f t="shared" si="26"/>
        <v>0.27985212228020928</v>
      </c>
      <c r="R85" s="151">
        <f t="shared" si="27"/>
        <v>0.1161572096446274</v>
      </c>
      <c r="S85" s="151">
        <f t="shared" si="28"/>
        <v>3.7450436969286911</v>
      </c>
      <c r="T85" s="151">
        <f t="shared" si="29"/>
        <v>15.80164305035499</v>
      </c>
      <c r="U85" s="150">
        <f>IF(G85="Yes",C85/1000*'Preliminary results'!$D$46*Inflation!$D$7)</f>
        <v>0.11735989046500078</v>
      </c>
      <c r="V85" s="150">
        <f>IF(G85="Yes",C85/1000*'Preliminary results'!$E$46*Inflation!$D$7)</f>
        <v>3.7838195270259893</v>
      </c>
      <c r="W85" s="150">
        <f>IF(G85="Yes",C85/1000*'Preliminary results'!$F$46*Inflation!$D$7)</f>
        <v>15.965251775850293</v>
      </c>
      <c r="X85" s="151">
        <f t="shared" si="30"/>
        <v>1.090868486074076E-2</v>
      </c>
      <c r="Y85" s="151">
        <f t="shared" si="31"/>
        <v>0.35170870240845359</v>
      </c>
      <c r="Z85" s="151">
        <f t="shared" si="32"/>
        <v>1.4839814493271934</v>
      </c>
      <c r="AA85" s="151">
        <f t="shared" si="33"/>
        <v>0.10645120560426002</v>
      </c>
      <c r="AB85" s="151">
        <f t="shared" si="34"/>
        <v>3.4321108246175358</v>
      </c>
      <c r="AC85" s="151">
        <f t="shared" si="35"/>
        <v>14.481270326523099</v>
      </c>
    </row>
    <row r="86" spans="1:29" hidden="1" x14ac:dyDescent="0.3">
      <c r="A86" t="s">
        <v>806</v>
      </c>
      <c r="B86" t="s">
        <v>807</v>
      </c>
      <c r="C86" s="90">
        <v>28346.0247532924</v>
      </c>
      <c r="D86" s="37">
        <f t="shared" si="23"/>
        <v>2.4196768233595331E-4</v>
      </c>
      <c r="E86" t="s">
        <v>807</v>
      </c>
      <c r="F86" t="s">
        <v>1048</v>
      </c>
      <c r="G86" t="s">
        <v>1045</v>
      </c>
      <c r="H86" t="s">
        <v>1045</v>
      </c>
      <c r="I86" s="93" t="str">
        <f>VLOOKUP(B86,'Beynon 2023'!$B$88:$R$336,15,FALSE)</f>
        <v/>
      </c>
      <c r="J86" s="36">
        <f>IF(H86="Yes",C86/1000*'Preliminary results'!$D$46*Inflation!$D$7)</f>
        <v>2.6979109874370764E-2</v>
      </c>
      <c r="K86" s="36">
        <f>IF(H86="Yes",C86/1000*'Preliminary results'!$E$46*Inflation!$D$7)</f>
        <v>0.86983791787763665</v>
      </c>
      <c r="L86" s="36">
        <f>IF(H86="Yes",C86/1000*'Preliminary results'!$F$46*Inflation!$D$7)</f>
        <v>3.6701489761624342</v>
      </c>
      <c r="M86" s="150">
        <f>IF(H86="Yes",C86/1000*'Preliminary results'!$G$46*Inflation!$D$7)</f>
        <v>6.277776304131681</v>
      </c>
      <c r="N86" s="151">
        <f t="shared" si="36"/>
        <v>0</v>
      </c>
      <c r="O86" s="151">
        <f t="shared" si="24"/>
        <v>0</v>
      </c>
      <c r="P86" s="151">
        <f t="shared" si="25"/>
        <v>0</v>
      </c>
      <c r="Q86" s="151">
        <f t="shared" si="26"/>
        <v>0</v>
      </c>
      <c r="R86" s="151">
        <f t="shared" si="27"/>
        <v>2.6979109874370764E-2</v>
      </c>
      <c r="S86" s="151">
        <f t="shared" si="28"/>
        <v>0.86983791787763665</v>
      </c>
      <c r="T86" s="151">
        <f t="shared" si="29"/>
        <v>3.6701489761624342</v>
      </c>
      <c r="U86" s="150">
        <f>IF(G86="Yes",C86/1000*'Preliminary results'!$D$46*Inflation!$D$7)</f>
        <v>2.6979109874370764E-2</v>
      </c>
      <c r="V86" s="150">
        <f>IF(G86="Yes",C86/1000*'Preliminary results'!$E$46*Inflation!$D$7)</f>
        <v>0.86983791787763665</v>
      </c>
      <c r="W86" s="150">
        <f>IF(G86="Yes",C86/1000*'Preliminary results'!$F$46*Inflation!$D$7)</f>
        <v>3.6701489761624342</v>
      </c>
      <c r="X86" s="151">
        <f t="shared" si="30"/>
        <v>0</v>
      </c>
      <c r="Y86" s="151">
        <f t="shared" si="31"/>
        <v>0</v>
      </c>
      <c r="Z86" s="151">
        <f t="shared" si="32"/>
        <v>0</v>
      </c>
      <c r="AA86" s="151">
        <f t="shared" si="33"/>
        <v>2.6979109874370764E-2</v>
      </c>
      <c r="AB86" s="151">
        <f t="shared" si="34"/>
        <v>0.86983791787763665</v>
      </c>
      <c r="AC86" s="151">
        <f t="shared" si="35"/>
        <v>3.6701489761624342</v>
      </c>
    </row>
    <row r="87" spans="1:29" hidden="1" x14ac:dyDescent="0.3">
      <c r="A87" t="s">
        <v>937</v>
      </c>
      <c r="B87" t="s">
        <v>938</v>
      </c>
      <c r="C87" s="90">
        <v>2527.9302729298802</v>
      </c>
      <c r="D87" s="37">
        <f t="shared" si="23"/>
        <v>2.1578949237906471E-5</v>
      </c>
      <c r="E87" t="s">
        <v>1059</v>
      </c>
      <c r="F87" t="s">
        <v>1048</v>
      </c>
      <c r="G87" t="s">
        <v>1045</v>
      </c>
      <c r="H87" t="s">
        <v>1047</v>
      </c>
      <c r="I87" s="93" t="str">
        <f>VLOOKUP(B87,'Beynon 2023'!$B$88:$R$336,15,FALSE)</f>
        <v/>
      </c>
      <c r="J87" s="36" t="b">
        <f>IF(H87="Yes",C87/1000*'Preliminary results'!$D$46*Inflation!$D$7)</f>
        <v>0</v>
      </c>
      <c r="K87" s="36" t="b">
        <f>IF(H87="Yes",C87/1000*'Preliminary results'!$E$46*Inflation!$D$7)</f>
        <v>0</v>
      </c>
      <c r="L87" s="36" t="b">
        <f>IF(H87="Yes",C87/1000*'Preliminary results'!$F$46*Inflation!$D$7)</f>
        <v>0</v>
      </c>
      <c r="M87" s="150" t="b">
        <f>IF(H87="Yes",C87/1000*'Preliminary results'!$G$46*Inflation!$D$7)</f>
        <v>0</v>
      </c>
      <c r="N87" s="151">
        <f t="shared" si="36"/>
        <v>0</v>
      </c>
      <c r="O87" s="151">
        <f t="shared" si="24"/>
        <v>0</v>
      </c>
      <c r="P87" s="151">
        <f t="shared" si="25"/>
        <v>0</v>
      </c>
      <c r="Q87" s="151">
        <f t="shared" si="26"/>
        <v>0</v>
      </c>
      <c r="R87" s="151">
        <f t="shared" si="27"/>
        <v>0</v>
      </c>
      <c r="S87" s="151">
        <f t="shared" si="28"/>
        <v>0</v>
      </c>
      <c r="T87" s="151">
        <f t="shared" si="29"/>
        <v>0</v>
      </c>
      <c r="U87" s="150">
        <f>IF(G87="Yes",C87/1000*'Preliminary results'!$D$46*Inflation!$D$7)</f>
        <v>2.4060272712561467E-3</v>
      </c>
      <c r="V87" s="150">
        <f>IF(G87="Yes",C87/1000*'Preliminary results'!$E$46*Inflation!$D$7)</f>
        <v>7.7573120897305753E-2</v>
      </c>
      <c r="W87" s="150">
        <f>IF(G87="Yes",C87/1000*'Preliminary results'!$F$46*Inflation!$D$7)</f>
        <v>0.32730800116605391</v>
      </c>
      <c r="X87" s="151">
        <f t="shared" si="30"/>
        <v>0</v>
      </c>
      <c r="Y87" s="151">
        <f t="shared" si="31"/>
        <v>0</v>
      </c>
      <c r="Z87" s="151">
        <f t="shared" si="32"/>
        <v>0</v>
      </c>
      <c r="AA87" s="151">
        <f t="shared" si="33"/>
        <v>2.4060272712561467E-3</v>
      </c>
      <c r="AB87" s="151">
        <f t="shared" si="34"/>
        <v>7.7573120897305753E-2</v>
      </c>
      <c r="AC87" s="151">
        <f t="shared" si="35"/>
        <v>0.32730800116605391</v>
      </c>
    </row>
    <row r="88" spans="1:29" hidden="1" x14ac:dyDescent="0.3">
      <c r="A88" t="s">
        <v>812</v>
      </c>
      <c r="B88" t="s">
        <v>813</v>
      </c>
      <c r="C88" s="90">
        <v>27097.477218225398</v>
      </c>
      <c r="D88" s="37">
        <f t="shared" si="23"/>
        <v>2.3130981563415626E-4</v>
      </c>
      <c r="E88" t="s">
        <v>1050</v>
      </c>
      <c r="F88" t="s">
        <v>1046</v>
      </c>
      <c r="G88" t="s">
        <v>1045</v>
      </c>
      <c r="H88" t="s">
        <v>1045</v>
      </c>
      <c r="I88" s="93" t="str">
        <f>VLOOKUP(B88,'Beynon 2023'!$B$88:$R$336,15,FALSE)</f>
        <v/>
      </c>
      <c r="J88" s="36">
        <f>IF(H88="Yes",C88/1000*'Preliminary results'!$D$46*Inflation!$D$7)</f>
        <v>2.579077036556416E-2</v>
      </c>
      <c r="K88" s="36">
        <f>IF(H88="Yes",C88/1000*'Preliminary results'!$E$46*Inflation!$D$7)</f>
        <v>0.83152446836483362</v>
      </c>
      <c r="L88" s="36">
        <f>IF(H88="Yes",C88/1000*'Preliminary results'!$F$46*Inflation!$D$7)</f>
        <v>3.5084911953131441</v>
      </c>
      <c r="M88" s="150">
        <f>IF(H88="Yes",C88/1000*'Preliminary results'!$G$46*Inflation!$D$7)</f>
        <v>6.0012612654818529</v>
      </c>
      <c r="N88" s="151">
        <f t="shared" si="36"/>
        <v>0</v>
      </c>
      <c r="O88" s="151">
        <f t="shared" si="24"/>
        <v>0</v>
      </c>
      <c r="P88" s="151">
        <f t="shared" si="25"/>
        <v>0</v>
      </c>
      <c r="Q88" s="151">
        <f t="shared" si="26"/>
        <v>0</v>
      </c>
      <c r="R88" s="151">
        <f t="shared" si="27"/>
        <v>2.579077036556416E-2</v>
      </c>
      <c r="S88" s="151">
        <f t="shared" si="28"/>
        <v>0.83152446836483362</v>
      </c>
      <c r="T88" s="151">
        <f t="shared" si="29"/>
        <v>3.5084911953131441</v>
      </c>
      <c r="U88" s="150">
        <f>IF(G88="Yes",C88/1000*'Preliminary results'!$D$46*Inflation!$D$7)</f>
        <v>2.579077036556416E-2</v>
      </c>
      <c r="V88" s="150">
        <f>IF(G88="Yes",C88/1000*'Preliminary results'!$E$46*Inflation!$D$7)</f>
        <v>0.83152446836483362</v>
      </c>
      <c r="W88" s="150">
        <f>IF(G88="Yes",C88/1000*'Preliminary results'!$F$46*Inflation!$D$7)</f>
        <v>3.5084911953131441</v>
      </c>
      <c r="X88" s="151">
        <f t="shared" si="30"/>
        <v>0</v>
      </c>
      <c r="Y88" s="151">
        <f t="shared" si="31"/>
        <v>0</v>
      </c>
      <c r="Z88" s="151">
        <f t="shared" si="32"/>
        <v>0</v>
      </c>
      <c r="AA88" s="151">
        <f t="shared" si="33"/>
        <v>2.579077036556416E-2</v>
      </c>
      <c r="AB88" s="151">
        <f t="shared" si="34"/>
        <v>0.83152446836483362</v>
      </c>
      <c r="AC88" s="151">
        <f t="shared" si="35"/>
        <v>3.5084911953131441</v>
      </c>
    </row>
    <row r="89" spans="1:29" hidden="1" x14ac:dyDescent="0.3">
      <c r="A89" t="s">
        <v>796</v>
      </c>
      <c r="B89" t="s">
        <v>797</v>
      </c>
      <c r="C89" s="90">
        <v>32077.278409233899</v>
      </c>
      <c r="D89" s="37">
        <f t="shared" si="23"/>
        <v>2.7381845531712244E-4</v>
      </c>
      <c r="E89" t="s">
        <v>797</v>
      </c>
      <c r="F89" t="s">
        <v>1052</v>
      </c>
      <c r="G89" t="s">
        <v>1045</v>
      </c>
      <c r="H89" t="s">
        <v>1045</v>
      </c>
      <c r="I89" s="93" t="str">
        <f>VLOOKUP(B89,'Beynon 2023'!$B$88:$R$336,15,FALSE)</f>
        <v/>
      </c>
      <c r="J89" s="36">
        <f>IF(H89="Yes",C89/1000*'Preliminary results'!$D$46*Inflation!$D$7)</f>
        <v>3.0530433321976972E-2</v>
      </c>
      <c r="K89" s="36">
        <f>IF(H89="Yes",C89/1000*'Preliminary results'!$E$46*Inflation!$D$7)</f>
        <v>0.98433672112801129</v>
      </c>
      <c r="L89" s="36">
        <f>IF(H89="Yes",C89/1000*'Preliminary results'!$F$46*Inflation!$D$7)</f>
        <v>4.1532592854330641</v>
      </c>
      <c r="M89" s="150">
        <f>IF(H89="Yes",C89/1000*'Preliminary results'!$G$46*Inflation!$D$7)</f>
        <v>7.1041347085232367</v>
      </c>
      <c r="N89" s="151">
        <f t="shared" si="36"/>
        <v>0</v>
      </c>
      <c r="O89" s="151">
        <f t="shared" si="24"/>
        <v>0</v>
      </c>
      <c r="P89" s="151">
        <f t="shared" si="25"/>
        <v>0</v>
      </c>
      <c r="Q89" s="151">
        <f t="shared" si="26"/>
        <v>0</v>
      </c>
      <c r="R89" s="151">
        <f t="shared" si="27"/>
        <v>3.0530433321976972E-2</v>
      </c>
      <c r="S89" s="151">
        <f t="shared" si="28"/>
        <v>0.98433672112801129</v>
      </c>
      <c r="T89" s="151">
        <f t="shared" si="29"/>
        <v>4.1532592854330641</v>
      </c>
      <c r="U89" s="150">
        <f>IF(G89="Yes",C89/1000*'Preliminary results'!$D$46*Inflation!$D$7)</f>
        <v>3.0530433321976972E-2</v>
      </c>
      <c r="V89" s="150">
        <f>IF(G89="Yes",C89/1000*'Preliminary results'!$E$46*Inflation!$D$7)</f>
        <v>0.98433672112801129</v>
      </c>
      <c r="W89" s="150">
        <f>IF(G89="Yes",C89/1000*'Preliminary results'!$F$46*Inflation!$D$7)</f>
        <v>4.1532592854330641</v>
      </c>
      <c r="X89" s="151">
        <f t="shared" si="30"/>
        <v>0</v>
      </c>
      <c r="Y89" s="151">
        <f t="shared" si="31"/>
        <v>0</v>
      </c>
      <c r="Z89" s="151">
        <f t="shared" si="32"/>
        <v>0</v>
      </c>
      <c r="AA89" s="151">
        <f t="shared" si="33"/>
        <v>3.0530433321976972E-2</v>
      </c>
      <c r="AB89" s="151">
        <f t="shared" si="34"/>
        <v>0.98433672112801129</v>
      </c>
      <c r="AC89" s="151">
        <f t="shared" si="35"/>
        <v>4.1532592854330641</v>
      </c>
    </row>
    <row r="90" spans="1:29" hidden="1" x14ac:dyDescent="0.3">
      <c r="A90" t="s">
        <v>781</v>
      </c>
      <c r="B90" t="s">
        <v>782</v>
      </c>
      <c r="C90" s="90">
        <v>39601.409103300502</v>
      </c>
      <c r="D90" s="37">
        <f t="shared" si="23"/>
        <v>3.3804603154629514E-4</v>
      </c>
      <c r="E90" t="s">
        <v>782</v>
      </c>
      <c r="F90" t="s">
        <v>1052</v>
      </c>
      <c r="G90" t="s">
        <v>1045</v>
      </c>
      <c r="H90" t="s">
        <v>1045</v>
      </c>
      <c r="I90" s="93" t="str">
        <f>VLOOKUP(B90,'Beynon 2023'!$B$88:$R$336,15,FALSE)</f>
        <v/>
      </c>
      <c r="J90" s="36">
        <f>IF(H90="Yes",C90/1000*'Preliminary results'!$D$46*Inflation!$D$7)</f>
        <v>3.7691731968651249E-2</v>
      </c>
      <c r="K90" s="36">
        <f>IF(H90="Yes",C90/1000*'Preliminary results'!$E$46*Inflation!$D$7)</f>
        <v>1.215225328392278</v>
      </c>
      <c r="L90" s="36">
        <f>IF(H90="Yes",C90/1000*'Preliminary results'!$F$46*Inflation!$D$7)</f>
        <v>5.1274586944748366</v>
      </c>
      <c r="M90" s="150">
        <f>IF(H90="Yes",C90/1000*'Preliminary results'!$G$46*Inflation!$D$7)</f>
        <v>8.7704992090662923</v>
      </c>
      <c r="N90" s="151">
        <f t="shared" si="36"/>
        <v>0</v>
      </c>
      <c r="O90" s="151">
        <f t="shared" si="24"/>
        <v>0</v>
      </c>
      <c r="P90" s="151">
        <f t="shared" si="25"/>
        <v>0</v>
      </c>
      <c r="Q90" s="151">
        <f t="shared" si="26"/>
        <v>0</v>
      </c>
      <c r="R90" s="151">
        <f t="shared" si="27"/>
        <v>3.7691731968651249E-2</v>
      </c>
      <c r="S90" s="151">
        <f t="shared" si="28"/>
        <v>1.215225328392278</v>
      </c>
      <c r="T90" s="151">
        <f t="shared" si="29"/>
        <v>5.1274586944748366</v>
      </c>
      <c r="U90" s="150">
        <f>IF(G90="Yes",C90/1000*'Preliminary results'!$D$46*Inflation!$D$7)</f>
        <v>3.7691731968651249E-2</v>
      </c>
      <c r="V90" s="150">
        <f>IF(G90="Yes",C90/1000*'Preliminary results'!$E$46*Inflation!$D$7)</f>
        <v>1.215225328392278</v>
      </c>
      <c r="W90" s="150">
        <f>IF(G90="Yes",C90/1000*'Preliminary results'!$F$46*Inflation!$D$7)</f>
        <v>5.1274586944748366</v>
      </c>
      <c r="X90" s="151">
        <f t="shared" si="30"/>
        <v>0</v>
      </c>
      <c r="Y90" s="151">
        <f t="shared" si="31"/>
        <v>0</v>
      </c>
      <c r="Z90" s="151">
        <f t="shared" si="32"/>
        <v>0</v>
      </c>
      <c r="AA90" s="151">
        <f t="shared" si="33"/>
        <v>3.7691731968651249E-2</v>
      </c>
      <c r="AB90" s="151">
        <f t="shared" si="34"/>
        <v>1.215225328392278</v>
      </c>
      <c r="AC90" s="151">
        <f t="shared" si="35"/>
        <v>5.1274586944748366</v>
      </c>
    </row>
    <row r="91" spans="1:29" hidden="1" x14ac:dyDescent="0.3">
      <c r="A91" t="s">
        <v>648</v>
      </c>
      <c r="B91" t="s">
        <v>649</v>
      </c>
      <c r="C91" s="90">
        <v>427310.31592199299</v>
      </c>
      <c r="D91" s="37">
        <f t="shared" si="23"/>
        <v>3.6476115321912731E-3</v>
      </c>
      <c r="E91" t="s">
        <v>1069</v>
      </c>
      <c r="F91" t="s">
        <v>1011</v>
      </c>
      <c r="G91" t="s">
        <v>1047</v>
      </c>
      <c r="H91" t="s">
        <v>1047</v>
      </c>
      <c r="I91" s="45">
        <f>VLOOKUP(E91,'Beynon 2023'!$B$88:$R$336,15,FALSE)</f>
        <v>2.1474647977608083E-3</v>
      </c>
      <c r="J91" s="36" t="b">
        <f>IF(H91="Yes",C91/1000*'Preliminary results'!$D$46*Inflation!$D$7)</f>
        <v>0</v>
      </c>
      <c r="K91" s="36" t="b">
        <f>IF(H91="Yes",C91/1000*'Preliminary results'!$E$46*Inflation!$D$7)</f>
        <v>0</v>
      </c>
      <c r="L91" s="36" t="b">
        <f>IF(H91="Yes",C91/1000*'Preliminary results'!$F$46*Inflation!$D$7)</f>
        <v>0</v>
      </c>
      <c r="M91" s="150" t="b">
        <f>IF(H91="Yes",C91/1000*'Preliminary results'!$G$46*Inflation!$D$7)</f>
        <v>0</v>
      </c>
      <c r="N91" s="151">
        <f t="shared" si="36"/>
        <v>9.0907011946528248E-3</v>
      </c>
      <c r="O91" s="151">
        <f t="shared" si="24"/>
        <v>0.29309479208268296</v>
      </c>
      <c r="P91" s="151">
        <f t="shared" si="25"/>
        <v>1.2366689574828629</v>
      </c>
      <c r="Q91" s="151">
        <f t="shared" si="26"/>
        <v>2.1153176963020215</v>
      </c>
      <c r="R91" s="151">
        <f t="shared" si="27"/>
        <v>-9.0907011946528248E-3</v>
      </c>
      <c r="S91" s="151">
        <f t="shared" si="28"/>
        <v>-0.29309479208268296</v>
      </c>
      <c r="T91" s="151">
        <f t="shared" si="29"/>
        <v>-1.2366689574828629</v>
      </c>
      <c r="U91" s="150" t="b">
        <f>IF(G91="Yes",C91/1000*'Preliminary results'!$D$46*Inflation!$D$7)</f>
        <v>0</v>
      </c>
      <c r="V91" s="150" t="b">
        <f>IF(G91="Yes",C91/1000*'Preliminary results'!$E$46*Inflation!$D$7)</f>
        <v>0</v>
      </c>
      <c r="W91" s="150" t="b">
        <f>IF(G91="Yes",C91/1000*'Preliminary results'!$F$46*Inflation!$D$7)</f>
        <v>0</v>
      </c>
      <c r="X91" s="151">
        <f t="shared" si="30"/>
        <v>8.2455455192875379E-2</v>
      </c>
      <c r="Y91" s="151">
        <f t="shared" si="31"/>
        <v>2.6584598897667036</v>
      </c>
      <c r="Z91" s="151">
        <f t="shared" si="32"/>
        <v>11.216967715551698</v>
      </c>
      <c r="AA91" s="151">
        <f t="shared" si="33"/>
        <v>-8.2455455192875379E-2</v>
      </c>
      <c r="AB91" s="151">
        <f t="shared" si="34"/>
        <v>-2.6584598897667036</v>
      </c>
      <c r="AC91" s="151">
        <f t="shared" si="35"/>
        <v>-11.216967715551698</v>
      </c>
    </row>
    <row r="92" spans="1:29" hidden="1" x14ac:dyDescent="0.3">
      <c r="A92" t="s">
        <v>678</v>
      </c>
      <c r="B92" t="s">
        <v>679</v>
      </c>
      <c r="C92" s="90">
        <v>246490.21351305401</v>
      </c>
      <c r="D92" s="37">
        <f t="shared" si="23"/>
        <v>2.1040927679046228E-3</v>
      </c>
      <c r="E92" t="s">
        <v>679</v>
      </c>
      <c r="F92" t="s">
        <v>1046</v>
      </c>
      <c r="G92" t="s">
        <v>1047</v>
      </c>
      <c r="H92" t="s">
        <v>1047</v>
      </c>
      <c r="I92" s="45">
        <f>VLOOKUP(B92,'Beynon 2023'!$B$88:$R$336,15,FALSE)</f>
        <v>1.3800643390576815E-3</v>
      </c>
      <c r="J92" s="36" t="b">
        <f>IF(H92="Yes",C92/1000*'Preliminary results'!$D$46*Inflation!$D$7)</f>
        <v>0</v>
      </c>
      <c r="K92" s="36" t="b">
        <f>IF(H92="Yes",C92/1000*'Preliminary results'!$E$46*Inflation!$D$7)</f>
        <v>0</v>
      </c>
      <c r="L92" s="36" t="b">
        <f>IF(H92="Yes",C92/1000*'Preliminary results'!$F$46*Inflation!$D$7)</f>
        <v>0</v>
      </c>
      <c r="M92" s="150" t="b">
        <f>IF(H92="Yes",C92/1000*'Preliminary results'!$G$46*Inflation!$D$7)</f>
        <v>0</v>
      </c>
      <c r="N92" s="151">
        <f t="shared" si="36"/>
        <v>5.8421225571897882E-3</v>
      </c>
      <c r="O92" s="151">
        <f t="shared" si="24"/>
        <v>0.18835683403919054</v>
      </c>
      <c r="P92" s="151">
        <f t="shared" si="25"/>
        <v>0.79474305200314399</v>
      </c>
      <c r="Q92" s="151">
        <f t="shared" si="26"/>
        <v>1.3594050628853311</v>
      </c>
      <c r="R92" s="151">
        <f t="shared" si="27"/>
        <v>-5.8421225571897882E-3</v>
      </c>
      <c r="S92" s="151">
        <f t="shared" si="28"/>
        <v>-0.18835683403919054</v>
      </c>
      <c r="T92" s="151">
        <f t="shared" si="29"/>
        <v>-0.79474305200314399</v>
      </c>
      <c r="U92" s="150" t="b">
        <f>IF(G92="Yes",C92/1000*'Preliminary results'!$D$46*Inflation!$D$7)</f>
        <v>0</v>
      </c>
      <c r="V92" s="150" t="b">
        <f>IF(G92="Yes",C92/1000*'Preliminary results'!$E$46*Inflation!$D$7)</f>
        <v>0</v>
      </c>
      <c r="W92" s="150" t="b">
        <f>IF(G92="Yes",C92/1000*'Preliminary results'!$F$46*Inflation!$D$7)</f>
        <v>0</v>
      </c>
      <c r="X92" s="151">
        <f t="shared" si="30"/>
        <v>5.2989848025034106E-2</v>
      </c>
      <c r="Y92" s="151">
        <f t="shared" si="31"/>
        <v>1.7084544037731373</v>
      </c>
      <c r="Z92" s="151">
        <f t="shared" si="32"/>
        <v>7.2085638622507631</v>
      </c>
      <c r="AA92" s="151">
        <f t="shared" si="33"/>
        <v>-5.2989848025034106E-2</v>
      </c>
      <c r="AB92" s="151">
        <f t="shared" si="34"/>
        <v>-1.7084544037731373</v>
      </c>
      <c r="AC92" s="151">
        <f t="shared" si="35"/>
        <v>-7.2085638622507631</v>
      </c>
    </row>
    <row r="93" spans="1:29" hidden="1" x14ac:dyDescent="0.3">
      <c r="A93" t="s">
        <v>783</v>
      </c>
      <c r="B93" t="s">
        <v>784</v>
      </c>
      <c r="C93" s="90">
        <v>38582.528789003307</v>
      </c>
      <c r="D93" s="37">
        <f t="shared" si="23"/>
        <v>3.2934865297649815E-4</v>
      </c>
      <c r="E93" t="s">
        <v>784</v>
      </c>
      <c r="F93" t="s">
        <v>1046</v>
      </c>
      <c r="G93" t="s">
        <v>1047</v>
      </c>
      <c r="H93" t="s">
        <v>1047</v>
      </c>
      <c r="I93" s="93">
        <f>VLOOKUP(B93,'Beynon 2023'!$B$88:$R$336,15,FALSE)</f>
        <v>2.4520937226482815E-4</v>
      </c>
      <c r="J93" s="36" t="b">
        <f>IF(H93="Yes",C93/1000*'Preliminary results'!$D$46*Inflation!$D$7)</f>
        <v>0</v>
      </c>
      <c r="K93" s="36" t="b">
        <f>IF(H93="Yes",C93/1000*'Preliminary results'!$E$46*Inflation!$D$7)</f>
        <v>0</v>
      </c>
      <c r="L93" s="36" t="b">
        <f>IF(H93="Yes",C93/1000*'Preliminary results'!$F$46*Inflation!$D$7)</f>
        <v>0</v>
      </c>
      <c r="M93" s="150" t="b">
        <f>IF(H93="Yes",C93/1000*'Preliminary results'!$G$46*Inflation!$D$7)</f>
        <v>0</v>
      </c>
      <c r="N93" s="151">
        <f t="shared" si="36"/>
        <v>1.0380263907991797E-3</v>
      </c>
      <c r="O93" s="151">
        <f t="shared" si="24"/>
        <v>3.3467179557785741E-2</v>
      </c>
      <c r="P93" s="151">
        <f t="shared" si="25"/>
        <v>0.14120968086646532</v>
      </c>
      <c r="Q93" s="151">
        <f t="shared" si="26"/>
        <v>0.24153863895312852</v>
      </c>
      <c r="R93" s="151">
        <f t="shared" si="27"/>
        <v>-1.0380263907991797E-3</v>
      </c>
      <c r="S93" s="151">
        <f t="shared" si="28"/>
        <v>-3.3467179557785741E-2</v>
      </c>
      <c r="T93" s="151">
        <f t="shared" si="29"/>
        <v>-0.14120968086646532</v>
      </c>
      <c r="U93" s="150" t="b">
        <f>IF(G93="Yes",C93/1000*'Preliminary results'!$D$46*Inflation!$D$7)</f>
        <v>0</v>
      </c>
      <c r="V93" s="150" t="b">
        <f>IF(G93="Yes",C93/1000*'Preliminary results'!$E$46*Inflation!$D$7)</f>
        <v>0</v>
      </c>
      <c r="W93" s="150" t="b">
        <f>IF(G93="Yes",C93/1000*'Preliminary results'!$F$46*Inflation!$D$7)</f>
        <v>0</v>
      </c>
      <c r="X93" s="151">
        <f t="shared" si="30"/>
        <v>9.4152185538678521E-3</v>
      </c>
      <c r="Y93" s="151">
        <f t="shared" si="31"/>
        <v>0.30355760962444706</v>
      </c>
      <c r="Z93" s="151">
        <f t="shared" si="32"/>
        <v>1.2808152269193265</v>
      </c>
      <c r="AA93" s="151">
        <f t="shared" si="33"/>
        <v>-9.4152185538678521E-3</v>
      </c>
      <c r="AB93" s="151">
        <f t="shared" si="34"/>
        <v>-0.30355760962444706</v>
      </c>
      <c r="AC93" s="151">
        <f t="shared" si="35"/>
        <v>-1.2808152269193265</v>
      </c>
    </row>
    <row r="94" spans="1:29" x14ac:dyDescent="0.3">
      <c r="A94" t="s">
        <v>583</v>
      </c>
      <c r="B94" t="s">
        <v>584</v>
      </c>
      <c r="C94" s="90">
        <v>3956067.1157716298</v>
      </c>
      <c r="D94" s="37">
        <f t="shared" si="23"/>
        <v>3.3769828379817415E-2</v>
      </c>
      <c r="E94" t="s">
        <v>584</v>
      </c>
      <c r="F94" t="s">
        <v>1021</v>
      </c>
      <c r="G94" t="s">
        <v>1045</v>
      </c>
      <c r="H94" t="s">
        <v>1047</v>
      </c>
      <c r="I94" s="45" t="str">
        <f>VLOOKUP(B94,'Beynon 2023'!$B$88:$R$336,15,FALSE)</f>
        <v/>
      </c>
      <c r="J94" s="36" t="b">
        <f>IF(H94="Yes",C94/1000*'Preliminary results'!$D$46*Inflation!$D$7)</f>
        <v>0</v>
      </c>
      <c r="K94" s="36" t="b">
        <f>IF(H94="Yes",C94/1000*'Preliminary results'!$E$46*Inflation!$D$7)</f>
        <v>0</v>
      </c>
      <c r="L94" s="36" t="b">
        <f>IF(H94="Yes",C94/1000*'Preliminary results'!$F$46*Inflation!$D$7)</f>
        <v>0</v>
      </c>
      <c r="M94" s="150" t="b">
        <f>IF(H94="Yes",C94/1000*'Preliminary results'!$G$46*Inflation!$D$7)</f>
        <v>0</v>
      </c>
      <c r="N94" s="151">
        <f t="shared" si="36"/>
        <v>0</v>
      </c>
      <c r="O94" s="151">
        <f t="shared" si="24"/>
        <v>0</v>
      </c>
      <c r="P94" s="151">
        <f t="shared" si="25"/>
        <v>0</v>
      </c>
      <c r="Q94" s="151">
        <f t="shared" si="26"/>
        <v>0</v>
      </c>
      <c r="R94" s="151">
        <f t="shared" si="27"/>
        <v>0</v>
      </c>
      <c r="S94" s="151">
        <f t="shared" si="28"/>
        <v>0</v>
      </c>
      <c r="T94" s="151">
        <f t="shared" si="29"/>
        <v>0</v>
      </c>
      <c r="U94" s="150">
        <f>IF(G94="Yes",C94/1000*'Preliminary results'!$D$46*Inflation!$D$7)</f>
        <v>3.7652958506780028</v>
      </c>
      <c r="V94" s="150">
        <f>IF(G94="Yes",C94/1000*'Preliminary results'!$E$46*Inflation!$D$7)</f>
        <v>121.39752268322184</v>
      </c>
      <c r="W94" s="150">
        <f>IF(G94="Yes",C94/1000*'Preliminary results'!$F$46*Inflation!$D$7)</f>
        <v>512.21840808181378</v>
      </c>
      <c r="X94" s="151">
        <f t="shared" si="30"/>
        <v>0</v>
      </c>
      <c r="Y94" s="151">
        <f t="shared" si="31"/>
        <v>0</v>
      </c>
      <c r="Z94" s="151">
        <f t="shared" si="32"/>
        <v>0</v>
      </c>
      <c r="AA94" s="151">
        <f t="shared" si="33"/>
        <v>3.7652958506780028</v>
      </c>
      <c r="AB94" s="151">
        <f t="shared" si="34"/>
        <v>121.39752268322184</v>
      </c>
      <c r="AC94" s="151">
        <f t="shared" si="35"/>
        <v>512.21840808181378</v>
      </c>
    </row>
    <row r="95" spans="1:29" hidden="1" x14ac:dyDescent="0.3">
      <c r="A95" t="s">
        <v>605</v>
      </c>
      <c r="B95" t="s">
        <v>606</v>
      </c>
      <c r="C95" s="90">
        <v>1445642.5841638099</v>
      </c>
      <c r="D95" s="37">
        <f t="shared" si="23"/>
        <v>1.2340311864563872E-2</v>
      </c>
      <c r="E95" t="s">
        <v>606</v>
      </c>
      <c r="F95" t="s">
        <v>1058</v>
      </c>
      <c r="G95" t="s">
        <v>1045</v>
      </c>
      <c r="H95" t="s">
        <v>1047</v>
      </c>
      <c r="I95" s="45" t="str">
        <f>VLOOKUP(B95,'Beynon 2023'!$B$88:$R$336,15,FALSE)</f>
        <v/>
      </c>
      <c r="J95" s="36" t="b">
        <f>IF(H95="Yes",C95/1000*'Preliminary results'!$D$46*Inflation!$D$7)</f>
        <v>0</v>
      </c>
      <c r="K95" s="36" t="b">
        <f>IF(H95="Yes",C95/1000*'Preliminary results'!$E$46*Inflation!$D$7)</f>
        <v>0</v>
      </c>
      <c r="L95" s="36" t="b">
        <f>IF(H95="Yes",C95/1000*'Preliminary results'!$F$46*Inflation!$D$7)</f>
        <v>0</v>
      </c>
      <c r="M95" s="150" t="b">
        <f>IF(H95="Yes",C95/1000*'Preliminary results'!$G$46*Inflation!$D$7)</f>
        <v>0</v>
      </c>
      <c r="N95" s="151">
        <f t="shared" si="36"/>
        <v>0</v>
      </c>
      <c r="O95" s="151">
        <f t="shared" si="24"/>
        <v>0</v>
      </c>
      <c r="P95" s="151">
        <f t="shared" si="25"/>
        <v>0</v>
      </c>
      <c r="Q95" s="151">
        <f t="shared" si="26"/>
        <v>0</v>
      </c>
      <c r="R95" s="151">
        <f t="shared" si="27"/>
        <v>0</v>
      </c>
      <c r="S95" s="151">
        <f t="shared" si="28"/>
        <v>0</v>
      </c>
      <c r="T95" s="151">
        <f t="shared" si="29"/>
        <v>0</v>
      </c>
      <c r="U95" s="150">
        <f>IF(G95="Yes",C95/1000*'Preliminary results'!$D$46*Inflation!$D$7)</f>
        <v>1.3759301509357005</v>
      </c>
      <c r="V95" s="150">
        <f>IF(G95="Yes",C95/1000*'Preliminary results'!$E$46*Inflation!$D$7)</f>
        <v>44.361590252906218</v>
      </c>
      <c r="W95" s="150">
        <f>IF(G95="Yes",C95/1000*'Preliminary results'!$F$46*Inflation!$D$7)</f>
        <v>187.1769920595078</v>
      </c>
      <c r="X95" s="151">
        <f t="shared" si="30"/>
        <v>0</v>
      </c>
      <c r="Y95" s="151">
        <f t="shared" si="31"/>
        <v>0</v>
      </c>
      <c r="Z95" s="151">
        <f t="shared" si="32"/>
        <v>0</v>
      </c>
      <c r="AA95" s="151">
        <f t="shared" si="33"/>
        <v>1.3759301509357005</v>
      </c>
      <c r="AB95" s="151">
        <f t="shared" si="34"/>
        <v>44.361590252906218</v>
      </c>
      <c r="AC95" s="151">
        <f t="shared" si="35"/>
        <v>187.1769920595078</v>
      </c>
    </row>
    <row r="96" spans="1:29" hidden="1" x14ac:dyDescent="0.3">
      <c r="A96" t="s">
        <v>658</v>
      </c>
      <c r="B96" t="s">
        <v>659</v>
      </c>
      <c r="C96" s="90">
        <v>362682.115433364</v>
      </c>
      <c r="D96" s="37">
        <f t="shared" si="23"/>
        <v>3.0959314986810883E-3</v>
      </c>
      <c r="E96" t="s">
        <v>1070</v>
      </c>
      <c r="F96" t="s">
        <v>1056</v>
      </c>
      <c r="G96" t="s">
        <v>1045</v>
      </c>
      <c r="H96" t="s">
        <v>1047</v>
      </c>
      <c r="I96" s="45" t="str">
        <f>VLOOKUP(E96,'Beynon 2023'!$B$88:$R$336,15,FALSE)</f>
        <v/>
      </c>
      <c r="J96" s="36" t="b">
        <f>IF(H96="Yes",C96/1000*'Preliminary results'!$D$46*Inflation!$D$7)</f>
        <v>0</v>
      </c>
      <c r="K96" s="36" t="b">
        <f>IF(H96="Yes",C96/1000*'Preliminary results'!$E$46*Inflation!$D$7)</f>
        <v>0</v>
      </c>
      <c r="L96" s="36" t="b">
        <f>IF(H96="Yes",C96/1000*'Preliminary results'!$F$46*Inflation!$D$7)</f>
        <v>0</v>
      </c>
      <c r="M96" s="150" t="b">
        <f>IF(H96="Yes",C96/1000*'Preliminary results'!$G$46*Inflation!$D$7)</f>
        <v>0</v>
      </c>
      <c r="N96" s="151">
        <f t="shared" si="36"/>
        <v>0</v>
      </c>
      <c r="O96" s="151">
        <f t="shared" si="24"/>
        <v>0</v>
      </c>
      <c r="P96" s="151">
        <f t="shared" si="25"/>
        <v>0</v>
      </c>
      <c r="Q96" s="151">
        <f t="shared" si="26"/>
        <v>0</v>
      </c>
      <c r="R96" s="151">
        <f t="shared" si="27"/>
        <v>0</v>
      </c>
      <c r="S96" s="151">
        <f t="shared" si="28"/>
        <v>0</v>
      </c>
      <c r="T96" s="151">
        <f t="shared" si="29"/>
        <v>0</v>
      </c>
      <c r="U96" s="150">
        <f>IF(G96="Yes",C96/1000*'Preliminary results'!$D$46*Inflation!$D$7)</f>
        <v>0.34519269375186146</v>
      </c>
      <c r="V96" s="150">
        <f>IF(G96="Yes",C96/1000*'Preliminary results'!$E$46*Inflation!$D$7)</f>
        <v>11.129414402397694</v>
      </c>
      <c r="W96" s="150">
        <f>IF(G96="Yes",C96/1000*'Preliminary results'!$F$46*Inflation!$D$7)</f>
        <v>46.958873641552834</v>
      </c>
      <c r="X96" s="151">
        <f t="shared" si="30"/>
        <v>0</v>
      </c>
      <c r="Y96" s="151">
        <f t="shared" si="31"/>
        <v>0</v>
      </c>
      <c r="Z96" s="151">
        <f t="shared" si="32"/>
        <v>0</v>
      </c>
      <c r="AA96" s="151">
        <f t="shared" si="33"/>
        <v>0.34519269375186146</v>
      </c>
      <c r="AB96" s="151">
        <f t="shared" si="34"/>
        <v>11.129414402397694</v>
      </c>
      <c r="AC96" s="151">
        <f t="shared" si="35"/>
        <v>46.958873641552834</v>
      </c>
    </row>
    <row r="97" spans="1:29" hidden="1" x14ac:dyDescent="0.3">
      <c r="A97" t="s">
        <v>676</v>
      </c>
      <c r="B97" t="s">
        <v>677</v>
      </c>
      <c r="C97" s="90">
        <v>254367.29353846199</v>
      </c>
      <c r="D97" s="37">
        <f t="shared" si="23"/>
        <v>2.1713331945221654E-3</v>
      </c>
      <c r="E97" t="s">
        <v>677</v>
      </c>
      <c r="F97" t="s">
        <v>1056</v>
      </c>
      <c r="G97" t="s">
        <v>1045</v>
      </c>
      <c r="H97" t="s">
        <v>1047</v>
      </c>
      <c r="I97" s="45">
        <f>VLOOKUP(B97,'Beynon 2023'!$B$88:$R$336,15,FALSE)</f>
        <v>9.0742238363347618E-4</v>
      </c>
      <c r="J97" s="36" t="b">
        <f>IF(H97="Yes",C97/1000*'Preliminary results'!$D$46*Inflation!$D$7)</f>
        <v>0</v>
      </c>
      <c r="K97" s="36" t="b">
        <f>IF(H97="Yes",C97/1000*'Preliminary results'!$E$46*Inflation!$D$7)</f>
        <v>0</v>
      </c>
      <c r="L97" s="36" t="b">
        <f>IF(H97="Yes",C97/1000*'Preliminary results'!$F$46*Inflation!$D$7)</f>
        <v>0</v>
      </c>
      <c r="M97" s="150" t="b">
        <f>IF(H97="Yes",C97/1000*'Preliminary results'!$G$46*Inflation!$D$7)</f>
        <v>0</v>
      </c>
      <c r="N97" s="151">
        <f t="shared" si="36"/>
        <v>3.84132291972982E-3</v>
      </c>
      <c r="O97" s="151">
        <f t="shared" si="24"/>
        <v>0.12384872391833725</v>
      </c>
      <c r="P97" s="151">
        <f t="shared" si="25"/>
        <v>0.52256087938425788</v>
      </c>
      <c r="Q97" s="151">
        <f t="shared" si="26"/>
        <v>0.89383845924828642</v>
      </c>
      <c r="R97" s="151">
        <f t="shared" si="27"/>
        <v>-3.84132291972982E-3</v>
      </c>
      <c r="S97" s="151">
        <f t="shared" si="28"/>
        <v>-0.12384872391833725</v>
      </c>
      <c r="T97" s="151">
        <f t="shared" si="29"/>
        <v>-0.52256087938425788</v>
      </c>
      <c r="U97" s="150">
        <f>IF(G97="Yes",C97/1000*'Preliminary results'!$D$46*Inflation!$D$7)</f>
        <v>0.2421010783892508</v>
      </c>
      <c r="V97" s="150">
        <f>IF(G97="Yes",C97/1000*'Preliminary results'!$E$46*Inflation!$D$7)</f>
        <v>7.80562067920886</v>
      </c>
      <c r="W97" s="150">
        <f>IF(G97="Yes",C97/1000*'Preliminary results'!$F$46*Inflation!$D$7)</f>
        <v>32.934630872392844</v>
      </c>
      <c r="X97" s="151">
        <f t="shared" si="30"/>
        <v>3.4841980074700241E-2</v>
      </c>
      <c r="Y97" s="151">
        <f t="shared" si="31"/>
        <v>1.1233460089690306</v>
      </c>
      <c r="Z97" s="151">
        <f t="shared" si="32"/>
        <v>4.7397878615747109</v>
      </c>
      <c r="AA97" s="151">
        <f t="shared" si="33"/>
        <v>0.20725909831455055</v>
      </c>
      <c r="AB97" s="151">
        <f t="shared" si="34"/>
        <v>6.6822746702398295</v>
      </c>
      <c r="AC97" s="151">
        <f t="shared" si="35"/>
        <v>28.194843010818133</v>
      </c>
    </row>
    <row r="98" spans="1:29" hidden="1" x14ac:dyDescent="0.3">
      <c r="A98" t="s">
        <v>616</v>
      </c>
      <c r="B98" t="s">
        <v>617</v>
      </c>
      <c r="C98" s="90">
        <v>721701.35904631298</v>
      </c>
      <c r="D98" s="37">
        <f t="shared" si="23"/>
        <v>6.1605959462397242E-3</v>
      </c>
      <c r="E98" t="s">
        <v>617</v>
      </c>
      <c r="F98" t="s">
        <v>1046</v>
      </c>
      <c r="G98" t="s">
        <v>1047</v>
      </c>
      <c r="H98" t="s">
        <v>1047</v>
      </c>
      <c r="I98" s="45">
        <f>VLOOKUP(B98,'Beynon 2023'!$B$88:$R$336,15,FALSE)</f>
        <v>4.2322418558795845E-3</v>
      </c>
      <c r="J98" s="36" t="b">
        <f>IF(H98="Yes",C98/1000*'Preliminary results'!$D$46*Inflation!$D$7)</f>
        <v>0</v>
      </c>
      <c r="K98" s="36" t="b">
        <f>IF(H98="Yes",C98/1000*'Preliminary results'!$E$46*Inflation!$D$7)</f>
        <v>0</v>
      </c>
      <c r="L98" s="36" t="b">
        <f>IF(H98="Yes",C98/1000*'Preliminary results'!$F$46*Inflation!$D$7)</f>
        <v>0</v>
      </c>
      <c r="M98" s="150" t="b">
        <f>IF(H98="Yes",C98/1000*'Preliminary results'!$G$46*Inflation!$D$7)</f>
        <v>0</v>
      </c>
      <c r="N98" s="151">
        <f t="shared" si="36"/>
        <v>1.7916031096491852E-2</v>
      </c>
      <c r="O98" s="151">
        <f t="shared" si="24"/>
        <v>0.57763370467636432</v>
      </c>
      <c r="P98" s="151">
        <f t="shared" si="25"/>
        <v>2.4372376810010508</v>
      </c>
      <c r="Q98" s="151">
        <f t="shared" si="26"/>
        <v>4.168886075388583</v>
      </c>
      <c r="R98" s="151">
        <f t="shared" si="27"/>
        <v>-1.7916031096491852E-2</v>
      </c>
      <c r="S98" s="151">
        <f t="shared" si="28"/>
        <v>-0.57763370467636432</v>
      </c>
      <c r="T98" s="151">
        <f t="shared" si="29"/>
        <v>-2.4372376810010508</v>
      </c>
      <c r="U98" s="150" t="b">
        <f>IF(G98="Yes",C98/1000*'Preliminary results'!$D$46*Inflation!$D$7)</f>
        <v>0</v>
      </c>
      <c r="V98" s="150" t="b">
        <f>IF(G98="Yes",C98/1000*'Preliminary results'!$E$46*Inflation!$D$7)</f>
        <v>0</v>
      </c>
      <c r="W98" s="150" t="b">
        <f>IF(G98="Yes",C98/1000*'Preliminary results'!$F$46*Inflation!$D$7)</f>
        <v>0</v>
      </c>
      <c r="X98" s="151">
        <f t="shared" si="30"/>
        <v>0.16250391115922749</v>
      </c>
      <c r="Y98" s="151">
        <f t="shared" si="31"/>
        <v>5.2393153216665063</v>
      </c>
      <c r="Z98" s="151">
        <f t="shared" si="32"/>
        <v>22.106495208353859</v>
      </c>
      <c r="AA98" s="151">
        <f t="shared" si="33"/>
        <v>-0.16250391115922749</v>
      </c>
      <c r="AB98" s="151">
        <f t="shared" si="34"/>
        <v>-5.2393153216665063</v>
      </c>
      <c r="AC98" s="151">
        <f t="shared" si="35"/>
        <v>-22.106495208353859</v>
      </c>
    </row>
    <row r="99" spans="1:29" hidden="1" x14ac:dyDescent="0.3">
      <c r="A99" t="s">
        <v>895</v>
      </c>
      <c r="B99" t="s">
        <v>896</v>
      </c>
      <c r="C99" s="90">
        <v>7576.1299327938104</v>
      </c>
      <c r="D99" s="37">
        <f t="shared" si="23"/>
        <v>6.4671452765214838E-5</v>
      </c>
      <c r="E99" t="s">
        <v>1049</v>
      </c>
      <c r="F99" s="8"/>
      <c r="G99" t="s">
        <v>1047</v>
      </c>
      <c r="H99" t="s">
        <v>1047</v>
      </c>
      <c r="I99" t="s">
        <v>1049</v>
      </c>
      <c r="J99" s="36" t="b">
        <f>IF(H99="Yes",C99/1000*'Preliminary results'!$D$46*Inflation!$D$7)</f>
        <v>0</v>
      </c>
      <c r="K99" s="36" t="b">
        <f>IF(H99="Yes",C99/1000*'Preliminary results'!$E$46*Inflation!$D$7)</f>
        <v>0</v>
      </c>
      <c r="L99" s="36" t="b">
        <f>IF(H99="Yes",C99/1000*'Preliminary results'!$F$46*Inflation!$D$7)</f>
        <v>0</v>
      </c>
      <c r="M99" s="150" t="b">
        <f>IF(H99="Yes",C99/1000*'Preliminary results'!$G$46*Inflation!$D$7)</f>
        <v>0</v>
      </c>
      <c r="N99" s="151">
        <f t="shared" si="36"/>
        <v>0</v>
      </c>
      <c r="O99" s="151">
        <f t="shared" si="24"/>
        <v>0</v>
      </c>
      <c r="P99" s="151">
        <f t="shared" si="25"/>
        <v>0</v>
      </c>
      <c r="Q99" s="151">
        <f t="shared" si="26"/>
        <v>0</v>
      </c>
      <c r="R99" s="151">
        <f t="shared" si="27"/>
        <v>0</v>
      </c>
      <c r="S99" s="151">
        <f t="shared" si="28"/>
        <v>0</v>
      </c>
      <c r="T99" s="151">
        <f t="shared" si="29"/>
        <v>0</v>
      </c>
      <c r="U99" s="150" t="b">
        <f>IF(G99="Yes",C99/1000*'Preliminary results'!$D$46*Inflation!$D$7)</f>
        <v>0</v>
      </c>
      <c r="V99" s="150" t="b">
        <f>IF(G99="Yes",C99/1000*'Preliminary results'!$E$46*Inflation!$D$7)</f>
        <v>0</v>
      </c>
      <c r="W99" s="150" t="b">
        <f>IF(G99="Yes",C99/1000*'Preliminary results'!$F$46*Inflation!$D$7)</f>
        <v>0</v>
      </c>
      <c r="X99" s="151">
        <f t="shared" si="30"/>
        <v>0</v>
      </c>
      <c r="Y99" s="151">
        <f t="shared" si="31"/>
        <v>0</v>
      </c>
      <c r="Z99" s="151">
        <f t="shared" si="32"/>
        <v>0</v>
      </c>
      <c r="AA99" s="151">
        <f t="shared" si="33"/>
        <v>0</v>
      </c>
      <c r="AB99" s="151">
        <f t="shared" si="34"/>
        <v>0</v>
      </c>
      <c r="AC99" s="151">
        <f t="shared" si="35"/>
        <v>0</v>
      </c>
    </row>
    <row r="100" spans="1:29" hidden="1" x14ac:dyDescent="0.3">
      <c r="A100" t="s">
        <v>622</v>
      </c>
      <c r="B100" t="s">
        <v>623</v>
      </c>
      <c r="C100" s="90">
        <v>610777.84287359496</v>
      </c>
      <c r="D100" s="37">
        <f t="shared" si="23"/>
        <v>5.2137292741590213E-3</v>
      </c>
      <c r="E100" t="s">
        <v>623</v>
      </c>
      <c r="F100" t="s">
        <v>1056</v>
      </c>
      <c r="G100" t="s">
        <v>1047</v>
      </c>
      <c r="H100" t="s">
        <v>1047</v>
      </c>
      <c r="I100" s="45">
        <f>VLOOKUP(B100,'Beynon 2023'!$B$88:$R$336,15,FALSE)</f>
        <v>2.858170274155311E-3</v>
      </c>
      <c r="J100" s="36" t="b">
        <f>IF(H100="Yes",C100/1000*'Preliminary results'!$D$46*Inflation!$D$7)</f>
        <v>0</v>
      </c>
      <c r="K100" s="36" t="b">
        <f>IF(H100="Yes",C100/1000*'Preliminary results'!$E$46*Inflation!$D$7)</f>
        <v>0</v>
      </c>
      <c r="L100" s="36" t="b">
        <f>IF(H100="Yes",C100/1000*'Preliminary results'!$F$46*Inflation!$D$7)</f>
        <v>0</v>
      </c>
      <c r="M100" s="150" t="b">
        <f>IF(H100="Yes",C100/1000*'Preliminary results'!$G$46*Inflation!$D$7)</f>
        <v>0</v>
      </c>
      <c r="N100" s="151">
        <f t="shared" si="36"/>
        <v>1.2099277228142448E-2</v>
      </c>
      <c r="O100" s="151">
        <f t="shared" si="24"/>
        <v>0.39009478670567865</v>
      </c>
      <c r="P100" s="151">
        <f t="shared" si="25"/>
        <v>1.6459457016169694</v>
      </c>
      <c r="Q100" s="151">
        <f t="shared" si="26"/>
        <v>2.8153840595055684</v>
      </c>
      <c r="R100" s="151">
        <f t="shared" si="27"/>
        <v>-1.2099277228142448E-2</v>
      </c>
      <c r="S100" s="151">
        <f t="shared" si="28"/>
        <v>-0.39009478670567865</v>
      </c>
      <c r="T100" s="151">
        <f t="shared" si="29"/>
        <v>-1.6459457016169694</v>
      </c>
      <c r="U100" s="150" t="b">
        <f>IF(G100="Yes",C100/1000*'Preliminary results'!$D$46*Inflation!$D$7)</f>
        <v>0</v>
      </c>
      <c r="V100" s="150" t="b">
        <f>IF(G100="Yes",C100/1000*'Preliminary results'!$E$46*Inflation!$D$7)</f>
        <v>0</v>
      </c>
      <c r="W100" s="150" t="b">
        <f>IF(G100="Yes",C100/1000*'Preliminary results'!$F$46*Inflation!$D$7)</f>
        <v>0</v>
      </c>
      <c r="X100" s="151">
        <f t="shared" si="30"/>
        <v>0.10974416494275474</v>
      </c>
      <c r="Y100" s="151">
        <f t="shared" si="31"/>
        <v>3.538279668140909</v>
      </c>
      <c r="Z100" s="151">
        <f t="shared" si="32"/>
        <v>14.929233635950208</v>
      </c>
      <c r="AA100" s="151">
        <f t="shared" si="33"/>
        <v>-0.10974416494275474</v>
      </c>
      <c r="AB100" s="151">
        <f t="shared" si="34"/>
        <v>-3.538279668140909</v>
      </c>
      <c r="AC100" s="151">
        <f t="shared" si="35"/>
        <v>-14.929233635950208</v>
      </c>
    </row>
    <row r="101" spans="1:29" hidden="1" x14ac:dyDescent="0.3">
      <c r="A101" t="s">
        <v>589</v>
      </c>
      <c r="B101" t="s">
        <v>590</v>
      </c>
      <c r="C101" s="90">
        <v>2551556.9541003499</v>
      </c>
      <c r="D101" s="37">
        <f t="shared" si="23"/>
        <v>2.1780631601972179E-2</v>
      </c>
      <c r="E101" t="s">
        <v>590</v>
      </c>
      <c r="F101" t="s">
        <v>1046</v>
      </c>
      <c r="G101" t="s">
        <v>1047</v>
      </c>
      <c r="H101" t="s">
        <v>1047</v>
      </c>
      <c r="I101" s="45">
        <f>VLOOKUP(B101,'Beynon 2023'!$B$88:$R$336,15,FALSE)</f>
        <v>1.6580722198720577E-2</v>
      </c>
      <c r="J101" s="36" t="b">
        <f>IF(H101="Yes",C101/1000*'Preliminary results'!$D$46*Inflation!$D$7)</f>
        <v>0</v>
      </c>
      <c r="K101" s="36" t="b">
        <f>IF(H101="Yes",C101/1000*'Preliminary results'!$E$46*Inflation!$D$7)</f>
        <v>0</v>
      </c>
      <c r="L101" s="36" t="b">
        <f>IF(H101="Yes",C101/1000*'Preliminary results'!$F$46*Inflation!$D$7)</f>
        <v>0</v>
      </c>
      <c r="M101" s="150" t="b">
        <f>IF(H101="Yes",C101/1000*'Preliminary results'!$G$46*Inflation!$D$7)</f>
        <v>0</v>
      </c>
      <c r="N101" s="151">
        <f t="shared" si="36"/>
        <v>7.0189924071064849E-2</v>
      </c>
      <c r="O101" s="151">
        <f t="shared" si="24"/>
        <v>2.263004883936647</v>
      </c>
      <c r="P101" s="151">
        <f t="shared" si="25"/>
        <v>9.5484053834947371</v>
      </c>
      <c r="Q101" s="151">
        <f t="shared" si="26"/>
        <v>16.332512235354461</v>
      </c>
      <c r="R101" s="151">
        <f t="shared" si="27"/>
        <v>-7.0189924071064849E-2</v>
      </c>
      <c r="S101" s="151">
        <f t="shared" si="28"/>
        <v>-2.263004883936647</v>
      </c>
      <c r="T101" s="151">
        <f t="shared" si="29"/>
        <v>-9.5484053834947371</v>
      </c>
      <c r="U101" s="150" t="b">
        <f>IF(G101="Yes",C101/1000*'Preliminary results'!$D$46*Inflation!$D$7)</f>
        <v>0</v>
      </c>
      <c r="V101" s="150" t="b">
        <f>IF(G101="Yes",C101/1000*'Preliminary results'!$E$46*Inflation!$D$7)</f>
        <v>0</v>
      </c>
      <c r="W101" s="150" t="b">
        <f>IF(G101="Yes",C101/1000*'Preliminary results'!$F$46*Inflation!$D$7)</f>
        <v>0</v>
      </c>
      <c r="X101" s="151">
        <f t="shared" si="30"/>
        <v>0.63664419446953779</v>
      </c>
      <c r="Y101" s="151">
        <f t="shared" si="31"/>
        <v>20.526150163031787</v>
      </c>
      <c r="Z101" s="151">
        <f t="shared" si="32"/>
        <v>86.606972928035745</v>
      </c>
      <c r="AA101" s="151">
        <f t="shared" si="33"/>
        <v>-0.63664419446953779</v>
      </c>
      <c r="AB101" s="151">
        <f t="shared" si="34"/>
        <v>-20.526150163031787</v>
      </c>
      <c r="AC101" s="151">
        <f t="shared" si="35"/>
        <v>-86.606972928035745</v>
      </c>
    </row>
    <row r="102" spans="1:29" hidden="1" x14ac:dyDescent="0.3">
      <c r="A102" t="s">
        <v>822</v>
      </c>
      <c r="B102" t="s">
        <v>823</v>
      </c>
      <c r="C102" s="90">
        <v>22704.9032175631</v>
      </c>
      <c r="D102" s="37">
        <f t="shared" si="23"/>
        <v>1.9381387185791403E-4</v>
      </c>
      <c r="E102" t="s">
        <v>823</v>
      </c>
      <c r="F102" t="s">
        <v>1052</v>
      </c>
      <c r="G102" t="s">
        <v>1045</v>
      </c>
      <c r="H102" t="s">
        <v>1047</v>
      </c>
      <c r="I102" s="93" t="str">
        <f>VLOOKUP(B102,'Beynon 2023'!$B$88:$R$336,15,FALSE)</f>
        <v/>
      </c>
      <c r="J102" s="36" t="b">
        <f>IF(H102="Yes",C102/1000*'Preliminary results'!$D$46*Inflation!$D$7)</f>
        <v>0</v>
      </c>
      <c r="K102" s="36" t="b">
        <f>IF(H102="Yes",C102/1000*'Preliminary results'!$E$46*Inflation!$D$7)</f>
        <v>0</v>
      </c>
      <c r="L102" s="36" t="b">
        <f>IF(H102="Yes",C102/1000*'Preliminary results'!$F$46*Inflation!$D$7)</f>
        <v>0</v>
      </c>
      <c r="M102" s="150" t="b">
        <f>IF(H102="Yes",C102/1000*'Preliminary results'!$G$46*Inflation!$D$7)</f>
        <v>0</v>
      </c>
      <c r="N102" s="151">
        <f t="shared" si="36"/>
        <v>0</v>
      </c>
      <c r="O102" s="151">
        <f t="shared" si="24"/>
        <v>0</v>
      </c>
      <c r="P102" s="151">
        <f t="shared" si="25"/>
        <v>0</v>
      </c>
      <c r="Q102" s="151">
        <f t="shared" si="26"/>
        <v>0</v>
      </c>
      <c r="R102" s="151">
        <f t="shared" si="27"/>
        <v>0</v>
      </c>
      <c r="S102" s="151">
        <f t="shared" si="28"/>
        <v>0</v>
      </c>
      <c r="T102" s="151">
        <f t="shared" si="29"/>
        <v>0</v>
      </c>
      <c r="U102" s="150">
        <f>IF(G102="Yes",C102/1000*'Preliminary results'!$D$46*Inflation!$D$7)</f>
        <v>2.1610017063237071E-2</v>
      </c>
      <c r="V102" s="150">
        <f>IF(G102="Yes",C102/1000*'Preliminary results'!$E$46*Inflation!$D$7)</f>
        <v>0.69673211366558263</v>
      </c>
      <c r="W102" s="150">
        <f>IF(G102="Yes",C102/1000*'Preliminary results'!$F$46*Inflation!$D$7)</f>
        <v>2.9397553280598019</v>
      </c>
      <c r="X102" s="151">
        <f t="shared" si="30"/>
        <v>0</v>
      </c>
      <c r="Y102" s="151">
        <f t="shared" si="31"/>
        <v>0</v>
      </c>
      <c r="Z102" s="151">
        <f t="shared" si="32"/>
        <v>0</v>
      </c>
      <c r="AA102" s="151">
        <f t="shared" si="33"/>
        <v>2.1610017063237071E-2</v>
      </c>
      <c r="AB102" s="151">
        <f t="shared" si="34"/>
        <v>0.69673211366558263</v>
      </c>
      <c r="AC102" s="151">
        <f t="shared" si="35"/>
        <v>2.9397553280598019</v>
      </c>
    </row>
    <row r="103" spans="1:29" hidden="1" x14ac:dyDescent="0.3">
      <c r="A103" t="s">
        <v>580</v>
      </c>
      <c r="B103" t="s">
        <v>581</v>
      </c>
      <c r="C103" s="90">
        <v>4435162.9999769405</v>
      </c>
      <c r="D103" s="37">
        <f t="shared" si="23"/>
        <v>3.7859492511800812E-2</v>
      </c>
      <c r="E103" t="s">
        <v>581</v>
      </c>
      <c r="F103" t="s">
        <v>1054</v>
      </c>
      <c r="G103" t="s">
        <v>1047</v>
      </c>
      <c r="H103" t="s">
        <v>1047</v>
      </c>
      <c r="I103" s="45">
        <f>VLOOKUP(B103,'Beynon 2023'!$B$88:$R$336,15,FALSE)</f>
        <v>5.0547156608470638E-2</v>
      </c>
      <c r="J103" s="36" t="b">
        <f>IF(H103="Yes",C103/1000*'Preliminary results'!$D$46*Inflation!$D$7)</f>
        <v>0</v>
      </c>
      <c r="K103" s="36" t="b">
        <f>IF(H103="Yes",C103/1000*'Preliminary results'!$E$46*Inflation!$D$7)</f>
        <v>0</v>
      </c>
      <c r="L103" s="36" t="b">
        <f>IF(H103="Yes",C103/1000*'Preliminary results'!$F$46*Inflation!$D$7)</f>
        <v>0</v>
      </c>
      <c r="M103" s="150" t="b">
        <f>IF(H103="Yes",C103/1000*'Preliminary results'!$G$46*Inflation!$D$7)</f>
        <v>0</v>
      </c>
      <c r="N103" s="151">
        <f t="shared" si="36"/>
        <v>0.21397747588042607</v>
      </c>
      <c r="O103" s="151">
        <f t="shared" si="24"/>
        <v>6.8988829861045629</v>
      </c>
      <c r="P103" s="151">
        <f t="shared" si="25"/>
        <v>29.108788899310731</v>
      </c>
      <c r="Q103" s="151">
        <f t="shared" si="26"/>
        <v>49.790476185285101</v>
      </c>
      <c r="R103" s="151">
        <f t="shared" si="27"/>
        <v>-0.21397747588042607</v>
      </c>
      <c r="S103" s="151">
        <f t="shared" si="28"/>
        <v>-6.8988829861045629</v>
      </c>
      <c r="T103" s="151">
        <f t="shared" si="29"/>
        <v>-29.108788899310731</v>
      </c>
      <c r="U103" s="150" t="b">
        <f>IF(G103="Yes",C103/1000*'Preliminary results'!$D$46*Inflation!$D$7)</f>
        <v>0</v>
      </c>
      <c r="V103" s="150" t="b">
        <f>IF(G103="Yes",C103/1000*'Preliminary results'!$E$46*Inflation!$D$7)</f>
        <v>0</v>
      </c>
      <c r="W103" s="150" t="b">
        <f>IF(G103="Yes",C103/1000*'Preliminary results'!$F$46*Inflation!$D$7)</f>
        <v>0</v>
      </c>
      <c r="X103" s="151">
        <f t="shared" si="30"/>
        <v>1.9408415035268198</v>
      </c>
      <c r="Y103" s="151">
        <f t="shared" si="31"/>
        <v>62.574990065258604</v>
      </c>
      <c r="Z103" s="151">
        <f t="shared" si="32"/>
        <v>264.02566616288885</v>
      </c>
      <c r="AA103" s="151">
        <f t="shared" si="33"/>
        <v>-1.9408415035268198</v>
      </c>
      <c r="AB103" s="151">
        <f t="shared" si="34"/>
        <v>-62.574990065258604</v>
      </c>
      <c r="AC103" s="151">
        <f t="shared" si="35"/>
        <v>-264.02566616288885</v>
      </c>
    </row>
    <row r="104" spans="1:29" hidden="1" x14ac:dyDescent="0.3">
      <c r="A104" t="s">
        <v>750</v>
      </c>
      <c r="B104" t="s">
        <v>751</v>
      </c>
      <c r="C104" s="90">
        <v>61610.052535211304</v>
      </c>
      <c r="D104" s="45">
        <f t="shared" si="23"/>
        <v>5.2591648212717648E-4</v>
      </c>
      <c r="E104" t="s">
        <v>751</v>
      </c>
      <c r="F104" t="s">
        <v>1056</v>
      </c>
      <c r="G104" t="s">
        <v>1045</v>
      </c>
      <c r="H104" t="s">
        <v>1045</v>
      </c>
      <c r="I104" s="93">
        <f>VLOOKUP(B104,'Beynon 2023'!$B$88:$R$336,15,FALSE)</f>
        <v>8.5388211004356785E-5</v>
      </c>
      <c r="J104" s="36">
        <f>IF(H104="Yes",C104/1000*'Preliminary results'!$D$46*Inflation!$D$7)</f>
        <v>5.8639064601824192E-2</v>
      </c>
      <c r="K104" s="36">
        <f>IF(H104="Yes",C104/1000*'Preliminary results'!$E$46*Inflation!$D$7)</f>
        <v>1.8905917243769932</v>
      </c>
      <c r="L104" s="36">
        <f>IF(H104="Yes",C104/1000*'Preliminary results'!$F$46*Inflation!$D$7)</f>
        <v>7.9770646219856935</v>
      </c>
      <c r="M104" s="150">
        <f>IF(H104="Yes",C104/1000*'Preliminary results'!$G$46*Inflation!$D$7)</f>
        <v>13.644739651084004</v>
      </c>
      <c r="N104" s="151">
        <f t="shared" si="36"/>
        <v>3.6146749068760922E-4</v>
      </c>
      <c r="O104" s="151">
        <f t="shared" si="24"/>
        <v>1.1654132806614596E-2</v>
      </c>
      <c r="P104" s="151">
        <f t="shared" si="25"/>
        <v>4.9172843249487508E-2</v>
      </c>
      <c r="Q104" s="151">
        <f t="shared" si="26"/>
        <v>8.4109967242035927E-2</v>
      </c>
      <c r="R104" s="151">
        <f t="shared" si="27"/>
        <v>5.8277597111136586E-2</v>
      </c>
      <c r="S104" s="151">
        <f t="shared" si="28"/>
        <v>1.8789375915703785</v>
      </c>
      <c r="T104" s="151">
        <f t="shared" si="29"/>
        <v>7.927891778736206</v>
      </c>
      <c r="U104" s="150">
        <f>IF(G104="Yes",C104/1000*'Preliminary results'!$D$46*Inflation!$D$7)</f>
        <v>5.8639064601824192E-2</v>
      </c>
      <c r="V104" s="150">
        <f>IF(G104="Yes",C104/1000*'Preliminary results'!$E$46*Inflation!$D$7)</f>
        <v>1.8905917243769932</v>
      </c>
      <c r="W104" s="150">
        <f>IF(G104="Yes",C104/1000*'Preliminary results'!$F$46*Inflation!$D$7)</f>
        <v>7.9770646219856935</v>
      </c>
      <c r="X104" s="151">
        <f t="shared" si="30"/>
        <v>3.2786212904681792E-3</v>
      </c>
      <c r="Y104" s="151">
        <f t="shared" si="31"/>
        <v>0.10570656815921529</v>
      </c>
      <c r="Z104" s="151">
        <f t="shared" si="32"/>
        <v>0.44601280874233395</v>
      </c>
      <c r="AA104" s="151">
        <f t="shared" si="33"/>
        <v>5.5360443311356013E-2</v>
      </c>
      <c r="AB104" s="151">
        <f t="shared" si="34"/>
        <v>1.7848851562177779</v>
      </c>
      <c r="AC104" s="151">
        <f t="shared" si="35"/>
        <v>7.5310518132433595</v>
      </c>
    </row>
    <row r="105" spans="1:29" hidden="1" x14ac:dyDescent="0.3">
      <c r="A105" t="s">
        <v>668</v>
      </c>
      <c r="B105" t="s">
        <v>669</v>
      </c>
      <c r="C105" s="90">
        <v>306239.20965002401</v>
      </c>
      <c r="D105" s="37">
        <f t="shared" si="23"/>
        <v>2.6141228776992327E-3</v>
      </c>
      <c r="E105" t="s">
        <v>669</v>
      </c>
      <c r="F105" t="s">
        <v>1053</v>
      </c>
      <c r="G105" t="s">
        <v>1047</v>
      </c>
      <c r="H105" t="s">
        <v>1047</v>
      </c>
      <c r="I105" s="45">
        <f>VLOOKUP(B105,'Beynon 2023'!$B$88:$R$336,15,FALSE)</f>
        <v>3.0097221509682854E-3</v>
      </c>
      <c r="J105" s="36" t="b">
        <f>IF(H105="Yes",C105/1000*'Preliminary results'!$D$46*Inflation!$D$7)</f>
        <v>0</v>
      </c>
      <c r="K105" s="36" t="b">
        <f>IF(H105="Yes",C105/1000*'Preliminary results'!$E$46*Inflation!$D$7)</f>
        <v>0</v>
      </c>
      <c r="L105" s="36" t="b">
        <f>IF(H105="Yes",C105/1000*'Preliminary results'!$F$46*Inflation!$D$7)</f>
        <v>0</v>
      </c>
      <c r="M105" s="150" t="b">
        <f>IF(H105="Yes",C105/1000*'Preliminary results'!$G$46*Inflation!$D$7)</f>
        <v>0</v>
      </c>
      <c r="N105" s="151">
        <f t="shared" si="36"/>
        <v>1.274083038842342E-2</v>
      </c>
      <c r="O105" s="151">
        <f t="shared" si="24"/>
        <v>0.41077920764266235</v>
      </c>
      <c r="P105" s="151">
        <f t="shared" si="25"/>
        <v>1.7332204740361947</v>
      </c>
      <c r="Q105" s="151">
        <f t="shared" si="26"/>
        <v>2.964667236237752</v>
      </c>
      <c r="R105" s="151">
        <f t="shared" si="27"/>
        <v>-1.274083038842342E-2</v>
      </c>
      <c r="S105" s="151">
        <f t="shared" si="28"/>
        <v>-0.41077920764266235</v>
      </c>
      <c r="T105" s="151">
        <f t="shared" si="29"/>
        <v>-1.7332204740361947</v>
      </c>
      <c r="U105" s="150" t="b">
        <f>IF(G105="Yes",C105/1000*'Preliminary results'!$D$46*Inflation!$D$7)</f>
        <v>0</v>
      </c>
      <c r="V105" s="150" t="b">
        <f>IF(G105="Yes",C105/1000*'Preliminary results'!$E$46*Inflation!$D$7)</f>
        <v>0</v>
      </c>
      <c r="W105" s="150" t="b">
        <f>IF(G105="Yes",C105/1000*'Preliminary results'!$F$46*Inflation!$D$7)</f>
        <v>0</v>
      </c>
      <c r="X105" s="151">
        <f t="shared" si="30"/>
        <v>0.11556324938175389</v>
      </c>
      <c r="Y105" s="151">
        <f t="shared" si="31"/>
        <v>3.7258937264231498</v>
      </c>
      <c r="Z105" s="151">
        <f t="shared" si="32"/>
        <v>15.720842658465951</v>
      </c>
      <c r="AA105" s="151">
        <f t="shared" si="33"/>
        <v>-0.11556324938175389</v>
      </c>
      <c r="AB105" s="151">
        <f t="shared" si="34"/>
        <v>-3.7258937264231498</v>
      </c>
      <c r="AC105" s="151">
        <f t="shared" si="35"/>
        <v>-15.720842658465951</v>
      </c>
    </row>
    <row r="106" spans="1:29" hidden="1" x14ac:dyDescent="0.3">
      <c r="A106" t="s">
        <v>693</v>
      </c>
      <c r="B106" t="s">
        <v>694</v>
      </c>
      <c r="C106" s="90">
        <v>135941.27887881501</v>
      </c>
      <c r="D106" s="37">
        <f t="shared" si="23"/>
        <v>1.1604236033227822E-3</v>
      </c>
      <c r="E106" t="s">
        <v>694</v>
      </c>
      <c r="F106" t="s">
        <v>1048</v>
      </c>
      <c r="G106" t="s">
        <v>1045</v>
      </c>
      <c r="H106" t="s">
        <v>1045</v>
      </c>
      <c r="I106" s="93" t="str">
        <f>VLOOKUP(B106,'Beynon 2023'!$B$88:$R$336,15,FALSE)</f>
        <v/>
      </c>
      <c r="J106" s="36">
        <f>IF(H106="Yes",C106/1000*'Preliminary results'!$D$46*Inflation!$D$7)</f>
        <v>0.12938585679136674</v>
      </c>
      <c r="K106" s="36">
        <f>IF(H106="Yes",C106/1000*'Preliminary results'!$E$46*Inflation!$D$7)</f>
        <v>4.1715506848923214</v>
      </c>
      <c r="L106" s="36">
        <f>IF(H106="Yes",C106/1000*'Preliminary results'!$F$46*Inflation!$D$7)</f>
        <v>17.601224504587528</v>
      </c>
      <c r="M106" s="150">
        <f>IF(H106="Yes",C106/1000*'Preliminary results'!$G$46*Inflation!$D$7)</f>
        <v>30.106829678107076</v>
      </c>
      <c r="N106" s="151">
        <f t="shared" si="36"/>
        <v>0</v>
      </c>
      <c r="O106" s="151">
        <f t="shared" si="24"/>
        <v>0</v>
      </c>
      <c r="P106" s="151">
        <f t="shared" si="25"/>
        <v>0</v>
      </c>
      <c r="Q106" s="151">
        <f t="shared" si="26"/>
        <v>0</v>
      </c>
      <c r="R106" s="151">
        <f t="shared" si="27"/>
        <v>0.12938585679136674</v>
      </c>
      <c r="S106" s="151">
        <f t="shared" si="28"/>
        <v>4.1715506848923214</v>
      </c>
      <c r="T106" s="151">
        <f t="shared" si="29"/>
        <v>17.601224504587528</v>
      </c>
      <c r="U106" s="150">
        <f>IF(G106="Yes",C106/1000*'Preliminary results'!$D$46*Inflation!$D$7)</f>
        <v>0.12938585679136674</v>
      </c>
      <c r="V106" s="150">
        <f>IF(G106="Yes",C106/1000*'Preliminary results'!$E$46*Inflation!$D$7)</f>
        <v>4.1715506848923214</v>
      </c>
      <c r="W106" s="150">
        <f>IF(G106="Yes",C106/1000*'Preliminary results'!$F$46*Inflation!$D$7)</f>
        <v>17.601224504587528</v>
      </c>
      <c r="X106" s="151">
        <f t="shared" si="30"/>
        <v>0</v>
      </c>
      <c r="Y106" s="151">
        <f t="shared" si="31"/>
        <v>0</v>
      </c>
      <c r="Z106" s="151">
        <f t="shared" si="32"/>
        <v>0</v>
      </c>
      <c r="AA106" s="151">
        <f t="shared" si="33"/>
        <v>0.12938585679136674</v>
      </c>
      <c r="AB106" s="151">
        <f t="shared" si="34"/>
        <v>4.1715506848923214</v>
      </c>
      <c r="AC106" s="151">
        <f t="shared" si="35"/>
        <v>17.601224504587528</v>
      </c>
    </row>
    <row r="107" spans="1:29" hidden="1" x14ac:dyDescent="0.3">
      <c r="A107" t="s">
        <v>973</v>
      </c>
      <c r="B107" t="s">
        <v>974</v>
      </c>
      <c r="C107" s="90">
        <v>349.22725415883298</v>
      </c>
      <c r="D107" s="37">
        <f t="shared" si="23"/>
        <v>2.9810779477128209E-6</v>
      </c>
      <c r="E107" t="s">
        <v>1067</v>
      </c>
      <c r="F107" t="s">
        <v>1058</v>
      </c>
      <c r="G107" t="s">
        <v>1045</v>
      </c>
      <c r="H107" t="s">
        <v>1045</v>
      </c>
      <c r="I107" s="93" t="str">
        <f>VLOOKUP(B107,'Beynon 2023'!$B$88:$R$336,15,FALSE)</f>
        <v/>
      </c>
      <c r="J107" s="36">
        <f>IF(H107="Yes",C107/1000*'Preliminary results'!$D$46*Inflation!$D$7)</f>
        <v>3.3238665890819873E-4</v>
      </c>
      <c r="K107" s="36">
        <f>IF(H107="Yes",C107/1000*'Preliminary results'!$E$46*Inflation!$D$7)</f>
        <v>1.0716532927191507E-2</v>
      </c>
      <c r="L107" s="36">
        <f>IF(H107="Yes",C107/1000*'Preliminary results'!$F$46*Inflation!$D$7)</f>
        <v>4.5216782968842475E-2</v>
      </c>
      <c r="M107" s="150">
        <f>IF(H107="Yes",C107/1000*'Preliminary results'!$G$46*Inflation!$D$7)</f>
        <v>7.7343140704787858E-2</v>
      </c>
      <c r="N107" s="151">
        <f t="shared" si="36"/>
        <v>0</v>
      </c>
      <c r="O107" s="151">
        <f t="shared" si="24"/>
        <v>0</v>
      </c>
      <c r="P107" s="151">
        <f t="shared" si="25"/>
        <v>0</v>
      </c>
      <c r="Q107" s="151">
        <f t="shared" si="26"/>
        <v>0</v>
      </c>
      <c r="R107" s="151">
        <f t="shared" si="27"/>
        <v>3.3238665890819873E-4</v>
      </c>
      <c r="S107" s="151">
        <f t="shared" si="28"/>
        <v>1.0716532927191507E-2</v>
      </c>
      <c r="T107" s="151">
        <f t="shared" si="29"/>
        <v>4.5216782968842475E-2</v>
      </c>
      <c r="U107" s="150">
        <f>IF(G107="Yes",C107/1000*'Preliminary results'!$D$46*Inflation!$D$7)</f>
        <v>3.3238665890819873E-4</v>
      </c>
      <c r="V107" s="150">
        <f>IF(G107="Yes",C107/1000*'Preliminary results'!$E$46*Inflation!$D$7)</f>
        <v>1.0716532927191507E-2</v>
      </c>
      <c r="W107" s="150">
        <f>IF(G107="Yes",C107/1000*'Preliminary results'!$F$46*Inflation!$D$7)</f>
        <v>4.5216782968842475E-2</v>
      </c>
      <c r="X107" s="151">
        <f t="shared" si="30"/>
        <v>0</v>
      </c>
      <c r="Y107" s="151">
        <f t="shared" si="31"/>
        <v>0</v>
      </c>
      <c r="Z107" s="151">
        <f t="shared" si="32"/>
        <v>0</v>
      </c>
      <c r="AA107" s="151">
        <f t="shared" si="33"/>
        <v>3.3238665890819873E-4</v>
      </c>
      <c r="AB107" s="151">
        <f t="shared" si="34"/>
        <v>1.0716532927191507E-2</v>
      </c>
      <c r="AC107" s="151">
        <f t="shared" si="35"/>
        <v>4.5216782968842475E-2</v>
      </c>
    </row>
    <row r="108" spans="1:29" hidden="1" x14ac:dyDescent="0.3">
      <c r="A108" t="s">
        <v>995</v>
      </c>
      <c r="B108" t="s">
        <v>996</v>
      </c>
      <c r="C108" s="90">
        <v>0</v>
      </c>
      <c r="D108" s="45">
        <f t="shared" si="23"/>
        <v>0</v>
      </c>
      <c r="E108" t="s">
        <v>1071</v>
      </c>
      <c r="F108" t="s">
        <v>1011</v>
      </c>
      <c r="G108" t="s">
        <v>1045</v>
      </c>
      <c r="H108" t="s">
        <v>1047</v>
      </c>
      <c r="I108" t="s">
        <v>1057</v>
      </c>
      <c r="J108" s="36" t="b">
        <f>IF(H108="Yes",C108/1000*'Preliminary results'!$D$46*Inflation!$D$7)</f>
        <v>0</v>
      </c>
      <c r="K108" s="36" t="b">
        <f>IF(H108="Yes",C108/1000*'Preliminary results'!$E$46*Inflation!$D$7)</f>
        <v>0</v>
      </c>
      <c r="L108" s="36" t="b">
        <f>IF(H108="Yes",C108/1000*'Preliminary results'!$F$46*Inflation!$D$7)</f>
        <v>0</v>
      </c>
      <c r="M108" s="150" t="b">
        <f>IF(H108="Yes",C108/1000*'Preliminary results'!$G$46*Inflation!$D$7)</f>
        <v>0</v>
      </c>
      <c r="N108" s="151">
        <f t="shared" si="36"/>
        <v>0</v>
      </c>
      <c r="O108" s="151">
        <f t="shared" si="24"/>
        <v>0</v>
      </c>
      <c r="P108" s="151">
        <f t="shared" si="25"/>
        <v>0</v>
      </c>
      <c r="Q108" s="151">
        <f t="shared" si="26"/>
        <v>0</v>
      </c>
      <c r="R108" s="151">
        <f t="shared" si="27"/>
        <v>0</v>
      </c>
      <c r="S108" s="151">
        <f t="shared" si="28"/>
        <v>0</v>
      </c>
      <c r="T108" s="151">
        <f t="shared" si="29"/>
        <v>0</v>
      </c>
      <c r="U108" s="150">
        <f>IF(G108="Yes",C108/1000*'Preliminary results'!$D$46*Inflation!$D$7)</f>
        <v>0</v>
      </c>
      <c r="V108" s="150">
        <f>IF(G108="Yes",C108/1000*'Preliminary results'!$E$46*Inflation!$D$7)</f>
        <v>0</v>
      </c>
      <c r="W108" s="150">
        <f>IF(G108="Yes",C108/1000*'Preliminary results'!$F$46*Inflation!$D$7)</f>
        <v>0</v>
      </c>
      <c r="X108" s="151">
        <f t="shared" si="30"/>
        <v>0</v>
      </c>
      <c r="Y108" s="151">
        <f t="shared" si="31"/>
        <v>0</v>
      </c>
      <c r="Z108" s="151">
        <f t="shared" si="32"/>
        <v>0</v>
      </c>
      <c r="AA108" s="151">
        <f t="shared" si="33"/>
        <v>0</v>
      </c>
      <c r="AB108" s="151">
        <f t="shared" si="34"/>
        <v>0</v>
      </c>
      <c r="AC108" s="151">
        <f t="shared" si="35"/>
        <v>0</v>
      </c>
    </row>
    <row r="109" spans="1:29" hidden="1" x14ac:dyDescent="0.3">
      <c r="A109" t="s">
        <v>597</v>
      </c>
      <c r="B109" t="s">
        <v>598</v>
      </c>
      <c r="C109" s="90">
        <v>1872374.9615531501</v>
      </c>
      <c r="D109" s="37">
        <f t="shared" si="23"/>
        <v>1.5982989990801551E-2</v>
      </c>
      <c r="E109" t="s">
        <v>1072</v>
      </c>
      <c r="F109" t="s">
        <v>1011</v>
      </c>
      <c r="G109" t="s">
        <v>1047</v>
      </c>
      <c r="H109" t="s">
        <v>1047</v>
      </c>
      <c r="I109" s="45">
        <f>VLOOKUP(E109,'Beynon 2023'!$B$88:$R$336,15,FALSE)</f>
        <v>1.5741831525012077E-2</v>
      </c>
      <c r="J109" s="36" t="b">
        <f>IF(H109="Yes",C109/1000*'Preliminary results'!$D$46*Inflation!$D$7)</f>
        <v>0</v>
      </c>
      <c r="K109" s="36" t="b">
        <f>IF(H109="Yes",C109/1000*'Preliminary results'!$E$46*Inflation!$D$7)</f>
        <v>0</v>
      </c>
      <c r="L109" s="36" t="b">
        <f>IF(H109="Yes",C109/1000*'Preliminary results'!$F$46*Inflation!$D$7)</f>
        <v>0</v>
      </c>
      <c r="M109" s="150" t="b">
        <f>IF(H109="Yes",C109/1000*'Preliminary results'!$G$46*Inflation!$D$7)</f>
        <v>0</v>
      </c>
      <c r="N109" s="151">
        <f t="shared" si="36"/>
        <v>6.6638711283960331E-2</v>
      </c>
      <c r="O109" s="151">
        <f t="shared" si="24"/>
        <v>2.1485096485097048</v>
      </c>
      <c r="P109" s="151">
        <f t="shared" si="25"/>
        <v>9.0653101281131665</v>
      </c>
      <c r="Q109" s="151">
        <f t="shared" si="26"/>
        <v>15.506179580584693</v>
      </c>
      <c r="R109" s="151">
        <f t="shared" si="27"/>
        <v>-6.6638711283960331E-2</v>
      </c>
      <c r="S109" s="151">
        <f t="shared" si="28"/>
        <v>-2.1485096485097048</v>
      </c>
      <c r="T109" s="151">
        <f t="shared" si="29"/>
        <v>-9.0653101281131665</v>
      </c>
      <c r="U109" s="150" t="b">
        <f>IF(G109="Yes",C109/1000*'Preliminary results'!$D$46*Inflation!$D$7)</f>
        <v>0</v>
      </c>
      <c r="V109" s="150" t="b">
        <f>IF(G109="Yes",C109/1000*'Preliminary results'!$E$46*Inflation!$D$7)</f>
        <v>0</v>
      </c>
      <c r="W109" s="150" t="b">
        <f>IF(G109="Yes",C109/1000*'Preliminary results'!$F$46*Inflation!$D$7)</f>
        <v>0</v>
      </c>
      <c r="X109" s="151">
        <f t="shared" si="30"/>
        <v>0.604433602505554</v>
      </c>
      <c r="Y109" s="151">
        <f t="shared" si="31"/>
        <v>19.487643170843217</v>
      </c>
      <c r="Z109" s="151">
        <f t="shared" si="32"/>
        <v>82.225150411700483</v>
      </c>
      <c r="AA109" s="151">
        <f t="shared" si="33"/>
        <v>-0.604433602505554</v>
      </c>
      <c r="AB109" s="151">
        <f t="shared" si="34"/>
        <v>-19.487643170843217</v>
      </c>
      <c r="AC109" s="151">
        <f t="shared" si="35"/>
        <v>-82.225150411700483</v>
      </c>
    </row>
    <row r="110" spans="1:29" hidden="1" x14ac:dyDescent="0.3">
      <c r="A110" t="s">
        <v>873</v>
      </c>
      <c r="B110" t="s">
        <v>874</v>
      </c>
      <c r="C110" s="90">
        <v>12456.4033068191</v>
      </c>
      <c r="D110" s="37">
        <f t="shared" si="23"/>
        <v>1.063305018825555E-4</v>
      </c>
      <c r="E110" t="s">
        <v>1049</v>
      </c>
      <c r="F110" s="8"/>
      <c r="G110" t="s">
        <v>1047</v>
      </c>
      <c r="H110" t="s">
        <v>1047</v>
      </c>
      <c r="I110" s="93">
        <f>VLOOKUP(B110,'Beynon 2023'!$B$88:$R$336,15,FALSE)</f>
        <v>0</v>
      </c>
      <c r="J110" s="36" t="b">
        <f>IF(H110="Yes",C110/1000*'Preliminary results'!$D$46*Inflation!$D$7)</f>
        <v>0</v>
      </c>
      <c r="K110" s="36" t="b">
        <f>IF(H110="Yes",C110/1000*'Preliminary results'!$E$46*Inflation!$D$7)</f>
        <v>0</v>
      </c>
      <c r="L110" s="36" t="b">
        <f>IF(H110="Yes",C110/1000*'Preliminary results'!$F$46*Inflation!$D$7)</f>
        <v>0</v>
      </c>
      <c r="M110" s="150" t="b">
        <f>IF(H110="Yes",C110/1000*'Preliminary results'!$G$46*Inflation!$D$7)</f>
        <v>0</v>
      </c>
      <c r="N110" s="151">
        <f t="shared" si="36"/>
        <v>0</v>
      </c>
      <c r="O110" s="151">
        <f t="shared" si="24"/>
        <v>0</v>
      </c>
      <c r="P110" s="151">
        <f t="shared" si="25"/>
        <v>0</v>
      </c>
      <c r="Q110" s="151">
        <f t="shared" si="26"/>
        <v>0</v>
      </c>
      <c r="R110" s="151">
        <f t="shared" si="27"/>
        <v>0</v>
      </c>
      <c r="S110" s="151">
        <f t="shared" si="28"/>
        <v>0</v>
      </c>
      <c r="T110" s="151">
        <f t="shared" si="29"/>
        <v>0</v>
      </c>
      <c r="U110" s="150" t="b">
        <f>IF(G110="Yes",C110/1000*'Preliminary results'!$D$46*Inflation!$D$7)</f>
        <v>0</v>
      </c>
      <c r="V110" s="150" t="b">
        <f>IF(G110="Yes",C110/1000*'Preliminary results'!$E$46*Inflation!$D$7)</f>
        <v>0</v>
      </c>
      <c r="W110" s="150" t="b">
        <f>IF(G110="Yes",C110/1000*'Preliminary results'!$F$46*Inflation!$D$7)</f>
        <v>0</v>
      </c>
      <c r="X110" s="151">
        <f t="shared" si="30"/>
        <v>0</v>
      </c>
      <c r="Y110" s="151">
        <f t="shared" si="31"/>
        <v>0</v>
      </c>
      <c r="Z110" s="151">
        <f t="shared" si="32"/>
        <v>0</v>
      </c>
      <c r="AA110" s="151">
        <f t="shared" si="33"/>
        <v>0</v>
      </c>
      <c r="AB110" s="151">
        <f t="shared" si="34"/>
        <v>0</v>
      </c>
      <c r="AC110" s="151">
        <f t="shared" si="35"/>
        <v>0</v>
      </c>
    </row>
    <row r="111" spans="1:29" hidden="1" x14ac:dyDescent="0.3">
      <c r="A111" t="s">
        <v>687</v>
      </c>
      <c r="B111" t="s">
        <v>688</v>
      </c>
      <c r="C111" s="90">
        <v>157209.02692641801</v>
      </c>
      <c r="D111" s="37">
        <f t="shared" si="23"/>
        <v>1.3419696136848093E-3</v>
      </c>
      <c r="E111" t="s">
        <v>688</v>
      </c>
      <c r="F111" t="s">
        <v>1056</v>
      </c>
      <c r="G111" t="s">
        <v>1045</v>
      </c>
      <c r="H111" t="s">
        <v>1047</v>
      </c>
      <c r="I111" s="45">
        <f>VLOOKUP(B111,'Beynon 2023'!$B$88:$R$336,15,FALSE)</f>
        <v>3.3967220078718373E-3</v>
      </c>
      <c r="J111" s="36" t="b">
        <f>IF(H111="Yes",C111/1000*'Preliminary results'!$D$46*Inflation!$D$7)</f>
        <v>0</v>
      </c>
      <c r="K111" s="36" t="b">
        <f>IF(H111="Yes",C111/1000*'Preliminary results'!$E$46*Inflation!$D$7)</f>
        <v>0</v>
      </c>
      <c r="L111" s="36" t="b">
        <f>IF(H111="Yes",C111/1000*'Preliminary results'!$F$46*Inflation!$D$7)</f>
        <v>0</v>
      </c>
      <c r="M111" s="150" t="b">
        <f>IF(H111="Yes",C111/1000*'Preliminary results'!$G$46*Inflation!$D$7)</f>
        <v>0</v>
      </c>
      <c r="N111" s="151">
        <f t="shared" si="36"/>
        <v>1.4379087772270626E-2</v>
      </c>
      <c r="O111" s="151">
        <f t="shared" si="24"/>
        <v>0.46359853334869822</v>
      </c>
      <c r="P111" s="151">
        <f t="shared" si="25"/>
        <v>1.9560835962079601</v>
      </c>
      <c r="Q111" s="151">
        <f t="shared" si="26"/>
        <v>3.3458737857597871</v>
      </c>
      <c r="R111" s="151">
        <f t="shared" si="27"/>
        <v>-1.4379087772270626E-2</v>
      </c>
      <c r="S111" s="151">
        <f t="shared" si="28"/>
        <v>-0.46359853334869822</v>
      </c>
      <c r="T111" s="151">
        <f t="shared" si="29"/>
        <v>-1.9560835962079601</v>
      </c>
      <c r="U111" s="150">
        <f>IF(G111="Yes",C111/1000*'Preliminary results'!$D$46*Inflation!$D$7)</f>
        <v>0.14962802183392956</v>
      </c>
      <c r="V111" s="150">
        <f>IF(G111="Yes",C111/1000*'Preliminary results'!$E$46*Inflation!$D$7)</f>
        <v>4.824181656631116</v>
      </c>
      <c r="W111" s="150">
        <f>IF(G111="Yes",C111/1000*'Preliminary results'!$F$46*Inflation!$D$7)</f>
        <v>20.354901762740791</v>
      </c>
      <c r="X111" s="151">
        <f t="shared" si="30"/>
        <v>0.13042274761140277</v>
      </c>
      <c r="Y111" s="151">
        <f t="shared" si="31"/>
        <v>4.204981252326399</v>
      </c>
      <c r="Z111" s="151">
        <f t="shared" si="32"/>
        <v>17.742279706158957</v>
      </c>
      <c r="AA111" s="151">
        <f t="shared" si="33"/>
        <v>1.9205274222526797E-2</v>
      </c>
      <c r="AB111" s="151">
        <f t="shared" si="34"/>
        <v>0.61920040430471701</v>
      </c>
      <c r="AC111" s="151">
        <f t="shared" si="35"/>
        <v>2.6126220565818343</v>
      </c>
    </row>
    <row r="112" spans="1:29" hidden="1" x14ac:dyDescent="0.3">
      <c r="A112" t="s">
        <v>824</v>
      </c>
      <c r="B112" t="s">
        <v>825</v>
      </c>
      <c r="C112" s="90">
        <v>22623.752095461299</v>
      </c>
      <c r="D112" s="37">
        <f t="shared" si="23"/>
        <v>1.9312114865934087E-4</v>
      </c>
      <c r="E112" t="s">
        <v>1073</v>
      </c>
      <c r="F112" t="s">
        <v>1053</v>
      </c>
      <c r="G112" t="s">
        <v>1047</v>
      </c>
      <c r="H112" t="s">
        <v>1045</v>
      </c>
      <c r="I112" s="93" t="str">
        <f>VLOOKUP(E112,'Beynon 2023'!$B$88:$R$336,15,FALSE)</f>
        <v/>
      </c>
      <c r="J112" s="36">
        <f>IF(H112="Yes",C112/1000*'Preliminary results'!$D$46*Inflation!$D$7)</f>
        <v>2.1532779247399818E-2</v>
      </c>
      <c r="K112" s="36">
        <f>IF(H112="Yes",C112/1000*'Preliminary results'!$E$46*Inflation!$D$7)</f>
        <v>0.69424187654426406</v>
      </c>
      <c r="L112" s="36">
        <f>IF(H112="Yes",C112/1000*'Preliminary results'!$F$46*Inflation!$D$7)</f>
        <v>2.9292481507646237</v>
      </c>
      <c r="M112" s="150">
        <f>IF(H112="Yes",C112/1000*'Preliminary results'!$G$46*Inflation!$D$7)</f>
        <v>5.0104681715181227</v>
      </c>
      <c r="N112" s="151">
        <f t="shared" si="36"/>
        <v>0</v>
      </c>
      <c r="O112" s="151">
        <f t="shared" si="24"/>
        <v>0</v>
      </c>
      <c r="P112" s="151">
        <f t="shared" si="25"/>
        <v>0</v>
      </c>
      <c r="Q112" s="151">
        <f t="shared" si="26"/>
        <v>0</v>
      </c>
      <c r="R112" s="151">
        <f t="shared" si="27"/>
        <v>2.1532779247399818E-2</v>
      </c>
      <c r="S112" s="151">
        <f t="shared" si="28"/>
        <v>0.69424187654426406</v>
      </c>
      <c r="T112" s="151">
        <f t="shared" si="29"/>
        <v>2.9292481507646237</v>
      </c>
      <c r="U112" s="150" t="b">
        <f>IF(G112="Yes",C112/1000*'Preliminary results'!$D$46*Inflation!$D$7)</f>
        <v>0</v>
      </c>
      <c r="V112" s="150" t="b">
        <f>IF(G112="Yes",C112/1000*'Preliminary results'!$E$46*Inflation!$D$7)</f>
        <v>0</v>
      </c>
      <c r="W112" s="150" t="b">
        <f>IF(G112="Yes",C112/1000*'Preliminary results'!$F$46*Inflation!$D$7)</f>
        <v>0</v>
      </c>
      <c r="X112" s="151">
        <f t="shared" si="30"/>
        <v>0</v>
      </c>
      <c r="Y112" s="151">
        <f t="shared" si="31"/>
        <v>0</v>
      </c>
      <c r="Z112" s="151">
        <f t="shared" si="32"/>
        <v>0</v>
      </c>
      <c r="AA112" s="151">
        <f t="shared" si="33"/>
        <v>0</v>
      </c>
      <c r="AB112" s="151">
        <f t="shared" si="34"/>
        <v>0</v>
      </c>
      <c r="AC112" s="151">
        <f t="shared" si="35"/>
        <v>0</v>
      </c>
    </row>
    <row r="113" spans="1:29" hidden="1" x14ac:dyDescent="0.3">
      <c r="A113" t="s">
        <v>845</v>
      </c>
      <c r="B113" t="s">
        <v>846</v>
      </c>
      <c r="C113" s="90">
        <v>18302.970218590199</v>
      </c>
      <c r="D113" s="37">
        <f t="shared" si="23"/>
        <v>1.5623803768610795E-4</v>
      </c>
      <c r="E113" t="s">
        <v>1074</v>
      </c>
      <c r="F113" t="s">
        <v>1058</v>
      </c>
      <c r="G113" t="s">
        <v>1045</v>
      </c>
      <c r="H113" t="s">
        <v>1047</v>
      </c>
      <c r="I113" s="93" t="str">
        <f>VLOOKUP(E113,'Beynon 2023'!$B$88:$R$336,15,FALSE)</f>
        <v/>
      </c>
      <c r="J113" s="36" t="b">
        <f>IF(H113="Yes",C113/1000*'Preliminary results'!$D$46*Inflation!$D$7)</f>
        <v>0</v>
      </c>
      <c r="K113" s="36" t="b">
        <f>IF(H113="Yes",C113/1000*'Preliminary results'!$E$46*Inflation!$D$7)</f>
        <v>0</v>
      </c>
      <c r="L113" s="36" t="b">
        <f>IF(H113="Yes",C113/1000*'Preliminary results'!$F$46*Inflation!$D$7)</f>
        <v>0</v>
      </c>
      <c r="M113" s="150" t="b">
        <f>IF(H113="Yes",C113/1000*'Preliminary results'!$G$46*Inflation!$D$7)</f>
        <v>0</v>
      </c>
      <c r="N113" s="151">
        <f t="shared" si="36"/>
        <v>0</v>
      </c>
      <c r="O113" s="151">
        <f t="shared" si="24"/>
        <v>0</v>
      </c>
      <c r="P113" s="151">
        <f t="shared" si="25"/>
        <v>0</v>
      </c>
      <c r="Q113" s="151">
        <f t="shared" si="26"/>
        <v>0</v>
      </c>
      <c r="R113" s="151">
        <f t="shared" si="27"/>
        <v>0</v>
      </c>
      <c r="S113" s="151">
        <f t="shared" si="28"/>
        <v>0</v>
      </c>
      <c r="T113" s="151">
        <f t="shared" si="29"/>
        <v>0</v>
      </c>
      <c r="U113" s="150">
        <f>IF(G113="Yes",C113/1000*'Preliminary results'!$D$46*Inflation!$D$7)</f>
        <v>1.7420356076466283E-2</v>
      </c>
      <c r="V113" s="150">
        <f>IF(G113="Yes",C113/1000*'Preliminary results'!$E$46*Inflation!$D$7)</f>
        <v>0.56165256484741155</v>
      </c>
      <c r="W113" s="150">
        <f>IF(G113="Yes",C113/1000*'Preliminary results'!$F$46*Inflation!$D$7)</f>
        <v>2.3698076888431419</v>
      </c>
      <c r="X113" s="151">
        <f t="shared" si="30"/>
        <v>0</v>
      </c>
      <c r="Y113" s="151">
        <f t="shared" si="31"/>
        <v>0</v>
      </c>
      <c r="Z113" s="151">
        <f t="shared" si="32"/>
        <v>0</v>
      </c>
      <c r="AA113" s="151">
        <f t="shared" si="33"/>
        <v>1.7420356076466283E-2</v>
      </c>
      <c r="AB113" s="151">
        <f t="shared" si="34"/>
        <v>0.56165256484741155</v>
      </c>
      <c r="AC113" s="151">
        <f t="shared" si="35"/>
        <v>2.3698076888431419</v>
      </c>
    </row>
    <row r="114" spans="1:29" hidden="1" x14ac:dyDescent="0.3">
      <c r="A114" t="s">
        <v>770</v>
      </c>
      <c r="B114" t="s">
        <v>771</v>
      </c>
      <c r="C114" s="90">
        <v>48618.869160325397</v>
      </c>
      <c r="D114" s="37">
        <f t="shared" si="23"/>
        <v>4.1502098410298177E-4</v>
      </c>
      <c r="E114" t="s">
        <v>771</v>
      </c>
      <c r="F114" t="s">
        <v>1046</v>
      </c>
      <c r="G114" t="s">
        <v>1047</v>
      </c>
      <c r="H114" t="s">
        <v>1047</v>
      </c>
      <c r="I114" s="93">
        <f>VLOOKUP(B114,'Beynon 2023'!$B$88:$R$336,15,FALSE)</f>
        <v>3.3477034271389862E-4</v>
      </c>
      <c r="J114" s="36" t="b">
        <f>IF(H114="Yes",C114/1000*'Preliminary results'!$D$46*Inflation!$D$7)</f>
        <v>0</v>
      </c>
      <c r="K114" s="36" t="b">
        <f>IF(H114="Yes",C114/1000*'Preliminary results'!$E$46*Inflation!$D$7)</f>
        <v>0</v>
      </c>
      <c r="L114" s="36" t="b">
        <f>IF(H114="Yes",C114/1000*'Preliminary results'!$F$46*Inflation!$D$7)</f>
        <v>0</v>
      </c>
      <c r="M114" s="150" t="b">
        <f>IF(H114="Yes",C114/1000*'Preliminary results'!$G$46*Inflation!$D$7)</f>
        <v>0</v>
      </c>
      <c r="N114" s="151">
        <f t="shared" si="36"/>
        <v>1.4171581101663981E-3</v>
      </c>
      <c r="O114" s="151">
        <f t="shared" si="24"/>
        <v>4.5690827665947849E-2</v>
      </c>
      <c r="P114" s="151">
        <f t="shared" si="25"/>
        <v>0.19278550742804326</v>
      </c>
      <c r="Q114" s="151">
        <f t="shared" si="26"/>
        <v>0.32975890029871296</v>
      </c>
      <c r="R114" s="151">
        <f t="shared" si="27"/>
        <v>-1.4171581101663981E-3</v>
      </c>
      <c r="S114" s="151">
        <f t="shared" si="28"/>
        <v>-4.5690827665947849E-2</v>
      </c>
      <c r="T114" s="151">
        <f t="shared" si="29"/>
        <v>-0.19278550742804326</v>
      </c>
      <c r="U114" s="150" t="b">
        <f>IF(G114="Yes",C114/1000*'Preliminary results'!$D$46*Inflation!$D$7)</f>
        <v>0</v>
      </c>
      <c r="V114" s="150" t="b">
        <f>IF(G114="Yes",C114/1000*'Preliminary results'!$E$46*Inflation!$D$7)</f>
        <v>0</v>
      </c>
      <c r="W114" s="150" t="b">
        <f>IF(G114="Yes",C114/1000*'Preliminary results'!$F$46*Inflation!$D$7)</f>
        <v>0</v>
      </c>
      <c r="X114" s="151">
        <f t="shared" si="30"/>
        <v>1.2854059830145811E-2</v>
      </c>
      <c r="Y114" s="151">
        <f t="shared" si="31"/>
        <v>0.41442985669257087</v>
      </c>
      <c r="Z114" s="151">
        <f t="shared" si="32"/>
        <v>1.7486238332109016</v>
      </c>
      <c r="AA114" s="151">
        <f t="shared" si="33"/>
        <v>-1.2854059830145811E-2</v>
      </c>
      <c r="AB114" s="151">
        <f t="shared" si="34"/>
        <v>-0.41442985669257087</v>
      </c>
      <c r="AC114" s="151">
        <f t="shared" si="35"/>
        <v>-1.7486238332109016</v>
      </c>
    </row>
    <row r="115" spans="1:29" hidden="1" x14ac:dyDescent="0.3">
      <c r="A115" t="s">
        <v>814</v>
      </c>
      <c r="B115" t="s">
        <v>815</v>
      </c>
      <c r="C115" s="90">
        <v>25971.643441340799</v>
      </c>
      <c r="D115" s="37">
        <f t="shared" si="23"/>
        <v>2.2169945961213034E-4</v>
      </c>
      <c r="E115" t="s">
        <v>815</v>
      </c>
      <c r="F115" t="s">
        <v>1056</v>
      </c>
      <c r="G115" t="s">
        <v>1045</v>
      </c>
      <c r="H115" t="s">
        <v>1045</v>
      </c>
      <c r="I115" s="93" t="str">
        <f>VLOOKUP(B115,'Beynon 2023'!$B$88:$R$336,15,FALSE)</f>
        <v/>
      </c>
      <c r="J115" s="36">
        <f>IF(H115="Yes",C115/1000*'Preliminary results'!$D$46*Inflation!$D$7)</f>
        <v>2.4719227056362768E-2</v>
      </c>
      <c r="K115" s="36">
        <f>IF(H115="Yes",C115/1000*'Preliminary results'!$E$46*Inflation!$D$7)</f>
        <v>0.79697666432935343</v>
      </c>
      <c r="L115" s="36">
        <f>IF(H115="Yes",C115/1000*'Preliminary results'!$F$46*Inflation!$D$7)</f>
        <v>3.3627219835974111</v>
      </c>
      <c r="M115" s="150">
        <f>IF(H115="Yes",C115/1000*'Preliminary results'!$G$46*Inflation!$D$7)</f>
        <v>5.7519235658068286</v>
      </c>
      <c r="N115" s="151">
        <f t="shared" si="36"/>
        <v>0</v>
      </c>
      <c r="O115" s="151">
        <f t="shared" si="24"/>
        <v>0</v>
      </c>
      <c r="P115" s="151">
        <f t="shared" si="25"/>
        <v>0</v>
      </c>
      <c r="Q115" s="151">
        <f t="shared" si="26"/>
        <v>0</v>
      </c>
      <c r="R115" s="151">
        <f t="shared" si="27"/>
        <v>2.4719227056362768E-2</v>
      </c>
      <c r="S115" s="151">
        <f t="shared" si="28"/>
        <v>0.79697666432935343</v>
      </c>
      <c r="T115" s="151">
        <f t="shared" si="29"/>
        <v>3.3627219835974111</v>
      </c>
      <c r="U115" s="150">
        <f>IF(G115="Yes",C115/1000*'Preliminary results'!$D$46*Inflation!$D$7)</f>
        <v>2.4719227056362768E-2</v>
      </c>
      <c r="V115" s="150">
        <f>IF(G115="Yes",C115/1000*'Preliminary results'!$E$46*Inflation!$D$7)</f>
        <v>0.79697666432935343</v>
      </c>
      <c r="W115" s="150">
        <f>IF(G115="Yes",C115/1000*'Preliminary results'!$F$46*Inflation!$D$7)</f>
        <v>3.3627219835974111</v>
      </c>
      <c r="X115" s="151">
        <f t="shared" si="30"/>
        <v>0</v>
      </c>
      <c r="Y115" s="151">
        <f t="shared" si="31"/>
        <v>0</v>
      </c>
      <c r="Z115" s="151">
        <f t="shared" si="32"/>
        <v>0</v>
      </c>
      <c r="AA115" s="151">
        <f t="shared" si="33"/>
        <v>2.4719227056362768E-2</v>
      </c>
      <c r="AB115" s="151">
        <f t="shared" si="34"/>
        <v>0.79697666432935343</v>
      </c>
      <c r="AC115" s="151">
        <f t="shared" si="35"/>
        <v>3.3627219835974111</v>
      </c>
    </row>
    <row r="116" spans="1:29" hidden="1" x14ac:dyDescent="0.3">
      <c r="A116" t="s">
        <v>935</v>
      </c>
      <c r="B116" t="s">
        <v>936</v>
      </c>
      <c r="C116" s="90">
        <v>2573.5729200515898</v>
      </c>
      <c r="D116" s="37">
        <f t="shared" si="23"/>
        <v>2.1968564559131893E-5</v>
      </c>
      <c r="E116" t="s">
        <v>1059</v>
      </c>
      <c r="F116" t="s">
        <v>1048</v>
      </c>
      <c r="G116" t="s">
        <v>1045</v>
      </c>
      <c r="H116" t="s">
        <v>1047</v>
      </c>
      <c r="I116" s="93" t="str">
        <f>VLOOKUP(B116,'Beynon 2023'!$B$88:$R$336,15,FALSE)</f>
        <v/>
      </c>
      <c r="J116" s="36" t="b">
        <f>IF(H116="Yes",C116/1000*'Preliminary results'!$D$46*Inflation!$D$7)</f>
        <v>0</v>
      </c>
      <c r="K116" s="36" t="b">
        <f>IF(H116="Yes",C116/1000*'Preliminary results'!$E$46*Inflation!$D$7)</f>
        <v>0</v>
      </c>
      <c r="L116" s="36" t="b">
        <f>IF(H116="Yes",C116/1000*'Preliminary results'!$F$46*Inflation!$D$7)</f>
        <v>0</v>
      </c>
      <c r="M116" s="150" t="b">
        <f>IF(H116="Yes",C116/1000*'Preliminary results'!$G$46*Inflation!$D$7)</f>
        <v>0</v>
      </c>
      <c r="N116" s="151">
        <f t="shared" si="36"/>
        <v>0</v>
      </c>
      <c r="O116" s="151">
        <f t="shared" si="24"/>
        <v>0</v>
      </c>
      <c r="P116" s="151">
        <f t="shared" si="25"/>
        <v>0</v>
      </c>
      <c r="Q116" s="151">
        <f t="shared" si="26"/>
        <v>0</v>
      </c>
      <c r="R116" s="151">
        <f t="shared" si="27"/>
        <v>0</v>
      </c>
      <c r="S116" s="151">
        <f t="shared" si="28"/>
        <v>0</v>
      </c>
      <c r="T116" s="151">
        <f t="shared" si="29"/>
        <v>0</v>
      </c>
      <c r="U116" s="150">
        <f>IF(G116="Yes",C116/1000*'Preliminary results'!$D$46*Inflation!$D$7)</f>
        <v>2.4494689179198723E-3</v>
      </c>
      <c r="V116" s="150">
        <f>IF(G116="Yes",C116/1000*'Preliminary results'!$E$46*Inflation!$D$7)</f>
        <v>7.8973730170892181E-2</v>
      </c>
      <c r="W116" s="150">
        <f>IF(G116="Yes",C116/1000*'Preliminary results'!$F$46*Inflation!$D$7)</f>
        <v>0.33321765925959768</v>
      </c>
      <c r="X116" s="151">
        <f t="shared" si="30"/>
        <v>0</v>
      </c>
      <c r="Y116" s="151">
        <f t="shared" si="31"/>
        <v>0</v>
      </c>
      <c r="Z116" s="151">
        <f t="shared" si="32"/>
        <v>0</v>
      </c>
      <c r="AA116" s="151">
        <f t="shared" si="33"/>
        <v>2.4494689179198723E-3</v>
      </c>
      <c r="AB116" s="151">
        <f t="shared" si="34"/>
        <v>7.8973730170892181E-2</v>
      </c>
      <c r="AC116" s="151">
        <f t="shared" si="35"/>
        <v>0.33321765925959768</v>
      </c>
    </row>
    <row r="117" spans="1:29" hidden="1" x14ac:dyDescent="0.3">
      <c r="A117" t="s">
        <v>903</v>
      </c>
      <c r="B117" t="s">
        <v>904</v>
      </c>
      <c r="C117" s="90">
        <v>5245.9389000000001</v>
      </c>
      <c r="D117" s="37">
        <f t="shared" si="23"/>
        <v>4.4780447641484022E-5</v>
      </c>
      <c r="E117" t="s">
        <v>904</v>
      </c>
      <c r="F117" t="s">
        <v>1048</v>
      </c>
      <c r="G117" t="s">
        <v>1045</v>
      </c>
      <c r="H117" t="s">
        <v>1045</v>
      </c>
      <c r="I117" s="93" t="str">
        <f>VLOOKUP(B117,'Beynon 2023'!$B$88:$R$336,15,FALSE)</f>
        <v/>
      </c>
      <c r="J117" s="36">
        <f>IF(H117="Yes",C117/1000*'Preliminary results'!$D$46*Inflation!$D$7)</f>
        <v>4.9929668519356268E-3</v>
      </c>
      <c r="K117" s="36">
        <f>IF(H117="Yes",C117/1000*'Preliminary results'!$E$46*Inflation!$D$7)</f>
        <v>0.16097906531176978</v>
      </c>
      <c r="L117" s="36">
        <f>IF(H117="Yes",C117/1000*'Preliminary results'!$F$46*Inflation!$D$7)</f>
        <v>0.67922671522430667</v>
      </c>
      <c r="M117" s="150">
        <f>IF(H117="Yes",C117/1000*'Preliminary results'!$G$46*Inflation!$D$7)</f>
        <v>1.1618147943484547</v>
      </c>
      <c r="N117" s="151">
        <f t="shared" si="36"/>
        <v>0</v>
      </c>
      <c r="O117" s="151">
        <f t="shared" si="24"/>
        <v>0</v>
      </c>
      <c r="P117" s="151">
        <f t="shared" si="25"/>
        <v>0</v>
      </c>
      <c r="Q117" s="151">
        <f t="shared" si="26"/>
        <v>0</v>
      </c>
      <c r="R117" s="151">
        <f t="shared" si="27"/>
        <v>4.9929668519356268E-3</v>
      </c>
      <c r="S117" s="151">
        <f t="shared" si="28"/>
        <v>0.16097906531176978</v>
      </c>
      <c r="T117" s="151">
        <f t="shared" si="29"/>
        <v>0.67922671522430667</v>
      </c>
      <c r="U117" s="150">
        <f>IF(G117="Yes",C117/1000*'Preliminary results'!$D$46*Inflation!$D$7)</f>
        <v>4.9929668519356268E-3</v>
      </c>
      <c r="V117" s="150">
        <f>IF(G117="Yes",C117/1000*'Preliminary results'!$E$46*Inflation!$D$7)</f>
        <v>0.16097906531176978</v>
      </c>
      <c r="W117" s="150">
        <f>IF(G117="Yes",C117/1000*'Preliminary results'!$F$46*Inflation!$D$7)</f>
        <v>0.67922671522430667</v>
      </c>
      <c r="X117" s="151">
        <f t="shared" si="30"/>
        <v>0</v>
      </c>
      <c r="Y117" s="151">
        <f t="shared" si="31"/>
        <v>0</v>
      </c>
      <c r="Z117" s="151">
        <f t="shared" si="32"/>
        <v>0</v>
      </c>
      <c r="AA117" s="151">
        <f t="shared" si="33"/>
        <v>4.9929668519356268E-3</v>
      </c>
      <c r="AB117" s="151">
        <f t="shared" si="34"/>
        <v>0.16097906531176978</v>
      </c>
      <c r="AC117" s="151">
        <f t="shared" si="35"/>
        <v>0.67922671522430667</v>
      </c>
    </row>
    <row r="118" spans="1:29" hidden="1" x14ac:dyDescent="0.3">
      <c r="A118" t="s">
        <v>772</v>
      </c>
      <c r="B118" t="s">
        <v>773</v>
      </c>
      <c r="C118" s="90">
        <v>48098.9096136316</v>
      </c>
      <c r="D118" s="37">
        <f t="shared" si="23"/>
        <v>4.1058249907670525E-4</v>
      </c>
      <c r="E118" t="s">
        <v>773</v>
      </c>
      <c r="F118" t="s">
        <v>1048</v>
      </c>
      <c r="G118" t="s">
        <v>1045</v>
      </c>
      <c r="H118" t="s">
        <v>1047</v>
      </c>
      <c r="I118" s="45">
        <f>VLOOKUP(B118,'Beynon 2023'!$B$88:$R$336,15,FALSE)</f>
        <v>7.2658108808626855E-4</v>
      </c>
      <c r="J118" s="36" t="b">
        <f>IF(H118="Yes",C118/1000*'Preliminary results'!$D$46*Inflation!$D$7)</f>
        <v>0</v>
      </c>
      <c r="K118" s="36" t="b">
        <f>IF(H118="Yes",C118/1000*'Preliminary results'!$E$46*Inflation!$D$7)</f>
        <v>0</v>
      </c>
      <c r="L118" s="36" t="b">
        <f>IF(H118="Yes",C118/1000*'Preliminary results'!$F$46*Inflation!$D$7)</f>
        <v>0</v>
      </c>
      <c r="M118" s="150" t="b">
        <f>IF(H118="Yes",C118/1000*'Preliminary results'!$G$46*Inflation!$D$7)</f>
        <v>0</v>
      </c>
      <c r="N118" s="151">
        <f t="shared" si="36"/>
        <v>3.0757810662904715E-3</v>
      </c>
      <c r="O118" s="151">
        <f t="shared" si="24"/>
        <v>9.9166763136656691E-2</v>
      </c>
      <c r="P118" s="151">
        <f t="shared" si="25"/>
        <v>0.41841909477041506</v>
      </c>
      <c r="Q118" s="151">
        <f t="shared" si="26"/>
        <v>0.71570432028960884</v>
      </c>
      <c r="R118" s="151">
        <f t="shared" si="27"/>
        <v>-3.0757810662904715E-3</v>
      </c>
      <c r="S118" s="151">
        <f t="shared" si="28"/>
        <v>-9.9166763136656691E-2</v>
      </c>
      <c r="T118" s="151">
        <f t="shared" si="29"/>
        <v>-0.41841909477041506</v>
      </c>
      <c r="U118" s="150">
        <f>IF(G118="Yes",C118/1000*'Preliminary results'!$D$46*Inflation!$D$7)</f>
        <v>4.5779462150256918E-2</v>
      </c>
      <c r="V118" s="150">
        <f>IF(G118="Yes",C118/1000*'Preliminary results'!$E$46*Inflation!$D$7)</f>
        <v>1.4759831671157495</v>
      </c>
      <c r="W118" s="150">
        <f>IF(G118="Yes",C118/1000*'Preliminary results'!$F$46*Inflation!$D$7)</f>
        <v>6.2276867888678265</v>
      </c>
      <c r="X118" s="151">
        <f t="shared" si="30"/>
        <v>2.7898280062684869E-2</v>
      </c>
      <c r="Y118" s="151">
        <f t="shared" si="31"/>
        <v>0.89947303506650522</v>
      </c>
      <c r="Z118" s="151">
        <f t="shared" si="32"/>
        <v>3.7951898519092171</v>
      </c>
      <c r="AA118" s="151">
        <f t="shared" si="33"/>
        <v>1.7881182087572049E-2</v>
      </c>
      <c r="AB118" s="151">
        <f t="shared" si="34"/>
        <v>0.57651013204924428</v>
      </c>
      <c r="AC118" s="151">
        <f t="shared" si="35"/>
        <v>2.4324969369586094</v>
      </c>
    </row>
    <row r="119" spans="1:29" hidden="1" x14ac:dyDescent="0.3">
      <c r="A119" t="s">
        <v>885</v>
      </c>
      <c r="B119" t="s">
        <v>886</v>
      </c>
      <c r="C119" s="90">
        <v>8905.7642704053997</v>
      </c>
      <c r="D119" s="37">
        <f t="shared" si="23"/>
        <v>7.6021493620196024E-5</v>
      </c>
      <c r="E119" t="s">
        <v>1050</v>
      </c>
      <c r="F119" t="s">
        <v>1046</v>
      </c>
      <c r="G119" t="s">
        <v>1047</v>
      </c>
      <c r="H119" t="s">
        <v>1047</v>
      </c>
      <c r="I119" s="93">
        <f>VLOOKUP(B119,'Beynon 2023'!$B$88:$R$336,15,FALSE)</f>
        <v>2.0102516878451618E-5</v>
      </c>
      <c r="J119" s="36" t="b">
        <f>IF(H119="Yes",C119/1000*'Preliminary results'!$D$46*Inflation!$D$7)</f>
        <v>0</v>
      </c>
      <c r="K119" s="36" t="b">
        <f>IF(H119="Yes",C119/1000*'Preliminary results'!$E$46*Inflation!$D$7)</f>
        <v>0</v>
      </c>
      <c r="L119" s="36" t="b">
        <f>IF(H119="Yes",C119/1000*'Preliminary results'!$F$46*Inflation!$D$7)</f>
        <v>0</v>
      </c>
      <c r="M119" s="150" t="b">
        <f>IF(H119="Yes",C119/1000*'Preliminary results'!$G$46*Inflation!$D$7)</f>
        <v>0</v>
      </c>
      <c r="N119" s="151">
        <f t="shared" si="36"/>
        <v>8.5098472577068777E-5</v>
      </c>
      <c r="O119" s="151">
        <f t="shared" si="24"/>
        <v>2.7436738478656387E-3</v>
      </c>
      <c r="P119" s="151">
        <f t="shared" si="25"/>
        <v>1.1576515068735214E-2</v>
      </c>
      <c r="Q119" s="151">
        <f t="shared" si="26"/>
        <v>1.980158638108449E-2</v>
      </c>
      <c r="R119" s="151">
        <f t="shared" si="27"/>
        <v>-8.5098472577068777E-5</v>
      </c>
      <c r="S119" s="151">
        <f t="shared" si="28"/>
        <v>-2.7436738478656387E-3</v>
      </c>
      <c r="T119" s="151">
        <f t="shared" si="29"/>
        <v>-1.1576515068735214E-2</v>
      </c>
      <c r="U119" s="150" t="b">
        <f>IF(G119="Yes",C119/1000*'Preliminary results'!$D$46*Inflation!$D$7)</f>
        <v>0</v>
      </c>
      <c r="V119" s="150" t="b">
        <f>IF(G119="Yes",C119/1000*'Preliminary results'!$E$46*Inflation!$D$7)</f>
        <v>0</v>
      </c>
      <c r="W119" s="150" t="b">
        <f>IF(G119="Yes",C119/1000*'Preliminary results'!$F$46*Inflation!$D$7)</f>
        <v>0</v>
      </c>
      <c r="X119" s="151">
        <f t="shared" si="30"/>
        <v>7.7186931374314106E-4</v>
      </c>
      <c r="Y119" s="151">
        <f t="shared" si="31"/>
        <v>2.4885965469816425E-2</v>
      </c>
      <c r="Z119" s="151">
        <f t="shared" si="32"/>
        <v>0.10500255140947863</v>
      </c>
      <c r="AA119" s="151">
        <f t="shared" si="33"/>
        <v>-7.7186931374314106E-4</v>
      </c>
      <c r="AB119" s="151">
        <f t="shared" si="34"/>
        <v>-2.4885965469816425E-2</v>
      </c>
      <c r="AC119" s="151">
        <f t="shared" si="35"/>
        <v>-0.10500255140947863</v>
      </c>
    </row>
    <row r="120" spans="1:29" hidden="1" x14ac:dyDescent="0.3">
      <c r="A120" t="s">
        <v>727</v>
      </c>
      <c r="B120" t="s">
        <v>728</v>
      </c>
      <c r="C120" s="90">
        <v>95210.150818351191</v>
      </c>
      <c r="D120" s="37">
        <f t="shared" si="23"/>
        <v>8.1273405103116482E-4</v>
      </c>
      <c r="E120" t="s">
        <v>728</v>
      </c>
      <c r="F120" t="s">
        <v>1046</v>
      </c>
      <c r="G120" t="s">
        <v>1047</v>
      </c>
      <c r="H120" t="s">
        <v>1047</v>
      </c>
      <c r="I120" s="45">
        <f>VLOOKUP(B120,'Beynon 2023'!$B$88:$R$336,15,FALSE)</f>
        <v>7.2894263196440691E-4</v>
      </c>
      <c r="J120" s="36" t="b">
        <f>IF(H120="Yes",C120/1000*'Preliminary results'!$D$46*Inflation!$D$7)</f>
        <v>0</v>
      </c>
      <c r="K120" s="36" t="b">
        <f>IF(H120="Yes",C120/1000*'Preliminary results'!$E$46*Inflation!$D$7)</f>
        <v>0</v>
      </c>
      <c r="L120" s="36" t="b">
        <f>IF(H120="Yes",C120/1000*'Preliminary results'!$F$46*Inflation!$D$7)</f>
        <v>0</v>
      </c>
      <c r="M120" s="150" t="b">
        <f>IF(H120="Yes",C120/1000*'Preliminary results'!$G$46*Inflation!$D$7)</f>
        <v>0</v>
      </c>
      <c r="N120" s="151">
        <f t="shared" si="36"/>
        <v>3.0857780123529177E-3</v>
      </c>
      <c r="O120" s="151">
        <f t="shared" si="24"/>
        <v>9.9489076318543923E-2</v>
      </c>
      <c r="P120" s="151">
        <f t="shared" si="25"/>
        <v>0.41977904628574264</v>
      </c>
      <c r="Q120" s="151">
        <f t="shared" si="26"/>
        <v>0.71803051234697279</v>
      </c>
      <c r="R120" s="151">
        <f t="shared" si="27"/>
        <v>-3.0857780123529177E-3</v>
      </c>
      <c r="S120" s="151">
        <f t="shared" si="28"/>
        <v>-9.9489076318543923E-2</v>
      </c>
      <c r="T120" s="151">
        <f t="shared" si="29"/>
        <v>-0.41977904628574264</v>
      </c>
      <c r="U120" s="150" t="b">
        <f>IF(G120="Yes",C120/1000*'Preliminary results'!$D$46*Inflation!$D$7)</f>
        <v>0</v>
      </c>
      <c r="V120" s="150" t="b">
        <f>IF(G120="Yes",C120/1000*'Preliminary results'!$E$46*Inflation!$D$7)</f>
        <v>0</v>
      </c>
      <c r="W120" s="150" t="b">
        <f>IF(G120="Yes",C120/1000*'Preliminary results'!$F$46*Inflation!$D$7)</f>
        <v>0</v>
      </c>
      <c r="X120" s="151">
        <f t="shared" si="30"/>
        <v>2.7988955437495619E-2</v>
      </c>
      <c r="Y120" s="151">
        <f t="shared" si="31"/>
        <v>0.90239651473634708</v>
      </c>
      <c r="Z120" s="151">
        <f t="shared" si="32"/>
        <v>3.8075250303333559</v>
      </c>
      <c r="AA120" s="151">
        <f t="shared" si="33"/>
        <v>-2.7988955437495619E-2</v>
      </c>
      <c r="AB120" s="151">
        <f t="shared" si="34"/>
        <v>-0.90239651473634708</v>
      </c>
      <c r="AC120" s="151">
        <f t="shared" si="35"/>
        <v>-3.8075250303333559</v>
      </c>
    </row>
    <row r="121" spans="1:29" hidden="1" x14ac:dyDescent="0.3">
      <c r="A121" t="s">
        <v>719</v>
      </c>
      <c r="B121" t="s">
        <v>720</v>
      </c>
      <c r="C121" s="90">
        <v>101157.829491107</v>
      </c>
      <c r="D121" s="37">
        <f t="shared" si="23"/>
        <v>8.6350469828245331E-4</v>
      </c>
      <c r="E121" t="s">
        <v>720</v>
      </c>
      <c r="F121" t="s">
        <v>1046</v>
      </c>
      <c r="G121" t="s">
        <v>1047</v>
      </c>
      <c r="H121" t="s">
        <v>1047</v>
      </c>
      <c r="I121" s="45">
        <f>VLOOKUP(B121,'Beynon 2023'!$B$88:$R$336,15,FALSE)</f>
        <v>9.5984497937432747E-4</v>
      </c>
      <c r="J121" s="36" t="b">
        <f>IF(H121="Yes",C121/1000*'Preliminary results'!$D$46*Inflation!$D$7)</f>
        <v>0</v>
      </c>
      <c r="K121" s="36" t="b">
        <f>IF(H121="Yes",C121/1000*'Preliminary results'!$E$46*Inflation!$D$7)</f>
        <v>0</v>
      </c>
      <c r="L121" s="36" t="b">
        <f>IF(H121="Yes",C121/1000*'Preliminary results'!$F$46*Inflation!$D$7)</f>
        <v>0</v>
      </c>
      <c r="M121" s="150" t="b">
        <f>IF(H121="Yes",C121/1000*'Preliminary results'!$G$46*Inflation!$D$7)</f>
        <v>0</v>
      </c>
      <c r="N121" s="151">
        <f t="shared" si="36"/>
        <v>4.0632395510175933E-3</v>
      </c>
      <c r="O121" s="151">
        <f t="shared" si="24"/>
        <v>0.13100357451943695</v>
      </c>
      <c r="P121" s="151">
        <f t="shared" si="25"/>
        <v>0.55274968475651942</v>
      </c>
      <c r="Q121" s="151">
        <f t="shared" si="26"/>
        <v>0.94547629963213653</v>
      </c>
      <c r="R121" s="151">
        <f t="shared" si="27"/>
        <v>-4.0632395510175933E-3</v>
      </c>
      <c r="S121" s="151">
        <f t="shared" si="28"/>
        <v>-0.13100357451943695</v>
      </c>
      <c r="T121" s="151">
        <f t="shared" si="29"/>
        <v>-0.55274968475651942</v>
      </c>
      <c r="U121" s="150" t="b">
        <f>IF(G121="Yes",C121/1000*'Preliminary results'!$D$46*Inflation!$D$7)</f>
        <v>0</v>
      </c>
      <c r="V121" s="150" t="b">
        <f>IF(G121="Yes",C121/1000*'Preliminary results'!$E$46*Inflation!$D$7)</f>
        <v>0</v>
      </c>
      <c r="W121" s="150" t="b">
        <f>IF(G121="Yes",C121/1000*'Preliminary results'!$F$46*Inflation!$D$7)</f>
        <v>0</v>
      </c>
      <c r="X121" s="151">
        <f t="shared" si="30"/>
        <v>3.6854832159032958E-2</v>
      </c>
      <c r="Y121" s="151">
        <f t="shared" si="31"/>
        <v>1.1882427040114005</v>
      </c>
      <c r="Z121" s="151">
        <f t="shared" si="32"/>
        <v>5.0136096092483795</v>
      </c>
      <c r="AA121" s="151">
        <f t="shared" si="33"/>
        <v>-3.6854832159032958E-2</v>
      </c>
      <c r="AB121" s="151">
        <f t="shared" si="34"/>
        <v>-1.1882427040114005</v>
      </c>
      <c r="AC121" s="151">
        <f t="shared" si="35"/>
        <v>-5.0136096092483795</v>
      </c>
    </row>
    <row r="122" spans="1:29" hidden="1" x14ac:dyDescent="0.3">
      <c r="A122" t="s">
        <v>758</v>
      </c>
      <c r="B122" t="s">
        <v>759</v>
      </c>
      <c r="C122" s="90">
        <v>52061.007670168998</v>
      </c>
      <c r="D122" s="37">
        <f t="shared" si="23"/>
        <v>4.444038088466682E-4</v>
      </c>
      <c r="E122" t="s">
        <v>1049</v>
      </c>
      <c r="F122" s="8"/>
      <c r="G122" t="s">
        <v>1047</v>
      </c>
      <c r="H122" t="s">
        <v>1047</v>
      </c>
      <c r="I122" t="s">
        <v>1049</v>
      </c>
      <c r="J122" s="36" t="b">
        <f>IF(H122="Yes",C122/1000*'Preliminary results'!$D$46*Inflation!$D$7)</f>
        <v>0</v>
      </c>
      <c r="K122" s="36" t="b">
        <f>IF(H122="Yes",C122/1000*'Preliminary results'!$E$46*Inflation!$D$7)</f>
        <v>0</v>
      </c>
      <c r="L122" s="36" t="b">
        <f>IF(H122="Yes",C122/1000*'Preliminary results'!$F$46*Inflation!$D$7)</f>
        <v>0</v>
      </c>
      <c r="M122" s="150" t="b">
        <f>IF(H122="Yes",C122/1000*'Preliminary results'!$G$46*Inflation!$D$7)</f>
        <v>0</v>
      </c>
      <c r="N122" s="151">
        <f t="shared" si="36"/>
        <v>0</v>
      </c>
      <c r="O122" s="151">
        <f t="shared" si="24"/>
        <v>0</v>
      </c>
      <c r="P122" s="151">
        <f t="shared" si="25"/>
        <v>0</v>
      </c>
      <c r="Q122" s="151">
        <f t="shared" si="26"/>
        <v>0</v>
      </c>
      <c r="R122" s="151">
        <f t="shared" si="27"/>
        <v>0</v>
      </c>
      <c r="S122" s="151">
        <f t="shared" si="28"/>
        <v>0</v>
      </c>
      <c r="T122" s="151">
        <f t="shared" si="29"/>
        <v>0</v>
      </c>
      <c r="U122" s="150" t="b">
        <f>IF(G122="Yes",C122/1000*'Preliminary results'!$D$46*Inflation!$D$7)</f>
        <v>0</v>
      </c>
      <c r="V122" s="150" t="b">
        <f>IF(G122="Yes",C122/1000*'Preliminary results'!$E$46*Inflation!$D$7)</f>
        <v>0</v>
      </c>
      <c r="W122" s="150" t="b">
        <f>IF(G122="Yes",C122/1000*'Preliminary results'!$F$46*Inflation!$D$7)</f>
        <v>0</v>
      </c>
      <c r="X122" s="151">
        <f t="shared" si="30"/>
        <v>0</v>
      </c>
      <c r="Y122" s="151">
        <f t="shared" si="31"/>
        <v>0</v>
      </c>
      <c r="Z122" s="151">
        <f t="shared" si="32"/>
        <v>0</v>
      </c>
      <c r="AA122" s="151">
        <f t="shared" si="33"/>
        <v>0</v>
      </c>
      <c r="AB122" s="151">
        <f t="shared" si="34"/>
        <v>0</v>
      </c>
      <c r="AC122" s="151">
        <f t="shared" si="35"/>
        <v>0</v>
      </c>
    </row>
    <row r="123" spans="1:29" hidden="1" x14ac:dyDescent="0.3">
      <c r="A123" t="s">
        <v>841</v>
      </c>
      <c r="B123" t="s">
        <v>842</v>
      </c>
      <c r="C123" s="90">
        <v>19620.3520357899</v>
      </c>
      <c r="D123" s="37">
        <f t="shared" si="23"/>
        <v>1.6748348842686179E-4</v>
      </c>
      <c r="E123" t="s">
        <v>842</v>
      </c>
      <c r="F123" t="s">
        <v>1048</v>
      </c>
      <c r="G123" t="s">
        <v>1045</v>
      </c>
      <c r="H123" t="s">
        <v>1045</v>
      </c>
      <c r="I123" s="93" t="str">
        <f>VLOOKUP(B123,'Beynon 2023'!$B$88:$R$336,15,FALSE)</f>
        <v/>
      </c>
      <c r="J123" s="36">
        <f>IF(H123="Yes",C123/1000*'Preliminary results'!$D$46*Inflation!$D$7)</f>
        <v>1.8674210509391685E-2</v>
      </c>
      <c r="K123" s="36">
        <f>IF(H123="Yes",C123/1000*'Preliminary results'!$E$46*Inflation!$D$7)</f>
        <v>0.60207829180193784</v>
      </c>
      <c r="L123" s="36">
        <f>IF(H123="Yes",C123/1000*'Preliminary results'!$F$46*Inflation!$D$7)</f>
        <v>2.5403779035272622</v>
      </c>
      <c r="M123" s="150">
        <f>IF(H123="Yes",C123/1000*'Preliminary results'!$G$46*Inflation!$D$7)</f>
        <v>4.3453070460857877</v>
      </c>
      <c r="N123" s="151">
        <f t="shared" si="36"/>
        <v>0</v>
      </c>
      <c r="O123" s="151">
        <f t="shared" si="24"/>
        <v>0</v>
      </c>
      <c r="P123" s="151">
        <f t="shared" si="25"/>
        <v>0</v>
      </c>
      <c r="Q123" s="151">
        <f t="shared" si="26"/>
        <v>0</v>
      </c>
      <c r="R123" s="151">
        <f t="shared" si="27"/>
        <v>1.8674210509391685E-2</v>
      </c>
      <c r="S123" s="151">
        <f t="shared" si="28"/>
        <v>0.60207829180193784</v>
      </c>
      <c r="T123" s="151">
        <f t="shared" si="29"/>
        <v>2.5403779035272622</v>
      </c>
      <c r="U123" s="150">
        <f>IF(G123="Yes",C123/1000*'Preliminary results'!$D$46*Inflation!$D$7)</f>
        <v>1.8674210509391685E-2</v>
      </c>
      <c r="V123" s="150">
        <f>IF(G123="Yes",C123/1000*'Preliminary results'!$E$46*Inflation!$D$7)</f>
        <v>0.60207829180193784</v>
      </c>
      <c r="W123" s="150">
        <f>IF(G123="Yes",C123/1000*'Preliminary results'!$F$46*Inflation!$D$7)</f>
        <v>2.5403779035272622</v>
      </c>
      <c r="X123" s="151">
        <f t="shared" si="30"/>
        <v>0</v>
      </c>
      <c r="Y123" s="151">
        <f t="shared" si="31"/>
        <v>0</v>
      </c>
      <c r="Z123" s="151">
        <f t="shared" si="32"/>
        <v>0</v>
      </c>
      <c r="AA123" s="151">
        <f t="shared" si="33"/>
        <v>1.8674210509391685E-2</v>
      </c>
      <c r="AB123" s="151">
        <f t="shared" si="34"/>
        <v>0.60207829180193784</v>
      </c>
      <c r="AC123" s="151">
        <f t="shared" si="35"/>
        <v>2.5403779035272622</v>
      </c>
    </row>
    <row r="124" spans="1:29" hidden="1" x14ac:dyDescent="0.3">
      <c r="A124" t="s">
        <v>865</v>
      </c>
      <c r="B124" t="s">
        <v>866</v>
      </c>
      <c r="C124" s="90">
        <v>14918.276698303</v>
      </c>
      <c r="D124" s="37">
        <f t="shared" si="23"/>
        <v>1.2734557556313294E-4</v>
      </c>
      <c r="E124" t="s">
        <v>866</v>
      </c>
      <c r="F124" t="s">
        <v>1048</v>
      </c>
      <c r="G124" t="s">
        <v>1045</v>
      </c>
      <c r="H124" t="s">
        <v>1045</v>
      </c>
      <c r="I124" s="93" t="str">
        <f>VLOOKUP(B124,'Beynon 2023'!$B$88:$R$336,15,FALSE)</f>
        <v/>
      </c>
      <c r="J124" s="36">
        <f>IF(H124="Yes",C124/1000*'Preliminary results'!$D$46*Inflation!$D$7)</f>
        <v>1.4198880784263526E-2</v>
      </c>
      <c r="K124" s="36">
        <f>IF(H124="Yes",C124/1000*'Preliminary results'!$E$46*Inflation!$D$7)</f>
        <v>0.45778845021530307</v>
      </c>
      <c r="L124" s="36">
        <f>IF(H124="Yes",C124/1000*'Preliminary results'!$F$46*Inflation!$D$7)</f>
        <v>1.9315688329110472</v>
      </c>
      <c r="M124" s="150">
        <f>IF(H124="Yes",C124/1000*'Preliminary results'!$G$46*Inflation!$D$7)</f>
        <v>3.3039413734445597</v>
      </c>
      <c r="N124" s="151">
        <f t="shared" si="36"/>
        <v>0</v>
      </c>
      <c r="O124" s="151">
        <f t="shared" si="24"/>
        <v>0</v>
      </c>
      <c r="P124" s="151">
        <f t="shared" si="25"/>
        <v>0</v>
      </c>
      <c r="Q124" s="151">
        <f t="shared" si="26"/>
        <v>0</v>
      </c>
      <c r="R124" s="151">
        <f t="shared" si="27"/>
        <v>1.4198880784263526E-2</v>
      </c>
      <c r="S124" s="151">
        <f t="shared" si="28"/>
        <v>0.45778845021530307</v>
      </c>
      <c r="T124" s="151">
        <f t="shared" si="29"/>
        <v>1.9315688329110472</v>
      </c>
      <c r="U124" s="150">
        <f>IF(G124="Yes",C124/1000*'Preliminary results'!$D$46*Inflation!$D$7)</f>
        <v>1.4198880784263526E-2</v>
      </c>
      <c r="V124" s="150">
        <f>IF(G124="Yes",C124/1000*'Preliminary results'!$E$46*Inflation!$D$7)</f>
        <v>0.45778845021530307</v>
      </c>
      <c r="W124" s="150">
        <f>IF(G124="Yes",C124/1000*'Preliminary results'!$F$46*Inflation!$D$7)</f>
        <v>1.9315688329110472</v>
      </c>
      <c r="X124" s="151">
        <f t="shared" si="30"/>
        <v>0</v>
      </c>
      <c r="Y124" s="151">
        <f t="shared" si="31"/>
        <v>0</v>
      </c>
      <c r="Z124" s="151">
        <f t="shared" si="32"/>
        <v>0</v>
      </c>
      <c r="AA124" s="151">
        <f t="shared" si="33"/>
        <v>1.4198880784263526E-2</v>
      </c>
      <c r="AB124" s="151">
        <f t="shared" si="34"/>
        <v>0.45778845021530307</v>
      </c>
      <c r="AC124" s="151">
        <f t="shared" si="35"/>
        <v>1.9315688329110472</v>
      </c>
    </row>
    <row r="125" spans="1:29" hidden="1" x14ac:dyDescent="0.3">
      <c r="A125" t="s">
        <v>638</v>
      </c>
      <c r="B125" t="s">
        <v>639</v>
      </c>
      <c r="C125" s="90">
        <v>472193.12864459702</v>
      </c>
      <c r="D125" s="37">
        <f t="shared" si="23"/>
        <v>4.0307407457486595E-3</v>
      </c>
      <c r="E125" t="s">
        <v>639</v>
      </c>
      <c r="F125" t="s">
        <v>1058</v>
      </c>
      <c r="G125" t="s">
        <v>1045</v>
      </c>
      <c r="H125" t="s">
        <v>1047</v>
      </c>
      <c r="I125" s="45">
        <f>VLOOKUP(B125,'Beynon 2023'!$B$88:$R$336,15,FALSE)</f>
        <v>3.2416503796006053E-3</v>
      </c>
      <c r="J125" s="36" t="b">
        <f>IF(H125="Yes",C125/1000*'Preliminary results'!$D$46*Inflation!$D$7)</f>
        <v>0</v>
      </c>
      <c r="K125" s="36" t="b">
        <f>IF(H125="Yes",C125/1000*'Preliminary results'!$E$46*Inflation!$D$7)</f>
        <v>0</v>
      </c>
      <c r="L125" s="36" t="b">
        <f>IF(H125="Yes",C125/1000*'Preliminary results'!$F$46*Inflation!$D$7)</f>
        <v>0</v>
      </c>
      <c r="M125" s="150" t="b">
        <f>IF(H125="Yes",C125/1000*'Preliminary results'!$G$46*Inflation!$D$7)</f>
        <v>0</v>
      </c>
      <c r="N125" s="151">
        <f t="shared" si="36"/>
        <v>1.3722634712899421E-2</v>
      </c>
      <c r="O125" s="151">
        <f t="shared" si="24"/>
        <v>0.4424337223150217</v>
      </c>
      <c r="P125" s="151">
        <f t="shared" si="25"/>
        <v>1.8667818907414406</v>
      </c>
      <c r="Q125" s="151">
        <f t="shared" si="26"/>
        <v>3.193123547516747</v>
      </c>
      <c r="R125" s="151">
        <f t="shared" si="27"/>
        <v>-1.3722634712899421E-2</v>
      </c>
      <c r="S125" s="151">
        <f t="shared" si="28"/>
        <v>-0.4424337223150217</v>
      </c>
      <c r="T125" s="151">
        <f t="shared" si="29"/>
        <v>-1.8667818907414406</v>
      </c>
      <c r="U125" s="150">
        <f>IF(G125="Yes",C125/1000*'Preliminary results'!$D$46*Inflation!$D$7)</f>
        <v>0.44942281714990007</v>
      </c>
      <c r="V125" s="150">
        <f>IF(G125="Yes",C125/1000*'Preliminary results'!$E$46*Inflation!$D$7)</f>
        <v>14.489914950371894</v>
      </c>
      <c r="W125" s="150">
        <f>IF(G125="Yes",C125/1000*'Preliminary results'!$F$46*Inflation!$D$7)</f>
        <v>61.137995282552396</v>
      </c>
      <c r="X125" s="151">
        <f t="shared" si="30"/>
        <v>0.12446851650599071</v>
      </c>
      <c r="Y125" s="151">
        <f t="shared" si="31"/>
        <v>4.0130099081489563</v>
      </c>
      <c r="Z125" s="151">
        <f t="shared" si="32"/>
        <v>16.932285777629758</v>
      </c>
      <c r="AA125" s="151">
        <f t="shared" si="33"/>
        <v>0.32495430064390934</v>
      </c>
      <c r="AB125" s="151">
        <f t="shared" si="34"/>
        <v>10.476905042222938</v>
      </c>
      <c r="AC125" s="151">
        <f t="shared" si="35"/>
        <v>44.205709504922638</v>
      </c>
    </row>
    <row r="126" spans="1:29" hidden="1" x14ac:dyDescent="0.3">
      <c r="A126" t="s">
        <v>893</v>
      </c>
      <c r="B126" t="s">
        <v>894</v>
      </c>
      <c r="C126" s="90">
        <v>7741.0668606337003</v>
      </c>
      <c r="D126" s="37">
        <f t="shared" si="23"/>
        <v>6.6079389380961816E-5</v>
      </c>
      <c r="E126" t="s">
        <v>1067</v>
      </c>
      <c r="F126" t="s">
        <v>1058</v>
      </c>
      <c r="G126" t="s">
        <v>1045</v>
      </c>
      <c r="H126" t="s">
        <v>1045</v>
      </c>
      <c r="I126" s="93" t="str">
        <f>VLOOKUP(B126,'Beynon 2023'!$B$88:$R$336,15,FALSE)</f>
        <v/>
      </c>
      <c r="J126" s="36">
        <f>IF(H126="Yes",C126/1000*'Preliminary results'!$D$46*Inflation!$D$7)</f>
        <v>7.3677736188962183E-3</v>
      </c>
      <c r="K126" s="36">
        <f>IF(H126="Yes",C126/1000*'Preliminary results'!$E$46*Inflation!$D$7)</f>
        <v>0.23754560079621381</v>
      </c>
      <c r="L126" s="36">
        <f>IF(H126="Yes",C126/1000*'Preliminary results'!$F$46*Inflation!$D$7)</f>
        <v>1.0022875821294761</v>
      </c>
      <c r="M126" s="150">
        <f>IF(H126="Yes",C126/1000*'Preliminary results'!$G$46*Inflation!$D$7)</f>
        <v>1.7144092171421934</v>
      </c>
      <c r="N126" s="151">
        <f t="shared" si="36"/>
        <v>0</v>
      </c>
      <c r="O126" s="151">
        <f t="shared" si="24"/>
        <v>0</v>
      </c>
      <c r="P126" s="151">
        <f t="shared" si="25"/>
        <v>0</v>
      </c>
      <c r="Q126" s="151">
        <f t="shared" si="26"/>
        <v>0</v>
      </c>
      <c r="R126" s="151">
        <f t="shared" si="27"/>
        <v>7.3677736188962183E-3</v>
      </c>
      <c r="S126" s="151">
        <f t="shared" si="28"/>
        <v>0.23754560079621381</v>
      </c>
      <c r="T126" s="151">
        <f t="shared" si="29"/>
        <v>1.0022875821294761</v>
      </c>
      <c r="U126" s="150">
        <f>IF(G126="Yes",C126/1000*'Preliminary results'!$D$46*Inflation!$D$7)</f>
        <v>7.3677736188962183E-3</v>
      </c>
      <c r="V126" s="150">
        <f>IF(G126="Yes",C126/1000*'Preliminary results'!$E$46*Inflation!$D$7)</f>
        <v>0.23754560079621381</v>
      </c>
      <c r="W126" s="150">
        <f>IF(G126="Yes",C126/1000*'Preliminary results'!$F$46*Inflation!$D$7)</f>
        <v>1.0022875821294761</v>
      </c>
      <c r="X126" s="151">
        <f t="shared" si="30"/>
        <v>0</v>
      </c>
      <c r="Y126" s="151">
        <f t="shared" si="31"/>
        <v>0</v>
      </c>
      <c r="Z126" s="151">
        <f t="shared" si="32"/>
        <v>0</v>
      </c>
      <c r="AA126" s="151">
        <f t="shared" si="33"/>
        <v>7.3677736188962183E-3</v>
      </c>
      <c r="AB126" s="151">
        <f t="shared" si="34"/>
        <v>0.23754560079621381</v>
      </c>
      <c r="AC126" s="151">
        <f t="shared" si="35"/>
        <v>1.0022875821294761</v>
      </c>
    </row>
    <row r="127" spans="1:29" hidden="1" x14ac:dyDescent="0.3">
      <c r="A127" t="s">
        <v>800</v>
      </c>
      <c r="B127" t="s">
        <v>801</v>
      </c>
      <c r="C127" s="90">
        <v>30069.1485807688</v>
      </c>
      <c r="D127" s="37">
        <f t="shared" si="23"/>
        <v>2.5667663297510398E-4</v>
      </c>
      <c r="E127" t="s">
        <v>801</v>
      </c>
      <c r="F127" t="s">
        <v>1048</v>
      </c>
      <c r="G127" t="s">
        <v>1045</v>
      </c>
      <c r="H127" t="s">
        <v>1047</v>
      </c>
      <c r="I127" s="93" t="str">
        <f>VLOOKUP(B127,'Beynon 2023'!$B$88:$R$336,15,FALSE)</f>
        <v/>
      </c>
      <c r="J127" s="36" t="b">
        <f>IF(H127="Yes",C127/1000*'Preliminary results'!$D$46*Inflation!$D$7)</f>
        <v>0</v>
      </c>
      <c r="K127" s="36" t="b">
        <f>IF(H127="Yes",C127/1000*'Preliminary results'!$E$46*Inflation!$D$7)</f>
        <v>0</v>
      </c>
      <c r="L127" s="36" t="b">
        <f>IF(H127="Yes",C127/1000*'Preliminary results'!$F$46*Inflation!$D$7)</f>
        <v>0</v>
      </c>
      <c r="M127" s="150" t="b">
        <f>IF(H127="Yes",C127/1000*'Preliminary results'!$G$46*Inflation!$D$7)</f>
        <v>0</v>
      </c>
      <c r="N127" s="151">
        <f t="shared" si="36"/>
        <v>0</v>
      </c>
      <c r="O127" s="151">
        <f t="shared" si="24"/>
        <v>0</v>
      </c>
      <c r="P127" s="151">
        <f t="shared" si="25"/>
        <v>0</v>
      </c>
      <c r="Q127" s="151">
        <f t="shared" si="26"/>
        <v>0</v>
      </c>
      <c r="R127" s="151">
        <f t="shared" si="27"/>
        <v>0</v>
      </c>
      <c r="S127" s="151">
        <f t="shared" si="28"/>
        <v>0</v>
      </c>
      <c r="T127" s="151">
        <f t="shared" si="29"/>
        <v>0</v>
      </c>
      <c r="U127" s="150">
        <f>IF(G127="Yes",C127/1000*'Preliminary results'!$D$46*Inflation!$D$7)</f>
        <v>2.8619140442086698E-2</v>
      </c>
      <c r="V127" s="150">
        <f>IF(G127="Yes",C127/1000*'Preliminary results'!$E$46*Inflation!$D$7)</f>
        <v>0.92271441309636482</v>
      </c>
      <c r="W127" s="150">
        <f>IF(G127="Yes",C127/1000*'Preliminary results'!$F$46*Inflation!$D$7)</f>
        <v>3.8932533164096164</v>
      </c>
      <c r="X127" s="151">
        <f t="shared" si="30"/>
        <v>0</v>
      </c>
      <c r="Y127" s="151">
        <f t="shared" si="31"/>
        <v>0</v>
      </c>
      <c r="Z127" s="151">
        <f t="shared" si="32"/>
        <v>0</v>
      </c>
      <c r="AA127" s="151">
        <f t="shared" si="33"/>
        <v>2.8619140442086698E-2</v>
      </c>
      <c r="AB127" s="151">
        <f t="shared" si="34"/>
        <v>0.92271441309636482</v>
      </c>
      <c r="AC127" s="151">
        <f t="shared" si="35"/>
        <v>3.8932533164096164</v>
      </c>
    </row>
    <row r="128" spans="1:29" hidden="1" x14ac:dyDescent="0.3">
      <c r="A128" t="s">
        <v>808</v>
      </c>
      <c r="B128" t="s">
        <v>809</v>
      </c>
      <c r="C128" s="90">
        <v>27771.821560941102</v>
      </c>
      <c r="D128" s="37">
        <f t="shared" si="23"/>
        <v>2.3706616203981331E-4</v>
      </c>
      <c r="E128" t="s">
        <v>809</v>
      </c>
      <c r="F128" t="s">
        <v>1046</v>
      </c>
      <c r="G128" t="s">
        <v>1047</v>
      </c>
      <c r="H128" t="s">
        <v>1047</v>
      </c>
      <c r="I128" s="93">
        <f>VLOOKUP(B128,'Beynon 2023'!$B$88:$R$336,15,FALSE)</f>
        <v>6.9365602192231286E-5</v>
      </c>
      <c r="J128" s="36" t="b">
        <f>IF(H128="Yes",C128/1000*'Preliminary results'!$D$46*Inflation!$D$7)</f>
        <v>0</v>
      </c>
      <c r="K128" s="36" t="b">
        <f>IF(H128="Yes",C128/1000*'Preliminary results'!$E$46*Inflation!$D$7)</f>
        <v>0</v>
      </c>
      <c r="L128" s="36" t="b">
        <f>IF(H128="Yes",C128/1000*'Preliminary results'!$F$46*Inflation!$D$7)</f>
        <v>0</v>
      </c>
      <c r="M128" s="150" t="b">
        <f>IF(H128="Yes",C128/1000*'Preliminary results'!$G$46*Inflation!$D$7)</f>
        <v>0</v>
      </c>
      <c r="N128" s="151">
        <f t="shared" si="36"/>
        <v>2.93640186034363E-4</v>
      </c>
      <c r="O128" s="151">
        <f t="shared" si="24"/>
        <v>9.4673015238346311E-3</v>
      </c>
      <c r="P128" s="151">
        <f t="shared" si="25"/>
        <v>3.994584080618413E-2</v>
      </c>
      <c r="Q128" s="151">
        <f t="shared" si="26"/>
        <v>6.8327213551938479E-2</v>
      </c>
      <c r="R128" s="151">
        <f t="shared" si="27"/>
        <v>-2.93640186034363E-4</v>
      </c>
      <c r="S128" s="151">
        <f t="shared" si="28"/>
        <v>-9.4673015238346311E-3</v>
      </c>
      <c r="T128" s="151">
        <f t="shared" si="29"/>
        <v>-3.994584080618413E-2</v>
      </c>
      <c r="U128" s="150" t="b">
        <f>IF(G128="Yes",C128/1000*'Preliminary results'!$D$46*Inflation!$D$7)</f>
        <v>0</v>
      </c>
      <c r="V128" s="150" t="b">
        <f>IF(G128="Yes",C128/1000*'Preliminary results'!$E$46*Inflation!$D$7)</f>
        <v>0</v>
      </c>
      <c r="W128" s="150" t="b">
        <f>IF(G128="Yes",C128/1000*'Preliminary results'!$F$46*Inflation!$D$7)</f>
        <v>0</v>
      </c>
      <c r="X128" s="151">
        <f t="shared" si="30"/>
        <v>2.6634067806150879E-3</v>
      </c>
      <c r="Y128" s="151">
        <f t="shared" si="31"/>
        <v>8.5871335981778416E-2</v>
      </c>
      <c r="Z128" s="151">
        <f t="shared" si="32"/>
        <v>0.36232105931206265</v>
      </c>
      <c r="AA128" s="151">
        <f t="shared" si="33"/>
        <v>-2.6634067806150879E-3</v>
      </c>
      <c r="AB128" s="151">
        <f t="shared" si="34"/>
        <v>-8.5871335981778416E-2</v>
      </c>
      <c r="AC128" s="151">
        <f t="shared" si="35"/>
        <v>-0.36232105931206265</v>
      </c>
    </row>
    <row r="129" spans="1:29" hidden="1" x14ac:dyDescent="0.3">
      <c r="A129" t="s">
        <v>977</v>
      </c>
      <c r="B129" t="s">
        <v>978</v>
      </c>
      <c r="C129" s="90">
        <v>308</v>
      </c>
      <c r="D129" s="37">
        <f t="shared" si="23"/>
        <v>2.6291533577672965E-6</v>
      </c>
      <c r="E129" t="s">
        <v>1067</v>
      </c>
      <c r="F129" t="s">
        <v>1058</v>
      </c>
      <c r="G129" t="s">
        <v>1045</v>
      </c>
      <c r="H129" t="s">
        <v>1045</v>
      </c>
      <c r="I129" s="93" t="str">
        <f>VLOOKUP(B129,'Beynon 2023'!$B$88:$R$336,15,FALSE)</f>
        <v/>
      </c>
      <c r="J129" s="36">
        <f>IF(H129="Yes",C129/1000*'Preliminary results'!$D$46*Inflation!$D$7)</f>
        <v>2.9314748412265587E-4</v>
      </c>
      <c r="K129" s="36">
        <f>IF(H129="Yes",C129/1000*'Preliminary results'!$E$46*Inflation!$D$7)</f>
        <v>9.4514162404798659E-3</v>
      </c>
      <c r="L129" s="36">
        <f>IF(H129="Yes",C129/1000*'Preliminary results'!$F$46*Inflation!$D$7)</f>
        <v>3.9878815265859548E-2</v>
      </c>
      <c r="M129" s="150">
        <f>IF(H129="Yes",C129/1000*'Preliminary results'!$G$46*Inflation!$D$7)</f>
        <v>6.8212566612112863E-2</v>
      </c>
      <c r="N129" s="151">
        <f t="shared" si="36"/>
        <v>0</v>
      </c>
      <c r="O129" s="151">
        <f t="shared" si="24"/>
        <v>0</v>
      </c>
      <c r="P129" s="151">
        <f t="shared" si="25"/>
        <v>0</v>
      </c>
      <c r="Q129" s="151">
        <f t="shared" si="26"/>
        <v>0</v>
      </c>
      <c r="R129" s="151">
        <f t="shared" si="27"/>
        <v>2.9314748412265587E-4</v>
      </c>
      <c r="S129" s="151">
        <f t="shared" si="28"/>
        <v>9.4514162404798659E-3</v>
      </c>
      <c r="T129" s="151">
        <f t="shared" si="29"/>
        <v>3.9878815265859548E-2</v>
      </c>
      <c r="U129" s="150">
        <f>IF(G129="Yes",C129/1000*'Preliminary results'!$D$46*Inflation!$D$7)</f>
        <v>2.9314748412265587E-4</v>
      </c>
      <c r="V129" s="150">
        <f>IF(G129="Yes",C129/1000*'Preliminary results'!$E$46*Inflation!$D$7)</f>
        <v>9.4514162404798659E-3</v>
      </c>
      <c r="W129" s="150">
        <f>IF(G129="Yes",C129/1000*'Preliminary results'!$F$46*Inflation!$D$7)</f>
        <v>3.9878815265859548E-2</v>
      </c>
      <c r="X129" s="151">
        <f t="shared" si="30"/>
        <v>0</v>
      </c>
      <c r="Y129" s="151">
        <f t="shared" si="31"/>
        <v>0</v>
      </c>
      <c r="Z129" s="151">
        <f t="shared" si="32"/>
        <v>0</v>
      </c>
      <c r="AA129" s="151">
        <f t="shared" si="33"/>
        <v>2.9314748412265587E-4</v>
      </c>
      <c r="AB129" s="151">
        <f t="shared" si="34"/>
        <v>9.4514162404798659E-3</v>
      </c>
      <c r="AC129" s="151">
        <f t="shared" si="35"/>
        <v>3.9878815265859548E-2</v>
      </c>
    </row>
    <row r="130" spans="1:29" hidden="1" x14ac:dyDescent="0.3">
      <c r="A130" t="s">
        <v>877</v>
      </c>
      <c r="B130" t="s">
        <v>878</v>
      </c>
      <c r="C130" s="90">
        <v>11679.910946437099</v>
      </c>
      <c r="D130" s="37">
        <f t="shared" si="23"/>
        <v>9.9702198322234098E-5</v>
      </c>
      <c r="E130" t="s">
        <v>878</v>
      </c>
      <c r="F130" t="s">
        <v>1048</v>
      </c>
      <c r="G130" t="s">
        <v>1045</v>
      </c>
      <c r="H130" t="s">
        <v>1047</v>
      </c>
      <c r="I130" s="93" t="str">
        <f>VLOOKUP(B130,'Beynon 2023'!$B$88:$R$336,15,FALSE)</f>
        <v/>
      </c>
      <c r="J130" s="36" t="b">
        <f>IF(H130="Yes",C130/1000*'Preliminary results'!$D$46*Inflation!$D$7)</f>
        <v>0</v>
      </c>
      <c r="K130" s="36" t="b">
        <f>IF(H130="Yes",C130/1000*'Preliminary results'!$E$46*Inflation!$D$7)</f>
        <v>0</v>
      </c>
      <c r="L130" s="36" t="b">
        <f>IF(H130="Yes",C130/1000*'Preliminary results'!$F$46*Inflation!$D$7)</f>
        <v>0</v>
      </c>
      <c r="M130" s="150" t="b">
        <f>IF(H130="Yes",C130/1000*'Preliminary results'!$G$46*Inflation!$D$7)</f>
        <v>0</v>
      </c>
      <c r="N130" s="151">
        <f t="shared" si="36"/>
        <v>0</v>
      </c>
      <c r="O130" s="151">
        <f t="shared" si="24"/>
        <v>0</v>
      </c>
      <c r="P130" s="151">
        <f t="shared" si="25"/>
        <v>0</v>
      </c>
      <c r="Q130" s="151">
        <f t="shared" si="26"/>
        <v>0</v>
      </c>
      <c r="R130" s="151">
        <f t="shared" si="27"/>
        <v>0</v>
      </c>
      <c r="S130" s="151">
        <f t="shared" si="28"/>
        <v>0</v>
      </c>
      <c r="T130" s="151">
        <f t="shared" si="29"/>
        <v>0</v>
      </c>
      <c r="U130" s="150">
        <f>IF(G130="Yes",C130/1000*'Preliminary results'!$D$46*Inflation!$D$7)</f>
        <v>1.1116676976378909E-2</v>
      </c>
      <c r="V130" s="150">
        <f>IF(G130="Yes",C130/1000*'Preliminary results'!$E$46*Inflation!$D$7)</f>
        <v>0.35841461041076028</v>
      </c>
      <c r="W130" s="150">
        <f>IF(G130="Yes",C130/1000*'Preliminary results'!$F$46*Inflation!$D$7)</f>
        <v>1.5122760095930385</v>
      </c>
      <c r="X130" s="151">
        <f t="shared" si="30"/>
        <v>0</v>
      </c>
      <c r="Y130" s="151">
        <f t="shared" si="31"/>
        <v>0</v>
      </c>
      <c r="Z130" s="151">
        <f t="shared" si="32"/>
        <v>0</v>
      </c>
      <c r="AA130" s="151">
        <f t="shared" si="33"/>
        <v>1.1116676976378909E-2</v>
      </c>
      <c r="AB130" s="151">
        <f t="shared" si="34"/>
        <v>0.35841461041076028</v>
      </c>
      <c r="AC130" s="151">
        <f t="shared" si="35"/>
        <v>1.5122760095930385</v>
      </c>
    </row>
    <row r="131" spans="1:29" hidden="1" x14ac:dyDescent="0.3">
      <c r="A131" t="s">
        <v>857</v>
      </c>
      <c r="B131" t="s">
        <v>858</v>
      </c>
      <c r="C131" s="90">
        <v>16157.804491761401</v>
      </c>
      <c r="D131" s="37">
        <f t="shared" si="23"/>
        <v>1.3792644783656492E-4</v>
      </c>
      <c r="E131" t="s">
        <v>1059</v>
      </c>
      <c r="F131" t="s">
        <v>1048</v>
      </c>
      <c r="G131" t="s">
        <v>1045</v>
      </c>
      <c r="H131" t="s">
        <v>1047</v>
      </c>
      <c r="I131" s="93" t="str">
        <f>VLOOKUP(B131,'Beynon 2023'!$B$88:$R$336,15,FALSE)</f>
        <v/>
      </c>
      <c r="J131" s="36" t="b">
        <f>IF(H131="Yes",C131/1000*'Preliminary results'!$D$46*Inflation!$D$7)</f>
        <v>0</v>
      </c>
      <c r="K131" s="36" t="b">
        <f>IF(H131="Yes",C131/1000*'Preliminary results'!$E$46*Inflation!$D$7)</f>
        <v>0</v>
      </c>
      <c r="L131" s="36" t="b">
        <f>IF(H131="Yes",C131/1000*'Preliminary results'!$F$46*Inflation!$D$7)</f>
        <v>0</v>
      </c>
      <c r="M131" s="150" t="b">
        <f>IF(H131="Yes",C131/1000*'Preliminary results'!$G$46*Inflation!$D$7)</f>
        <v>0</v>
      </c>
      <c r="N131" s="151">
        <f t="shared" si="36"/>
        <v>0</v>
      </c>
      <c r="O131" s="151">
        <f t="shared" si="24"/>
        <v>0</v>
      </c>
      <c r="P131" s="151">
        <f t="shared" si="25"/>
        <v>0</v>
      </c>
      <c r="Q131" s="151">
        <f t="shared" si="26"/>
        <v>0</v>
      </c>
      <c r="R131" s="151">
        <f t="shared" si="27"/>
        <v>0</v>
      </c>
      <c r="S131" s="151">
        <f t="shared" si="28"/>
        <v>0</v>
      </c>
      <c r="T131" s="151">
        <f t="shared" si="29"/>
        <v>0</v>
      </c>
      <c r="U131" s="150">
        <f>IF(G131="Yes",C131/1000*'Preliminary results'!$D$46*Inflation!$D$7)</f>
        <v>1.5378635505537674E-2</v>
      </c>
      <c r="V131" s="150">
        <f>IF(G131="Yes",C131/1000*'Preliminary results'!$E$46*Inflation!$D$7)</f>
        <v>0.49582511618159819</v>
      </c>
      <c r="W131" s="150">
        <f>IF(G131="Yes",C131/1000*'Preliminary results'!$F$46*Inflation!$D$7)</f>
        <v>2.0920587676260669</v>
      </c>
      <c r="X131" s="151">
        <f t="shared" si="30"/>
        <v>0</v>
      </c>
      <c r="Y131" s="151">
        <f t="shared" si="31"/>
        <v>0</v>
      </c>
      <c r="Z131" s="151">
        <f t="shared" si="32"/>
        <v>0</v>
      </c>
      <c r="AA131" s="151">
        <f t="shared" si="33"/>
        <v>1.5378635505537674E-2</v>
      </c>
      <c r="AB131" s="151">
        <f t="shared" si="34"/>
        <v>0.49582511618159819</v>
      </c>
      <c r="AC131" s="151">
        <f t="shared" si="35"/>
        <v>2.0920587676260669</v>
      </c>
    </row>
    <row r="132" spans="1:29" hidden="1" x14ac:dyDescent="0.3">
      <c r="A132" t="s">
        <v>599</v>
      </c>
      <c r="B132" t="s">
        <v>600</v>
      </c>
      <c r="C132" s="90">
        <v>1832641.3647755201</v>
      </c>
      <c r="D132" s="37">
        <f t="shared" si="23"/>
        <v>1.564381557721688E-2</v>
      </c>
      <c r="E132" t="s">
        <v>600</v>
      </c>
      <c r="F132" t="s">
        <v>1052</v>
      </c>
      <c r="G132" t="s">
        <v>1047</v>
      </c>
      <c r="H132" t="s">
        <v>1047</v>
      </c>
      <c r="I132" s="45">
        <f>VLOOKUP(B132,'Beynon 2023'!$B$88:$R$336,15,FALSE)</f>
        <v>6.5335542341098422E-3</v>
      </c>
      <c r="J132" s="36" t="b">
        <f>IF(H132="Yes",C132/1000*'Preliminary results'!$D$46*Inflation!$D$7)</f>
        <v>0</v>
      </c>
      <c r="K132" s="36" t="b">
        <f>IF(H132="Yes",C132/1000*'Preliminary results'!$E$46*Inflation!$D$7)</f>
        <v>0</v>
      </c>
      <c r="L132" s="36" t="b">
        <f>IF(H132="Yes",C132/1000*'Preliminary results'!$F$46*Inflation!$D$7)</f>
        <v>0</v>
      </c>
      <c r="M132" s="150" t="b">
        <f>IF(H132="Yes",C132/1000*'Preliminary results'!$G$46*Inflation!$D$7)</f>
        <v>0</v>
      </c>
      <c r="N132" s="151">
        <f t="shared" si="36"/>
        <v>2.7658003681030271E-2</v>
      </c>
      <c r="O132" s="151">
        <f t="shared" si="24"/>
        <v>0.89172624473476969</v>
      </c>
      <c r="P132" s="151">
        <f t="shared" si="25"/>
        <v>3.7625034467523424</v>
      </c>
      <c r="Q132" s="151">
        <f t="shared" si="26"/>
        <v>6.4357482858729158</v>
      </c>
      <c r="R132" s="151">
        <f t="shared" si="27"/>
        <v>-2.7658003681030271E-2</v>
      </c>
      <c r="S132" s="151">
        <f t="shared" si="28"/>
        <v>-0.89172624473476969</v>
      </c>
      <c r="T132" s="151">
        <f t="shared" si="29"/>
        <v>-3.7625034467523424</v>
      </c>
      <c r="U132" s="150" t="b">
        <f>IF(G132="Yes",C132/1000*'Preliminary results'!$D$46*Inflation!$D$7)</f>
        <v>0</v>
      </c>
      <c r="V132" s="150" t="b">
        <f>IF(G132="Yes",C132/1000*'Preliminary results'!$E$46*Inflation!$D$7)</f>
        <v>0</v>
      </c>
      <c r="W132" s="150" t="b">
        <f>IF(G132="Yes",C132/1000*'Preliminary results'!$F$46*Inflation!$D$7)</f>
        <v>0</v>
      </c>
      <c r="X132" s="151">
        <f t="shared" si="30"/>
        <v>0.25086659812193601</v>
      </c>
      <c r="Y132" s="151">
        <f t="shared" si="31"/>
        <v>8.0882312423037295</v>
      </c>
      <c r="Z132" s="151">
        <f t="shared" si="32"/>
        <v>34.127063218094769</v>
      </c>
      <c r="AA132" s="151">
        <f t="shared" si="33"/>
        <v>-0.25086659812193601</v>
      </c>
      <c r="AB132" s="151">
        <f t="shared" si="34"/>
        <v>-8.0882312423037295</v>
      </c>
      <c r="AC132" s="151">
        <f t="shared" si="35"/>
        <v>-34.127063218094769</v>
      </c>
    </row>
    <row r="133" spans="1:29" hidden="1" x14ac:dyDescent="0.3">
      <c r="A133" t="s">
        <v>971</v>
      </c>
      <c r="B133" t="s">
        <v>972</v>
      </c>
      <c r="C133" s="90">
        <v>501.79759999999999</v>
      </c>
      <c r="D133" s="45">
        <f t="shared" si="23"/>
        <v>4.2834507953232812E-6</v>
      </c>
      <c r="E133" t="s">
        <v>1067</v>
      </c>
      <c r="F133" t="s">
        <v>1058</v>
      </c>
      <c r="G133" t="s">
        <v>1047</v>
      </c>
      <c r="H133" t="s">
        <v>1047</v>
      </c>
      <c r="I133" t="s">
        <v>1060</v>
      </c>
      <c r="J133" s="36" t="b">
        <f>IF(H133="Yes",C133/1000*'Preliminary results'!$D$46*Inflation!$D$7)</f>
        <v>0</v>
      </c>
      <c r="K133" s="36" t="b">
        <f>IF(H133="Yes",C133/1000*'Preliminary results'!$E$46*Inflation!$D$7)</f>
        <v>0</v>
      </c>
      <c r="L133" s="36" t="b">
        <f>IF(H133="Yes",C133/1000*'Preliminary results'!$F$46*Inflation!$D$7)</f>
        <v>0</v>
      </c>
      <c r="M133" s="150" t="b">
        <f>IF(H133="Yes",C133/1000*'Preliminary results'!$G$46*Inflation!$D$7)</f>
        <v>0</v>
      </c>
      <c r="N133" s="151">
        <f t="shared" si="36"/>
        <v>0</v>
      </c>
      <c r="O133" s="151">
        <f t="shared" si="24"/>
        <v>0</v>
      </c>
      <c r="P133" s="151">
        <f t="shared" si="25"/>
        <v>0</v>
      </c>
      <c r="Q133" s="151">
        <f t="shared" si="26"/>
        <v>0</v>
      </c>
      <c r="R133" s="151">
        <f t="shared" si="27"/>
        <v>0</v>
      </c>
      <c r="S133" s="151">
        <f t="shared" si="28"/>
        <v>0</v>
      </c>
      <c r="T133" s="151">
        <f t="shared" si="29"/>
        <v>0</v>
      </c>
      <c r="U133" s="150" t="b">
        <f>IF(G133="Yes",C133/1000*'Preliminary results'!$D$46*Inflation!$D$7)</f>
        <v>0</v>
      </c>
      <c r="V133" s="150" t="b">
        <f>IF(G133="Yes",C133/1000*'Preliminary results'!$E$46*Inflation!$D$7)</f>
        <v>0</v>
      </c>
      <c r="W133" s="150" t="b">
        <f>IF(G133="Yes",C133/1000*'Preliminary results'!$F$46*Inflation!$D$7)</f>
        <v>0</v>
      </c>
      <c r="X133" s="151">
        <f t="shared" si="30"/>
        <v>0</v>
      </c>
      <c r="Y133" s="151">
        <f t="shared" si="31"/>
        <v>0</v>
      </c>
      <c r="Z133" s="151">
        <f t="shared" si="32"/>
        <v>0</v>
      </c>
      <c r="AA133" s="151">
        <f t="shared" si="33"/>
        <v>0</v>
      </c>
      <c r="AB133" s="151">
        <f t="shared" si="34"/>
        <v>0</v>
      </c>
      <c r="AC133" s="151">
        <f t="shared" si="35"/>
        <v>0</v>
      </c>
    </row>
    <row r="134" spans="1:29" hidden="1" x14ac:dyDescent="0.3">
      <c r="A134" t="s">
        <v>836</v>
      </c>
      <c r="B134" t="s">
        <v>837</v>
      </c>
      <c r="C134" s="90">
        <v>20351.796275294299</v>
      </c>
      <c r="D134" s="37">
        <f t="shared" ref="D134:D197" si="37">C134/$C$3</f>
        <v>1.7372725166813624E-4</v>
      </c>
      <c r="E134" t="s">
        <v>837</v>
      </c>
      <c r="F134" t="s">
        <v>1053</v>
      </c>
      <c r="G134" t="s">
        <v>1047</v>
      </c>
      <c r="H134" t="s">
        <v>1047</v>
      </c>
      <c r="I134" s="93">
        <f>VLOOKUP(B134,'Beynon 2023'!$B$88:$R$336,15,FALSE)</f>
        <v>1.0971507438222196E-4</v>
      </c>
      <c r="J134" s="36" t="b">
        <f>IF(H134="Yes",C134/1000*'Preliminary results'!$D$46*Inflation!$D$7)</f>
        <v>0</v>
      </c>
      <c r="K134" s="36" t="b">
        <f>IF(H134="Yes",C134/1000*'Preliminary results'!$E$46*Inflation!$D$7)</f>
        <v>0</v>
      </c>
      <c r="L134" s="36" t="b">
        <f>IF(H134="Yes",C134/1000*'Preliminary results'!$F$46*Inflation!$D$7)</f>
        <v>0</v>
      </c>
      <c r="M134" s="150" t="b">
        <f>IF(H134="Yes",C134/1000*'Preliminary results'!$G$46*Inflation!$D$7)</f>
        <v>0</v>
      </c>
      <c r="N134" s="151">
        <f t="shared" si="36"/>
        <v>4.6444857154253607E-4</v>
      </c>
      <c r="O134" s="151">
        <f t="shared" ref="O134:O197" si="38">IFERROR($K$3*$I134,0)</f>
        <v>1.4974362768565012E-2</v>
      </c>
      <c r="P134" s="151">
        <f t="shared" ref="P134:P197" si="39">IFERROR($L$3*$I134,0)</f>
        <v>6.3182049269396121E-2</v>
      </c>
      <c r="Q134" s="151">
        <f t="shared" ref="Q134:Q197" si="40">IFERROR($M$3*$I134,0)</f>
        <v>0.10807266253388743</v>
      </c>
      <c r="R134" s="151">
        <f t="shared" ref="R134:R197" si="41">J134-N134</f>
        <v>-4.6444857154253607E-4</v>
      </c>
      <c r="S134" s="151">
        <f t="shared" ref="S134:S197" si="42">K134-O134</f>
        <v>-1.4974362768565012E-2</v>
      </c>
      <c r="T134" s="151">
        <f t="shared" ref="T134:T197" si="43">L134-P134</f>
        <v>-6.3182049269396121E-2</v>
      </c>
      <c r="U134" s="150" t="b">
        <f>IF(G134="Yes",C134/1000*'Preliminary results'!$D$46*Inflation!$D$7)</f>
        <v>0</v>
      </c>
      <c r="V134" s="150" t="b">
        <f>IF(G134="Yes",C134/1000*'Preliminary results'!$E$46*Inflation!$D$7)</f>
        <v>0</v>
      </c>
      <c r="W134" s="150" t="b">
        <f>IF(G134="Yes",C134/1000*'Preliminary results'!$F$46*Inflation!$D$7)</f>
        <v>0</v>
      </c>
      <c r="X134" s="151">
        <f t="shared" ref="X134:X197" si="44">IFERROR($U$3*$I134,0)</f>
        <v>4.2126913601281454E-3</v>
      </c>
      <c r="Y134" s="151">
        <f t="shared" ref="Y134:Y197" si="45">IFERROR($V$3*$I134,0)</f>
        <v>0.13582207487267736</v>
      </c>
      <c r="Z134" s="151">
        <f t="shared" ref="Z134:Z197" si="46">IFERROR($W$3*$I134,0)</f>
        <v>0.57308061512252684</v>
      </c>
      <c r="AA134" s="151">
        <f t="shared" ref="AA134:AA197" si="47">U134-X134</f>
        <v>-4.2126913601281454E-3</v>
      </c>
      <c r="AB134" s="151">
        <f t="shared" ref="AB134:AB197" si="48">V134-Y134</f>
        <v>-0.13582207487267736</v>
      </c>
      <c r="AC134" s="151">
        <f t="shared" ref="AC134:AC197" si="49">W134-Z134</f>
        <v>-0.57308061512252684</v>
      </c>
    </row>
    <row r="135" spans="1:29" hidden="1" x14ac:dyDescent="0.3">
      <c r="A135" t="s">
        <v>879</v>
      </c>
      <c r="B135" t="s">
        <v>880</v>
      </c>
      <c r="C135" s="90">
        <v>11125.7888382812</v>
      </c>
      <c r="D135" s="45">
        <f t="shared" si="37"/>
        <v>9.4972094422003011E-5</v>
      </c>
      <c r="E135" t="s">
        <v>1050</v>
      </c>
      <c r="F135" t="s">
        <v>1046</v>
      </c>
      <c r="G135" t="s">
        <v>1047</v>
      </c>
      <c r="H135" t="s">
        <v>1047</v>
      </c>
      <c r="I135" t="s">
        <v>1060</v>
      </c>
      <c r="J135" s="36" t="b">
        <f>IF(H135="Yes",C135/1000*'Preliminary results'!$D$46*Inflation!$D$7)</f>
        <v>0</v>
      </c>
      <c r="K135" s="36" t="b">
        <f>IF(H135="Yes",C135/1000*'Preliminary results'!$E$46*Inflation!$D$7)</f>
        <v>0</v>
      </c>
      <c r="L135" s="36" t="b">
        <f>IF(H135="Yes",C135/1000*'Preliminary results'!$F$46*Inflation!$D$7)</f>
        <v>0</v>
      </c>
      <c r="M135" s="150" t="b">
        <f>IF(H135="Yes",C135/1000*'Preliminary results'!$G$46*Inflation!$D$7)</f>
        <v>0</v>
      </c>
      <c r="N135" s="151">
        <f t="shared" ref="N135:N198" si="50">IFERROR($J$3*$I135,0)</f>
        <v>0</v>
      </c>
      <c r="O135" s="151">
        <f t="shared" si="38"/>
        <v>0</v>
      </c>
      <c r="P135" s="151">
        <f t="shared" si="39"/>
        <v>0</v>
      </c>
      <c r="Q135" s="151">
        <f t="shared" si="40"/>
        <v>0</v>
      </c>
      <c r="R135" s="151">
        <f t="shared" si="41"/>
        <v>0</v>
      </c>
      <c r="S135" s="151">
        <f t="shared" si="42"/>
        <v>0</v>
      </c>
      <c r="T135" s="151">
        <f t="shared" si="43"/>
        <v>0</v>
      </c>
      <c r="U135" s="150" t="b">
        <f>IF(G135="Yes",C135/1000*'Preliminary results'!$D$46*Inflation!$D$7)</f>
        <v>0</v>
      </c>
      <c r="V135" s="150" t="b">
        <f>IF(G135="Yes",C135/1000*'Preliminary results'!$E$46*Inflation!$D$7)</f>
        <v>0</v>
      </c>
      <c r="W135" s="150" t="b">
        <f>IF(G135="Yes",C135/1000*'Preliminary results'!$F$46*Inflation!$D$7)</f>
        <v>0</v>
      </c>
      <c r="X135" s="151">
        <f t="shared" si="44"/>
        <v>0</v>
      </c>
      <c r="Y135" s="151">
        <f t="shared" si="45"/>
        <v>0</v>
      </c>
      <c r="Z135" s="151">
        <f t="shared" si="46"/>
        <v>0</v>
      </c>
      <c r="AA135" s="151">
        <f t="shared" si="47"/>
        <v>0</v>
      </c>
      <c r="AB135" s="151">
        <f t="shared" si="48"/>
        <v>0</v>
      </c>
      <c r="AC135" s="151">
        <f t="shared" si="49"/>
        <v>0</v>
      </c>
    </row>
    <row r="136" spans="1:29" hidden="1" x14ac:dyDescent="0.3">
      <c r="A136" t="s">
        <v>818</v>
      </c>
      <c r="B136" t="s">
        <v>819</v>
      </c>
      <c r="C136" s="90">
        <v>25369.107325454901</v>
      </c>
      <c r="D136" s="37">
        <f t="shared" si="37"/>
        <v>2.1655608346843726E-4</v>
      </c>
      <c r="E136" t="s">
        <v>819</v>
      </c>
      <c r="F136" t="s">
        <v>1011</v>
      </c>
      <c r="G136" t="s">
        <v>1045</v>
      </c>
      <c r="H136" t="s">
        <v>1045</v>
      </c>
      <c r="I136" s="93" t="str">
        <f>VLOOKUP(B136,'Beynon 2023'!$B$88:$R$336,15,FALSE)</f>
        <v/>
      </c>
      <c r="J136" s="36">
        <f>IF(H136="Yes",C136/1000*'Preliminary results'!$D$46*Inflation!$D$7)</f>
        <v>2.4145746710697222E-2</v>
      </c>
      <c r="K136" s="36">
        <f>IF(H136="Yes",C136/1000*'Preliminary results'!$E$46*Inflation!$D$7)</f>
        <v>0.77848699020221168</v>
      </c>
      <c r="L136" s="36">
        <f>IF(H136="Yes",C136/1000*'Preliminary results'!$F$46*Inflation!$D$7)</f>
        <v>3.2847076119856502</v>
      </c>
      <c r="M136" s="150">
        <f>IF(H136="Yes",C136/1000*'Preliminary results'!$G$46*Inflation!$D$7)</f>
        <v>5.6184802705436123</v>
      </c>
      <c r="N136" s="151">
        <f t="shared" si="50"/>
        <v>0</v>
      </c>
      <c r="O136" s="151">
        <f t="shared" si="38"/>
        <v>0</v>
      </c>
      <c r="P136" s="151">
        <f t="shared" si="39"/>
        <v>0</v>
      </c>
      <c r="Q136" s="151">
        <f t="shared" si="40"/>
        <v>0</v>
      </c>
      <c r="R136" s="151">
        <f t="shared" si="41"/>
        <v>2.4145746710697222E-2</v>
      </c>
      <c r="S136" s="151">
        <f t="shared" si="42"/>
        <v>0.77848699020221168</v>
      </c>
      <c r="T136" s="151">
        <f t="shared" si="43"/>
        <v>3.2847076119856502</v>
      </c>
      <c r="U136" s="150">
        <f>IF(G136="Yes",C136/1000*'Preliminary results'!$D$46*Inflation!$D$7)</f>
        <v>2.4145746710697222E-2</v>
      </c>
      <c r="V136" s="150">
        <f>IF(G136="Yes",C136/1000*'Preliminary results'!$E$46*Inflation!$D$7)</f>
        <v>0.77848699020221168</v>
      </c>
      <c r="W136" s="150">
        <f>IF(G136="Yes",C136/1000*'Preliminary results'!$F$46*Inflation!$D$7)</f>
        <v>3.2847076119856502</v>
      </c>
      <c r="X136" s="151">
        <f t="shared" si="44"/>
        <v>0</v>
      </c>
      <c r="Y136" s="151">
        <f t="shared" si="45"/>
        <v>0</v>
      </c>
      <c r="Z136" s="151">
        <f t="shared" si="46"/>
        <v>0</v>
      </c>
      <c r="AA136" s="151">
        <f t="shared" si="47"/>
        <v>2.4145746710697222E-2</v>
      </c>
      <c r="AB136" s="151">
        <f t="shared" si="48"/>
        <v>0.77848699020221168</v>
      </c>
      <c r="AC136" s="151">
        <f t="shared" si="49"/>
        <v>3.2847076119856502</v>
      </c>
    </row>
    <row r="137" spans="1:29" hidden="1" x14ac:dyDescent="0.3">
      <c r="A137" t="s">
        <v>881</v>
      </c>
      <c r="B137" t="s">
        <v>882</v>
      </c>
      <c r="C137" s="90">
        <v>9232.8014647925702</v>
      </c>
      <c r="D137" s="37">
        <f t="shared" si="37"/>
        <v>7.8813152508955191E-5</v>
      </c>
      <c r="E137" t="s">
        <v>1049</v>
      </c>
      <c r="F137" s="8"/>
      <c r="G137" t="s">
        <v>1047</v>
      </c>
      <c r="H137" t="s">
        <v>1047</v>
      </c>
      <c r="I137" s="93">
        <f>VLOOKUP(B137,'Beynon 2023'!$B$88:$R$336,15,FALSE)</f>
        <v>2.3066283095747612E-5</v>
      </c>
      <c r="J137" s="36" t="b">
        <f>IF(H137="Yes",C137/1000*'Preliminary results'!$D$46*Inflation!$D$7)</f>
        <v>0</v>
      </c>
      <c r="K137" s="36" t="b">
        <f>IF(H137="Yes",C137/1000*'Preliminary results'!$E$46*Inflation!$D$7)</f>
        <v>0</v>
      </c>
      <c r="L137" s="36" t="b">
        <f>IF(H137="Yes",C137/1000*'Preliminary results'!$F$46*Inflation!$D$7)</f>
        <v>0</v>
      </c>
      <c r="M137" s="150" t="b">
        <f>IF(H137="Yes",C137/1000*'Preliminary results'!$G$46*Inflation!$D$7)</f>
        <v>0</v>
      </c>
      <c r="N137" s="151">
        <f t="shared" si="50"/>
        <v>9.7644761168312694E-5</v>
      </c>
      <c r="O137" s="151">
        <f t="shared" si="38"/>
        <v>3.1481808014351765E-3</v>
      </c>
      <c r="P137" s="151">
        <f t="shared" si="39"/>
        <v>1.3283270719392733E-2</v>
      </c>
      <c r="Q137" s="151">
        <f t="shared" si="40"/>
        <v>2.2720985634420522E-2</v>
      </c>
      <c r="R137" s="151">
        <f t="shared" si="41"/>
        <v>-9.7644761168312694E-5</v>
      </c>
      <c r="S137" s="151">
        <f t="shared" si="42"/>
        <v>-3.1481808014351765E-3</v>
      </c>
      <c r="T137" s="151">
        <f t="shared" si="43"/>
        <v>-1.3283270719392733E-2</v>
      </c>
      <c r="U137" s="150" t="b">
        <f>IF(G137="Yes",C137/1000*'Preliminary results'!$D$46*Inflation!$D$7)</f>
        <v>0</v>
      </c>
      <c r="V137" s="150" t="b">
        <f>IF(G137="Yes",C137/1000*'Preliminary results'!$E$46*Inflation!$D$7)</f>
        <v>0</v>
      </c>
      <c r="W137" s="150" t="b">
        <f>IF(G137="Yes",C137/1000*'Preliminary results'!$F$46*Inflation!$D$7)</f>
        <v>0</v>
      </c>
      <c r="X137" s="151">
        <f t="shared" si="44"/>
        <v>8.8566800920358575E-4</v>
      </c>
      <c r="Y137" s="151">
        <f t="shared" si="45"/>
        <v>2.8554967923101148E-2</v>
      </c>
      <c r="Z137" s="151">
        <f t="shared" si="46"/>
        <v>0.12048334998206357</v>
      </c>
      <c r="AA137" s="151">
        <f t="shared" si="47"/>
        <v>-8.8566800920358575E-4</v>
      </c>
      <c r="AB137" s="151">
        <f t="shared" si="48"/>
        <v>-2.8554967923101148E-2</v>
      </c>
      <c r="AC137" s="151">
        <f t="shared" si="49"/>
        <v>-0.12048334998206357</v>
      </c>
    </row>
    <row r="138" spans="1:29" hidden="1" x14ac:dyDescent="0.3">
      <c r="A138" t="s">
        <v>684</v>
      </c>
      <c r="B138" t="s">
        <v>685</v>
      </c>
      <c r="C138" s="90">
        <v>182374.25061228001</v>
      </c>
      <c r="D138" s="37">
        <f t="shared" si="37"/>
        <v>1.5567853031414624E-3</v>
      </c>
      <c r="E138" t="s">
        <v>685</v>
      </c>
      <c r="F138" t="s">
        <v>1048</v>
      </c>
      <c r="G138" t="s">
        <v>1045</v>
      </c>
      <c r="H138" t="s">
        <v>1045</v>
      </c>
      <c r="I138" s="93" t="str">
        <f>VLOOKUP(B138,'Beynon 2023'!$B$88:$R$336,15,FALSE)</f>
        <v/>
      </c>
      <c r="J138" s="36">
        <f>IF(H138="Yes",C138/1000*'Preliminary results'!$D$46*Inflation!$D$7)</f>
        <v>0.17357971667449554</v>
      </c>
      <c r="K138" s="36">
        <f>IF(H138="Yes",C138/1000*'Preliminary results'!$E$46*Inflation!$D$7)</f>
        <v>5.5964121885787286</v>
      </c>
      <c r="L138" s="36">
        <f>IF(H138="Yes",C138/1000*'Preliminary results'!$F$46*Inflation!$D$7)</f>
        <v>23.61321119940483</v>
      </c>
      <c r="M138" s="150">
        <f>IF(H138="Yes",C138/1000*'Preliminary results'!$G$46*Inflation!$D$7)</f>
        <v>40.390310773455568</v>
      </c>
      <c r="N138" s="151">
        <f t="shared" si="50"/>
        <v>0</v>
      </c>
      <c r="O138" s="151">
        <f t="shared" si="38"/>
        <v>0</v>
      </c>
      <c r="P138" s="151">
        <f t="shared" si="39"/>
        <v>0</v>
      </c>
      <c r="Q138" s="151">
        <f t="shared" si="40"/>
        <v>0</v>
      </c>
      <c r="R138" s="151">
        <f t="shared" si="41"/>
        <v>0.17357971667449554</v>
      </c>
      <c r="S138" s="151">
        <f t="shared" si="42"/>
        <v>5.5964121885787286</v>
      </c>
      <c r="T138" s="151">
        <f t="shared" si="43"/>
        <v>23.61321119940483</v>
      </c>
      <c r="U138" s="150">
        <f>IF(G138="Yes",C138/1000*'Preliminary results'!$D$46*Inflation!$D$7)</f>
        <v>0.17357971667449554</v>
      </c>
      <c r="V138" s="150">
        <f>IF(G138="Yes",C138/1000*'Preliminary results'!$E$46*Inflation!$D$7)</f>
        <v>5.5964121885787286</v>
      </c>
      <c r="W138" s="150">
        <f>IF(G138="Yes",C138/1000*'Preliminary results'!$F$46*Inflation!$D$7)</f>
        <v>23.61321119940483</v>
      </c>
      <c r="X138" s="151">
        <f t="shared" si="44"/>
        <v>0</v>
      </c>
      <c r="Y138" s="151">
        <f t="shared" si="45"/>
        <v>0</v>
      </c>
      <c r="Z138" s="151">
        <f t="shared" si="46"/>
        <v>0</v>
      </c>
      <c r="AA138" s="151">
        <f t="shared" si="47"/>
        <v>0.17357971667449554</v>
      </c>
      <c r="AB138" s="151">
        <f t="shared" si="48"/>
        <v>5.5964121885787286</v>
      </c>
      <c r="AC138" s="151">
        <f t="shared" si="49"/>
        <v>23.61321119940483</v>
      </c>
    </row>
    <row r="139" spans="1:29" hidden="1" x14ac:dyDescent="0.3">
      <c r="A139" t="s">
        <v>826</v>
      </c>
      <c r="B139" t="s">
        <v>827</v>
      </c>
      <c r="C139" s="90">
        <v>22337.9970461913</v>
      </c>
      <c r="D139" s="37">
        <f t="shared" si="37"/>
        <v>1.9068188292139547E-4</v>
      </c>
      <c r="E139" t="s">
        <v>827</v>
      </c>
      <c r="F139" t="s">
        <v>1048</v>
      </c>
      <c r="G139" t="s">
        <v>1045</v>
      </c>
      <c r="H139" t="s">
        <v>1045</v>
      </c>
      <c r="I139" s="93" t="str">
        <f>VLOOKUP(B139,'Beynon 2023'!$B$88:$R$336,15,FALSE)</f>
        <v/>
      </c>
      <c r="J139" s="36">
        <f>IF(H139="Yes",C139/1000*'Preliminary results'!$D$46*Inflation!$D$7)</f>
        <v>2.1260804007890582E-2</v>
      </c>
      <c r="K139" s="36">
        <f>IF(H139="Yes",C139/1000*'Preliminary results'!$E$46*Inflation!$D$7)</f>
        <v>0.68547307812390834</v>
      </c>
      <c r="L139" s="36">
        <f>IF(H139="Yes",C139/1000*'Preliminary results'!$F$46*Inflation!$D$7)</f>
        <v>2.8922495377090236</v>
      </c>
      <c r="M139" s="150">
        <f>IF(H139="Yes",C139/1000*'Preliminary results'!$G$46*Inflation!$D$7)</f>
        <v>4.947182180176962</v>
      </c>
      <c r="N139" s="151">
        <f t="shared" si="50"/>
        <v>0</v>
      </c>
      <c r="O139" s="151">
        <f t="shared" si="38"/>
        <v>0</v>
      </c>
      <c r="P139" s="151">
        <f t="shared" si="39"/>
        <v>0</v>
      </c>
      <c r="Q139" s="151">
        <f t="shared" si="40"/>
        <v>0</v>
      </c>
      <c r="R139" s="151">
        <f t="shared" si="41"/>
        <v>2.1260804007890582E-2</v>
      </c>
      <c r="S139" s="151">
        <f t="shared" si="42"/>
        <v>0.68547307812390834</v>
      </c>
      <c r="T139" s="151">
        <f t="shared" si="43"/>
        <v>2.8922495377090236</v>
      </c>
      <c r="U139" s="150">
        <f>IF(G139="Yes",C139/1000*'Preliminary results'!$D$46*Inflation!$D$7)</f>
        <v>2.1260804007890582E-2</v>
      </c>
      <c r="V139" s="150">
        <f>IF(G139="Yes",C139/1000*'Preliminary results'!$E$46*Inflation!$D$7)</f>
        <v>0.68547307812390834</v>
      </c>
      <c r="W139" s="150">
        <f>IF(G139="Yes",C139/1000*'Preliminary results'!$F$46*Inflation!$D$7)</f>
        <v>2.8922495377090236</v>
      </c>
      <c r="X139" s="151">
        <f t="shared" si="44"/>
        <v>0</v>
      </c>
      <c r="Y139" s="151">
        <f t="shared" si="45"/>
        <v>0</v>
      </c>
      <c r="Z139" s="151">
        <f t="shared" si="46"/>
        <v>0</v>
      </c>
      <c r="AA139" s="151">
        <f t="shared" si="47"/>
        <v>2.1260804007890582E-2</v>
      </c>
      <c r="AB139" s="151">
        <f t="shared" si="48"/>
        <v>0.68547307812390834</v>
      </c>
      <c r="AC139" s="151">
        <f t="shared" si="49"/>
        <v>2.8922495377090236</v>
      </c>
    </row>
    <row r="140" spans="1:29" hidden="1" x14ac:dyDescent="0.3">
      <c r="A140" t="s">
        <v>740</v>
      </c>
      <c r="B140" t="s">
        <v>741</v>
      </c>
      <c r="C140" s="90">
        <v>81665.773809523802</v>
      </c>
      <c r="D140" s="37">
        <f t="shared" si="37"/>
        <v>6.9711637475965605E-4</v>
      </c>
      <c r="E140" t="s">
        <v>741</v>
      </c>
      <c r="F140" t="s">
        <v>1058</v>
      </c>
      <c r="G140" t="s">
        <v>1045</v>
      </c>
      <c r="H140" t="s">
        <v>1047</v>
      </c>
      <c r="I140" s="93" t="str">
        <f>VLOOKUP(B140,'Beynon 2023'!$B$88:$R$336,15,FALSE)</f>
        <v/>
      </c>
      <c r="J140" s="36" t="b">
        <f>IF(H140="Yes",C140/1000*'Preliminary results'!$D$46*Inflation!$D$7)</f>
        <v>0</v>
      </c>
      <c r="K140" s="36" t="b">
        <f>IF(H140="Yes",C140/1000*'Preliminary results'!$E$46*Inflation!$D$7)</f>
        <v>0</v>
      </c>
      <c r="L140" s="36" t="b">
        <f>IF(H140="Yes",C140/1000*'Preliminary results'!$F$46*Inflation!$D$7)</f>
        <v>0</v>
      </c>
      <c r="M140" s="150" t="b">
        <f>IF(H140="Yes",C140/1000*'Preliminary results'!$G$46*Inflation!$D$7)</f>
        <v>0</v>
      </c>
      <c r="N140" s="151">
        <f t="shared" si="50"/>
        <v>0</v>
      </c>
      <c r="O140" s="151">
        <f t="shared" si="38"/>
        <v>0</v>
      </c>
      <c r="P140" s="151">
        <f t="shared" si="39"/>
        <v>0</v>
      </c>
      <c r="Q140" s="151">
        <f t="shared" si="40"/>
        <v>0</v>
      </c>
      <c r="R140" s="151">
        <f t="shared" si="41"/>
        <v>0</v>
      </c>
      <c r="S140" s="151">
        <f t="shared" si="42"/>
        <v>0</v>
      </c>
      <c r="T140" s="151">
        <f t="shared" si="43"/>
        <v>0</v>
      </c>
      <c r="U140" s="150">
        <f>IF(G140="Yes",C140/1000*'Preliminary results'!$D$46*Inflation!$D$7)</f>
        <v>7.7727649776596713E-2</v>
      </c>
      <c r="V140" s="150">
        <f>IF(G140="Yes",C140/1000*'Preliminary results'!$E$46*Inflation!$D$7)</f>
        <v>2.5060299379048332</v>
      </c>
      <c r="W140" s="150">
        <f>IF(G140="Yes",C140/1000*'Preliminary results'!$F$46*Inflation!$D$7)</f>
        <v>10.573812686017762</v>
      </c>
      <c r="X140" s="151">
        <f t="shared" si="44"/>
        <v>0</v>
      </c>
      <c r="Y140" s="151">
        <f t="shared" si="45"/>
        <v>0</v>
      </c>
      <c r="Z140" s="151">
        <f t="shared" si="46"/>
        <v>0</v>
      </c>
      <c r="AA140" s="151">
        <f t="shared" si="47"/>
        <v>7.7727649776596713E-2</v>
      </c>
      <c r="AB140" s="151">
        <f t="shared" si="48"/>
        <v>2.5060299379048332</v>
      </c>
      <c r="AC140" s="151">
        <f t="shared" si="49"/>
        <v>10.573812686017762</v>
      </c>
    </row>
    <row r="141" spans="1:29" hidden="1" x14ac:dyDescent="0.3">
      <c r="A141" t="s">
        <v>861</v>
      </c>
      <c r="B141" t="s">
        <v>862</v>
      </c>
      <c r="C141" s="90">
        <v>15080.340653527601</v>
      </c>
      <c r="D141" s="45">
        <f t="shared" si="37"/>
        <v>1.2872898787498948E-4</v>
      </c>
      <c r="E141" t="s">
        <v>862</v>
      </c>
      <c r="F141" t="s">
        <v>1048</v>
      </c>
      <c r="G141" t="s">
        <v>1045</v>
      </c>
      <c r="H141" t="s">
        <v>1045</v>
      </c>
      <c r="I141" s="93">
        <f>VLOOKUP(B141,'Beynon 2023'!$B$88:$R$336,15,FALSE)</f>
        <v>6.5554318170262085E-5</v>
      </c>
      <c r="J141" s="36">
        <f>IF(H141="Yes",C141/1000*'Preliminary results'!$D$46*Inflation!$D$7)</f>
        <v>1.4353129617838392E-2</v>
      </c>
      <c r="K141" s="36">
        <f>IF(H141="Yes",C141/1000*'Preliminary results'!$E$46*Inflation!$D$7)</f>
        <v>0.4627616122231154</v>
      </c>
      <c r="L141" s="36">
        <f>IF(H141="Yes",C141/1000*'Preliminary results'!$F$46*Inflation!$D$7)</f>
        <v>1.9525523346372045</v>
      </c>
      <c r="M141" s="150">
        <f>IF(H141="Yes",C141/1000*'Preliminary results'!$G$46*Inflation!$D$7)</f>
        <v>3.3398335758509905</v>
      </c>
      <c r="N141" s="151">
        <f t="shared" si="50"/>
        <v>2.7750616407144015E-4</v>
      </c>
      <c r="O141" s="151">
        <f t="shared" si="38"/>
        <v>8.9471218686654769E-3</v>
      </c>
      <c r="P141" s="151">
        <f t="shared" si="39"/>
        <v>3.7751021760472944E-2</v>
      </c>
      <c r="Q141" s="151">
        <f t="shared" si="40"/>
        <v>6.4572983659224509E-2</v>
      </c>
      <c r="R141" s="151">
        <f t="shared" si="41"/>
        <v>1.4075623453766952E-2</v>
      </c>
      <c r="S141" s="151">
        <f t="shared" si="42"/>
        <v>0.45381449035444993</v>
      </c>
      <c r="T141" s="151">
        <f t="shared" si="43"/>
        <v>1.9148013128767316</v>
      </c>
      <c r="U141" s="150">
        <f>IF(G141="Yes",C141/1000*'Preliminary results'!$D$46*Inflation!$D$7)</f>
        <v>1.4353129617838392E-2</v>
      </c>
      <c r="V141" s="150">
        <f>IF(G141="Yes",C141/1000*'Preliminary results'!$E$46*Inflation!$D$7)</f>
        <v>0.4627616122231154</v>
      </c>
      <c r="W141" s="150">
        <f>IF(G141="Yes",C141/1000*'Preliminary results'!$F$46*Inflation!$D$7)</f>
        <v>1.9525523346372045</v>
      </c>
      <c r="X141" s="151">
        <f t="shared" si="44"/>
        <v>2.517066240258623E-3</v>
      </c>
      <c r="Y141" s="151">
        <f t="shared" si="45"/>
        <v>8.1153146556052422E-2</v>
      </c>
      <c r="Z141" s="151">
        <f t="shared" si="46"/>
        <v>0.34241337566863173</v>
      </c>
      <c r="AA141" s="151">
        <f t="shared" si="47"/>
        <v>1.183606337757977E-2</v>
      </c>
      <c r="AB141" s="151">
        <f t="shared" si="48"/>
        <v>0.38160846566706297</v>
      </c>
      <c r="AC141" s="151">
        <f t="shared" si="49"/>
        <v>1.6101389589685726</v>
      </c>
    </row>
    <row r="142" spans="1:29" hidden="1" x14ac:dyDescent="0.3">
      <c r="A142" t="s">
        <v>979</v>
      </c>
      <c r="B142" t="s">
        <v>980</v>
      </c>
      <c r="C142" s="90">
        <v>176.04004393234601</v>
      </c>
      <c r="D142" s="45">
        <f t="shared" si="37"/>
        <v>1.5027151707994477E-6</v>
      </c>
      <c r="E142" t="s">
        <v>1067</v>
      </c>
      <c r="F142" t="s">
        <v>1058</v>
      </c>
      <c r="G142" t="s">
        <v>1047</v>
      </c>
      <c r="H142" t="s">
        <v>1047</v>
      </c>
      <c r="I142" t="s">
        <v>1060</v>
      </c>
      <c r="J142" s="36" t="b">
        <f>IF(H142="Yes",C142/1000*'Preliminary results'!$D$46*Inflation!$D$7)</f>
        <v>0</v>
      </c>
      <c r="K142" s="36" t="b">
        <f>IF(H142="Yes",C142/1000*'Preliminary results'!$E$46*Inflation!$D$7)</f>
        <v>0</v>
      </c>
      <c r="L142" s="36" t="b">
        <f>IF(H142="Yes",C142/1000*'Preliminary results'!$F$46*Inflation!$D$7)</f>
        <v>0</v>
      </c>
      <c r="M142" s="150" t="b">
        <f>IF(H142="Yes",C142/1000*'Preliminary results'!$G$46*Inflation!$D$7)</f>
        <v>0</v>
      </c>
      <c r="N142" s="151">
        <f t="shared" si="50"/>
        <v>0</v>
      </c>
      <c r="O142" s="151">
        <f t="shared" si="38"/>
        <v>0</v>
      </c>
      <c r="P142" s="151">
        <f t="shared" si="39"/>
        <v>0</v>
      </c>
      <c r="Q142" s="151">
        <f t="shared" si="40"/>
        <v>0</v>
      </c>
      <c r="R142" s="151">
        <f t="shared" si="41"/>
        <v>0</v>
      </c>
      <c r="S142" s="151">
        <f t="shared" si="42"/>
        <v>0</v>
      </c>
      <c r="T142" s="151">
        <f t="shared" si="43"/>
        <v>0</v>
      </c>
      <c r="U142" s="150" t="b">
        <f>IF(G142="Yes",C142/1000*'Preliminary results'!$D$46*Inflation!$D$7)</f>
        <v>0</v>
      </c>
      <c r="V142" s="150" t="b">
        <f>IF(G142="Yes",C142/1000*'Preliminary results'!$E$46*Inflation!$D$7)</f>
        <v>0</v>
      </c>
      <c r="W142" s="150" t="b">
        <f>IF(G142="Yes",C142/1000*'Preliminary results'!$F$46*Inflation!$D$7)</f>
        <v>0</v>
      </c>
      <c r="X142" s="151">
        <f t="shared" si="44"/>
        <v>0</v>
      </c>
      <c r="Y142" s="151">
        <f t="shared" si="45"/>
        <v>0</v>
      </c>
      <c r="Z142" s="151">
        <f t="shared" si="46"/>
        <v>0</v>
      </c>
      <c r="AA142" s="151">
        <f t="shared" si="47"/>
        <v>0</v>
      </c>
      <c r="AB142" s="151">
        <f t="shared" si="48"/>
        <v>0</v>
      </c>
      <c r="AC142" s="151">
        <f t="shared" si="49"/>
        <v>0</v>
      </c>
    </row>
    <row r="143" spans="1:29" x14ac:dyDescent="0.3">
      <c r="A143" t="s">
        <v>776</v>
      </c>
      <c r="B143" t="s">
        <v>777</v>
      </c>
      <c r="C143" s="90">
        <v>45489.810283113198</v>
      </c>
      <c r="D143" s="37">
        <f t="shared" si="37"/>
        <v>3.8831067353910508E-4</v>
      </c>
      <c r="E143" t="s">
        <v>777</v>
      </c>
      <c r="F143" t="s">
        <v>1021</v>
      </c>
      <c r="G143" t="s">
        <v>1045</v>
      </c>
      <c r="H143" t="s">
        <v>1045</v>
      </c>
      <c r="I143" s="93" t="str">
        <f>VLOOKUP(B143,'Beynon 2023'!$B$88:$R$336,15,FALSE)</f>
        <v/>
      </c>
      <c r="J143" s="36">
        <f>IF(H143="Yes",C143/1000*'Preliminary results'!$D$46*Inflation!$D$7)</f>
        <v>4.3296179992569982E-2</v>
      </c>
      <c r="K143" s="36">
        <f>IF(H143="Yes",C143/1000*'Preliminary results'!$E$46*Inflation!$D$7)</f>
        <v>1.3959192587213121</v>
      </c>
      <c r="L143" s="36">
        <f>IF(H143="Yes",C143/1000*'Preliminary results'!$F$46*Inflation!$D$7)</f>
        <v>5.8898692881794465</v>
      </c>
      <c r="M143" s="150">
        <f>IF(H143="Yes",C143/1000*'Preliminary results'!$G$46*Inflation!$D$7)</f>
        <v>10.074599721133881</v>
      </c>
      <c r="N143" s="151">
        <f t="shared" si="50"/>
        <v>0</v>
      </c>
      <c r="O143" s="151">
        <f t="shared" si="38"/>
        <v>0</v>
      </c>
      <c r="P143" s="151">
        <f t="shared" si="39"/>
        <v>0</v>
      </c>
      <c r="Q143" s="151">
        <f t="shared" si="40"/>
        <v>0</v>
      </c>
      <c r="R143" s="151">
        <f t="shared" si="41"/>
        <v>4.3296179992569982E-2</v>
      </c>
      <c r="S143" s="151">
        <f t="shared" si="42"/>
        <v>1.3959192587213121</v>
      </c>
      <c r="T143" s="151">
        <f t="shared" si="43"/>
        <v>5.8898692881794465</v>
      </c>
      <c r="U143" s="150">
        <f>IF(G143="Yes",C143/1000*'Preliminary results'!$D$46*Inflation!$D$7)</f>
        <v>4.3296179992569982E-2</v>
      </c>
      <c r="V143" s="150">
        <f>IF(G143="Yes",C143/1000*'Preliminary results'!$E$46*Inflation!$D$7)</f>
        <v>1.3959192587213121</v>
      </c>
      <c r="W143" s="150">
        <f>IF(G143="Yes",C143/1000*'Preliminary results'!$F$46*Inflation!$D$7)</f>
        <v>5.8898692881794465</v>
      </c>
      <c r="X143" s="151">
        <f t="shared" si="44"/>
        <v>0</v>
      </c>
      <c r="Y143" s="151">
        <f t="shared" si="45"/>
        <v>0</v>
      </c>
      <c r="Z143" s="151">
        <f t="shared" si="46"/>
        <v>0</v>
      </c>
      <c r="AA143" s="151">
        <f t="shared" si="47"/>
        <v>4.3296179992569982E-2</v>
      </c>
      <c r="AB143" s="151">
        <f t="shared" si="48"/>
        <v>1.3959192587213121</v>
      </c>
      <c r="AC143" s="151">
        <f t="shared" si="49"/>
        <v>5.8898692881794465</v>
      </c>
    </row>
    <row r="144" spans="1:29" hidden="1" x14ac:dyDescent="0.3">
      <c r="A144" t="s">
        <v>607</v>
      </c>
      <c r="B144" t="s">
        <v>608</v>
      </c>
      <c r="C144" s="90">
        <v>1332767.6511003899</v>
      </c>
      <c r="D144" s="37">
        <f t="shared" si="37"/>
        <v>1.1376787483812411E-2</v>
      </c>
      <c r="E144" t="s">
        <v>608</v>
      </c>
      <c r="F144" t="s">
        <v>1046</v>
      </c>
      <c r="G144" t="s">
        <v>1047</v>
      </c>
      <c r="H144" t="s">
        <v>1047</v>
      </c>
      <c r="I144" s="45">
        <f>VLOOKUP(B144,'Beynon 2023'!$B$88:$R$336,15,FALSE)</f>
        <v>1.1811247925131647E-2</v>
      </c>
      <c r="J144" s="36" t="b">
        <f>IF(H144="Yes",C144/1000*'Preliminary results'!$D$46*Inflation!$D$7)</f>
        <v>0</v>
      </c>
      <c r="K144" s="36" t="b">
        <f>IF(H144="Yes",C144/1000*'Preliminary results'!$E$46*Inflation!$D$7)</f>
        <v>0</v>
      </c>
      <c r="L144" s="36" t="b">
        <f>IF(H144="Yes",C144/1000*'Preliminary results'!$F$46*Inflation!$D$7)</f>
        <v>0</v>
      </c>
      <c r="M144" s="150" t="b">
        <f>IF(H144="Yes",C144/1000*'Preliminary results'!$G$46*Inflation!$D$7)</f>
        <v>0</v>
      </c>
      <c r="N144" s="151">
        <f t="shared" si="50"/>
        <v>4.9999667391658197E-2</v>
      </c>
      <c r="O144" s="151">
        <f t="shared" si="38"/>
        <v>1.6120474982701296</v>
      </c>
      <c r="P144" s="151">
        <f t="shared" si="39"/>
        <v>6.8017895675750735</v>
      </c>
      <c r="Q144" s="151">
        <f t="shared" si="40"/>
        <v>11.634435999832565</v>
      </c>
      <c r="R144" s="151">
        <f t="shared" si="41"/>
        <v>-4.9999667391658197E-2</v>
      </c>
      <c r="S144" s="151">
        <f t="shared" si="42"/>
        <v>-1.6120474982701296</v>
      </c>
      <c r="T144" s="151">
        <f t="shared" si="43"/>
        <v>-6.8017895675750735</v>
      </c>
      <c r="U144" s="150" t="b">
        <f>IF(G144="Yes",C144/1000*'Preliminary results'!$D$46*Inflation!$D$7)</f>
        <v>0</v>
      </c>
      <c r="V144" s="150" t="b">
        <f>IF(G144="Yes",C144/1000*'Preliminary results'!$E$46*Inflation!$D$7)</f>
        <v>0</v>
      </c>
      <c r="W144" s="150" t="b">
        <f>IF(G144="Yes",C144/1000*'Preliminary results'!$F$46*Inflation!$D$7)</f>
        <v>0</v>
      </c>
      <c r="X144" s="151">
        <f t="shared" si="44"/>
        <v>0.45351235795722283</v>
      </c>
      <c r="Y144" s="151">
        <f t="shared" si="45"/>
        <v>14.621766508020817</v>
      </c>
      <c r="Z144" s="151">
        <f t="shared" si="46"/>
        <v>61.694322903324924</v>
      </c>
      <c r="AA144" s="151">
        <f t="shared" si="47"/>
        <v>-0.45351235795722283</v>
      </c>
      <c r="AB144" s="151">
        <f t="shared" si="48"/>
        <v>-14.621766508020817</v>
      </c>
      <c r="AC144" s="151">
        <f t="shared" si="49"/>
        <v>-61.694322903324924</v>
      </c>
    </row>
    <row r="145" spans="1:29" hidden="1" x14ac:dyDescent="0.3">
      <c r="A145" t="s">
        <v>887</v>
      </c>
      <c r="B145" t="s">
        <v>888</v>
      </c>
      <c r="C145" s="90">
        <v>8548.9193871260704</v>
      </c>
      <c r="D145" s="37">
        <f t="shared" si="37"/>
        <v>7.2975389973845613E-5</v>
      </c>
      <c r="E145" t="s">
        <v>1067</v>
      </c>
      <c r="F145" t="s">
        <v>1058</v>
      </c>
      <c r="G145" t="s">
        <v>1047</v>
      </c>
      <c r="H145" t="s">
        <v>1047</v>
      </c>
      <c r="I145" s="93" t="str">
        <f>VLOOKUP(B145,'Beynon 2023'!$B$88:$R$336,15,FALSE)</f>
        <v/>
      </c>
      <c r="J145" s="36" t="b">
        <f>IF(H145="Yes",C145/1000*'Preliminary results'!$D$46*Inflation!$D$7)</f>
        <v>0</v>
      </c>
      <c r="K145" s="36" t="b">
        <f>IF(H145="Yes",C145/1000*'Preliminary results'!$E$46*Inflation!$D$7)</f>
        <v>0</v>
      </c>
      <c r="L145" s="36" t="b">
        <f>IF(H145="Yes",C145/1000*'Preliminary results'!$F$46*Inflation!$D$7)</f>
        <v>0</v>
      </c>
      <c r="M145" s="150" t="b">
        <f>IF(H145="Yes",C145/1000*'Preliminary results'!$G$46*Inflation!$D$7)</f>
        <v>0</v>
      </c>
      <c r="N145" s="151">
        <f t="shared" si="50"/>
        <v>0</v>
      </c>
      <c r="O145" s="151">
        <f t="shared" si="38"/>
        <v>0</v>
      </c>
      <c r="P145" s="151">
        <f t="shared" si="39"/>
        <v>0</v>
      </c>
      <c r="Q145" s="151">
        <f t="shared" si="40"/>
        <v>0</v>
      </c>
      <c r="R145" s="151">
        <f t="shared" si="41"/>
        <v>0</v>
      </c>
      <c r="S145" s="151">
        <f t="shared" si="42"/>
        <v>0</v>
      </c>
      <c r="T145" s="151">
        <f t="shared" si="43"/>
        <v>0</v>
      </c>
      <c r="U145" s="150" t="b">
        <f>IF(G145="Yes",C145/1000*'Preliminary results'!$D$46*Inflation!$D$7)</f>
        <v>0</v>
      </c>
      <c r="V145" s="150" t="b">
        <f>IF(G145="Yes",C145/1000*'Preliminary results'!$E$46*Inflation!$D$7)</f>
        <v>0</v>
      </c>
      <c r="W145" s="150" t="b">
        <f>IF(G145="Yes",C145/1000*'Preliminary results'!$F$46*Inflation!$D$7)</f>
        <v>0</v>
      </c>
      <c r="X145" s="151">
        <f t="shared" si="44"/>
        <v>0</v>
      </c>
      <c r="Y145" s="151">
        <f t="shared" si="45"/>
        <v>0</v>
      </c>
      <c r="Z145" s="151">
        <f t="shared" si="46"/>
        <v>0</v>
      </c>
      <c r="AA145" s="151">
        <f t="shared" si="47"/>
        <v>0</v>
      </c>
      <c r="AB145" s="151">
        <f t="shared" si="48"/>
        <v>0</v>
      </c>
      <c r="AC145" s="151">
        <f t="shared" si="49"/>
        <v>0</v>
      </c>
    </row>
    <row r="146" spans="1:29" hidden="1" x14ac:dyDescent="0.3">
      <c r="A146" t="s">
        <v>675</v>
      </c>
      <c r="B146" t="s">
        <v>272</v>
      </c>
      <c r="C146" s="90">
        <v>264057.41373996501</v>
      </c>
      <c r="D146" s="37">
        <f t="shared" si="37"/>
        <v>2.254050116810965E-3</v>
      </c>
      <c r="E146" t="s">
        <v>272</v>
      </c>
      <c r="F146" t="s">
        <v>1054</v>
      </c>
      <c r="G146" t="s">
        <v>1047</v>
      </c>
      <c r="H146" t="s">
        <v>1047</v>
      </c>
      <c r="I146" s="45">
        <f>VLOOKUP(B146,'Beynon 2023'!$B$88:$R$336,15,FALSE)</f>
        <v>3.1478830610178537E-3</v>
      </c>
      <c r="J146" s="36" t="b">
        <f>IF(H146="Yes",C146/1000*'Preliminary results'!$D$46*Inflation!$D$7)</f>
        <v>0</v>
      </c>
      <c r="K146" s="36" t="b">
        <f>IF(H146="Yes",C146/1000*'Preliminary results'!$E$46*Inflation!$D$7)</f>
        <v>0</v>
      </c>
      <c r="L146" s="36" t="b">
        <f>IF(H146="Yes",C146/1000*'Preliminary results'!$F$46*Inflation!$D$7)</f>
        <v>0</v>
      </c>
      <c r="M146" s="150" t="b">
        <f>IF(H146="Yes",C146/1000*'Preliminary results'!$G$46*Inflation!$D$7)</f>
        <v>0</v>
      </c>
      <c r="N146" s="151">
        <f t="shared" si="50"/>
        <v>1.3325696576382152E-2</v>
      </c>
      <c r="O146" s="151">
        <f t="shared" si="38"/>
        <v>0.4296359745834552</v>
      </c>
      <c r="P146" s="151">
        <f t="shared" si="39"/>
        <v>1.8127837380180027</v>
      </c>
      <c r="Q146" s="151">
        <f t="shared" si="40"/>
        <v>3.1007599061943356</v>
      </c>
      <c r="R146" s="151">
        <f t="shared" si="41"/>
        <v>-1.3325696576382152E-2</v>
      </c>
      <c r="S146" s="151">
        <f t="shared" si="42"/>
        <v>-0.4296359745834552</v>
      </c>
      <c r="T146" s="151">
        <f t="shared" si="43"/>
        <v>-1.8127837380180027</v>
      </c>
      <c r="U146" s="150" t="b">
        <f>IF(G146="Yes",C146/1000*'Preliminary results'!$D$46*Inflation!$D$7)</f>
        <v>0</v>
      </c>
      <c r="V146" s="150" t="b">
        <f>IF(G146="Yes",C146/1000*'Preliminary results'!$E$46*Inflation!$D$7)</f>
        <v>0</v>
      </c>
      <c r="W146" s="150" t="b">
        <f>IF(G146="Yes",C146/1000*'Preliminary results'!$F$46*Inflation!$D$7)</f>
        <v>0</v>
      </c>
      <c r="X146" s="151">
        <f t="shared" si="44"/>
        <v>0.12086816555075362</v>
      </c>
      <c r="Y146" s="151">
        <f t="shared" si="45"/>
        <v>3.8969304009630199</v>
      </c>
      <c r="Z146" s="151">
        <f t="shared" si="46"/>
        <v>16.442505928193675</v>
      </c>
      <c r="AA146" s="151">
        <f t="shared" si="47"/>
        <v>-0.12086816555075362</v>
      </c>
      <c r="AB146" s="151">
        <f t="shared" si="48"/>
        <v>-3.8969304009630199</v>
      </c>
      <c r="AC146" s="151">
        <f t="shared" si="49"/>
        <v>-16.442505928193675</v>
      </c>
    </row>
    <row r="147" spans="1:29" hidden="1" x14ac:dyDescent="0.3">
      <c r="A147" t="s">
        <v>828</v>
      </c>
      <c r="B147" t="s">
        <v>829</v>
      </c>
      <c r="C147" s="90">
        <v>22237.1671130916</v>
      </c>
      <c r="D147" s="37">
        <f t="shared" si="37"/>
        <v>1.8982117721628989E-4</v>
      </c>
      <c r="E147" t="s">
        <v>829</v>
      </c>
      <c r="F147" t="s">
        <v>1052</v>
      </c>
      <c r="G147" t="s">
        <v>1045</v>
      </c>
      <c r="H147" t="s">
        <v>1045</v>
      </c>
      <c r="I147" s="93" t="str">
        <f>VLOOKUP(B147,'Beynon 2023'!$B$88:$R$336,15,FALSE)</f>
        <v/>
      </c>
      <c r="J147" s="36">
        <f>IF(H147="Yes",C147/1000*'Preliminary results'!$D$46*Inflation!$D$7)</f>
        <v>2.1164836341616446E-2</v>
      </c>
      <c r="K147" s="36">
        <f>IF(H147="Yes",C147/1000*'Preliminary results'!$E$46*Inflation!$D$7)</f>
        <v>0.68237896881473614</v>
      </c>
      <c r="L147" s="36">
        <f>IF(H147="Yes",C147/1000*'Preliminary results'!$F$46*Inflation!$D$7)</f>
        <v>2.8791944134384004</v>
      </c>
      <c r="M147" s="150">
        <f>IF(H147="Yes",C147/1000*'Preliminary results'!$G$46*Inflation!$D$7)</f>
        <v>4.9248514382027473</v>
      </c>
      <c r="N147" s="151">
        <f t="shared" si="50"/>
        <v>0</v>
      </c>
      <c r="O147" s="151">
        <f t="shared" si="38"/>
        <v>0</v>
      </c>
      <c r="P147" s="151">
        <f t="shared" si="39"/>
        <v>0</v>
      </c>
      <c r="Q147" s="151">
        <f t="shared" si="40"/>
        <v>0</v>
      </c>
      <c r="R147" s="151">
        <f t="shared" si="41"/>
        <v>2.1164836341616446E-2</v>
      </c>
      <c r="S147" s="151">
        <f t="shared" si="42"/>
        <v>0.68237896881473614</v>
      </c>
      <c r="T147" s="151">
        <f t="shared" si="43"/>
        <v>2.8791944134384004</v>
      </c>
      <c r="U147" s="150">
        <f>IF(G147="Yes",C147/1000*'Preliminary results'!$D$46*Inflation!$D$7)</f>
        <v>2.1164836341616446E-2</v>
      </c>
      <c r="V147" s="150">
        <f>IF(G147="Yes",C147/1000*'Preliminary results'!$E$46*Inflation!$D$7)</f>
        <v>0.68237896881473614</v>
      </c>
      <c r="W147" s="150">
        <f>IF(G147="Yes",C147/1000*'Preliminary results'!$F$46*Inflation!$D$7)</f>
        <v>2.8791944134384004</v>
      </c>
      <c r="X147" s="151">
        <f t="shared" si="44"/>
        <v>0</v>
      </c>
      <c r="Y147" s="151">
        <f t="shared" si="45"/>
        <v>0</v>
      </c>
      <c r="Z147" s="151">
        <f t="shared" si="46"/>
        <v>0</v>
      </c>
      <c r="AA147" s="151">
        <f t="shared" si="47"/>
        <v>2.1164836341616446E-2</v>
      </c>
      <c r="AB147" s="151">
        <f t="shared" si="48"/>
        <v>0.68237896881473614</v>
      </c>
      <c r="AC147" s="151">
        <f t="shared" si="49"/>
        <v>2.8791944134384004</v>
      </c>
    </row>
    <row r="148" spans="1:29" hidden="1" x14ac:dyDescent="0.3">
      <c r="A148" t="s">
        <v>830</v>
      </c>
      <c r="B148" t="s">
        <v>831</v>
      </c>
      <c r="C148" s="90">
        <v>21646.1913882507</v>
      </c>
      <c r="D148" s="37">
        <f t="shared" si="37"/>
        <v>1.8477648302367812E-4</v>
      </c>
      <c r="E148" t="s">
        <v>831</v>
      </c>
      <c r="F148" t="s">
        <v>1048</v>
      </c>
      <c r="G148" t="s">
        <v>1045</v>
      </c>
      <c r="H148" t="s">
        <v>1045</v>
      </c>
      <c r="I148" s="93" t="str">
        <f>VLOOKUP(B148,'Beynon 2023'!$B$88:$R$336,15,FALSE)</f>
        <v/>
      </c>
      <c r="J148" s="36">
        <f>IF(H148="Yes",C148/1000*'Preliminary results'!$D$46*Inflation!$D$7)</f>
        <v>2.0602358916568808E-2</v>
      </c>
      <c r="K148" s="36">
        <f>IF(H148="Yes",C148/1000*'Preliminary results'!$E$46*Inflation!$D$7)</f>
        <v>0.66424404166054574</v>
      </c>
      <c r="L148" s="36">
        <f>IF(H148="Yes",C148/1000*'Preliminary results'!$F$46*Inflation!$D$7)</f>
        <v>2.8026768427970441</v>
      </c>
      <c r="M148" s="150">
        <f>IF(H148="Yes",C148/1000*'Preliminary results'!$G$46*Inflation!$D$7)</f>
        <v>4.7939684154856961</v>
      </c>
      <c r="N148" s="151">
        <f t="shared" si="50"/>
        <v>0</v>
      </c>
      <c r="O148" s="151">
        <f t="shared" si="38"/>
        <v>0</v>
      </c>
      <c r="P148" s="151">
        <f t="shared" si="39"/>
        <v>0</v>
      </c>
      <c r="Q148" s="151">
        <f t="shared" si="40"/>
        <v>0</v>
      </c>
      <c r="R148" s="151">
        <f t="shared" si="41"/>
        <v>2.0602358916568808E-2</v>
      </c>
      <c r="S148" s="151">
        <f t="shared" si="42"/>
        <v>0.66424404166054574</v>
      </c>
      <c r="T148" s="151">
        <f t="shared" si="43"/>
        <v>2.8026768427970441</v>
      </c>
      <c r="U148" s="150">
        <f>IF(G148="Yes",C148/1000*'Preliminary results'!$D$46*Inflation!$D$7)</f>
        <v>2.0602358916568808E-2</v>
      </c>
      <c r="V148" s="150">
        <f>IF(G148="Yes",C148/1000*'Preliminary results'!$E$46*Inflation!$D$7)</f>
        <v>0.66424404166054574</v>
      </c>
      <c r="W148" s="150">
        <f>IF(G148="Yes",C148/1000*'Preliminary results'!$F$46*Inflation!$D$7)</f>
        <v>2.8026768427970441</v>
      </c>
      <c r="X148" s="151">
        <f t="shared" si="44"/>
        <v>0</v>
      </c>
      <c r="Y148" s="151">
        <f t="shared" si="45"/>
        <v>0</v>
      </c>
      <c r="Z148" s="151">
        <f t="shared" si="46"/>
        <v>0</v>
      </c>
      <c r="AA148" s="151">
        <f t="shared" si="47"/>
        <v>2.0602358916568808E-2</v>
      </c>
      <c r="AB148" s="151">
        <f t="shared" si="48"/>
        <v>0.66424404166054574</v>
      </c>
      <c r="AC148" s="151">
        <f t="shared" si="49"/>
        <v>2.8026768427970441</v>
      </c>
    </row>
    <row r="149" spans="1:29" hidden="1" x14ac:dyDescent="0.3">
      <c r="A149" t="s">
        <v>670</v>
      </c>
      <c r="B149" t="s">
        <v>382</v>
      </c>
      <c r="C149" s="90">
        <v>290794.36154211202</v>
      </c>
      <c r="D149" s="37">
        <f t="shared" si="37"/>
        <v>2.4822823768449382E-3</v>
      </c>
      <c r="E149" t="s">
        <v>382</v>
      </c>
      <c r="F149" t="s">
        <v>1048</v>
      </c>
      <c r="G149" t="s">
        <v>1045</v>
      </c>
      <c r="H149" t="s">
        <v>1047</v>
      </c>
      <c r="I149" s="45" t="str">
        <f>VLOOKUP(B149,'Beynon 2023'!$B$88:$R$336,15,FALSE)</f>
        <v/>
      </c>
      <c r="J149" s="36" t="b">
        <f>IF(H149="Yes",C149/1000*'Preliminary results'!$D$46*Inflation!$D$7)</f>
        <v>0</v>
      </c>
      <c r="K149" s="36" t="b">
        <f>IF(H149="Yes",C149/1000*'Preliminary results'!$E$46*Inflation!$D$7)</f>
        <v>0</v>
      </c>
      <c r="L149" s="36" t="b">
        <f>IF(H149="Yes",C149/1000*'Preliminary results'!$F$46*Inflation!$D$7)</f>
        <v>0</v>
      </c>
      <c r="M149" s="150" t="b">
        <f>IF(H149="Yes",C149/1000*'Preliminary results'!$G$46*Inflation!$D$7)</f>
        <v>0</v>
      </c>
      <c r="N149" s="151">
        <f t="shared" si="50"/>
        <v>0</v>
      </c>
      <c r="O149" s="151">
        <f t="shared" si="38"/>
        <v>0</v>
      </c>
      <c r="P149" s="151">
        <f t="shared" si="39"/>
        <v>0</v>
      </c>
      <c r="Q149" s="151">
        <f t="shared" si="40"/>
        <v>0</v>
      </c>
      <c r="R149" s="151">
        <f t="shared" si="41"/>
        <v>0</v>
      </c>
      <c r="S149" s="151">
        <f t="shared" si="42"/>
        <v>0</v>
      </c>
      <c r="T149" s="151">
        <f t="shared" si="43"/>
        <v>0</v>
      </c>
      <c r="U149" s="150">
        <f>IF(G149="Yes",C149/1000*'Preliminary results'!$D$46*Inflation!$D$7)</f>
        <v>0.27677154377637714</v>
      </c>
      <c r="V149" s="150">
        <f>IF(G149="Yes",C149/1000*'Preliminary results'!$E$46*Inflation!$D$7)</f>
        <v>8.923436854932115</v>
      </c>
      <c r="W149" s="150">
        <f>IF(G149="Yes",C149/1000*'Preliminary results'!$F$46*Inflation!$D$7)</f>
        <v>37.651086442504734</v>
      </c>
      <c r="X149" s="151">
        <f t="shared" si="44"/>
        <v>0</v>
      </c>
      <c r="Y149" s="151">
        <f t="shared" si="45"/>
        <v>0</v>
      </c>
      <c r="Z149" s="151">
        <f t="shared" si="46"/>
        <v>0</v>
      </c>
      <c r="AA149" s="151">
        <f t="shared" si="47"/>
        <v>0.27677154377637714</v>
      </c>
      <c r="AB149" s="151">
        <f t="shared" si="48"/>
        <v>8.923436854932115</v>
      </c>
      <c r="AC149" s="151">
        <f t="shared" si="49"/>
        <v>37.651086442504734</v>
      </c>
    </row>
    <row r="150" spans="1:29" hidden="1" x14ac:dyDescent="0.3">
      <c r="A150" t="s">
        <v>843</v>
      </c>
      <c r="B150" t="s">
        <v>844</v>
      </c>
      <c r="C150" s="90">
        <v>19101.199817017401</v>
      </c>
      <c r="D150" s="37">
        <f t="shared" si="37"/>
        <v>1.6305189492303693E-4</v>
      </c>
      <c r="E150" t="s">
        <v>1075</v>
      </c>
      <c r="F150" t="s">
        <v>1046</v>
      </c>
      <c r="G150" t="s">
        <v>1047</v>
      </c>
      <c r="H150" t="s">
        <v>1047</v>
      </c>
      <c r="I150" s="93">
        <f>VLOOKUP(B150,'Beynon 2023'!$B$88:$R$336,15,FALSE)</f>
        <v>7.7022002511289959E-5</v>
      </c>
      <c r="J150" s="36" t="b">
        <f>IF(H150="Yes",C150/1000*'Preliminary results'!$D$46*Inflation!$D$7)</f>
        <v>0</v>
      </c>
      <c r="K150" s="36" t="b">
        <f>IF(H150="Yes",C150/1000*'Preliminary results'!$E$46*Inflation!$D$7)</f>
        <v>0</v>
      </c>
      <c r="L150" s="36" t="b">
        <f>IF(H150="Yes",C150/1000*'Preliminary results'!$F$46*Inflation!$D$7)</f>
        <v>0</v>
      </c>
      <c r="M150" s="150" t="b">
        <f>IF(H150="Yes",C150/1000*'Preliminary results'!$G$46*Inflation!$D$7)</f>
        <v>0</v>
      </c>
      <c r="N150" s="151">
        <f t="shared" si="50"/>
        <v>3.2605144958558957E-4</v>
      </c>
      <c r="O150" s="151">
        <f t="shared" si="38"/>
        <v>1.0512278401665732E-2</v>
      </c>
      <c r="P150" s="151">
        <f t="shared" si="39"/>
        <v>4.4354962022287239E-2</v>
      </c>
      <c r="Q150" s="151">
        <f t="shared" si="40"/>
        <v>7.5868999150363547E-2</v>
      </c>
      <c r="R150" s="151">
        <f t="shared" si="41"/>
        <v>-3.2605144958558957E-4</v>
      </c>
      <c r="S150" s="151">
        <f t="shared" si="42"/>
        <v>-1.0512278401665732E-2</v>
      </c>
      <c r="T150" s="151">
        <f t="shared" si="43"/>
        <v>-4.4354962022287239E-2</v>
      </c>
      <c r="U150" s="150" t="b">
        <f>IF(G150="Yes",C150/1000*'Preliminary results'!$D$46*Inflation!$D$7)</f>
        <v>0</v>
      </c>
      <c r="V150" s="150" t="b">
        <f>IF(G150="Yes",C150/1000*'Preliminary results'!$E$46*Inflation!$D$7)</f>
        <v>0</v>
      </c>
      <c r="W150" s="150" t="b">
        <f>IF(G150="Yes",C150/1000*'Preliminary results'!$F$46*Inflation!$D$7)</f>
        <v>0</v>
      </c>
      <c r="X150" s="151">
        <f t="shared" si="44"/>
        <v>2.9573869073697321E-3</v>
      </c>
      <c r="Y150" s="151">
        <f t="shared" si="45"/>
        <v>9.5349597590275142E-2</v>
      </c>
      <c r="Z150" s="151">
        <f t="shared" si="46"/>
        <v>0.40231314453076833</v>
      </c>
      <c r="AA150" s="151">
        <f t="shared" si="47"/>
        <v>-2.9573869073697321E-3</v>
      </c>
      <c r="AB150" s="151">
        <f t="shared" si="48"/>
        <v>-9.5349597590275142E-2</v>
      </c>
      <c r="AC150" s="151">
        <f t="shared" si="49"/>
        <v>-0.40231314453076833</v>
      </c>
    </row>
    <row r="151" spans="1:29" hidden="1" x14ac:dyDescent="0.3">
      <c r="A151" t="s">
        <v>997</v>
      </c>
      <c r="B151" t="s">
        <v>998</v>
      </c>
      <c r="C151" s="90">
        <v>0</v>
      </c>
      <c r="D151" s="37">
        <f t="shared" si="37"/>
        <v>0</v>
      </c>
      <c r="E151" t="s">
        <v>1049</v>
      </c>
      <c r="F151" s="8"/>
      <c r="G151" t="s">
        <v>1047</v>
      </c>
      <c r="H151" t="s">
        <v>1047</v>
      </c>
      <c r="I151" t="s">
        <v>1049</v>
      </c>
      <c r="J151" s="36" t="b">
        <f>IF(H151="Yes",C151/1000*'Preliminary results'!$D$46*Inflation!$D$7)</f>
        <v>0</v>
      </c>
      <c r="K151" s="36" t="b">
        <f>IF(H151="Yes",C151/1000*'Preliminary results'!$E$46*Inflation!$D$7)</f>
        <v>0</v>
      </c>
      <c r="L151" s="36" t="b">
        <f>IF(H151="Yes",C151/1000*'Preliminary results'!$F$46*Inflation!$D$7)</f>
        <v>0</v>
      </c>
      <c r="M151" s="150" t="b">
        <f>IF(H151="Yes",C151/1000*'Preliminary results'!$G$46*Inflation!$D$7)</f>
        <v>0</v>
      </c>
      <c r="N151" s="151">
        <f t="shared" si="50"/>
        <v>0</v>
      </c>
      <c r="O151" s="151">
        <f t="shared" si="38"/>
        <v>0</v>
      </c>
      <c r="P151" s="151">
        <f t="shared" si="39"/>
        <v>0</v>
      </c>
      <c r="Q151" s="151">
        <f t="shared" si="40"/>
        <v>0</v>
      </c>
      <c r="R151" s="151">
        <f t="shared" si="41"/>
        <v>0</v>
      </c>
      <c r="S151" s="151">
        <f t="shared" si="42"/>
        <v>0</v>
      </c>
      <c r="T151" s="151">
        <f t="shared" si="43"/>
        <v>0</v>
      </c>
      <c r="U151" s="150" t="b">
        <f>IF(G151="Yes",C151/1000*'Preliminary results'!$D$46*Inflation!$D$7)</f>
        <v>0</v>
      </c>
      <c r="V151" s="150" t="b">
        <f>IF(G151="Yes",C151/1000*'Preliminary results'!$E$46*Inflation!$D$7)</f>
        <v>0</v>
      </c>
      <c r="W151" s="150" t="b">
        <f>IF(G151="Yes",C151/1000*'Preliminary results'!$F$46*Inflation!$D$7)</f>
        <v>0</v>
      </c>
      <c r="X151" s="151">
        <f t="shared" si="44"/>
        <v>0</v>
      </c>
      <c r="Y151" s="151">
        <f t="shared" si="45"/>
        <v>0</v>
      </c>
      <c r="Z151" s="151">
        <f t="shared" si="46"/>
        <v>0</v>
      </c>
      <c r="AA151" s="151">
        <f t="shared" si="47"/>
        <v>0</v>
      </c>
      <c r="AB151" s="151">
        <f t="shared" si="48"/>
        <v>0</v>
      </c>
      <c r="AC151" s="151">
        <f t="shared" si="49"/>
        <v>0</v>
      </c>
    </row>
    <row r="152" spans="1:29" hidden="1" x14ac:dyDescent="0.3">
      <c r="A152" t="s">
        <v>632</v>
      </c>
      <c r="B152" t="s">
        <v>633</v>
      </c>
      <c r="C152" s="90">
        <v>530755.71943887905</v>
      </c>
      <c r="D152" s="37">
        <f t="shared" si="37"/>
        <v>4.5306434477822271E-3</v>
      </c>
      <c r="E152" t="s">
        <v>633</v>
      </c>
      <c r="F152" t="s">
        <v>1046</v>
      </c>
      <c r="G152" t="s">
        <v>1047</v>
      </c>
      <c r="H152" t="s">
        <v>1047</v>
      </c>
      <c r="I152" s="45">
        <f>VLOOKUP(B152,'Beynon 2023'!$B$88:$R$336,15,FALSE)</f>
        <v>5.6546784307373987E-3</v>
      </c>
      <c r="J152" s="36" t="b">
        <f>IF(H152="Yes",C152/1000*'Preliminary results'!$D$46*Inflation!$D$7)</f>
        <v>0</v>
      </c>
      <c r="K152" s="36" t="b">
        <f>IF(H152="Yes",C152/1000*'Preliminary results'!$E$46*Inflation!$D$7)</f>
        <v>0</v>
      </c>
      <c r="L152" s="36" t="b">
        <f>IF(H152="Yes",C152/1000*'Preliminary results'!$F$46*Inflation!$D$7)</f>
        <v>0</v>
      </c>
      <c r="M152" s="150" t="b">
        <f>IF(H152="Yes",C152/1000*'Preliminary results'!$G$46*Inflation!$D$7)</f>
        <v>0</v>
      </c>
      <c r="N152" s="151">
        <f t="shared" si="50"/>
        <v>2.3937524852227023E-2</v>
      </c>
      <c r="O152" s="151">
        <f t="shared" si="38"/>
        <v>0.77177367502347838</v>
      </c>
      <c r="P152" s="151">
        <f t="shared" si="39"/>
        <v>3.25638179826394</v>
      </c>
      <c r="Q152" s="151">
        <f t="shared" si="40"/>
        <v>5.5700290705153943</v>
      </c>
      <c r="R152" s="151">
        <f t="shared" si="41"/>
        <v>-2.3937524852227023E-2</v>
      </c>
      <c r="S152" s="151">
        <f t="shared" si="42"/>
        <v>-0.77177367502347838</v>
      </c>
      <c r="T152" s="151">
        <f t="shared" si="43"/>
        <v>-3.25638179826394</v>
      </c>
      <c r="U152" s="150" t="b">
        <f>IF(G152="Yes",C152/1000*'Preliminary results'!$D$46*Inflation!$D$7)</f>
        <v>0</v>
      </c>
      <c r="V152" s="150" t="b">
        <f>IF(G152="Yes",C152/1000*'Preliminary results'!$E$46*Inflation!$D$7)</f>
        <v>0</v>
      </c>
      <c r="W152" s="150" t="b">
        <f>IF(G152="Yes",C152/1000*'Preliminary results'!$F$46*Inflation!$D$7)</f>
        <v>0</v>
      </c>
      <c r="X152" s="151">
        <f t="shared" si="44"/>
        <v>0.21712071111105585</v>
      </c>
      <c r="Y152" s="151">
        <f t="shared" si="45"/>
        <v>7.0002245500457771</v>
      </c>
      <c r="Z152" s="151">
        <f t="shared" si="46"/>
        <v>29.536384235748855</v>
      </c>
      <c r="AA152" s="151">
        <f t="shared" si="47"/>
        <v>-0.21712071111105585</v>
      </c>
      <c r="AB152" s="151">
        <f t="shared" si="48"/>
        <v>-7.0002245500457771</v>
      </c>
      <c r="AC152" s="151">
        <f t="shared" si="49"/>
        <v>-29.536384235748855</v>
      </c>
    </row>
    <row r="153" spans="1:29" hidden="1" x14ac:dyDescent="0.3">
      <c r="A153" t="s">
        <v>711</v>
      </c>
      <c r="B153" t="s">
        <v>712</v>
      </c>
      <c r="C153" s="90">
        <v>109604.78069622999</v>
      </c>
      <c r="D153" s="37">
        <f t="shared" si="37"/>
        <v>9.3560966621701711E-4</v>
      </c>
      <c r="E153" t="s">
        <v>712</v>
      </c>
      <c r="F153" t="s">
        <v>1056</v>
      </c>
      <c r="G153" t="s">
        <v>1045</v>
      </c>
      <c r="H153" t="s">
        <v>1047</v>
      </c>
      <c r="I153" s="45">
        <f>VLOOKUP(B153,'Beynon 2023'!$B$88:$R$336,15,FALSE)</f>
        <v>1.019206874540363E-3</v>
      </c>
      <c r="J153" s="36" t="b">
        <f>IF(H153="Yes",C153/1000*'Preliminary results'!$D$46*Inflation!$D$7)</f>
        <v>0</v>
      </c>
      <c r="K153" s="36" t="b">
        <f>IF(H153="Yes",C153/1000*'Preliminary results'!$E$46*Inflation!$D$7)</f>
        <v>0</v>
      </c>
      <c r="L153" s="36" t="b">
        <f>IF(H153="Yes",C153/1000*'Preliminary results'!$F$46*Inflation!$D$7)</f>
        <v>0</v>
      </c>
      <c r="M153" s="150" t="b">
        <f>IF(H153="Yes",C153/1000*'Preliminary results'!$G$46*Inflation!$D$7)</f>
        <v>0</v>
      </c>
      <c r="N153" s="151">
        <f t="shared" si="50"/>
        <v>4.3145317965833539E-3</v>
      </c>
      <c r="O153" s="151">
        <f t="shared" si="38"/>
        <v>0.13910552913097005</v>
      </c>
      <c r="P153" s="151">
        <f t="shared" si="39"/>
        <v>0.58693465164665648</v>
      </c>
      <c r="Q153" s="151">
        <f t="shared" si="40"/>
        <v>1.0039495595717982</v>
      </c>
      <c r="R153" s="151">
        <f t="shared" si="41"/>
        <v>-4.3145317965833539E-3</v>
      </c>
      <c r="S153" s="151">
        <f t="shared" si="42"/>
        <v>-0.13910552913097005</v>
      </c>
      <c r="T153" s="151">
        <f t="shared" si="43"/>
        <v>-0.58693465164665648</v>
      </c>
      <c r="U153" s="150">
        <f>IF(G153="Yes",C153/1000*'Preliminary results'!$D$46*Inflation!$D$7)</f>
        <v>0.10431936918478982</v>
      </c>
      <c r="V153" s="150">
        <f>IF(G153="Yes",C153/1000*'Preliminary results'!$E$46*Inflation!$D$7)</f>
        <v>3.3633779360603322</v>
      </c>
      <c r="W153" s="150">
        <f>IF(G153="Yes",C153/1000*'Preliminary results'!$F$46*Inflation!$D$7)</f>
        <v>14.191262342987027</v>
      </c>
      <c r="X153" s="151">
        <f t="shared" si="44"/>
        <v>3.913413009776099E-2</v>
      </c>
      <c r="Y153" s="151">
        <f t="shared" si="45"/>
        <v>1.2617299236594217</v>
      </c>
      <c r="Z153" s="151">
        <f t="shared" si="46"/>
        <v>5.3236777706942329</v>
      </c>
      <c r="AA153" s="151">
        <f t="shared" si="47"/>
        <v>6.5185239087028835E-2</v>
      </c>
      <c r="AB153" s="151">
        <f t="shared" si="48"/>
        <v>2.1016480124009105</v>
      </c>
      <c r="AC153" s="151">
        <f t="shared" si="49"/>
        <v>8.8675845722927953</v>
      </c>
    </row>
    <row r="154" spans="1:29" x14ac:dyDescent="0.3">
      <c r="A154" t="s">
        <v>652</v>
      </c>
      <c r="B154" t="s">
        <v>653</v>
      </c>
      <c r="C154" s="90">
        <v>407307.214476222</v>
      </c>
      <c r="D154" s="37">
        <f t="shared" si="37"/>
        <v>3.4768608135811803E-3</v>
      </c>
      <c r="E154" t="s">
        <v>653</v>
      </c>
      <c r="F154" t="s">
        <v>1021</v>
      </c>
      <c r="G154" t="s">
        <v>1045</v>
      </c>
      <c r="H154" t="s">
        <v>1045</v>
      </c>
      <c r="I154" s="93" t="str">
        <f>VLOOKUP(B154,'Beynon 2023'!$B$88:$R$336,15,FALSE)</f>
        <v/>
      </c>
      <c r="J154" s="36">
        <f>IF(H154="Yes",C154/1000*'Preliminary results'!$D$46*Inflation!$D$7)</f>
        <v>0.38766586100230999</v>
      </c>
      <c r="K154" s="36">
        <f>IF(H154="Yes",C154/1000*'Preliminary results'!$E$46*Inflation!$D$7)</f>
        <v>12.498798771964873</v>
      </c>
      <c r="L154" s="36">
        <f>IF(H154="Yes",C154/1000*'Preliminary results'!$F$46*Inflation!$D$7)</f>
        <v>52.736782995289261</v>
      </c>
      <c r="M154" s="150">
        <f>IF(H154="Yes",C154/1000*'Preliminary results'!$G$46*Inflation!$D$7)</f>
        <v>90.206073048874771</v>
      </c>
      <c r="N154" s="151">
        <f t="shared" si="50"/>
        <v>0</v>
      </c>
      <c r="O154" s="151">
        <f t="shared" si="38"/>
        <v>0</v>
      </c>
      <c r="P154" s="151">
        <f t="shared" si="39"/>
        <v>0</v>
      </c>
      <c r="Q154" s="151">
        <f t="shared" si="40"/>
        <v>0</v>
      </c>
      <c r="R154" s="151">
        <f t="shared" si="41"/>
        <v>0.38766586100230999</v>
      </c>
      <c r="S154" s="151">
        <f t="shared" si="42"/>
        <v>12.498798771964873</v>
      </c>
      <c r="T154" s="151">
        <f t="shared" si="43"/>
        <v>52.736782995289261</v>
      </c>
      <c r="U154" s="150">
        <f>IF(G154="Yes",C154/1000*'Preliminary results'!$D$46*Inflation!$D$7)</f>
        <v>0.38766586100230999</v>
      </c>
      <c r="V154" s="150">
        <f>IF(G154="Yes",C154/1000*'Preliminary results'!$E$46*Inflation!$D$7)</f>
        <v>12.498798771964873</v>
      </c>
      <c r="W154" s="150">
        <f>IF(G154="Yes",C154/1000*'Preliminary results'!$F$46*Inflation!$D$7)</f>
        <v>52.736782995289261</v>
      </c>
      <c r="X154" s="151">
        <f t="shared" si="44"/>
        <v>0</v>
      </c>
      <c r="Y154" s="151">
        <f t="shared" si="45"/>
        <v>0</v>
      </c>
      <c r="Z154" s="151">
        <f t="shared" si="46"/>
        <v>0</v>
      </c>
      <c r="AA154" s="151">
        <f t="shared" si="47"/>
        <v>0.38766586100230999</v>
      </c>
      <c r="AB154" s="151">
        <f t="shared" si="48"/>
        <v>12.498798771964873</v>
      </c>
      <c r="AC154" s="151">
        <f t="shared" si="49"/>
        <v>52.736782995289261</v>
      </c>
    </row>
    <row r="155" spans="1:29" hidden="1" x14ac:dyDescent="0.3">
      <c r="A155" t="s">
        <v>975</v>
      </c>
      <c r="B155" t="s">
        <v>976</v>
      </c>
      <c r="C155" s="90">
        <v>345</v>
      </c>
      <c r="D155" s="37">
        <f t="shared" si="37"/>
        <v>2.9449932091873938E-6</v>
      </c>
      <c r="E155" t="s">
        <v>1067</v>
      </c>
      <c r="F155" t="s">
        <v>1058</v>
      </c>
      <c r="G155" t="s">
        <v>1047</v>
      </c>
      <c r="H155" t="s">
        <v>1045</v>
      </c>
      <c r="I155" s="93" t="str">
        <f>VLOOKUP(B155,'Beynon 2023'!$B$88:$R$336,15,FALSE)</f>
        <v/>
      </c>
      <c r="J155" s="36">
        <f>IF(H155="Yes",C155/1000*'Preliminary results'!$D$46*Inflation!$D$7)</f>
        <v>3.2836325331920874E-4</v>
      </c>
      <c r="K155" s="36">
        <f>IF(H155="Yes",C155/1000*'Preliminary results'!$E$46*Inflation!$D$7)</f>
        <v>1.0586813645992057E-2</v>
      </c>
      <c r="L155" s="36">
        <f>IF(H155="Yes",C155/1000*'Preliminary results'!$F$46*Inflation!$D$7)</f>
        <v>4.4669452164680344E-2</v>
      </c>
      <c r="M155" s="150">
        <f>IF(H155="Yes",C155/1000*'Preliminary results'!$G$46*Inflation!$D$7)</f>
        <v>7.6406933380451084E-2</v>
      </c>
      <c r="N155" s="151">
        <f t="shared" si="50"/>
        <v>0</v>
      </c>
      <c r="O155" s="151">
        <f t="shared" si="38"/>
        <v>0</v>
      </c>
      <c r="P155" s="151">
        <f t="shared" si="39"/>
        <v>0</v>
      </c>
      <c r="Q155" s="151">
        <f t="shared" si="40"/>
        <v>0</v>
      </c>
      <c r="R155" s="151">
        <f t="shared" si="41"/>
        <v>3.2836325331920874E-4</v>
      </c>
      <c r="S155" s="151">
        <f t="shared" si="42"/>
        <v>1.0586813645992057E-2</v>
      </c>
      <c r="T155" s="151">
        <f t="shared" si="43"/>
        <v>4.4669452164680344E-2</v>
      </c>
      <c r="U155" s="150" t="b">
        <f>IF(G155="Yes",C155/1000*'Preliminary results'!$D$46*Inflation!$D$7)</f>
        <v>0</v>
      </c>
      <c r="V155" s="150" t="b">
        <f>IF(G155="Yes",C155/1000*'Preliminary results'!$E$46*Inflation!$D$7)</f>
        <v>0</v>
      </c>
      <c r="W155" s="150" t="b">
        <f>IF(G155="Yes",C155/1000*'Preliminary results'!$F$46*Inflation!$D$7)</f>
        <v>0</v>
      </c>
      <c r="X155" s="151">
        <f t="shared" si="44"/>
        <v>0</v>
      </c>
      <c r="Y155" s="151">
        <f t="shared" si="45"/>
        <v>0</v>
      </c>
      <c r="Z155" s="151">
        <f t="shared" si="46"/>
        <v>0</v>
      </c>
      <c r="AA155" s="151">
        <f t="shared" si="47"/>
        <v>0</v>
      </c>
      <c r="AB155" s="151">
        <f t="shared" si="48"/>
        <v>0</v>
      </c>
      <c r="AC155" s="151">
        <f t="shared" si="49"/>
        <v>0</v>
      </c>
    </row>
    <row r="156" spans="1:29" hidden="1" x14ac:dyDescent="0.3">
      <c r="A156" t="s">
        <v>733</v>
      </c>
      <c r="B156" t="s">
        <v>734</v>
      </c>
      <c r="C156" s="90">
        <v>90462.6</v>
      </c>
      <c r="D156" s="37">
        <f t="shared" si="37"/>
        <v>7.7220794981285664E-4</v>
      </c>
      <c r="E156" t="s">
        <v>734</v>
      </c>
      <c r="F156" t="s">
        <v>1052</v>
      </c>
      <c r="G156" t="s">
        <v>1045</v>
      </c>
      <c r="H156" t="s">
        <v>1047</v>
      </c>
      <c r="I156" s="93">
        <f>VLOOKUP(B156,'Beynon 2023'!$B$88:$R$336,15,FALSE)</f>
        <v>2.780099470439307E-4</v>
      </c>
      <c r="J156" s="36" t="b">
        <f>IF(H156="Yes",C156/1000*'Preliminary results'!$D$46*Inflation!$D$7)</f>
        <v>0</v>
      </c>
      <c r="K156" s="36" t="b">
        <f>IF(H156="Yes",C156/1000*'Preliminary results'!$E$46*Inflation!$D$7)</f>
        <v>0</v>
      </c>
      <c r="L156" s="36" t="b">
        <f>IF(H156="Yes",C156/1000*'Preliminary results'!$F$46*Inflation!$D$7)</f>
        <v>0</v>
      </c>
      <c r="M156" s="150" t="b">
        <f>IF(H156="Yes",C156/1000*'Preliminary results'!$G$46*Inflation!$D$7)</f>
        <v>0</v>
      </c>
      <c r="N156" s="151">
        <f t="shared" si="50"/>
        <v>1.1768785967308456E-3</v>
      </c>
      <c r="O156" s="151">
        <f t="shared" si="38"/>
        <v>3.7943936361947504E-2</v>
      </c>
      <c r="P156" s="151">
        <f t="shared" si="39"/>
        <v>0.16009867623402968</v>
      </c>
      <c r="Q156" s="151">
        <f t="shared" si="40"/>
        <v>0.27384819594864279</v>
      </c>
      <c r="R156" s="151">
        <f t="shared" si="41"/>
        <v>-1.1768785967308456E-3</v>
      </c>
      <c r="S156" s="151">
        <f t="shared" si="42"/>
        <v>-3.7943936361947504E-2</v>
      </c>
      <c r="T156" s="151">
        <f t="shared" si="43"/>
        <v>-0.16009867623402968</v>
      </c>
      <c r="U156" s="150">
        <f>IF(G156="Yes",C156/1000*'Preliminary results'!$D$46*Inflation!$D$7)</f>
        <v>8.610027141946161E-2</v>
      </c>
      <c r="V156" s="150">
        <f>IF(G156="Yes",C156/1000*'Preliminary results'!$E$46*Inflation!$D$7)</f>
        <v>2.7759730090780326</v>
      </c>
      <c r="W156" s="150">
        <f>IF(G156="Yes",C156/1000*'Preliminary results'!$F$46*Inflation!$D$7)</f>
        <v>11.712796473601774</v>
      </c>
      <c r="X156" s="151">
        <f t="shared" si="44"/>
        <v>1.0674650758213626E-2</v>
      </c>
      <c r="Y156" s="151">
        <f t="shared" si="45"/>
        <v>0.34416317042454081</v>
      </c>
      <c r="Z156" s="151">
        <f t="shared" si="46"/>
        <v>1.4521442232001369</v>
      </c>
      <c r="AA156" s="151">
        <f t="shared" si="47"/>
        <v>7.5425620661247986E-2</v>
      </c>
      <c r="AB156" s="151">
        <f t="shared" si="48"/>
        <v>2.4318098386534919</v>
      </c>
      <c r="AC156" s="151">
        <f t="shared" si="49"/>
        <v>10.260652250401638</v>
      </c>
    </row>
    <row r="157" spans="1:29" hidden="1" x14ac:dyDescent="0.3">
      <c r="A157" t="s">
        <v>794</v>
      </c>
      <c r="B157" t="s">
        <v>795</v>
      </c>
      <c r="C157" s="90">
        <v>32498.658653841499</v>
      </c>
      <c r="D157" s="37">
        <f t="shared" si="37"/>
        <v>2.774154465022097E-4</v>
      </c>
      <c r="E157" t="s">
        <v>795</v>
      </c>
      <c r="F157" t="s">
        <v>1058</v>
      </c>
      <c r="G157" t="s">
        <v>1045</v>
      </c>
      <c r="H157" t="s">
        <v>1045</v>
      </c>
      <c r="I157" s="93" t="str">
        <f>VLOOKUP(B157,'Beynon 2023'!$B$88:$R$336,15,FALSE)</f>
        <v/>
      </c>
      <c r="J157" s="36">
        <f>IF(H157="Yes",C157/1000*'Preliminary results'!$D$46*Inflation!$D$7)</f>
        <v>3.0931493577060442E-2</v>
      </c>
      <c r="K157" s="36">
        <f>IF(H157="Yes",C157/1000*'Preliminary results'!$E$46*Inflation!$D$7)</f>
        <v>0.99726737076210747</v>
      </c>
      <c r="L157" s="36">
        <f>IF(H157="Yes",C157/1000*'Preliminary results'!$F$46*Inflation!$D$7)</f>
        <v>4.2078181975479643</v>
      </c>
      <c r="M157" s="150">
        <f>IF(H157="Yes",C157/1000*'Preliminary results'!$G$46*Inflation!$D$7)</f>
        <v>7.1974575267190959</v>
      </c>
      <c r="N157" s="151">
        <f t="shared" si="50"/>
        <v>0</v>
      </c>
      <c r="O157" s="151">
        <f t="shared" si="38"/>
        <v>0</v>
      </c>
      <c r="P157" s="151">
        <f t="shared" si="39"/>
        <v>0</v>
      </c>
      <c r="Q157" s="151">
        <f t="shared" si="40"/>
        <v>0</v>
      </c>
      <c r="R157" s="151">
        <f t="shared" si="41"/>
        <v>3.0931493577060442E-2</v>
      </c>
      <c r="S157" s="151">
        <f t="shared" si="42"/>
        <v>0.99726737076210747</v>
      </c>
      <c r="T157" s="151">
        <f t="shared" si="43"/>
        <v>4.2078181975479643</v>
      </c>
      <c r="U157" s="150">
        <f>IF(G157="Yes",C157/1000*'Preliminary results'!$D$46*Inflation!$D$7)</f>
        <v>3.0931493577060442E-2</v>
      </c>
      <c r="V157" s="150">
        <f>IF(G157="Yes",C157/1000*'Preliminary results'!$E$46*Inflation!$D$7)</f>
        <v>0.99726737076210747</v>
      </c>
      <c r="W157" s="150">
        <f>IF(G157="Yes",C157/1000*'Preliminary results'!$F$46*Inflation!$D$7)</f>
        <v>4.2078181975479643</v>
      </c>
      <c r="X157" s="151">
        <f t="shared" si="44"/>
        <v>0</v>
      </c>
      <c r="Y157" s="151">
        <f t="shared" si="45"/>
        <v>0</v>
      </c>
      <c r="Z157" s="151">
        <f t="shared" si="46"/>
        <v>0</v>
      </c>
      <c r="AA157" s="151">
        <f t="shared" si="47"/>
        <v>3.0931493577060442E-2</v>
      </c>
      <c r="AB157" s="151">
        <f t="shared" si="48"/>
        <v>0.99726737076210747</v>
      </c>
      <c r="AC157" s="151">
        <f t="shared" si="49"/>
        <v>4.2078181975479643</v>
      </c>
    </row>
    <row r="158" spans="1:29" hidden="1" x14ac:dyDescent="0.3">
      <c r="A158" t="s">
        <v>766</v>
      </c>
      <c r="B158" t="s">
        <v>767</v>
      </c>
      <c r="C158" s="90">
        <v>49278.227554333898</v>
      </c>
      <c r="D158" s="45">
        <f t="shared" si="37"/>
        <v>4.2064940727044766E-4</v>
      </c>
      <c r="E158" t="s">
        <v>767</v>
      </c>
      <c r="F158" t="s">
        <v>1052</v>
      </c>
      <c r="G158" t="s">
        <v>1045</v>
      </c>
      <c r="H158" t="s">
        <v>1045</v>
      </c>
      <c r="I158" s="45">
        <f>VLOOKUP(B158,'Beynon 2023'!$B$88:$R$336,15,FALSE)</f>
        <v>5.7054664693838297E-4</v>
      </c>
      <c r="J158" s="36">
        <f>IF(H158="Yes",C158/1000*'Preliminary results'!$D$46*Inflation!$D$7)</f>
        <v>4.6901910485638701E-2</v>
      </c>
      <c r="K158" s="36">
        <f>IF(H158="Yes",C158/1000*'Preliminary results'!$E$46*Inflation!$D$7)</f>
        <v>1.512172208471084</v>
      </c>
      <c r="L158" s="36">
        <f>IF(H158="Yes",C158/1000*'Preliminary results'!$F$46*Inflation!$D$7)</f>
        <v>6.3803809521697117</v>
      </c>
      <c r="M158" s="150">
        <f>IF(H158="Yes",C158/1000*'Preliminary results'!$G$46*Inflation!$D$7)</f>
        <v>10.913618115509271</v>
      </c>
      <c r="N158" s="151">
        <f t="shared" si="50"/>
        <v>2.4152522035919442E-3</v>
      </c>
      <c r="O158" s="151">
        <f t="shared" si="38"/>
        <v>7.787054345768292E-2</v>
      </c>
      <c r="P158" s="151">
        <f t="shared" si="39"/>
        <v>0.32856293048451757</v>
      </c>
      <c r="Q158" s="151">
        <f t="shared" si="40"/>
        <v>0.56200568227846226</v>
      </c>
      <c r="R158" s="151">
        <f t="shared" si="41"/>
        <v>4.4486658282046759E-2</v>
      </c>
      <c r="S158" s="151">
        <f t="shared" si="42"/>
        <v>1.4343016650134011</v>
      </c>
      <c r="T158" s="151">
        <f t="shared" si="43"/>
        <v>6.051818021685194</v>
      </c>
      <c r="U158" s="150">
        <f>IF(G158="Yes",C158/1000*'Preliminary results'!$D$46*Inflation!$D$7)</f>
        <v>4.6901910485638701E-2</v>
      </c>
      <c r="V158" s="150">
        <f>IF(G158="Yes",C158/1000*'Preliminary results'!$E$46*Inflation!$D$7)</f>
        <v>1.512172208471084</v>
      </c>
      <c r="W158" s="150">
        <f>IF(G158="Yes",C158/1000*'Preliminary results'!$F$46*Inflation!$D$7)</f>
        <v>6.3803809521697117</v>
      </c>
      <c r="X158" s="151">
        <f t="shared" si="44"/>
        <v>2.1907080167799388E-2</v>
      </c>
      <c r="Y158" s="151">
        <f t="shared" si="45"/>
        <v>0.70630977406853834</v>
      </c>
      <c r="Z158" s="151">
        <f t="shared" si="46"/>
        <v>2.9801668113941981</v>
      </c>
      <c r="AA158" s="151">
        <f t="shared" si="47"/>
        <v>2.4994830317839313E-2</v>
      </c>
      <c r="AB158" s="151">
        <f t="shared" si="48"/>
        <v>0.80586243440254568</v>
      </c>
      <c r="AC158" s="151">
        <f t="shared" si="49"/>
        <v>3.4002141407755135</v>
      </c>
    </row>
    <row r="159" spans="1:29" hidden="1" x14ac:dyDescent="0.3">
      <c r="A159" t="s">
        <v>664</v>
      </c>
      <c r="B159" t="s">
        <v>665</v>
      </c>
      <c r="C159" s="90">
        <v>334854.65918189299</v>
      </c>
      <c r="D159" s="37">
        <f t="shared" si="37"/>
        <v>2.8583904271172003E-3</v>
      </c>
      <c r="E159" t="s">
        <v>665</v>
      </c>
      <c r="F159" t="s">
        <v>1052</v>
      </c>
      <c r="G159" t="s">
        <v>1045</v>
      </c>
      <c r="H159" t="s">
        <v>1047</v>
      </c>
      <c r="I159" s="45">
        <f>VLOOKUP(B159,'Beynon 2023'!$B$88:$R$336,15,FALSE)</f>
        <v>8.1470822248494272E-4</v>
      </c>
      <c r="J159" s="36" t="b">
        <f>IF(H159="Yes",C159/1000*'Preliminary results'!$D$46*Inflation!$D$7)</f>
        <v>0</v>
      </c>
      <c r="K159" s="36" t="b">
        <f>IF(H159="Yes",C159/1000*'Preliminary results'!$E$46*Inflation!$D$7)</f>
        <v>0</v>
      </c>
      <c r="L159" s="36" t="b">
        <f>IF(H159="Yes",C159/1000*'Preliminary results'!$F$46*Inflation!$D$7)</f>
        <v>0</v>
      </c>
      <c r="M159" s="150" t="b">
        <f>IF(H159="Yes",C159/1000*'Preliminary results'!$G$46*Inflation!$D$7)</f>
        <v>0</v>
      </c>
      <c r="N159" s="151">
        <f t="shared" si="50"/>
        <v>3.4488430353596337E-3</v>
      </c>
      <c r="O159" s="151">
        <f t="shared" si="38"/>
        <v>0.11119471542735546</v>
      </c>
      <c r="P159" s="151">
        <f t="shared" si="39"/>
        <v>0.46916921255413835</v>
      </c>
      <c r="Q159" s="151">
        <f t="shared" si="40"/>
        <v>0.80251220981230631</v>
      </c>
      <c r="R159" s="151">
        <f t="shared" si="41"/>
        <v>-3.4488430353596337E-3</v>
      </c>
      <c r="S159" s="151">
        <f t="shared" si="42"/>
        <v>-0.11119471542735546</v>
      </c>
      <c r="T159" s="151">
        <f t="shared" si="43"/>
        <v>-0.46916921255413835</v>
      </c>
      <c r="U159" s="150">
        <f>IF(G159="Yes",C159/1000*'Preliminary results'!$D$46*Inflation!$D$7)</f>
        <v>0.31870714573351078</v>
      </c>
      <c r="V159" s="150">
        <f>IF(G159="Yes",C159/1000*'Preliminary results'!$E$46*Inflation!$D$7)</f>
        <v>10.275489493480825</v>
      </c>
      <c r="W159" s="150">
        <f>IF(G159="Yes",C159/1000*'Preliminary results'!$F$46*Inflation!$D$7)</f>
        <v>43.355867189698287</v>
      </c>
      <c r="X159" s="151">
        <f t="shared" si="44"/>
        <v>3.1282066837333436E-2</v>
      </c>
      <c r="Y159" s="151">
        <f t="shared" si="45"/>
        <v>1.0085702608944882</v>
      </c>
      <c r="Z159" s="151">
        <f t="shared" si="46"/>
        <v>4.2555090256832209</v>
      </c>
      <c r="AA159" s="151">
        <f t="shared" si="47"/>
        <v>0.28742507889617736</v>
      </c>
      <c r="AB159" s="151">
        <f t="shared" si="48"/>
        <v>9.2669192325863357</v>
      </c>
      <c r="AC159" s="151">
        <f t="shared" si="49"/>
        <v>39.100358164015063</v>
      </c>
    </row>
    <row r="160" spans="1:29" hidden="1" x14ac:dyDescent="0.3">
      <c r="A160" t="s">
        <v>636</v>
      </c>
      <c r="B160" t="s">
        <v>637</v>
      </c>
      <c r="C160" s="90">
        <v>487086.12372041697</v>
      </c>
      <c r="D160" s="37">
        <f t="shared" si="37"/>
        <v>4.1578705120175041E-3</v>
      </c>
      <c r="E160" t="s">
        <v>637</v>
      </c>
      <c r="F160" t="s">
        <v>1058</v>
      </c>
      <c r="G160" t="s">
        <v>1045</v>
      </c>
      <c r="H160" t="s">
        <v>1045</v>
      </c>
      <c r="I160" s="45" t="str">
        <f>VLOOKUP(B160,'Beynon 2023'!$B$88:$R$336,15,FALSE)</f>
        <v/>
      </c>
      <c r="J160" s="36">
        <f>IF(H160="Yes",C160/1000*'Preliminary results'!$D$46*Inflation!$D$7)</f>
        <v>0.46359763545356153</v>
      </c>
      <c r="K160" s="36">
        <f>IF(H160="Yes",C160/1000*'Preliminary results'!$E$46*Inflation!$D$7)</f>
        <v>14.946927598193295</v>
      </c>
      <c r="L160" s="36">
        <f>IF(H160="Yes",C160/1000*'Preliminary results'!$F$46*Inflation!$D$7)</f>
        <v>63.066290735097787</v>
      </c>
      <c r="M160" s="150">
        <f>IF(H160="Yes",C160/1000*'Preliminary results'!$G$46*Inflation!$D$7)</f>
        <v>107.87465798738566</v>
      </c>
      <c r="N160" s="151">
        <f t="shared" si="50"/>
        <v>0</v>
      </c>
      <c r="O160" s="151">
        <f t="shared" si="38"/>
        <v>0</v>
      </c>
      <c r="P160" s="151">
        <f t="shared" si="39"/>
        <v>0</v>
      </c>
      <c r="Q160" s="151">
        <f t="shared" si="40"/>
        <v>0</v>
      </c>
      <c r="R160" s="151">
        <f t="shared" si="41"/>
        <v>0.46359763545356153</v>
      </c>
      <c r="S160" s="151">
        <f t="shared" si="42"/>
        <v>14.946927598193295</v>
      </c>
      <c r="T160" s="151">
        <f t="shared" si="43"/>
        <v>63.066290735097787</v>
      </c>
      <c r="U160" s="150">
        <f>IF(G160="Yes",C160/1000*'Preliminary results'!$D$46*Inflation!$D$7)</f>
        <v>0.46359763545356153</v>
      </c>
      <c r="V160" s="150">
        <f>IF(G160="Yes",C160/1000*'Preliminary results'!$E$46*Inflation!$D$7)</f>
        <v>14.946927598193295</v>
      </c>
      <c r="W160" s="150">
        <f>IF(G160="Yes",C160/1000*'Preliminary results'!$F$46*Inflation!$D$7)</f>
        <v>63.066290735097787</v>
      </c>
      <c r="X160" s="151">
        <f t="shared" si="44"/>
        <v>0</v>
      </c>
      <c r="Y160" s="151">
        <f t="shared" si="45"/>
        <v>0</v>
      </c>
      <c r="Z160" s="151">
        <f t="shared" si="46"/>
        <v>0</v>
      </c>
      <c r="AA160" s="151">
        <f t="shared" si="47"/>
        <v>0.46359763545356153</v>
      </c>
      <c r="AB160" s="151">
        <f t="shared" si="48"/>
        <v>14.946927598193295</v>
      </c>
      <c r="AC160" s="151">
        <f t="shared" si="49"/>
        <v>63.066290735097787</v>
      </c>
    </row>
    <row r="161" spans="1:29" hidden="1" x14ac:dyDescent="0.3">
      <c r="A161" t="s">
        <v>612</v>
      </c>
      <c r="B161" t="s">
        <v>613</v>
      </c>
      <c r="C161" s="90">
        <v>1035491.78419744</v>
      </c>
      <c r="D161" s="37">
        <f t="shared" si="37"/>
        <v>8.8391776018284032E-3</v>
      </c>
      <c r="E161" t="s">
        <v>613</v>
      </c>
      <c r="F161" t="s">
        <v>1046</v>
      </c>
      <c r="G161" t="s">
        <v>1047</v>
      </c>
      <c r="H161" t="s">
        <v>1047</v>
      </c>
      <c r="I161" s="45">
        <f>VLOOKUP(B161,'Beynon 2023'!$B$88:$R$336,15,FALSE)</f>
        <v>7.5988302178317214E-3</v>
      </c>
      <c r="J161" s="36" t="b">
        <f>IF(H161="Yes",C161/1000*'Preliminary results'!$D$46*Inflation!$D$7)</f>
        <v>0</v>
      </c>
      <c r="K161" s="36" t="b">
        <f>IF(H161="Yes",C161/1000*'Preliminary results'!$E$46*Inflation!$D$7)</f>
        <v>0</v>
      </c>
      <c r="L161" s="36" t="b">
        <f>IF(H161="Yes",C161/1000*'Preliminary results'!$F$46*Inflation!$D$7)</f>
        <v>0</v>
      </c>
      <c r="M161" s="150" t="b">
        <f>IF(H161="Yes",C161/1000*'Preliminary results'!$G$46*Inflation!$D$7)</f>
        <v>0</v>
      </c>
      <c r="N161" s="151">
        <f t="shared" si="50"/>
        <v>3.2167556372163182E-2</v>
      </c>
      <c r="O161" s="151">
        <f t="shared" si="38"/>
        <v>1.0371194745959544</v>
      </c>
      <c r="P161" s="151">
        <f t="shared" si="39"/>
        <v>4.3759680966010999</v>
      </c>
      <c r="Q161" s="151">
        <f t="shared" si="40"/>
        <v>7.4850773096418193</v>
      </c>
      <c r="R161" s="151">
        <f t="shared" si="41"/>
        <v>-3.2167556372163182E-2</v>
      </c>
      <c r="S161" s="151">
        <f t="shared" si="42"/>
        <v>-1.0371194745959544</v>
      </c>
      <c r="T161" s="151">
        <f t="shared" si="43"/>
        <v>-4.3759680966010999</v>
      </c>
      <c r="U161" s="150" t="b">
        <f>IF(G161="Yes",C161/1000*'Preliminary results'!$D$46*Inflation!$D$7)</f>
        <v>0</v>
      </c>
      <c r="V161" s="150" t="b">
        <f>IF(G161="Yes",C161/1000*'Preliminary results'!$E$46*Inflation!$D$7)</f>
        <v>0</v>
      </c>
      <c r="W161" s="150" t="b">
        <f>IF(G161="Yes",C161/1000*'Preliminary results'!$F$46*Inflation!$D$7)</f>
        <v>0</v>
      </c>
      <c r="X161" s="151">
        <f t="shared" si="44"/>
        <v>0.29176962770147341</v>
      </c>
      <c r="Y161" s="151">
        <f t="shared" si="45"/>
        <v>9.40699254503118</v>
      </c>
      <c r="Z161" s="151">
        <f t="shared" si="46"/>
        <v>39.691376230359488</v>
      </c>
      <c r="AA161" s="151">
        <f t="shared" si="47"/>
        <v>-0.29176962770147341</v>
      </c>
      <c r="AB161" s="151">
        <f t="shared" si="48"/>
        <v>-9.40699254503118</v>
      </c>
      <c r="AC161" s="151">
        <f t="shared" si="49"/>
        <v>-39.691376230359488</v>
      </c>
    </row>
    <row r="162" spans="1:29" hidden="1" x14ac:dyDescent="0.3">
      <c r="A162" t="s">
        <v>662</v>
      </c>
      <c r="B162" t="s">
        <v>663</v>
      </c>
      <c r="C162" s="90">
        <v>346639.825141821</v>
      </c>
      <c r="D162" s="37">
        <f t="shared" si="37"/>
        <v>2.9589911045697637E-3</v>
      </c>
      <c r="E162" t="s">
        <v>663</v>
      </c>
      <c r="F162" t="s">
        <v>1046</v>
      </c>
      <c r="G162" t="s">
        <v>1047</v>
      </c>
      <c r="H162" t="s">
        <v>1047</v>
      </c>
      <c r="I162" s="45">
        <f>VLOOKUP(B162,'Beynon 2023'!$B$88:$R$336,15,FALSE)</f>
        <v>1.4949514228066404E-3</v>
      </c>
      <c r="J162" s="36" t="b">
        <f>IF(H162="Yes",C162/1000*'Preliminary results'!$D$46*Inflation!$D$7)</f>
        <v>0</v>
      </c>
      <c r="K162" s="36" t="b">
        <f>IF(H162="Yes",C162/1000*'Preliminary results'!$E$46*Inflation!$D$7)</f>
        <v>0</v>
      </c>
      <c r="L162" s="36" t="b">
        <f>IF(H162="Yes",C162/1000*'Preliminary results'!$F$46*Inflation!$D$7)</f>
        <v>0</v>
      </c>
      <c r="M162" s="150" t="b">
        <f>IF(H162="Yes",C162/1000*'Preliminary results'!$G$46*Inflation!$D$7)</f>
        <v>0</v>
      </c>
      <c r="N162" s="151">
        <f t="shared" si="50"/>
        <v>6.3284654069426013E-3</v>
      </c>
      <c r="O162" s="151">
        <f t="shared" si="38"/>
        <v>0.20403709383180646</v>
      </c>
      <c r="P162" s="151">
        <f t="shared" si="39"/>
        <v>0.8609035265479269</v>
      </c>
      <c r="Q162" s="151">
        <f t="shared" si="40"/>
        <v>1.472572310881251</v>
      </c>
      <c r="R162" s="151">
        <f t="shared" si="41"/>
        <v>-6.3284654069426013E-3</v>
      </c>
      <c r="S162" s="151">
        <f t="shared" si="42"/>
        <v>-0.20403709383180646</v>
      </c>
      <c r="T162" s="151">
        <f t="shared" si="43"/>
        <v>-0.8609035265479269</v>
      </c>
      <c r="U162" s="150" t="b">
        <f>IF(G162="Yes",C162/1000*'Preliminary results'!$D$46*Inflation!$D$7)</f>
        <v>0</v>
      </c>
      <c r="V162" s="150" t="b">
        <f>IF(G162="Yes",C162/1000*'Preliminary results'!$E$46*Inflation!$D$7)</f>
        <v>0</v>
      </c>
      <c r="W162" s="150" t="b">
        <f>IF(G162="Yes",C162/1000*'Preliminary results'!$F$46*Inflation!$D$7)</f>
        <v>0</v>
      </c>
      <c r="X162" s="151">
        <f t="shared" si="44"/>
        <v>5.740112722093995E-2</v>
      </c>
      <c r="Y162" s="151">
        <f t="shared" si="45"/>
        <v>1.8506791817147099</v>
      </c>
      <c r="Z162" s="151">
        <f t="shared" si="46"/>
        <v>7.8086597104759283</v>
      </c>
      <c r="AA162" s="151">
        <f t="shared" si="47"/>
        <v>-5.740112722093995E-2</v>
      </c>
      <c r="AB162" s="151">
        <f t="shared" si="48"/>
        <v>-1.8506791817147099</v>
      </c>
      <c r="AC162" s="151">
        <f t="shared" si="49"/>
        <v>-7.8086597104759283</v>
      </c>
    </row>
    <row r="163" spans="1:29" hidden="1" x14ac:dyDescent="0.3">
      <c r="A163" t="s">
        <v>699</v>
      </c>
      <c r="B163" t="s">
        <v>700</v>
      </c>
      <c r="C163" s="90">
        <v>129368.484</v>
      </c>
      <c r="D163" s="47">
        <f t="shared" si="37"/>
        <v>1.104316831486574E-3</v>
      </c>
      <c r="E163" t="s">
        <v>1051</v>
      </c>
      <c r="F163" t="s">
        <v>1052</v>
      </c>
      <c r="G163" t="s">
        <v>1047</v>
      </c>
      <c r="H163" t="s">
        <v>1047</v>
      </c>
      <c r="I163" t="s">
        <v>1060</v>
      </c>
      <c r="J163" s="36" t="b">
        <f>IF(H163="Yes",C163/1000*'Preliminary results'!$D$46*Inflation!$D$7)</f>
        <v>0</v>
      </c>
      <c r="K163" s="36" t="b">
        <f>IF(H163="Yes",C163/1000*'Preliminary results'!$E$46*Inflation!$D$7)</f>
        <v>0</v>
      </c>
      <c r="L163" s="36" t="b">
        <f>IF(H163="Yes",C163/1000*'Preliminary results'!$F$46*Inflation!$D$7)</f>
        <v>0</v>
      </c>
      <c r="M163" s="150" t="b">
        <f>IF(H163="Yes",C163/1000*'Preliminary results'!$G$46*Inflation!$D$7)</f>
        <v>0</v>
      </c>
      <c r="N163" s="151">
        <f t="shared" si="50"/>
        <v>0</v>
      </c>
      <c r="O163" s="151">
        <f t="shared" si="38"/>
        <v>0</v>
      </c>
      <c r="P163" s="151">
        <f t="shared" si="39"/>
        <v>0</v>
      </c>
      <c r="Q163" s="151">
        <f t="shared" si="40"/>
        <v>0</v>
      </c>
      <c r="R163" s="151">
        <f t="shared" si="41"/>
        <v>0</v>
      </c>
      <c r="S163" s="151">
        <f t="shared" si="42"/>
        <v>0</v>
      </c>
      <c r="T163" s="151">
        <f t="shared" si="43"/>
        <v>0</v>
      </c>
      <c r="U163" s="150" t="b">
        <f>IF(G163="Yes",C163/1000*'Preliminary results'!$D$46*Inflation!$D$7)</f>
        <v>0</v>
      </c>
      <c r="V163" s="150" t="b">
        <f>IF(G163="Yes",C163/1000*'Preliminary results'!$E$46*Inflation!$D$7)</f>
        <v>0</v>
      </c>
      <c r="W163" s="150" t="b">
        <f>IF(G163="Yes",C163/1000*'Preliminary results'!$F$46*Inflation!$D$7)</f>
        <v>0</v>
      </c>
      <c r="X163" s="151">
        <f t="shared" si="44"/>
        <v>0</v>
      </c>
      <c r="Y163" s="151">
        <f t="shared" si="45"/>
        <v>0</v>
      </c>
      <c r="Z163" s="151">
        <f t="shared" si="46"/>
        <v>0</v>
      </c>
      <c r="AA163" s="151">
        <f t="shared" si="47"/>
        <v>0</v>
      </c>
      <c r="AB163" s="151">
        <f t="shared" si="48"/>
        <v>0</v>
      </c>
      <c r="AC163" s="151">
        <f t="shared" si="49"/>
        <v>0</v>
      </c>
    </row>
    <row r="164" spans="1:29" hidden="1" x14ac:dyDescent="0.3">
      <c r="A164" t="s">
        <v>680</v>
      </c>
      <c r="B164" t="s">
        <v>681</v>
      </c>
      <c r="C164" s="90">
        <v>215559.615384615</v>
      </c>
      <c r="D164" s="37">
        <f t="shared" si="37"/>
        <v>1.8400626187905439E-3</v>
      </c>
      <c r="E164" t="s">
        <v>681</v>
      </c>
      <c r="F164" t="s">
        <v>1056</v>
      </c>
      <c r="G164" t="s">
        <v>1045</v>
      </c>
      <c r="H164" t="s">
        <v>1047</v>
      </c>
      <c r="I164" s="45">
        <f>VLOOKUP(B164,'Beynon 2023'!$B$88:$R$336,15,FALSE)</f>
        <v>5.4381703332890908E-3</v>
      </c>
      <c r="J164" s="36" t="b">
        <f>IF(H164="Yes",C164/1000*'Preliminary results'!$D$46*Inflation!$D$7)</f>
        <v>0</v>
      </c>
      <c r="K164" s="36" t="b">
        <f>IF(H164="Yes",C164/1000*'Preliminary results'!$E$46*Inflation!$D$7)</f>
        <v>0</v>
      </c>
      <c r="L164" s="36" t="b">
        <f>IF(H164="Yes",C164/1000*'Preliminary results'!$F$46*Inflation!$D$7)</f>
        <v>0</v>
      </c>
      <c r="M164" s="150" t="b">
        <f>IF(H164="Yes",C164/1000*'Preliminary results'!$G$46*Inflation!$D$7)</f>
        <v>0</v>
      </c>
      <c r="N164" s="151">
        <f t="shared" si="50"/>
        <v>2.3020997409179938E-2</v>
      </c>
      <c r="O164" s="151">
        <f t="shared" si="38"/>
        <v>0.74222376301933424</v>
      </c>
      <c r="P164" s="151">
        <f t="shared" si="39"/>
        <v>3.1317004328524174</v>
      </c>
      <c r="Q164" s="151">
        <f t="shared" si="40"/>
        <v>5.3567620542631911</v>
      </c>
      <c r="R164" s="151">
        <f t="shared" si="41"/>
        <v>-2.3020997409179938E-2</v>
      </c>
      <c r="S164" s="151">
        <f t="shared" si="42"/>
        <v>-0.74222376301933424</v>
      </c>
      <c r="T164" s="151">
        <f t="shared" si="43"/>
        <v>-3.1317004328524174</v>
      </c>
      <c r="U164" s="150">
        <f>IF(G164="Yes",C164/1000*'Preliminary results'!$D$46*Inflation!$D$7)</f>
        <v>0.20516480171573778</v>
      </c>
      <c r="V164" s="150">
        <f>IF(G164="Yes",C164/1000*'Preliminary results'!$E$46*Inflation!$D$7)</f>
        <v>6.6147521092134545</v>
      </c>
      <c r="W164" s="150">
        <f>IF(G164="Yes",C164/1000*'Preliminary results'!$F$46*Inflation!$D$7)</f>
        <v>27.909941820463633</v>
      </c>
      <c r="X164" s="151">
        <f t="shared" si="44"/>
        <v>0.20880752537378161</v>
      </c>
      <c r="Y164" s="151">
        <f t="shared" si="45"/>
        <v>6.7321977616783082</v>
      </c>
      <c r="Z164" s="151">
        <f t="shared" si="46"/>
        <v>28.405485912402419</v>
      </c>
      <c r="AA164" s="151">
        <f t="shared" si="47"/>
        <v>-3.6427236580438282E-3</v>
      </c>
      <c r="AB164" s="151">
        <f t="shared" si="48"/>
        <v>-0.11744565246485372</v>
      </c>
      <c r="AC164" s="151">
        <f t="shared" si="49"/>
        <v>-0.49554409193878612</v>
      </c>
    </row>
    <row r="165" spans="1:29" hidden="1" x14ac:dyDescent="0.3">
      <c r="A165" t="s">
        <v>646</v>
      </c>
      <c r="B165" t="s">
        <v>647</v>
      </c>
      <c r="C165" s="90">
        <v>428677.97785482602</v>
      </c>
      <c r="D165" s="37">
        <f t="shared" si="37"/>
        <v>3.6592861846685412E-3</v>
      </c>
      <c r="E165" t="s">
        <v>647</v>
      </c>
      <c r="F165" t="s">
        <v>1046</v>
      </c>
      <c r="G165" t="s">
        <v>1047</v>
      </c>
      <c r="H165" t="s">
        <v>1047</v>
      </c>
      <c r="I165" s="45">
        <f>VLOOKUP(B165,'Beynon 2023'!$B$88:$R$336,15,FALSE)</f>
        <v>2.3309718205842397E-3</v>
      </c>
      <c r="J165" s="36" t="b">
        <f>IF(H165="Yes",C165/1000*'Preliminary results'!$D$46*Inflation!$D$7)</f>
        <v>0</v>
      </c>
      <c r="K165" s="36" t="b">
        <f>IF(H165="Yes",C165/1000*'Preliminary results'!$E$46*Inflation!$D$7)</f>
        <v>0</v>
      </c>
      <c r="L165" s="36" t="b">
        <f>IF(H165="Yes",C165/1000*'Preliminary results'!$F$46*Inflation!$D$7)</f>
        <v>0</v>
      </c>
      <c r="M165" s="150" t="b">
        <f>IF(H165="Yes",C165/1000*'Preliminary results'!$G$46*Inflation!$D$7)</f>
        <v>0</v>
      </c>
      <c r="N165" s="151">
        <f t="shared" si="50"/>
        <v>9.8675276708528603E-3</v>
      </c>
      <c r="O165" s="151">
        <f t="shared" si="38"/>
        <v>0.31814058224242303</v>
      </c>
      <c r="P165" s="151">
        <f t="shared" si="39"/>
        <v>1.3423458648959519</v>
      </c>
      <c r="Q165" s="151">
        <f t="shared" si="40"/>
        <v>2.2960776571539334</v>
      </c>
      <c r="R165" s="151">
        <f t="shared" si="41"/>
        <v>-9.8675276708528603E-3</v>
      </c>
      <c r="S165" s="151">
        <f t="shared" si="42"/>
        <v>-0.31814058224242303</v>
      </c>
      <c r="T165" s="151">
        <f t="shared" si="43"/>
        <v>-1.3423458648959519</v>
      </c>
      <c r="U165" s="150" t="b">
        <f>IF(G165="Yes",C165/1000*'Preliminary results'!$D$46*Inflation!$D$7)</f>
        <v>0</v>
      </c>
      <c r="V165" s="150" t="b">
        <f>IF(G165="Yes",C165/1000*'Preliminary results'!$E$46*Inflation!$D$7)</f>
        <v>0</v>
      </c>
      <c r="W165" s="150" t="b">
        <f>IF(G165="Yes",C165/1000*'Preliminary results'!$F$46*Inflation!$D$7)</f>
        <v>0</v>
      </c>
      <c r="X165" s="151">
        <f t="shared" si="44"/>
        <v>8.9501510203310417E-2</v>
      </c>
      <c r="Y165" s="151">
        <f t="shared" si="45"/>
        <v>2.8856329080044318</v>
      </c>
      <c r="Z165" s="151">
        <f t="shared" si="46"/>
        <v>12.175489761051002</v>
      </c>
      <c r="AA165" s="151">
        <f t="shared" si="47"/>
        <v>-8.9501510203310417E-2</v>
      </c>
      <c r="AB165" s="151">
        <f t="shared" si="48"/>
        <v>-2.8856329080044318</v>
      </c>
      <c r="AC165" s="151">
        <f t="shared" si="49"/>
        <v>-12.175489761051002</v>
      </c>
    </row>
    <row r="166" spans="1:29" hidden="1" x14ac:dyDescent="0.3">
      <c r="A166" t="s">
        <v>586</v>
      </c>
      <c r="B166" t="s">
        <v>587</v>
      </c>
      <c r="C166" s="90">
        <v>2561310.1693587401</v>
      </c>
      <c r="D166" s="47">
        <f t="shared" si="37"/>
        <v>2.1863887117055371E-2</v>
      </c>
      <c r="E166" t="s">
        <v>1076</v>
      </c>
      <c r="F166" t="s">
        <v>1053</v>
      </c>
      <c r="G166" t="s">
        <v>1047</v>
      </c>
      <c r="H166" t="s">
        <v>1047</v>
      </c>
      <c r="I166" s="45">
        <f>'Beynon 2023'!P278</f>
        <v>2.7044874542884713E-2</v>
      </c>
      <c r="J166" s="36" t="b">
        <f>IF(H166="Yes",C166/1000*'Preliminary results'!$D$46*Inflation!$D$7)</f>
        <v>0</v>
      </c>
      <c r="K166" s="36" t="b">
        <f>IF(H166="Yes",C166/1000*'Preliminary results'!$E$46*Inflation!$D$7)</f>
        <v>0</v>
      </c>
      <c r="L166" s="36" t="b">
        <f>IF(H166="Yes",C166/1000*'Preliminary results'!$F$46*Inflation!$D$7)</f>
        <v>0</v>
      </c>
      <c r="M166" s="150" t="b">
        <f>IF(H166="Yes",C166/1000*'Preliminary results'!$G$46*Inflation!$D$7)</f>
        <v>0</v>
      </c>
      <c r="N166" s="151">
        <f t="shared" si="50"/>
        <v>0.11448703306922479</v>
      </c>
      <c r="O166" s="151">
        <f t="shared" si="38"/>
        <v>3.6911952593189579</v>
      </c>
      <c r="P166" s="151">
        <f t="shared" si="39"/>
        <v>15.574437746815784</v>
      </c>
      <c r="Q166" s="151">
        <f t="shared" si="40"/>
        <v>26.640018394939084</v>
      </c>
      <c r="R166" s="151">
        <f t="shared" si="41"/>
        <v>-0.11448703306922479</v>
      </c>
      <c r="S166" s="151">
        <f t="shared" si="42"/>
        <v>-3.6911952593189579</v>
      </c>
      <c r="T166" s="151">
        <f t="shared" si="43"/>
        <v>-15.574437746815784</v>
      </c>
      <c r="U166" s="150" t="b">
        <f>IF(G166="Yes",C166/1000*'Preliminary results'!$D$46*Inflation!$D$7)</f>
        <v>0</v>
      </c>
      <c r="V166" s="150" t="b">
        <f>IF(G166="Yes",C166/1000*'Preliminary results'!$E$46*Inflation!$D$7)</f>
        <v>0</v>
      </c>
      <c r="W166" s="150" t="b">
        <f>IF(G166="Yes",C166/1000*'Preliminary results'!$F$46*Inflation!$D$7)</f>
        <v>0</v>
      </c>
      <c r="X166" s="151">
        <f t="shared" si="44"/>
        <v>1.0384325942818788</v>
      </c>
      <c r="Y166" s="151">
        <f t="shared" si="45"/>
        <v>33.480276031067135</v>
      </c>
      <c r="Z166" s="151">
        <f t="shared" si="46"/>
        <v>141.26493944627316</v>
      </c>
      <c r="AA166" s="151">
        <f t="shared" si="47"/>
        <v>-1.0384325942818788</v>
      </c>
      <c r="AB166" s="151">
        <f t="shared" si="48"/>
        <v>-33.480276031067135</v>
      </c>
      <c r="AC166" s="151">
        <f t="shared" si="49"/>
        <v>-141.26493944627316</v>
      </c>
    </row>
    <row r="167" spans="1:29" hidden="1" x14ac:dyDescent="0.3">
      <c r="A167" t="s">
        <v>853</v>
      </c>
      <c r="B167" t="s">
        <v>854</v>
      </c>
      <c r="C167" s="90">
        <v>16372.132990227101</v>
      </c>
      <c r="D167" s="37">
        <f t="shared" si="37"/>
        <v>1.3975600138009192E-4</v>
      </c>
      <c r="E167" t="s">
        <v>854</v>
      </c>
      <c r="F167" t="s">
        <v>1048</v>
      </c>
      <c r="G167" t="s">
        <v>1045</v>
      </c>
      <c r="H167" t="s">
        <v>1045</v>
      </c>
      <c r="I167" s="93" t="str">
        <f>VLOOKUP(B167,'Beynon 2023'!$B$88:$R$336,15,FALSE)</f>
        <v/>
      </c>
      <c r="J167" s="36">
        <f>IF(H167="Yes",C167/1000*'Preliminary results'!$D$46*Inflation!$D$7)</f>
        <v>1.558262855781367E-2</v>
      </c>
      <c r="K167" s="36">
        <f>IF(H167="Yes",C167/1000*'Preliminary results'!$E$46*Inflation!$D$7)</f>
        <v>0.50240208972444356</v>
      </c>
      <c r="L167" s="36">
        <f>IF(H167="Yes",C167/1000*'Preliminary results'!$F$46*Inflation!$D$7)</f>
        <v>2.1198093085238678</v>
      </c>
      <c r="M167" s="150">
        <f>IF(H167="Yes",C167/1000*'Preliminary results'!$G$46*Inflation!$D$7)</f>
        <v>3.6259260135657034</v>
      </c>
      <c r="N167" s="151">
        <f t="shared" si="50"/>
        <v>0</v>
      </c>
      <c r="O167" s="151">
        <f t="shared" si="38"/>
        <v>0</v>
      </c>
      <c r="P167" s="151">
        <f t="shared" si="39"/>
        <v>0</v>
      </c>
      <c r="Q167" s="151">
        <f t="shared" si="40"/>
        <v>0</v>
      </c>
      <c r="R167" s="151">
        <f t="shared" si="41"/>
        <v>1.558262855781367E-2</v>
      </c>
      <c r="S167" s="151">
        <f t="shared" si="42"/>
        <v>0.50240208972444356</v>
      </c>
      <c r="T167" s="151">
        <f t="shared" si="43"/>
        <v>2.1198093085238678</v>
      </c>
      <c r="U167" s="150">
        <f>IF(G167="Yes",C167/1000*'Preliminary results'!$D$46*Inflation!$D$7)</f>
        <v>1.558262855781367E-2</v>
      </c>
      <c r="V167" s="150">
        <f>IF(G167="Yes",C167/1000*'Preliminary results'!$E$46*Inflation!$D$7)</f>
        <v>0.50240208972444356</v>
      </c>
      <c r="W167" s="150">
        <f>IF(G167="Yes",C167/1000*'Preliminary results'!$F$46*Inflation!$D$7)</f>
        <v>2.1198093085238678</v>
      </c>
      <c r="X167" s="151">
        <f t="shared" si="44"/>
        <v>0</v>
      </c>
      <c r="Y167" s="151">
        <f t="shared" si="45"/>
        <v>0</v>
      </c>
      <c r="Z167" s="151">
        <f t="shared" si="46"/>
        <v>0</v>
      </c>
      <c r="AA167" s="151">
        <f t="shared" si="47"/>
        <v>1.558262855781367E-2</v>
      </c>
      <c r="AB167" s="151">
        <f t="shared" si="48"/>
        <v>0.50240208972444356</v>
      </c>
      <c r="AC167" s="151">
        <f t="shared" si="49"/>
        <v>2.1198093085238678</v>
      </c>
    </row>
    <row r="168" spans="1:29" hidden="1" x14ac:dyDescent="0.3">
      <c r="A168" t="s">
        <v>959</v>
      </c>
      <c r="B168" t="s">
        <v>960</v>
      </c>
      <c r="C168" s="90">
        <v>1287.9366216461899</v>
      </c>
      <c r="D168" s="37">
        <f t="shared" si="37"/>
        <v>1.0994100303222559E-5</v>
      </c>
      <c r="E168" t="s">
        <v>1067</v>
      </c>
      <c r="F168" t="s">
        <v>1058</v>
      </c>
      <c r="G168" t="s">
        <v>1045</v>
      </c>
      <c r="H168" t="s">
        <v>1045</v>
      </c>
      <c r="I168" s="93" t="str">
        <f>VLOOKUP(B168,'Beynon 2023'!$B$88:$R$336,15,FALSE)</f>
        <v/>
      </c>
      <c r="J168" s="36">
        <f>IF(H168="Yes",C168/1000*'Preliminary results'!$D$46*Inflation!$D$7)</f>
        <v>1.2258291569643297E-3</v>
      </c>
      <c r="K168" s="36">
        <f>IF(H168="Yes",C168/1000*'Preliminary results'!$E$46*Inflation!$D$7)</f>
        <v>3.9522159423816795E-2</v>
      </c>
      <c r="L168" s="36">
        <f>IF(H168="Yes",C168/1000*'Preliminary results'!$F$46*Inflation!$D$7)</f>
        <v>0.1667577487297521</v>
      </c>
      <c r="M168" s="150">
        <f>IF(H168="Yes",C168/1000*'Preliminary results'!$G$46*Inflation!$D$7)</f>
        <v>0.28523851492279323</v>
      </c>
      <c r="N168" s="151">
        <f t="shared" si="50"/>
        <v>0</v>
      </c>
      <c r="O168" s="151">
        <f t="shared" si="38"/>
        <v>0</v>
      </c>
      <c r="P168" s="151">
        <f t="shared" si="39"/>
        <v>0</v>
      </c>
      <c r="Q168" s="151">
        <f t="shared" si="40"/>
        <v>0</v>
      </c>
      <c r="R168" s="151">
        <f t="shared" si="41"/>
        <v>1.2258291569643297E-3</v>
      </c>
      <c r="S168" s="151">
        <f t="shared" si="42"/>
        <v>3.9522159423816795E-2</v>
      </c>
      <c r="T168" s="151">
        <f t="shared" si="43"/>
        <v>0.1667577487297521</v>
      </c>
      <c r="U168" s="150">
        <f>IF(G168="Yes",C168/1000*'Preliminary results'!$D$46*Inflation!$D$7)</f>
        <v>1.2258291569643297E-3</v>
      </c>
      <c r="V168" s="150">
        <f>IF(G168="Yes",C168/1000*'Preliminary results'!$E$46*Inflation!$D$7)</f>
        <v>3.9522159423816795E-2</v>
      </c>
      <c r="W168" s="150">
        <f>IF(G168="Yes",C168/1000*'Preliminary results'!$F$46*Inflation!$D$7)</f>
        <v>0.1667577487297521</v>
      </c>
      <c r="X168" s="151">
        <f t="shared" si="44"/>
        <v>0</v>
      </c>
      <c r="Y168" s="151">
        <f t="shared" si="45"/>
        <v>0</v>
      </c>
      <c r="Z168" s="151">
        <f t="shared" si="46"/>
        <v>0</v>
      </c>
      <c r="AA168" s="151">
        <f t="shared" si="47"/>
        <v>1.2258291569643297E-3</v>
      </c>
      <c r="AB168" s="151">
        <f t="shared" si="48"/>
        <v>3.9522159423816795E-2</v>
      </c>
      <c r="AC168" s="151">
        <f t="shared" si="49"/>
        <v>0.1667577487297521</v>
      </c>
    </row>
    <row r="169" spans="1:29" hidden="1" x14ac:dyDescent="0.3">
      <c r="A169" t="s">
        <v>943</v>
      </c>
      <c r="B169" t="s">
        <v>944</v>
      </c>
      <c r="C169" s="90">
        <v>2027.2431935116001</v>
      </c>
      <c r="D169" s="45">
        <f t="shared" si="37"/>
        <v>1.7304978081921819E-5</v>
      </c>
      <c r="E169" t="s">
        <v>1050</v>
      </c>
      <c r="F169" t="s">
        <v>1046</v>
      </c>
      <c r="G169" t="s">
        <v>1047</v>
      </c>
      <c r="H169" t="s">
        <v>1047</v>
      </c>
      <c r="I169" t="s">
        <v>1060</v>
      </c>
      <c r="J169" s="36" t="b">
        <f>IF(H169="Yes",C169/1000*'Preliminary results'!$D$46*Inflation!$D$7)</f>
        <v>0</v>
      </c>
      <c r="K169" s="36" t="b">
        <f>IF(H169="Yes",C169/1000*'Preliminary results'!$E$46*Inflation!$D$7)</f>
        <v>0</v>
      </c>
      <c r="L169" s="36" t="b">
        <f>IF(H169="Yes",C169/1000*'Preliminary results'!$F$46*Inflation!$D$7)</f>
        <v>0</v>
      </c>
      <c r="M169" s="150" t="b">
        <f>IF(H169="Yes",C169/1000*'Preliminary results'!$G$46*Inflation!$D$7)</f>
        <v>0</v>
      </c>
      <c r="N169" s="151">
        <f t="shared" si="50"/>
        <v>0</v>
      </c>
      <c r="O169" s="151">
        <f t="shared" si="38"/>
        <v>0</v>
      </c>
      <c r="P169" s="151">
        <f t="shared" si="39"/>
        <v>0</v>
      </c>
      <c r="Q169" s="151">
        <f t="shared" si="40"/>
        <v>0</v>
      </c>
      <c r="R169" s="151">
        <f t="shared" si="41"/>
        <v>0</v>
      </c>
      <c r="S169" s="151">
        <f t="shared" si="42"/>
        <v>0</v>
      </c>
      <c r="T169" s="151">
        <f t="shared" si="43"/>
        <v>0</v>
      </c>
      <c r="U169" s="150" t="b">
        <f>IF(G169="Yes",C169/1000*'Preliminary results'!$D$46*Inflation!$D$7)</f>
        <v>0</v>
      </c>
      <c r="V169" s="150" t="b">
        <f>IF(G169="Yes",C169/1000*'Preliminary results'!$E$46*Inflation!$D$7)</f>
        <v>0</v>
      </c>
      <c r="W169" s="150" t="b">
        <f>IF(G169="Yes",C169/1000*'Preliminary results'!$F$46*Inflation!$D$7)</f>
        <v>0</v>
      </c>
      <c r="X169" s="151">
        <f t="shared" si="44"/>
        <v>0</v>
      </c>
      <c r="Y169" s="151">
        <f t="shared" si="45"/>
        <v>0</v>
      </c>
      <c r="Z169" s="151">
        <f t="shared" si="46"/>
        <v>0</v>
      </c>
      <c r="AA169" s="151">
        <f t="shared" si="47"/>
        <v>0</v>
      </c>
      <c r="AB169" s="151">
        <f t="shared" si="48"/>
        <v>0</v>
      </c>
      <c r="AC169" s="151">
        <f t="shared" si="49"/>
        <v>0</v>
      </c>
    </row>
    <row r="170" spans="1:29" hidden="1" x14ac:dyDescent="0.3">
      <c r="A170" t="s">
        <v>609</v>
      </c>
      <c r="B170" t="s">
        <v>610</v>
      </c>
      <c r="C170" s="90">
        <v>1276942.9333333301</v>
      </c>
      <c r="D170" s="37">
        <f t="shared" si="37"/>
        <v>1.0900255846917357E-2</v>
      </c>
      <c r="E170" t="s">
        <v>610</v>
      </c>
      <c r="F170" t="s">
        <v>1056</v>
      </c>
      <c r="G170" t="s">
        <v>1045</v>
      </c>
      <c r="H170" t="s">
        <v>1047</v>
      </c>
      <c r="I170" s="45">
        <f>VLOOKUP(B170,'Beynon 2023'!$B$88:$R$336,15,FALSE)</f>
        <v>9.7091966380408682E-3</v>
      </c>
      <c r="J170" s="36" t="b">
        <f>IF(H170="Yes",C170/1000*'Preliminary results'!$D$46*Inflation!$D$7)</f>
        <v>0</v>
      </c>
      <c r="K170" s="36" t="b">
        <f>IF(H170="Yes",C170/1000*'Preliminary results'!$E$46*Inflation!$D$7)</f>
        <v>0</v>
      </c>
      <c r="L170" s="36" t="b">
        <f>IF(H170="Yes",C170/1000*'Preliminary results'!$F$46*Inflation!$D$7)</f>
        <v>0</v>
      </c>
      <c r="M170" s="150" t="b">
        <f>IF(H170="Yes",C170/1000*'Preliminary results'!$G$46*Inflation!$D$7)</f>
        <v>0</v>
      </c>
      <c r="N170" s="151">
        <f t="shared" si="50"/>
        <v>4.1101211795690804E-2</v>
      </c>
      <c r="O170" s="151">
        <f t="shared" si="38"/>
        <v>1.325150928147339</v>
      </c>
      <c r="P170" s="151">
        <f t="shared" si="39"/>
        <v>5.591273066213728</v>
      </c>
      <c r="Q170" s="151">
        <f t="shared" si="40"/>
        <v>9.5638519833895472</v>
      </c>
      <c r="R170" s="151">
        <f t="shared" si="41"/>
        <v>-4.1101211795690804E-2</v>
      </c>
      <c r="S170" s="151">
        <f t="shared" si="42"/>
        <v>-1.325150928147339</v>
      </c>
      <c r="T170" s="151">
        <f t="shared" si="43"/>
        <v>-5.591273066213728</v>
      </c>
      <c r="U170" s="150">
        <f>IF(G170="Yes",C170/1000*'Preliminary results'!$D$46*Inflation!$D$7)</f>
        <v>1.2153656112820457</v>
      </c>
      <c r="V170" s="150">
        <f>IF(G170="Yes",C170/1000*'Preliminary results'!$E$46*Inflation!$D$7)</f>
        <v>39.184802526859208</v>
      </c>
      <c r="W170" s="150">
        <f>IF(G170="Yes",C170/1000*'Preliminary results'!$F$46*Inflation!$D$7)</f>
        <v>165.33432254365155</v>
      </c>
      <c r="X170" s="151">
        <f t="shared" si="44"/>
        <v>0.37280062945924292</v>
      </c>
      <c r="Y170" s="151">
        <f t="shared" si="45"/>
        <v>12.019526397360925</v>
      </c>
      <c r="Z170" s="151">
        <f t="shared" si="46"/>
        <v>50.714566006580007</v>
      </c>
      <c r="AA170" s="151">
        <f t="shared" si="47"/>
        <v>0.84256498182280271</v>
      </c>
      <c r="AB170" s="151">
        <f t="shared" si="48"/>
        <v>27.165276129498281</v>
      </c>
      <c r="AC170" s="151">
        <f t="shared" si="49"/>
        <v>114.61975653707154</v>
      </c>
    </row>
    <row r="171" spans="1:29" hidden="1" x14ac:dyDescent="0.3">
      <c r="A171" t="s">
        <v>788</v>
      </c>
      <c r="B171" t="s">
        <v>789</v>
      </c>
      <c r="C171" s="90">
        <v>37006.536238373097</v>
      </c>
      <c r="D171" s="37">
        <f t="shared" si="37"/>
        <v>3.1589564613784338E-4</v>
      </c>
      <c r="E171" t="s">
        <v>789</v>
      </c>
      <c r="F171" t="s">
        <v>1048</v>
      </c>
      <c r="G171" t="s">
        <v>1045</v>
      </c>
      <c r="H171" t="s">
        <v>1045</v>
      </c>
      <c r="I171" s="93" t="str">
        <f>VLOOKUP(B171,'Beynon 2023'!$B$88:$R$336,15,FALSE)</f>
        <v/>
      </c>
      <c r="J171" s="36">
        <f>IF(H171="Yes",C171/1000*'Preliminary results'!$D$46*Inflation!$D$7)</f>
        <v>3.5221990241470671E-2</v>
      </c>
      <c r="K171" s="36">
        <f>IF(H171="Yes",C171/1000*'Preliminary results'!$E$46*Inflation!$D$7)</f>
        <v>1.1355979792443707</v>
      </c>
      <c r="L171" s="36">
        <f>IF(H171="Yes",C171/1000*'Preliminary results'!$F$46*Inflation!$D$7)</f>
        <v>4.7914831892188889</v>
      </c>
      <c r="M171" s="150">
        <f>IF(H171="Yes",C171/1000*'Preliminary results'!$G$46*Inflation!$D$7)</f>
        <v>8.1958143449467311</v>
      </c>
      <c r="N171" s="151">
        <f t="shared" si="50"/>
        <v>0</v>
      </c>
      <c r="O171" s="151">
        <f t="shared" si="38"/>
        <v>0</v>
      </c>
      <c r="P171" s="151">
        <f t="shared" si="39"/>
        <v>0</v>
      </c>
      <c r="Q171" s="151">
        <f t="shared" si="40"/>
        <v>0</v>
      </c>
      <c r="R171" s="151">
        <f t="shared" si="41"/>
        <v>3.5221990241470671E-2</v>
      </c>
      <c r="S171" s="151">
        <f t="shared" si="42"/>
        <v>1.1355979792443707</v>
      </c>
      <c r="T171" s="151">
        <f t="shared" si="43"/>
        <v>4.7914831892188889</v>
      </c>
      <c r="U171" s="150">
        <f>IF(G171="Yes",C171/1000*'Preliminary results'!$D$46*Inflation!$D$7)</f>
        <v>3.5221990241470671E-2</v>
      </c>
      <c r="V171" s="150">
        <f>IF(G171="Yes",C171/1000*'Preliminary results'!$E$46*Inflation!$D$7)</f>
        <v>1.1355979792443707</v>
      </c>
      <c r="W171" s="150">
        <f>IF(G171="Yes",C171/1000*'Preliminary results'!$F$46*Inflation!$D$7)</f>
        <v>4.7914831892188889</v>
      </c>
      <c r="X171" s="151">
        <f t="shared" si="44"/>
        <v>0</v>
      </c>
      <c r="Y171" s="151">
        <f t="shared" si="45"/>
        <v>0</v>
      </c>
      <c r="Z171" s="151">
        <f t="shared" si="46"/>
        <v>0</v>
      </c>
      <c r="AA171" s="151">
        <f t="shared" si="47"/>
        <v>3.5221990241470671E-2</v>
      </c>
      <c r="AB171" s="151">
        <f t="shared" si="48"/>
        <v>1.1355979792443707</v>
      </c>
      <c r="AC171" s="151">
        <f t="shared" si="49"/>
        <v>4.7914831892188889</v>
      </c>
    </row>
    <row r="172" spans="1:29" hidden="1" x14ac:dyDescent="0.3">
      <c r="A172" t="s">
        <v>721</v>
      </c>
      <c r="B172" t="s">
        <v>722</v>
      </c>
      <c r="C172" s="90">
        <v>99953.324472904205</v>
      </c>
      <c r="D172" s="37">
        <f t="shared" si="37"/>
        <v>8.5322278785045517E-4</v>
      </c>
      <c r="E172" t="s">
        <v>1077</v>
      </c>
      <c r="F172" t="s">
        <v>1046</v>
      </c>
      <c r="G172" t="s">
        <v>1047</v>
      </c>
      <c r="H172" t="s">
        <v>1047</v>
      </c>
      <c r="I172" s="93">
        <f>VLOOKUP(B172,'Beynon 2023'!$B$88:$R$336,15,FALSE)</f>
        <v>4.8875068913151675E-4</v>
      </c>
      <c r="J172" s="36" t="b">
        <f>IF(H172="Yes",C172/1000*'Preliminary results'!$D$46*Inflation!$D$7)</f>
        <v>0</v>
      </c>
      <c r="K172" s="36" t="b">
        <f>IF(H172="Yes",C172/1000*'Preliminary results'!$E$46*Inflation!$D$7)</f>
        <v>0</v>
      </c>
      <c r="L172" s="36" t="b">
        <f>IF(H172="Yes",C172/1000*'Preliminary results'!$F$46*Inflation!$D$7)</f>
        <v>0</v>
      </c>
      <c r="M172" s="150" t="b">
        <f>IF(H172="Yes",C172/1000*'Preliminary results'!$G$46*Inflation!$D$7)</f>
        <v>0</v>
      </c>
      <c r="N172" s="151">
        <f t="shared" si="50"/>
        <v>2.0689915281536346E-3</v>
      </c>
      <c r="O172" s="151">
        <f t="shared" si="38"/>
        <v>6.6706696082114589E-2</v>
      </c>
      <c r="P172" s="151">
        <f t="shared" si="39"/>
        <v>0.28145877214264176</v>
      </c>
      <c r="Q172" s="151">
        <f t="shared" si="40"/>
        <v>0.48143419295055678</v>
      </c>
      <c r="R172" s="151">
        <f t="shared" si="41"/>
        <v>-2.0689915281536346E-3</v>
      </c>
      <c r="S172" s="151">
        <f t="shared" si="42"/>
        <v>-6.6706696082114589E-2</v>
      </c>
      <c r="T172" s="151">
        <f t="shared" si="43"/>
        <v>-0.28145877214264176</v>
      </c>
      <c r="U172" s="150" t="b">
        <f>IF(G172="Yes",C172/1000*'Preliminary results'!$D$46*Inflation!$D$7)</f>
        <v>0</v>
      </c>
      <c r="V172" s="150" t="b">
        <f>IF(G172="Yes",C172/1000*'Preliminary results'!$E$46*Inflation!$D$7)</f>
        <v>0</v>
      </c>
      <c r="W172" s="150" t="b">
        <f>IF(G172="Yes",C172/1000*'Preliminary results'!$F$46*Inflation!$D$7)</f>
        <v>0</v>
      </c>
      <c r="X172" s="151">
        <f t="shared" si="44"/>
        <v>1.8766389367682434E-2</v>
      </c>
      <c r="Y172" s="151">
        <f t="shared" si="45"/>
        <v>0.60505024552988984</v>
      </c>
      <c r="Z172" s="151">
        <f t="shared" si="46"/>
        <v>2.5529176108769462</v>
      </c>
      <c r="AA172" s="151">
        <f t="shared" si="47"/>
        <v>-1.8766389367682434E-2</v>
      </c>
      <c r="AB172" s="151">
        <f t="shared" si="48"/>
        <v>-0.60505024552988984</v>
      </c>
      <c r="AC172" s="151">
        <f t="shared" si="49"/>
        <v>-2.5529176108769462</v>
      </c>
    </row>
    <row r="173" spans="1:29" hidden="1" x14ac:dyDescent="0.3">
      <c r="A173" t="s">
        <v>939</v>
      </c>
      <c r="B173" t="s">
        <v>940</v>
      </c>
      <c r="C173" s="90">
        <v>2387.0228534858302</v>
      </c>
      <c r="D173" s="37">
        <f t="shared" si="37"/>
        <v>2.0376133604901119E-5</v>
      </c>
      <c r="E173" t="s">
        <v>1059</v>
      </c>
      <c r="F173" t="s">
        <v>1048</v>
      </c>
      <c r="G173" t="s">
        <v>1045</v>
      </c>
      <c r="H173" t="s">
        <v>1047</v>
      </c>
      <c r="I173" s="93" t="str">
        <f>VLOOKUP(B173,'Beynon 2023'!$B$88:$R$336,15,FALSE)</f>
        <v/>
      </c>
      <c r="J173" s="36" t="b">
        <f>IF(H173="Yes",C173/1000*'Preliminary results'!$D$46*Inflation!$D$7)</f>
        <v>0</v>
      </c>
      <c r="K173" s="36" t="b">
        <f>IF(H173="Yes",C173/1000*'Preliminary results'!$E$46*Inflation!$D$7)</f>
        <v>0</v>
      </c>
      <c r="L173" s="36" t="b">
        <f>IF(H173="Yes",C173/1000*'Preliminary results'!$F$46*Inflation!$D$7)</f>
        <v>0</v>
      </c>
      <c r="M173" s="150" t="b">
        <f>IF(H173="Yes",C173/1000*'Preliminary results'!$G$46*Inflation!$D$7)</f>
        <v>0</v>
      </c>
      <c r="N173" s="151">
        <f t="shared" si="50"/>
        <v>0</v>
      </c>
      <c r="O173" s="151">
        <f t="shared" si="38"/>
        <v>0</v>
      </c>
      <c r="P173" s="151">
        <f t="shared" si="39"/>
        <v>0</v>
      </c>
      <c r="Q173" s="151">
        <f t="shared" si="40"/>
        <v>0</v>
      </c>
      <c r="R173" s="151">
        <f t="shared" si="41"/>
        <v>0</v>
      </c>
      <c r="S173" s="151">
        <f t="shared" si="42"/>
        <v>0</v>
      </c>
      <c r="T173" s="151">
        <f t="shared" si="43"/>
        <v>0</v>
      </c>
      <c r="U173" s="150">
        <f>IF(G173="Yes",C173/1000*'Preliminary results'!$D$46*Inflation!$D$7)</f>
        <v>2.2719147533852408E-3</v>
      </c>
      <c r="V173" s="150">
        <f>IF(G173="Yes",C173/1000*'Preliminary results'!$E$46*Inflation!$D$7)</f>
        <v>7.3249177155300535E-2</v>
      </c>
      <c r="W173" s="150">
        <f>IF(G173="Yes",C173/1000*'Preliminary results'!$F$46*Inflation!$D$7)</f>
        <v>0.30906377730372186</v>
      </c>
      <c r="X173" s="151">
        <f t="shared" si="44"/>
        <v>0</v>
      </c>
      <c r="Y173" s="151">
        <f t="shared" si="45"/>
        <v>0</v>
      </c>
      <c r="Z173" s="151">
        <f t="shared" si="46"/>
        <v>0</v>
      </c>
      <c r="AA173" s="151">
        <f t="shared" si="47"/>
        <v>2.2719147533852408E-3</v>
      </c>
      <c r="AB173" s="151">
        <f t="shared" si="48"/>
        <v>7.3249177155300535E-2</v>
      </c>
      <c r="AC173" s="151">
        <f t="shared" si="49"/>
        <v>0.30906377730372186</v>
      </c>
    </row>
    <row r="174" spans="1:29" hidden="1" x14ac:dyDescent="0.3">
      <c r="A174" t="s">
        <v>897</v>
      </c>
      <c r="B174" t="s">
        <v>898</v>
      </c>
      <c r="C174" s="90">
        <v>7464.1579044350901</v>
      </c>
      <c r="D174" s="37">
        <f t="shared" si="37"/>
        <v>6.3715635770619563E-5</v>
      </c>
      <c r="E174" t="s">
        <v>898</v>
      </c>
      <c r="F174" t="s">
        <v>1048</v>
      </c>
      <c r="G174" t="s">
        <v>1045</v>
      </c>
      <c r="H174" t="s">
        <v>1045</v>
      </c>
      <c r="I174" s="93" t="str">
        <f>VLOOKUP(B174,'Beynon 2023'!$B$88:$R$336,15,FALSE)</f>
        <v/>
      </c>
      <c r="J174" s="36">
        <f>IF(H174="Yes",C174/1000*'Preliminary results'!$D$46*Inflation!$D$7)</f>
        <v>7.104217892140852E-3</v>
      </c>
      <c r="K174" s="36">
        <f>IF(H174="Yes",C174/1000*'Preliminary results'!$E$46*Inflation!$D$7)</f>
        <v>0.22904825727105191</v>
      </c>
      <c r="L174" s="36">
        <f>IF(H174="Yes",C174/1000*'Preliminary results'!$F$46*Inflation!$D$7)</f>
        <v>0.96643433177328686</v>
      </c>
      <c r="M174" s="150">
        <f>IF(H174="Yes",C174/1000*'Preliminary results'!$G$46*Inflation!$D$7)</f>
        <v>1.6530823644792445</v>
      </c>
      <c r="N174" s="151">
        <f t="shared" si="50"/>
        <v>0</v>
      </c>
      <c r="O174" s="151">
        <f t="shared" si="38"/>
        <v>0</v>
      </c>
      <c r="P174" s="151">
        <f t="shared" si="39"/>
        <v>0</v>
      </c>
      <c r="Q174" s="151">
        <f t="shared" si="40"/>
        <v>0</v>
      </c>
      <c r="R174" s="151">
        <f t="shared" si="41"/>
        <v>7.104217892140852E-3</v>
      </c>
      <c r="S174" s="151">
        <f t="shared" si="42"/>
        <v>0.22904825727105191</v>
      </c>
      <c r="T174" s="151">
        <f t="shared" si="43"/>
        <v>0.96643433177328686</v>
      </c>
      <c r="U174" s="150">
        <f>IF(G174="Yes",C174/1000*'Preliminary results'!$D$46*Inflation!$D$7)</f>
        <v>7.104217892140852E-3</v>
      </c>
      <c r="V174" s="150">
        <f>IF(G174="Yes",C174/1000*'Preliminary results'!$E$46*Inflation!$D$7)</f>
        <v>0.22904825727105191</v>
      </c>
      <c r="W174" s="150">
        <f>IF(G174="Yes",C174/1000*'Preliminary results'!$F$46*Inflation!$D$7)</f>
        <v>0.96643433177328686</v>
      </c>
      <c r="X174" s="151">
        <f t="shared" si="44"/>
        <v>0</v>
      </c>
      <c r="Y174" s="151">
        <f t="shared" si="45"/>
        <v>0</v>
      </c>
      <c r="Z174" s="151">
        <f t="shared" si="46"/>
        <v>0</v>
      </c>
      <c r="AA174" s="151">
        <f t="shared" si="47"/>
        <v>7.104217892140852E-3</v>
      </c>
      <c r="AB174" s="151">
        <f t="shared" si="48"/>
        <v>0.22904825727105191</v>
      </c>
      <c r="AC174" s="151">
        <f t="shared" si="49"/>
        <v>0.96643433177328686</v>
      </c>
    </row>
    <row r="175" spans="1:29" hidden="1" x14ac:dyDescent="0.3">
      <c r="A175" t="s">
        <v>624</v>
      </c>
      <c r="B175" t="s">
        <v>625</v>
      </c>
      <c r="C175" s="90">
        <v>603869.51699873805</v>
      </c>
      <c r="D175" s="37">
        <f t="shared" si="37"/>
        <v>5.1547583385407394E-3</v>
      </c>
      <c r="E175" t="s">
        <v>625</v>
      </c>
      <c r="F175" t="s">
        <v>1058</v>
      </c>
      <c r="G175" t="s">
        <v>1045</v>
      </c>
      <c r="H175" t="s">
        <v>1047</v>
      </c>
      <c r="I175" s="45" t="str">
        <f>VLOOKUP(B175,'Beynon 2023'!$B$88:$R$336,15,FALSE)</f>
        <v/>
      </c>
      <c r="J175" s="36" t="b">
        <f>IF(H175="Yes",C175/1000*'Preliminary results'!$D$46*Inflation!$D$7)</f>
        <v>0</v>
      </c>
      <c r="K175" s="36" t="b">
        <f>IF(H175="Yes",C175/1000*'Preliminary results'!$E$46*Inflation!$D$7)</f>
        <v>0</v>
      </c>
      <c r="L175" s="36" t="b">
        <f>IF(H175="Yes",C175/1000*'Preliminary results'!$F$46*Inflation!$D$7)</f>
        <v>0</v>
      </c>
      <c r="M175" s="150" t="b">
        <f>IF(H175="Yes",C175/1000*'Preliminary results'!$G$46*Inflation!$D$7)</f>
        <v>0</v>
      </c>
      <c r="N175" s="151">
        <f t="shared" si="50"/>
        <v>0</v>
      </c>
      <c r="O175" s="151">
        <f t="shared" si="38"/>
        <v>0</v>
      </c>
      <c r="P175" s="151">
        <f t="shared" si="39"/>
        <v>0</v>
      </c>
      <c r="Q175" s="151">
        <f t="shared" si="40"/>
        <v>0</v>
      </c>
      <c r="R175" s="151">
        <f t="shared" si="41"/>
        <v>0</v>
      </c>
      <c r="S175" s="151">
        <f t="shared" si="42"/>
        <v>0</v>
      </c>
      <c r="T175" s="151">
        <f t="shared" si="43"/>
        <v>0</v>
      </c>
      <c r="U175" s="150">
        <f>IF(G175="Yes",C175/1000*'Preliminary results'!$D$46*Inflation!$D$7)</f>
        <v>0.57474944690436192</v>
      </c>
      <c r="V175" s="150">
        <f>IF(G175="Yes",C175/1000*'Preliminary results'!$E$46*Inflation!$D$7)</f>
        <v>18.530591428872096</v>
      </c>
      <c r="W175" s="150">
        <f>IF(G175="Yes",C175/1000*'Preliminary results'!$F$46*Inflation!$D$7)</f>
        <v>78.18701595154711</v>
      </c>
      <c r="X175" s="151">
        <f t="shared" si="44"/>
        <v>0</v>
      </c>
      <c r="Y175" s="151">
        <f t="shared" si="45"/>
        <v>0</v>
      </c>
      <c r="Z175" s="151">
        <f t="shared" si="46"/>
        <v>0</v>
      </c>
      <c r="AA175" s="151">
        <f t="shared" si="47"/>
        <v>0.57474944690436192</v>
      </c>
      <c r="AB175" s="151">
        <f t="shared" si="48"/>
        <v>18.530591428872096</v>
      </c>
      <c r="AC175" s="151">
        <f t="shared" si="49"/>
        <v>78.18701595154711</v>
      </c>
    </row>
    <row r="176" spans="1:29" hidden="1" x14ac:dyDescent="0.3">
      <c r="A176" t="s">
        <v>947</v>
      </c>
      <c r="B176" t="s">
        <v>948</v>
      </c>
      <c r="C176" s="90">
        <v>1887.72848044693</v>
      </c>
      <c r="D176" s="37">
        <f t="shared" si="37"/>
        <v>1.6114050886103903E-5</v>
      </c>
      <c r="E176" t="s">
        <v>1051</v>
      </c>
      <c r="F176" t="s">
        <v>1052</v>
      </c>
      <c r="G176" t="s">
        <v>1047</v>
      </c>
      <c r="H176" t="s">
        <v>1047</v>
      </c>
      <c r="I176" s="93" t="str">
        <f>VLOOKUP(B176,'Beynon 2023'!$B$88:$R$336,15,FALSE)</f>
        <v/>
      </c>
      <c r="J176" s="36" t="b">
        <f>IF(H176="Yes",C176/1000*'Preliminary results'!$D$46*Inflation!$D$7)</f>
        <v>0</v>
      </c>
      <c r="K176" s="36" t="b">
        <f>IF(H176="Yes",C176/1000*'Preliminary results'!$E$46*Inflation!$D$7)</f>
        <v>0</v>
      </c>
      <c r="L176" s="36" t="b">
        <f>IF(H176="Yes",C176/1000*'Preliminary results'!$F$46*Inflation!$D$7)</f>
        <v>0</v>
      </c>
      <c r="M176" s="150" t="b">
        <f>IF(H176="Yes",C176/1000*'Preliminary results'!$G$46*Inflation!$D$7)</f>
        <v>0</v>
      </c>
      <c r="N176" s="151">
        <f t="shared" si="50"/>
        <v>0</v>
      </c>
      <c r="O176" s="151">
        <f t="shared" si="38"/>
        <v>0</v>
      </c>
      <c r="P176" s="151">
        <f t="shared" si="39"/>
        <v>0</v>
      </c>
      <c r="Q176" s="151">
        <f t="shared" si="40"/>
        <v>0</v>
      </c>
      <c r="R176" s="151">
        <f t="shared" si="41"/>
        <v>0</v>
      </c>
      <c r="S176" s="151">
        <f t="shared" si="42"/>
        <v>0</v>
      </c>
      <c r="T176" s="151">
        <f t="shared" si="43"/>
        <v>0</v>
      </c>
      <c r="U176" s="150" t="b">
        <f>IF(G176="Yes",C176/1000*'Preliminary results'!$D$46*Inflation!$D$7)</f>
        <v>0</v>
      </c>
      <c r="V176" s="150" t="b">
        <f>IF(G176="Yes",C176/1000*'Preliminary results'!$E$46*Inflation!$D$7)</f>
        <v>0</v>
      </c>
      <c r="W176" s="150" t="b">
        <f>IF(G176="Yes",C176/1000*'Preliminary results'!$F$46*Inflation!$D$7)</f>
        <v>0</v>
      </c>
      <c r="X176" s="151">
        <f t="shared" si="44"/>
        <v>0</v>
      </c>
      <c r="Y176" s="151">
        <f t="shared" si="45"/>
        <v>0</v>
      </c>
      <c r="Z176" s="151">
        <f t="shared" si="46"/>
        <v>0</v>
      </c>
      <c r="AA176" s="151">
        <f t="shared" si="47"/>
        <v>0</v>
      </c>
      <c r="AB176" s="151">
        <f t="shared" si="48"/>
        <v>0</v>
      </c>
      <c r="AC176" s="151">
        <f t="shared" si="49"/>
        <v>0</v>
      </c>
    </row>
    <row r="177" spans="1:29" hidden="1" x14ac:dyDescent="0.3">
      <c r="A177" t="s">
        <v>689</v>
      </c>
      <c r="B177" t="s">
        <v>690</v>
      </c>
      <c r="C177" s="90">
        <v>154530.066506895</v>
      </c>
      <c r="D177" s="37">
        <f t="shared" si="37"/>
        <v>1.3191014390669046E-3</v>
      </c>
      <c r="E177" t="s">
        <v>1078</v>
      </c>
      <c r="F177" t="s">
        <v>1046</v>
      </c>
      <c r="G177" t="s">
        <v>1047</v>
      </c>
      <c r="H177" t="s">
        <v>1047</v>
      </c>
      <c r="I177" s="45">
        <f>VLOOKUP(E177,'Beynon 2023'!$B$88:$R$336,15,FALSE)</f>
        <v>1.122019615934527E-3</v>
      </c>
      <c r="J177" s="36" t="b">
        <f>IF(H177="Yes",C177/1000*'Preliminary results'!$D$46*Inflation!$D$7)</f>
        <v>0</v>
      </c>
      <c r="K177" s="36" t="b">
        <f>IF(H177="Yes",C177/1000*'Preliminary results'!$E$46*Inflation!$D$7)</f>
        <v>0</v>
      </c>
      <c r="L177" s="36" t="b">
        <f>IF(H177="Yes",C177/1000*'Preliminary results'!$F$46*Inflation!$D$7)</f>
        <v>0</v>
      </c>
      <c r="M177" s="150" t="b">
        <f>IF(H177="Yes",C177/1000*'Preliminary results'!$G$46*Inflation!$D$7)</f>
        <v>0</v>
      </c>
      <c r="N177" s="151">
        <f t="shared" si="50"/>
        <v>4.7497612410855507E-3</v>
      </c>
      <c r="O177" s="151">
        <f t="shared" si="38"/>
        <v>0.15313783321986324</v>
      </c>
      <c r="P177" s="151">
        <f t="shared" si="39"/>
        <v>0.64614182740499826</v>
      </c>
      <c r="Q177" s="151">
        <f t="shared" si="40"/>
        <v>1.1052232156071238</v>
      </c>
      <c r="R177" s="151">
        <f t="shared" si="41"/>
        <v>-4.7497612410855507E-3</v>
      </c>
      <c r="S177" s="151">
        <f t="shared" si="42"/>
        <v>-0.15313783321986324</v>
      </c>
      <c r="T177" s="151">
        <f t="shared" si="43"/>
        <v>-0.64614182740499826</v>
      </c>
      <c r="U177" s="150" t="b">
        <f>IF(G177="Yes",C177/1000*'Preliminary results'!$D$46*Inflation!$D$7)</f>
        <v>0</v>
      </c>
      <c r="V177" s="150" t="b">
        <f>IF(G177="Yes",C177/1000*'Preliminary results'!$E$46*Inflation!$D$7)</f>
        <v>0</v>
      </c>
      <c r="W177" s="150" t="b">
        <f>IF(G177="Yes",C177/1000*'Preliminary results'!$F$46*Inflation!$D$7)</f>
        <v>0</v>
      </c>
      <c r="X177" s="151">
        <f t="shared" si="44"/>
        <v>4.3081794990858541E-2</v>
      </c>
      <c r="Y177" s="151">
        <f t="shared" si="45"/>
        <v>1.3890072366278765</v>
      </c>
      <c r="Z177" s="151">
        <f t="shared" si="46"/>
        <v>5.8607050608124274</v>
      </c>
      <c r="AA177" s="151">
        <f t="shared" si="47"/>
        <v>-4.3081794990858541E-2</v>
      </c>
      <c r="AB177" s="151">
        <f t="shared" si="48"/>
        <v>-1.3890072366278765</v>
      </c>
      <c r="AC177" s="151">
        <f t="shared" si="49"/>
        <v>-5.8607050608124274</v>
      </c>
    </row>
    <row r="178" spans="1:29" hidden="1" x14ac:dyDescent="0.3">
      <c r="A178" t="s">
        <v>742</v>
      </c>
      <c r="B178" t="s">
        <v>743</v>
      </c>
      <c r="C178" s="90">
        <v>79648.204979361806</v>
      </c>
      <c r="D178" s="37">
        <f t="shared" si="37"/>
        <v>6.7989397909619159E-4</v>
      </c>
      <c r="E178" t="s">
        <v>743</v>
      </c>
      <c r="F178" t="s">
        <v>1046</v>
      </c>
      <c r="G178" t="s">
        <v>1047</v>
      </c>
      <c r="H178" t="s">
        <v>1047</v>
      </c>
      <c r="I178" s="45">
        <f>VLOOKUP(B178,'Beynon 2023'!$B$88:$R$336,15,FALSE)</f>
        <v>5.7927302880082083E-4</v>
      </c>
      <c r="J178" s="36" t="b">
        <f>IF(H178="Yes",C178/1000*'Preliminary results'!$D$46*Inflation!$D$7)</f>
        <v>0</v>
      </c>
      <c r="K178" s="36" t="b">
        <f>IF(H178="Yes",C178/1000*'Preliminary results'!$E$46*Inflation!$D$7)</f>
        <v>0</v>
      </c>
      <c r="L178" s="36" t="b">
        <f>IF(H178="Yes",C178/1000*'Preliminary results'!$F$46*Inflation!$D$7)</f>
        <v>0</v>
      </c>
      <c r="M178" s="150" t="b">
        <f>IF(H178="Yes",C178/1000*'Preliminary results'!$G$46*Inflation!$D$7)</f>
        <v>0</v>
      </c>
      <c r="N178" s="151">
        <f t="shared" si="50"/>
        <v>2.4521929395260457E-3</v>
      </c>
      <c r="O178" s="151">
        <f t="shared" si="38"/>
        <v>7.9061555799432234E-2</v>
      </c>
      <c r="P178" s="151">
        <f t="shared" si="39"/>
        <v>0.33358822615952516</v>
      </c>
      <c r="Q178" s="151">
        <f t="shared" si="40"/>
        <v>0.57060143201906399</v>
      </c>
      <c r="R178" s="151">
        <f t="shared" si="41"/>
        <v>-2.4521929395260457E-3</v>
      </c>
      <c r="S178" s="151">
        <f t="shared" si="42"/>
        <v>-7.9061555799432234E-2</v>
      </c>
      <c r="T178" s="151">
        <f t="shared" si="43"/>
        <v>-0.33358822615952516</v>
      </c>
      <c r="U178" s="150" t="b">
        <f>IF(G178="Yes",C178/1000*'Preliminary results'!$D$46*Inflation!$D$7)</f>
        <v>0</v>
      </c>
      <c r="V178" s="150" t="b">
        <f>IF(G178="Yes",C178/1000*'Preliminary results'!$E$46*Inflation!$D$7)</f>
        <v>0</v>
      </c>
      <c r="W178" s="150" t="b">
        <f>IF(G178="Yes",C178/1000*'Preliminary results'!$F$46*Inflation!$D$7)</f>
        <v>0</v>
      </c>
      <c r="X178" s="151">
        <f t="shared" si="44"/>
        <v>2.2242144001862901E-2</v>
      </c>
      <c r="Y178" s="151">
        <f t="shared" si="45"/>
        <v>0.71711262224014438</v>
      </c>
      <c r="Z178" s="151">
        <f t="shared" si="46"/>
        <v>3.02574778842656</v>
      </c>
      <c r="AA178" s="151">
        <f t="shared" si="47"/>
        <v>-2.2242144001862901E-2</v>
      </c>
      <c r="AB178" s="151">
        <f t="shared" si="48"/>
        <v>-0.71711262224014438</v>
      </c>
      <c r="AC178" s="151">
        <f t="shared" si="49"/>
        <v>-3.02574778842656</v>
      </c>
    </row>
    <row r="179" spans="1:29" hidden="1" x14ac:dyDescent="0.3">
      <c r="A179" t="s">
        <v>951</v>
      </c>
      <c r="B179" t="s">
        <v>952</v>
      </c>
      <c r="C179" s="90">
        <v>1749.5724429501599</v>
      </c>
      <c r="D179" s="37">
        <f t="shared" si="37"/>
        <v>1.4934721633245276E-5</v>
      </c>
      <c r="E179" t="s">
        <v>1067</v>
      </c>
      <c r="F179" t="s">
        <v>1058</v>
      </c>
      <c r="G179" t="s">
        <v>1045</v>
      </c>
      <c r="H179" t="s">
        <v>1045</v>
      </c>
      <c r="I179" s="93" t="str">
        <f>VLOOKUP(B179,'Beynon 2023'!$B$88:$R$336,15,FALSE)</f>
        <v/>
      </c>
      <c r="J179" s="36">
        <f>IF(H179="Yes",C179/1000*'Preliminary results'!$D$46*Inflation!$D$7)</f>
        <v>1.6652037660427545E-3</v>
      </c>
      <c r="K179" s="36">
        <f>IF(H179="Yes",C179/1000*'Preliminary results'!$E$46*Inflation!$D$7)</f>
        <v>5.3688108445438885E-2</v>
      </c>
      <c r="L179" s="36">
        <f>IF(H179="Yes",C179/1000*'Preliminary results'!$F$46*Inflation!$D$7)</f>
        <v>0.22652881898262345</v>
      </c>
      <c r="M179" s="150">
        <f>IF(H179="Yes",C179/1000*'Preliminary results'!$G$46*Inflation!$D$7)</f>
        <v>0.38747671041381432</v>
      </c>
      <c r="N179" s="151">
        <f t="shared" si="50"/>
        <v>0</v>
      </c>
      <c r="O179" s="151">
        <f t="shared" si="38"/>
        <v>0</v>
      </c>
      <c r="P179" s="151">
        <f t="shared" si="39"/>
        <v>0</v>
      </c>
      <c r="Q179" s="151">
        <f t="shared" si="40"/>
        <v>0</v>
      </c>
      <c r="R179" s="151">
        <f t="shared" si="41"/>
        <v>1.6652037660427545E-3</v>
      </c>
      <c r="S179" s="151">
        <f t="shared" si="42"/>
        <v>5.3688108445438885E-2</v>
      </c>
      <c r="T179" s="151">
        <f t="shared" si="43"/>
        <v>0.22652881898262345</v>
      </c>
      <c r="U179" s="150">
        <f>IF(G179="Yes",C179/1000*'Preliminary results'!$D$46*Inflation!$D$7)</f>
        <v>1.6652037660427545E-3</v>
      </c>
      <c r="V179" s="150">
        <f>IF(G179="Yes",C179/1000*'Preliminary results'!$E$46*Inflation!$D$7)</f>
        <v>5.3688108445438885E-2</v>
      </c>
      <c r="W179" s="150">
        <f>IF(G179="Yes",C179/1000*'Preliminary results'!$F$46*Inflation!$D$7)</f>
        <v>0.22652881898262345</v>
      </c>
      <c r="X179" s="151">
        <f t="shared" si="44"/>
        <v>0</v>
      </c>
      <c r="Y179" s="151">
        <f t="shared" si="45"/>
        <v>0</v>
      </c>
      <c r="Z179" s="151">
        <f t="shared" si="46"/>
        <v>0</v>
      </c>
      <c r="AA179" s="151">
        <f t="shared" si="47"/>
        <v>1.6652037660427545E-3</v>
      </c>
      <c r="AB179" s="151">
        <f t="shared" si="48"/>
        <v>5.3688108445438885E-2</v>
      </c>
      <c r="AC179" s="151">
        <f t="shared" si="49"/>
        <v>0.22652881898262345</v>
      </c>
    </row>
    <row r="180" spans="1:29" hidden="1" x14ac:dyDescent="0.3">
      <c r="A180" t="s">
        <v>867</v>
      </c>
      <c r="B180" t="s">
        <v>868</v>
      </c>
      <c r="C180" s="90">
        <v>12995.200000265801</v>
      </c>
      <c r="D180" s="37">
        <f t="shared" si="37"/>
        <v>1.1092978479076754E-4</v>
      </c>
      <c r="E180" t="s">
        <v>1079</v>
      </c>
      <c r="F180" t="s">
        <v>1048</v>
      </c>
      <c r="G180" t="s">
        <v>1045</v>
      </c>
      <c r="H180" t="s">
        <v>1047</v>
      </c>
      <c r="I180" s="93" t="str">
        <f>VLOOKUP(E180,'Beynon 2023'!$B$88:$R$336,15,FALSE)</f>
        <v/>
      </c>
      <c r="J180" s="36" t="b">
        <f>IF(H180="Yes",C180/1000*'Preliminary results'!$D$46*Inflation!$D$7)</f>
        <v>0</v>
      </c>
      <c r="K180" s="36" t="b">
        <f>IF(H180="Yes",C180/1000*'Preliminary results'!$E$46*Inflation!$D$7)</f>
        <v>0</v>
      </c>
      <c r="L180" s="36" t="b">
        <f>IF(H180="Yes",C180/1000*'Preliminary results'!$F$46*Inflation!$D$7)</f>
        <v>0</v>
      </c>
      <c r="M180" s="150" t="b">
        <f>IF(H180="Yes",C180/1000*'Preliminary results'!$G$46*Inflation!$D$7)</f>
        <v>0</v>
      </c>
      <c r="N180" s="151">
        <f t="shared" si="50"/>
        <v>0</v>
      </c>
      <c r="O180" s="151">
        <f t="shared" si="38"/>
        <v>0</v>
      </c>
      <c r="P180" s="151">
        <f t="shared" si="39"/>
        <v>0</v>
      </c>
      <c r="Q180" s="151">
        <f t="shared" si="40"/>
        <v>0</v>
      </c>
      <c r="R180" s="151">
        <f t="shared" si="41"/>
        <v>0</v>
      </c>
      <c r="S180" s="151">
        <f t="shared" si="42"/>
        <v>0</v>
      </c>
      <c r="T180" s="151">
        <f t="shared" si="43"/>
        <v>0</v>
      </c>
      <c r="U180" s="150">
        <f>IF(G180="Yes",C180/1000*'Preliminary results'!$D$46*Inflation!$D$7)</f>
        <v>1.2368539564119015E-2</v>
      </c>
      <c r="V180" s="150">
        <f>IF(G180="Yes",C180/1000*'Preliminary results'!$E$46*Inflation!$D$7)</f>
        <v>0.39877611795713042</v>
      </c>
      <c r="W180" s="150">
        <f>IF(G180="Yes",C180/1000*'Preliminary results'!$F$46*Inflation!$D$7)</f>
        <v>1.6825752602386292</v>
      </c>
      <c r="X180" s="151">
        <f t="shared" si="44"/>
        <v>0</v>
      </c>
      <c r="Y180" s="151">
        <f t="shared" si="45"/>
        <v>0</v>
      </c>
      <c r="Z180" s="151">
        <f t="shared" si="46"/>
        <v>0</v>
      </c>
      <c r="AA180" s="151">
        <f t="shared" si="47"/>
        <v>1.2368539564119015E-2</v>
      </c>
      <c r="AB180" s="151">
        <f t="shared" si="48"/>
        <v>0.39877611795713042</v>
      </c>
      <c r="AC180" s="151">
        <f t="shared" si="49"/>
        <v>1.6825752602386292</v>
      </c>
    </row>
    <row r="181" spans="1:29" hidden="1" x14ac:dyDescent="0.3">
      <c r="A181" t="s">
        <v>650</v>
      </c>
      <c r="B181" t="s">
        <v>651</v>
      </c>
      <c r="C181" s="90">
        <v>427184.32599730702</v>
      </c>
      <c r="D181" s="37">
        <f t="shared" si="37"/>
        <v>3.6465360554590234E-3</v>
      </c>
      <c r="E181" t="s">
        <v>651</v>
      </c>
      <c r="F181" t="s">
        <v>1048</v>
      </c>
      <c r="G181" t="s">
        <v>1045</v>
      </c>
      <c r="H181" t="s">
        <v>1047</v>
      </c>
      <c r="I181" s="45">
        <f>VLOOKUP(B181,'Beynon 2023'!$B$88:$R$336,15,FALSE)</f>
        <v>3.2381375865885016E-3</v>
      </c>
      <c r="J181" s="36" t="b">
        <f>IF(H181="Yes",C181/1000*'Preliminary results'!$D$46*Inflation!$D$7)</f>
        <v>0</v>
      </c>
      <c r="K181" s="36" t="b">
        <f>IF(H181="Yes",C181/1000*'Preliminary results'!$E$46*Inflation!$D$7)</f>
        <v>0</v>
      </c>
      <c r="L181" s="36" t="b">
        <f>IF(H181="Yes",C181/1000*'Preliminary results'!$F$46*Inflation!$D$7)</f>
        <v>0</v>
      </c>
      <c r="M181" s="150" t="b">
        <f>IF(H181="Yes",C181/1000*'Preliminary results'!$G$46*Inflation!$D$7)</f>
        <v>0</v>
      </c>
      <c r="N181" s="151">
        <f t="shared" si="50"/>
        <v>1.3707764270475873E-2</v>
      </c>
      <c r="O181" s="151">
        <f t="shared" si="38"/>
        <v>0.4419542819355633</v>
      </c>
      <c r="P181" s="151">
        <f t="shared" si="39"/>
        <v>1.864758964881766</v>
      </c>
      <c r="Q181" s="151">
        <f t="shared" si="40"/>
        <v>3.1896633402855517</v>
      </c>
      <c r="R181" s="151">
        <f t="shared" si="41"/>
        <v>-1.3707764270475873E-2</v>
      </c>
      <c r="S181" s="151">
        <f t="shared" si="42"/>
        <v>-0.4419542819355633</v>
      </c>
      <c r="T181" s="151">
        <f t="shared" si="43"/>
        <v>-1.864758964881766</v>
      </c>
      <c r="U181" s="150">
        <f>IF(G181="Yes",C181/1000*'Preliminary results'!$D$46*Inflation!$D$7)</f>
        <v>0.40658444942449035</v>
      </c>
      <c r="V181" s="150">
        <f>IF(G181="Yes",C181/1000*'Preliminary results'!$E$46*Inflation!$D$7)</f>
        <v>13.10875609223829</v>
      </c>
      <c r="W181" s="150">
        <f>IF(G181="Yes",C181/1000*'Preliminary results'!$F$46*Inflation!$D$7)</f>
        <v>55.310405262718611</v>
      </c>
      <c r="X181" s="151">
        <f t="shared" si="44"/>
        <v>0.12433363702060246</v>
      </c>
      <c r="Y181" s="151">
        <f t="shared" si="45"/>
        <v>4.008661236481105</v>
      </c>
      <c r="Z181" s="151">
        <f t="shared" si="46"/>
        <v>16.913937218040203</v>
      </c>
      <c r="AA181" s="151">
        <f t="shared" si="47"/>
        <v>0.28225081240388789</v>
      </c>
      <c r="AB181" s="151">
        <f t="shared" si="48"/>
        <v>9.1000948557571846</v>
      </c>
      <c r="AC181" s="151">
        <f t="shared" si="49"/>
        <v>38.396468044678407</v>
      </c>
    </row>
    <row r="182" spans="1:29" hidden="1" x14ac:dyDescent="0.3">
      <c r="A182" t="s">
        <v>999</v>
      </c>
      <c r="B182" t="s">
        <v>1000</v>
      </c>
      <c r="C182" s="90">
        <v>0</v>
      </c>
      <c r="D182" s="37">
        <f t="shared" si="37"/>
        <v>0</v>
      </c>
      <c r="E182" t="s">
        <v>1000</v>
      </c>
      <c r="F182" t="s">
        <v>1048</v>
      </c>
      <c r="G182" t="s">
        <v>1045</v>
      </c>
      <c r="H182" t="s">
        <v>1045</v>
      </c>
      <c r="I182" s="93" t="str">
        <f>VLOOKUP(B182,'Beynon 2023'!$B$88:$R$336,15,FALSE)</f>
        <v/>
      </c>
      <c r="J182" s="36">
        <f>IF(H182="Yes",C182/1000*'Preliminary results'!$D$46*Inflation!$D$7)</f>
        <v>0</v>
      </c>
      <c r="K182" s="36">
        <f>IF(H182="Yes",C182/1000*'Preliminary results'!$E$46*Inflation!$D$7)</f>
        <v>0</v>
      </c>
      <c r="L182" s="36">
        <f>IF(H182="Yes",C182/1000*'Preliminary results'!$F$46*Inflation!$D$7)</f>
        <v>0</v>
      </c>
      <c r="M182" s="150">
        <f>IF(H182="Yes",C182/1000*'Preliminary results'!$G$46*Inflation!$D$7)</f>
        <v>0</v>
      </c>
      <c r="N182" s="151">
        <f t="shared" si="50"/>
        <v>0</v>
      </c>
      <c r="O182" s="151">
        <f t="shared" si="38"/>
        <v>0</v>
      </c>
      <c r="P182" s="151">
        <f t="shared" si="39"/>
        <v>0</v>
      </c>
      <c r="Q182" s="151">
        <f t="shared" si="40"/>
        <v>0</v>
      </c>
      <c r="R182" s="151">
        <f t="shared" si="41"/>
        <v>0</v>
      </c>
      <c r="S182" s="151">
        <f t="shared" si="42"/>
        <v>0</v>
      </c>
      <c r="T182" s="151">
        <f t="shared" si="43"/>
        <v>0</v>
      </c>
      <c r="U182" s="150">
        <f>IF(G182="Yes",C182/1000*'Preliminary results'!$D$46*Inflation!$D$7)</f>
        <v>0</v>
      </c>
      <c r="V182" s="150">
        <f>IF(G182="Yes",C182/1000*'Preliminary results'!$E$46*Inflation!$D$7)</f>
        <v>0</v>
      </c>
      <c r="W182" s="150">
        <f>IF(G182="Yes",C182/1000*'Preliminary results'!$F$46*Inflation!$D$7)</f>
        <v>0</v>
      </c>
      <c r="X182" s="151">
        <f t="shared" si="44"/>
        <v>0</v>
      </c>
      <c r="Y182" s="151">
        <f t="shared" si="45"/>
        <v>0</v>
      </c>
      <c r="Z182" s="151">
        <f t="shared" si="46"/>
        <v>0</v>
      </c>
      <c r="AA182" s="151">
        <f t="shared" si="47"/>
        <v>0</v>
      </c>
      <c r="AB182" s="151">
        <f t="shared" si="48"/>
        <v>0</v>
      </c>
      <c r="AC182" s="151">
        <f t="shared" si="49"/>
        <v>0</v>
      </c>
    </row>
    <row r="183" spans="1:29" hidden="1" x14ac:dyDescent="0.3">
      <c r="A183" t="s">
        <v>595</v>
      </c>
      <c r="B183" t="s">
        <v>596</v>
      </c>
      <c r="C183" s="90">
        <v>1906453.30998588</v>
      </c>
      <c r="D183" s="37">
        <f t="shared" si="37"/>
        <v>1.6273890004467381E-2</v>
      </c>
      <c r="E183" t="s">
        <v>596</v>
      </c>
      <c r="F183" t="s">
        <v>1046</v>
      </c>
      <c r="G183" t="s">
        <v>1047</v>
      </c>
      <c r="H183" t="s">
        <v>1047</v>
      </c>
      <c r="I183" s="45">
        <f>VLOOKUP(B183,'Beynon 2023'!$B$88:$R$336,15,FALSE)</f>
        <v>9.3551966142338856E-3</v>
      </c>
      <c r="J183" s="36" t="b">
        <f>IF(H183="Yes",C183/1000*'Preliminary results'!$D$46*Inflation!$D$7)</f>
        <v>0</v>
      </c>
      <c r="K183" s="36" t="b">
        <f>IF(H183="Yes",C183/1000*'Preliminary results'!$E$46*Inflation!$D$7)</f>
        <v>0</v>
      </c>
      <c r="L183" s="36" t="b">
        <f>IF(H183="Yes",C183/1000*'Preliminary results'!$F$46*Inflation!$D$7)</f>
        <v>0</v>
      </c>
      <c r="M183" s="150" t="b">
        <f>IF(H183="Yes",C183/1000*'Preliminary results'!$G$46*Inflation!$D$7)</f>
        <v>0</v>
      </c>
      <c r="N183" s="151">
        <f t="shared" si="50"/>
        <v>3.9602650123022255E-2</v>
      </c>
      <c r="O183" s="151">
        <f t="shared" si="38"/>
        <v>1.2768355548368382</v>
      </c>
      <c r="P183" s="151">
        <f t="shared" si="39"/>
        <v>5.3874136870766307</v>
      </c>
      <c r="Q183" s="151">
        <f t="shared" si="40"/>
        <v>9.2151512663249164</v>
      </c>
      <c r="R183" s="151">
        <f t="shared" si="41"/>
        <v>-3.9602650123022255E-2</v>
      </c>
      <c r="S183" s="151">
        <f t="shared" si="42"/>
        <v>-1.2768355548368382</v>
      </c>
      <c r="T183" s="151">
        <f t="shared" si="43"/>
        <v>-5.3874136870766307</v>
      </c>
      <c r="U183" s="150" t="b">
        <f>IF(G183="Yes",C183/1000*'Preliminary results'!$D$46*Inflation!$D$7)</f>
        <v>0</v>
      </c>
      <c r="V183" s="150" t="b">
        <f>IF(G183="Yes",C183/1000*'Preliminary results'!$E$46*Inflation!$D$7)</f>
        <v>0</v>
      </c>
      <c r="W183" s="150" t="b">
        <f>IF(G183="Yes",C183/1000*'Preliminary results'!$F$46*Inflation!$D$7)</f>
        <v>0</v>
      </c>
      <c r="X183" s="151">
        <f t="shared" si="44"/>
        <v>0.35920821428590477</v>
      </c>
      <c r="Y183" s="151">
        <f t="shared" si="45"/>
        <v>11.581291104634071</v>
      </c>
      <c r="Z183" s="151">
        <f t="shared" si="46"/>
        <v>48.865498751792934</v>
      </c>
      <c r="AA183" s="151">
        <f t="shared" si="47"/>
        <v>-0.35920821428590477</v>
      </c>
      <c r="AB183" s="151">
        <f t="shared" si="48"/>
        <v>-11.581291104634071</v>
      </c>
      <c r="AC183" s="151">
        <f t="shared" si="49"/>
        <v>-48.865498751792934</v>
      </c>
    </row>
    <row r="184" spans="1:29" x14ac:dyDescent="0.3">
      <c r="A184" t="s">
        <v>713</v>
      </c>
      <c r="B184" t="s">
        <v>714</v>
      </c>
      <c r="C184" s="90">
        <v>108825.231671196</v>
      </c>
      <c r="D184" s="37">
        <f t="shared" si="37"/>
        <v>9.2895527031860037E-4</v>
      </c>
      <c r="E184" t="s">
        <v>714</v>
      </c>
      <c r="F184" t="s">
        <v>1021</v>
      </c>
      <c r="G184" t="s">
        <v>1045</v>
      </c>
      <c r="H184" t="s">
        <v>1045</v>
      </c>
      <c r="I184" s="93" t="str">
        <f>VLOOKUP(B184,'Beynon 2023'!$B$88:$R$336,15,FALSE)</f>
        <v/>
      </c>
      <c r="J184" s="36">
        <f>IF(H184="Yes",C184/1000*'Preliminary results'!$D$46*Inflation!$D$7)</f>
        <v>0.10357741192687105</v>
      </c>
      <c r="K184" s="36">
        <f>IF(H184="Yes",C184/1000*'Preliminary results'!$E$46*Inflation!$D$7)</f>
        <v>3.3394563701010576</v>
      </c>
      <c r="L184" s="36">
        <f>IF(H184="Yes",C184/1000*'Preliminary results'!$F$46*Inflation!$D$7)</f>
        <v>14.090328928831148</v>
      </c>
      <c r="M184" s="150">
        <f>IF(H184="Yes",C184/1000*'Preliminary results'!$G$46*Inflation!$D$7)</f>
        <v>24.101455728733995</v>
      </c>
      <c r="N184" s="151">
        <f t="shared" si="50"/>
        <v>0</v>
      </c>
      <c r="O184" s="151">
        <f t="shared" si="38"/>
        <v>0</v>
      </c>
      <c r="P184" s="151">
        <f t="shared" si="39"/>
        <v>0</v>
      </c>
      <c r="Q184" s="151">
        <f t="shared" si="40"/>
        <v>0</v>
      </c>
      <c r="R184" s="151">
        <f t="shared" si="41"/>
        <v>0.10357741192687105</v>
      </c>
      <c r="S184" s="151">
        <f t="shared" si="42"/>
        <v>3.3394563701010576</v>
      </c>
      <c r="T184" s="151">
        <f t="shared" si="43"/>
        <v>14.090328928831148</v>
      </c>
      <c r="U184" s="150">
        <f>IF(G184="Yes",C184/1000*'Preliminary results'!$D$46*Inflation!$D$7)</f>
        <v>0.10357741192687105</v>
      </c>
      <c r="V184" s="150">
        <f>IF(G184="Yes",C184/1000*'Preliminary results'!$E$46*Inflation!$D$7)</f>
        <v>3.3394563701010576</v>
      </c>
      <c r="W184" s="150">
        <f>IF(G184="Yes",C184/1000*'Preliminary results'!$F$46*Inflation!$D$7)</f>
        <v>14.090328928831148</v>
      </c>
      <c r="X184" s="151">
        <f t="shared" si="44"/>
        <v>0</v>
      </c>
      <c r="Y184" s="151">
        <f t="shared" si="45"/>
        <v>0</v>
      </c>
      <c r="Z184" s="151">
        <f t="shared" si="46"/>
        <v>0</v>
      </c>
      <c r="AA184" s="151">
        <f t="shared" si="47"/>
        <v>0.10357741192687105</v>
      </c>
      <c r="AB184" s="151">
        <f t="shared" si="48"/>
        <v>3.3394563701010576</v>
      </c>
      <c r="AC184" s="151">
        <f t="shared" si="49"/>
        <v>14.090328928831148</v>
      </c>
    </row>
    <row r="185" spans="1:29" hidden="1" x14ac:dyDescent="0.3">
      <c r="A185" t="s">
        <v>963</v>
      </c>
      <c r="B185" t="s">
        <v>964</v>
      </c>
      <c r="C185" s="90">
        <v>1183.5148148148101</v>
      </c>
      <c r="D185" s="45">
        <f t="shared" si="37"/>
        <v>1.0102733601745773E-5</v>
      </c>
      <c r="E185" t="s">
        <v>1051</v>
      </c>
      <c r="F185" t="s">
        <v>1052</v>
      </c>
      <c r="G185" t="s">
        <v>1047</v>
      </c>
      <c r="H185" t="s">
        <v>1047</v>
      </c>
      <c r="I185" t="s">
        <v>1060</v>
      </c>
      <c r="J185" s="36" t="b">
        <f>IF(H185="Yes",C185/1000*'Preliminary results'!$D$46*Inflation!$D$7)</f>
        <v>0</v>
      </c>
      <c r="K185" s="36" t="b">
        <f>IF(H185="Yes",C185/1000*'Preliminary results'!$E$46*Inflation!$D$7)</f>
        <v>0</v>
      </c>
      <c r="L185" s="36" t="b">
        <f>IF(H185="Yes",C185/1000*'Preliminary results'!$F$46*Inflation!$D$7)</f>
        <v>0</v>
      </c>
      <c r="M185" s="150" t="b">
        <f>IF(H185="Yes",C185/1000*'Preliminary results'!$G$46*Inflation!$D$7)</f>
        <v>0</v>
      </c>
      <c r="N185" s="151">
        <f t="shared" si="50"/>
        <v>0</v>
      </c>
      <c r="O185" s="151">
        <f t="shared" si="38"/>
        <v>0</v>
      </c>
      <c r="P185" s="151">
        <f t="shared" si="39"/>
        <v>0</v>
      </c>
      <c r="Q185" s="151">
        <f t="shared" si="40"/>
        <v>0</v>
      </c>
      <c r="R185" s="151">
        <f t="shared" si="41"/>
        <v>0</v>
      </c>
      <c r="S185" s="151">
        <f t="shared" si="42"/>
        <v>0</v>
      </c>
      <c r="T185" s="151">
        <f t="shared" si="43"/>
        <v>0</v>
      </c>
      <c r="U185" s="150" t="b">
        <f>IF(G185="Yes",C185/1000*'Preliminary results'!$D$46*Inflation!$D$7)</f>
        <v>0</v>
      </c>
      <c r="V185" s="150" t="b">
        <f>IF(G185="Yes",C185/1000*'Preliminary results'!$E$46*Inflation!$D$7)</f>
        <v>0</v>
      </c>
      <c r="W185" s="150" t="b">
        <f>IF(G185="Yes",C185/1000*'Preliminary results'!$F$46*Inflation!$D$7)</f>
        <v>0</v>
      </c>
      <c r="X185" s="151">
        <f t="shared" si="44"/>
        <v>0</v>
      </c>
      <c r="Y185" s="151">
        <f t="shared" si="45"/>
        <v>0</v>
      </c>
      <c r="Z185" s="151">
        <f t="shared" si="46"/>
        <v>0</v>
      </c>
      <c r="AA185" s="151">
        <f t="shared" si="47"/>
        <v>0</v>
      </c>
      <c r="AB185" s="151">
        <f t="shared" si="48"/>
        <v>0</v>
      </c>
      <c r="AC185" s="151">
        <f t="shared" si="49"/>
        <v>0</v>
      </c>
    </row>
    <row r="186" spans="1:29" hidden="1" x14ac:dyDescent="0.3">
      <c r="A186" t="s">
        <v>931</v>
      </c>
      <c r="B186" t="s">
        <v>932</v>
      </c>
      <c r="C186" s="90">
        <v>2656.4444444444398</v>
      </c>
      <c r="D186" s="45">
        <f t="shared" si="37"/>
        <v>2.2675973476731753E-5</v>
      </c>
      <c r="E186" t="s">
        <v>1051</v>
      </c>
      <c r="F186" t="s">
        <v>1052</v>
      </c>
      <c r="G186" t="s">
        <v>1047</v>
      </c>
      <c r="H186" t="s">
        <v>1047</v>
      </c>
      <c r="I186" t="s">
        <v>1060</v>
      </c>
      <c r="J186" s="36" t="b">
        <f>IF(H186="Yes",C186/1000*'Preliminary results'!$D$46*Inflation!$D$7)</f>
        <v>0</v>
      </c>
      <c r="K186" s="36" t="b">
        <f>IF(H186="Yes",C186/1000*'Preliminary results'!$E$46*Inflation!$D$7)</f>
        <v>0</v>
      </c>
      <c r="L186" s="36" t="b">
        <f>IF(H186="Yes",C186/1000*'Preliminary results'!$F$46*Inflation!$D$7)</f>
        <v>0</v>
      </c>
      <c r="M186" s="150" t="b">
        <f>IF(H186="Yes",C186/1000*'Preliminary results'!$G$46*Inflation!$D$7)</f>
        <v>0</v>
      </c>
      <c r="N186" s="151">
        <f t="shared" si="50"/>
        <v>0</v>
      </c>
      <c r="O186" s="151">
        <f t="shared" si="38"/>
        <v>0</v>
      </c>
      <c r="P186" s="151">
        <f t="shared" si="39"/>
        <v>0</v>
      </c>
      <c r="Q186" s="151">
        <f t="shared" si="40"/>
        <v>0</v>
      </c>
      <c r="R186" s="151">
        <f t="shared" si="41"/>
        <v>0</v>
      </c>
      <c r="S186" s="151">
        <f t="shared" si="42"/>
        <v>0</v>
      </c>
      <c r="T186" s="151">
        <f t="shared" si="43"/>
        <v>0</v>
      </c>
      <c r="U186" s="150" t="b">
        <f>IF(G186="Yes",C186/1000*'Preliminary results'!$D$46*Inflation!$D$7)</f>
        <v>0</v>
      </c>
      <c r="V186" s="150" t="b">
        <f>IF(G186="Yes",C186/1000*'Preliminary results'!$E$46*Inflation!$D$7)</f>
        <v>0</v>
      </c>
      <c r="W186" s="150" t="b">
        <f>IF(G186="Yes",C186/1000*'Preliminary results'!$F$46*Inflation!$D$7)</f>
        <v>0</v>
      </c>
      <c r="X186" s="151">
        <f t="shared" si="44"/>
        <v>0</v>
      </c>
      <c r="Y186" s="151">
        <f t="shared" si="45"/>
        <v>0</v>
      </c>
      <c r="Z186" s="151">
        <f t="shared" si="46"/>
        <v>0</v>
      </c>
      <c r="AA186" s="151">
        <f t="shared" si="47"/>
        <v>0</v>
      </c>
      <c r="AB186" s="151">
        <f t="shared" si="48"/>
        <v>0</v>
      </c>
      <c r="AC186" s="151">
        <f t="shared" si="49"/>
        <v>0</v>
      </c>
    </row>
    <row r="187" spans="1:29" hidden="1" x14ac:dyDescent="0.3">
      <c r="A187" t="s">
        <v>1001</v>
      </c>
      <c r="B187" t="s">
        <v>1002</v>
      </c>
      <c r="C187" s="90">
        <v>0</v>
      </c>
      <c r="D187" s="37">
        <f t="shared" si="37"/>
        <v>0</v>
      </c>
      <c r="E187" t="s">
        <v>1049</v>
      </c>
      <c r="F187" s="8"/>
      <c r="G187" t="s">
        <v>1047</v>
      </c>
      <c r="H187" t="s">
        <v>1047</v>
      </c>
      <c r="I187" t="s">
        <v>1049</v>
      </c>
      <c r="J187" s="36" t="b">
        <f>IF(H187="Yes",C187/1000*'Preliminary results'!$D$46*Inflation!$D$7)</f>
        <v>0</v>
      </c>
      <c r="K187" s="36" t="b">
        <f>IF(H187="Yes",C187/1000*'Preliminary results'!$E$46*Inflation!$D$7)</f>
        <v>0</v>
      </c>
      <c r="L187" s="36" t="b">
        <f>IF(H187="Yes",C187/1000*'Preliminary results'!$F$46*Inflation!$D$7)</f>
        <v>0</v>
      </c>
      <c r="M187" s="150" t="b">
        <f>IF(H187="Yes",C187/1000*'Preliminary results'!$G$46*Inflation!$D$7)</f>
        <v>0</v>
      </c>
      <c r="N187" s="151">
        <f t="shared" si="50"/>
        <v>0</v>
      </c>
      <c r="O187" s="151">
        <f t="shared" si="38"/>
        <v>0</v>
      </c>
      <c r="P187" s="151">
        <f t="shared" si="39"/>
        <v>0</v>
      </c>
      <c r="Q187" s="151">
        <f t="shared" si="40"/>
        <v>0</v>
      </c>
      <c r="R187" s="151">
        <f t="shared" si="41"/>
        <v>0</v>
      </c>
      <c r="S187" s="151">
        <f t="shared" si="42"/>
        <v>0</v>
      </c>
      <c r="T187" s="151">
        <f t="shared" si="43"/>
        <v>0</v>
      </c>
      <c r="U187" s="150" t="b">
        <f>IF(G187="Yes",C187/1000*'Preliminary results'!$D$46*Inflation!$D$7)</f>
        <v>0</v>
      </c>
      <c r="V187" s="150" t="b">
        <f>IF(G187="Yes",C187/1000*'Preliminary results'!$E$46*Inflation!$D$7)</f>
        <v>0</v>
      </c>
      <c r="W187" s="150" t="b">
        <f>IF(G187="Yes",C187/1000*'Preliminary results'!$F$46*Inflation!$D$7)</f>
        <v>0</v>
      </c>
      <c r="X187" s="151">
        <f t="shared" si="44"/>
        <v>0</v>
      </c>
      <c r="Y187" s="151">
        <f t="shared" si="45"/>
        <v>0</v>
      </c>
      <c r="Z187" s="151">
        <f t="shared" si="46"/>
        <v>0</v>
      </c>
      <c r="AA187" s="151">
        <f t="shared" si="47"/>
        <v>0</v>
      </c>
      <c r="AB187" s="151">
        <f t="shared" si="48"/>
        <v>0</v>
      </c>
      <c r="AC187" s="151">
        <f t="shared" si="49"/>
        <v>0</v>
      </c>
    </row>
    <row r="188" spans="1:29" hidden="1" x14ac:dyDescent="0.3">
      <c r="A188" t="s">
        <v>961</v>
      </c>
      <c r="B188" t="s">
        <v>962</v>
      </c>
      <c r="C188" s="90">
        <v>1255.2222222222199</v>
      </c>
      <c r="D188" s="45">
        <f t="shared" si="37"/>
        <v>1.0714843247726224E-5</v>
      </c>
      <c r="E188" t="s">
        <v>1051</v>
      </c>
      <c r="F188" t="s">
        <v>1052</v>
      </c>
      <c r="G188" t="s">
        <v>1047</v>
      </c>
      <c r="H188" t="s">
        <v>1047</v>
      </c>
      <c r="I188" t="s">
        <v>1060</v>
      </c>
      <c r="J188" s="36" t="b">
        <f>IF(H188="Yes",C188/1000*'Preliminary results'!$D$46*Inflation!$D$7)</f>
        <v>0</v>
      </c>
      <c r="K188" s="36" t="b">
        <f>IF(H188="Yes",C188/1000*'Preliminary results'!$E$46*Inflation!$D$7)</f>
        <v>0</v>
      </c>
      <c r="L188" s="36" t="b">
        <f>IF(H188="Yes",C188/1000*'Preliminary results'!$F$46*Inflation!$D$7)</f>
        <v>0</v>
      </c>
      <c r="M188" s="150" t="b">
        <f>IF(H188="Yes",C188/1000*'Preliminary results'!$G$46*Inflation!$D$7)</f>
        <v>0</v>
      </c>
      <c r="N188" s="151">
        <f t="shared" si="50"/>
        <v>0</v>
      </c>
      <c r="O188" s="151">
        <f t="shared" si="38"/>
        <v>0</v>
      </c>
      <c r="P188" s="151">
        <f t="shared" si="39"/>
        <v>0</v>
      </c>
      <c r="Q188" s="151">
        <f t="shared" si="40"/>
        <v>0</v>
      </c>
      <c r="R188" s="151">
        <f t="shared" si="41"/>
        <v>0</v>
      </c>
      <c r="S188" s="151">
        <f t="shared" si="42"/>
        <v>0</v>
      </c>
      <c r="T188" s="151">
        <f t="shared" si="43"/>
        <v>0</v>
      </c>
      <c r="U188" s="150" t="b">
        <f>IF(G188="Yes",C188/1000*'Preliminary results'!$D$46*Inflation!$D$7)</f>
        <v>0</v>
      </c>
      <c r="V188" s="150" t="b">
        <f>IF(G188="Yes",C188/1000*'Preliminary results'!$E$46*Inflation!$D$7)</f>
        <v>0</v>
      </c>
      <c r="W188" s="150" t="b">
        <f>IF(G188="Yes",C188/1000*'Preliminary results'!$F$46*Inflation!$D$7)</f>
        <v>0</v>
      </c>
      <c r="X188" s="151">
        <f t="shared" si="44"/>
        <v>0</v>
      </c>
      <c r="Y188" s="151">
        <f t="shared" si="45"/>
        <v>0</v>
      </c>
      <c r="Z188" s="151">
        <f t="shared" si="46"/>
        <v>0</v>
      </c>
      <c r="AA188" s="151">
        <f t="shared" si="47"/>
        <v>0</v>
      </c>
      <c r="AB188" s="151">
        <f t="shared" si="48"/>
        <v>0</v>
      </c>
      <c r="AC188" s="151">
        <f t="shared" si="49"/>
        <v>0</v>
      </c>
    </row>
    <row r="189" spans="1:29" hidden="1" x14ac:dyDescent="0.3">
      <c r="A189" t="s">
        <v>752</v>
      </c>
      <c r="B189" t="s">
        <v>753</v>
      </c>
      <c r="C189" s="90">
        <v>60162.634574468902</v>
      </c>
      <c r="D189" s="37">
        <f t="shared" si="37"/>
        <v>5.1356101527140182E-4</v>
      </c>
      <c r="E189" t="s">
        <v>1080</v>
      </c>
      <c r="F189" t="s">
        <v>1048</v>
      </c>
      <c r="G189" t="s">
        <v>1045</v>
      </c>
      <c r="H189" t="s">
        <v>1045</v>
      </c>
      <c r="I189" s="93" t="str">
        <f>VLOOKUP(B189,'Beynon 2023'!$B$88:$R$336,15,FALSE)</f>
        <v/>
      </c>
      <c r="J189" s="36">
        <f>IF(H189="Yes",C189/1000*'Preliminary results'!$D$46*Inflation!$D$7)</f>
        <v>5.7261444687325559E-2</v>
      </c>
      <c r="K189" s="36">
        <f>IF(H189="Yes",C189/1000*'Preliminary results'!$E$46*Inflation!$D$7)</f>
        <v>1.8461756541791914</v>
      </c>
      <c r="L189" s="36">
        <f>IF(H189="Yes",C189/1000*'Preliminary results'!$F$46*Inflation!$D$7)</f>
        <v>7.789657760073573</v>
      </c>
      <c r="M189" s="150">
        <f>IF(H189="Yes",C189/1000*'Preliminary results'!$G$46*Inflation!$D$7)</f>
        <v>13.324180904127154</v>
      </c>
      <c r="N189" s="151">
        <f t="shared" si="50"/>
        <v>0</v>
      </c>
      <c r="O189" s="151">
        <f t="shared" si="38"/>
        <v>0</v>
      </c>
      <c r="P189" s="151">
        <f t="shared" si="39"/>
        <v>0</v>
      </c>
      <c r="Q189" s="151">
        <f t="shared" si="40"/>
        <v>0</v>
      </c>
      <c r="R189" s="151">
        <f t="shared" si="41"/>
        <v>5.7261444687325559E-2</v>
      </c>
      <c r="S189" s="151">
        <f t="shared" si="42"/>
        <v>1.8461756541791914</v>
      </c>
      <c r="T189" s="151">
        <f t="shared" si="43"/>
        <v>7.789657760073573</v>
      </c>
      <c r="U189" s="150">
        <f>IF(G189="Yes",C189/1000*'Preliminary results'!$D$46*Inflation!$D$7)</f>
        <v>5.7261444687325559E-2</v>
      </c>
      <c r="V189" s="150">
        <f>IF(G189="Yes",C189/1000*'Preliminary results'!$E$46*Inflation!$D$7)</f>
        <v>1.8461756541791914</v>
      </c>
      <c r="W189" s="150">
        <f>IF(G189="Yes",C189/1000*'Preliminary results'!$F$46*Inflation!$D$7)</f>
        <v>7.789657760073573</v>
      </c>
      <c r="X189" s="151">
        <f t="shared" si="44"/>
        <v>0</v>
      </c>
      <c r="Y189" s="151">
        <f t="shared" si="45"/>
        <v>0</v>
      </c>
      <c r="Z189" s="151">
        <f t="shared" si="46"/>
        <v>0</v>
      </c>
      <c r="AA189" s="151">
        <f t="shared" si="47"/>
        <v>5.7261444687325559E-2</v>
      </c>
      <c r="AB189" s="151">
        <f t="shared" si="48"/>
        <v>1.8461756541791914</v>
      </c>
      <c r="AC189" s="151">
        <f t="shared" si="49"/>
        <v>7.789657760073573</v>
      </c>
    </row>
    <row r="190" spans="1:29" hidden="1" x14ac:dyDescent="0.3">
      <c r="A190" t="s">
        <v>909</v>
      </c>
      <c r="B190" t="s">
        <v>910</v>
      </c>
      <c r="C190" s="90">
        <v>4523.6577968642096</v>
      </c>
      <c r="D190" s="37">
        <f t="shared" si="37"/>
        <v>3.8614902876674507E-5</v>
      </c>
      <c r="E190" t="s">
        <v>1051</v>
      </c>
      <c r="F190" t="s">
        <v>1052</v>
      </c>
      <c r="G190" t="s">
        <v>1045</v>
      </c>
      <c r="H190" t="s">
        <v>1045</v>
      </c>
      <c r="I190" s="93" t="str">
        <f>VLOOKUP(B190,'Beynon 2023'!$B$88:$R$336,15,FALSE)</f>
        <v/>
      </c>
      <c r="J190" s="36">
        <f>IF(H190="Yes",C190/1000*'Preliminary results'!$D$46*Inflation!$D$7)</f>
        <v>4.3055159161772055E-3</v>
      </c>
      <c r="K190" s="36">
        <f>IF(H190="Yes",C190/1000*'Preliminary results'!$E$46*Inflation!$D$7)</f>
        <v>0.13881484664823299</v>
      </c>
      <c r="L190" s="36">
        <f>IF(H190="Yes",C190/1000*'Preliminary results'!$F$46*Inflation!$D$7)</f>
        <v>0.58570816106205525</v>
      </c>
      <c r="M190" s="150">
        <f>IF(H190="Yes",C190/1000*'Preliminary results'!$G$46*Inflation!$D$7)</f>
        <v>1.0018516519448166</v>
      </c>
      <c r="N190" s="151">
        <f t="shared" si="50"/>
        <v>0</v>
      </c>
      <c r="O190" s="151">
        <f t="shared" si="38"/>
        <v>0</v>
      </c>
      <c r="P190" s="151">
        <f t="shared" si="39"/>
        <v>0</v>
      </c>
      <c r="Q190" s="151">
        <f t="shared" si="40"/>
        <v>0</v>
      </c>
      <c r="R190" s="151">
        <f t="shared" si="41"/>
        <v>4.3055159161772055E-3</v>
      </c>
      <c r="S190" s="151">
        <f t="shared" si="42"/>
        <v>0.13881484664823299</v>
      </c>
      <c r="T190" s="151">
        <f t="shared" si="43"/>
        <v>0.58570816106205525</v>
      </c>
      <c r="U190" s="150">
        <f>IF(G190="Yes",C190/1000*'Preliminary results'!$D$46*Inflation!$D$7)</f>
        <v>4.3055159161772055E-3</v>
      </c>
      <c r="V190" s="150">
        <f>IF(G190="Yes",C190/1000*'Preliminary results'!$E$46*Inflation!$D$7)</f>
        <v>0.13881484664823299</v>
      </c>
      <c r="W190" s="150">
        <f>IF(G190="Yes",C190/1000*'Preliminary results'!$F$46*Inflation!$D$7)</f>
        <v>0.58570816106205525</v>
      </c>
      <c r="X190" s="151">
        <f t="shared" si="44"/>
        <v>0</v>
      </c>
      <c r="Y190" s="151">
        <f t="shared" si="45"/>
        <v>0</v>
      </c>
      <c r="Z190" s="151">
        <f t="shared" si="46"/>
        <v>0</v>
      </c>
      <c r="AA190" s="151">
        <f t="shared" si="47"/>
        <v>4.3055159161772055E-3</v>
      </c>
      <c r="AB190" s="151">
        <f t="shared" si="48"/>
        <v>0.13881484664823299</v>
      </c>
      <c r="AC190" s="151">
        <f t="shared" si="49"/>
        <v>0.58570816106205525</v>
      </c>
    </row>
    <row r="191" spans="1:29" hidden="1" x14ac:dyDescent="0.3">
      <c r="A191" t="s">
        <v>620</v>
      </c>
      <c r="B191" t="s">
        <v>621</v>
      </c>
      <c r="C191" s="90">
        <v>668998.66408208106</v>
      </c>
      <c r="D191" s="37">
        <f t="shared" si="37"/>
        <v>5.7107145584845429E-3</v>
      </c>
      <c r="E191" t="s">
        <v>621</v>
      </c>
      <c r="F191" t="s">
        <v>1046</v>
      </c>
      <c r="G191" t="s">
        <v>1047</v>
      </c>
      <c r="H191" t="s">
        <v>1047</v>
      </c>
      <c r="I191" s="45">
        <f>VLOOKUP(B191,'Beynon 2023'!$B$88:$R$336,15,FALSE)</f>
        <v>4.7067729535080309E-3</v>
      </c>
      <c r="J191" s="36" t="b">
        <f>IF(H191="Yes",C191/1000*'Preliminary results'!$D$46*Inflation!$D$7)</f>
        <v>0</v>
      </c>
      <c r="K191" s="36" t="b">
        <f>IF(H191="Yes",C191/1000*'Preliminary results'!$E$46*Inflation!$D$7)</f>
        <v>0</v>
      </c>
      <c r="L191" s="36" t="b">
        <f>IF(H191="Yes",C191/1000*'Preliminary results'!$F$46*Inflation!$D$7)</f>
        <v>0</v>
      </c>
      <c r="M191" s="150" t="b">
        <f>IF(H191="Yes",C191/1000*'Preliminary results'!$G$46*Inflation!$D$7)</f>
        <v>0</v>
      </c>
      <c r="N191" s="151">
        <f t="shared" si="50"/>
        <v>1.9924827897542519E-2</v>
      </c>
      <c r="O191" s="151">
        <f t="shared" si="38"/>
        <v>0.642399652663591</v>
      </c>
      <c r="P191" s="151">
        <f t="shared" si="39"/>
        <v>2.7105077613345085</v>
      </c>
      <c r="Q191" s="151">
        <f t="shared" si="40"/>
        <v>4.6363135411639176</v>
      </c>
      <c r="R191" s="151">
        <f t="shared" si="41"/>
        <v>-1.9924827897542519E-2</v>
      </c>
      <c r="S191" s="151">
        <f t="shared" si="42"/>
        <v>-0.642399652663591</v>
      </c>
      <c r="T191" s="151">
        <f t="shared" si="43"/>
        <v>-2.7105077613345085</v>
      </c>
      <c r="U191" s="150" t="b">
        <f>IF(G191="Yes",C191/1000*'Preliminary results'!$D$46*Inflation!$D$7)</f>
        <v>0</v>
      </c>
      <c r="V191" s="150" t="b">
        <f>IF(G191="Yes",C191/1000*'Preliminary results'!$E$46*Inflation!$D$7)</f>
        <v>0</v>
      </c>
      <c r="W191" s="150" t="b">
        <f>IF(G191="Yes",C191/1000*'Preliminary results'!$F$46*Inflation!$D$7)</f>
        <v>0</v>
      </c>
      <c r="X191" s="151">
        <f t="shared" si="44"/>
        <v>0.18072431584242757</v>
      </c>
      <c r="Y191" s="151">
        <f t="shared" si="45"/>
        <v>5.8267623852028212</v>
      </c>
      <c r="Z191" s="151">
        <f t="shared" si="46"/>
        <v>24.585138866528723</v>
      </c>
      <c r="AA191" s="151">
        <f t="shared" si="47"/>
        <v>-0.18072431584242757</v>
      </c>
      <c r="AB191" s="151">
        <f t="shared" si="48"/>
        <v>-5.8267623852028212</v>
      </c>
      <c r="AC191" s="151">
        <f t="shared" si="49"/>
        <v>-24.585138866528723</v>
      </c>
    </row>
    <row r="192" spans="1:29" hidden="1" x14ac:dyDescent="0.3">
      <c r="A192" t="s">
        <v>611</v>
      </c>
      <c r="B192" t="s">
        <v>257</v>
      </c>
      <c r="C192" s="90">
        <v>1043529.89925092</v>
      </c>
      <c r="D192" s="37">
        <f t="shared" si="37"/>
        <v>8.9077926576172899E-3</v>
      </c>
      <c r="E192" t="s">
        <v>257</v>
      </c>
      <c r="F192" t="s">
        <v>1046</v>
      </c>
      <c r="G192" t="s">
        <v>1047</v>
      </c>
      <c r="H192" t="s">
        <v>1047</v>
      </c>
      <c r="I192" s="45">
        <f>VLOOKUP(B192,'Beynon 2023'!$B$88:$R$336,15,FALSE)</f>
        <v>4.4831444075847712E-3</v>
      </c>
      <c r="J192" s="36" t="b">
        <f>IF(H192="Yes",C192/1000*'Preliminary results'!$D$46*Inflation!$D$7)</f>
        <v>0</v>
      </c>
      <c r="K192" s="36" t="b">
        <f>IF(H192="Yes",C192/1000*'Preliminary results'!$E$46*Inflation!$D$7)</f>
        <v>0</v>
      </c>
      <c r="L192" s="36" t="b">
        <f>IF(H192="Yes",C192/1000*'Preliminary results'!$F$46*Inflation!$D$7)</f>
        <v>0</v>
      </c>
      <c r="M192" s="150" t="b">
        <f>IF(H192="Yes",C192/1000*'Preliminary results'!$G$46*Inflation!$D$7)</f>
        <v>0</v>
      </c>
      <c r="N192" s="151">
        <f t="shared" si="50"/>
        <v>1.8978157995571215E-2</v>
      </c>
      <c r="O192" s="151">
        <f t="shared" si="38"/>
        <v>0.61187791268467517</v>
      </c>
      <c r="P192" s="151">
        <f t="shared" si="39"/>
        <v>2.5817259153928691</v>
      </c>
      <c r="Q192" s="151">
        <f t="shared" si="40"/>
        <v>4.4160326680697404</v>
      </c>
      <c r="R192" s="151">
        <f t="shared" si="41"/>
        <v>-1.8978157995571215E-2</v>
      </c>
      <c r="S192" s="151">
        <f t="shared" si="42"/>
        <v>-0.61187791268467517</v>
      </c>
      <c r="T192" s="151">
        <f t="shared" si="43"/>
        <v>-2.5817259153928691</v>
      </c>
      <c r="U192" s="150" t="b">
        <f>IF(G192="Yes",C192/1000*'Preliminary results'!$D$46*Inflation!$D$7)</f>
        <v>0</v>
      </c>
      <c r="V192" s="150" t="b">
        <f>IF(G192="Yes",C192/1000*'Preliminary results'!$E$46*Inflation!$D$7)</f>
        <v>0</v>
      </c>
      <c r="W192" s="150" t="b">
        <f>IF(G192="Yes",C192/1000*'Preliminary results'!$F$46*Inflation!$D$7)</f>
        <v>0</v>
      </c>
      <c r="X192" s="151">
        <f t="shared" si="44"/>
        <v>0.17213772873401478</v>
      </c>
      <c r="Y192" s="151">
        <f t="shared" si="45"/>
        <v>5.5499208182706239</v>
      </c>
      <c r="Z192" s="151">
        <f t="shared" si="46"/>
        <v>23.417047923891364</v>
      </c>
      <c r="AA192" s="151">
        <f t="shared" si="47"/>
        <v>-0.17213772873401478</v>
      </c>
      <c r="AB192" s="151">
        <f t="shared" si="48"/>
        <v>-5.5499208182706239</v>
      </c>
      <c r="AC192" s="151">
        <f t="shared" si="49"/>
        <v>-23.417047923891364</v>
      </c>
    </row>
    <row r="193" spans="1:29" hidden="1" x14ac:dyDescent="0.3">
      <c r="A193" t="s">
        <v>1003</v>
      </c>
      <c r="B193" t="s">
        <v>1004</v>
      </c>
      <c r="C193" s="90">
        <v>0</v>
      </c>
      <c r="D193" s="37">
        <f t="shared" si="37"/>
        <v>0</v>
      </c>
      <c r="E193" t="s">
        <v>1081</v>
      </c>
      <c r="F193" t="s">
        <v>1056</v>
      </c>
      <c r="G193" t="s">
        <v>1045</v>
      </c>
      <c r="H193" t="s">
        <v>1047</v>
      </c>
      <c r="I193" s="93" t="str">
        <f>VLOOKUP(E193,'Beynon 2023'!$B$88:$R$336,15,FALSE)</f>
        <v/>
      </c>
      <c r="J193" s="36" t="b">
        <f>IF(H193="Yes",C193/1000*'Preliminary results'!$D$46*Inflation!$D$7)</f>
        <v>0</v>
      </c>
      <c r="K193" s="36" t="b">
        <f>IF(H193="Yes",C193/1000*'Preliminary results'!$E$46*Inflation!$D$7)</f>
        <v>0</v>
      </c>
      <c r="L193" s="36" t="b">
        <f>IF(H193="Yes",C193/1000*'Preliminary results'!$F$46*Inflation!$D$7)</f>
        <v>0</v>
      </c>
      <c r="M193" s="150" t="b">
        <f>IF(H193="Yes",C193/1000*'Preliminary results'!$G$46*Inflation!$D$7)</f>
        <v>0</v>
      </c>
      <c r="N193" s="151">
        <f t="shared" si="50"/>
        <v>0</v>
      </c>
      <c r="O193" s="151">
        <f t="shared" si="38"/>
        <v>0</v>
      </c>
      <c r="P193" s="151">
        <f t="shared" si="39"/>
        <v>0</v>
      </c>
      <c r="Q193" s="151">
        <f t="shared" si="40"/>
        <v>0</v>
      </c>
      <c r="R193" s="151">
        <f t="shared" si="41"/>
        <v>0</v>
      </c>
      <c r="S193" s="151">
        <f t="shared" si="42"/>
        <v>0</v>
      </c>
      <c r="T193" s="151">
        <f t="shared" si="43"/>
        <v>0</v>
      </c>
      <c r="U193" s="150">
        <f>IF(G193="Yes",C193/1000*'Preliminary results'!$D$46*Inflation!$D$7)</f>
        <v>0</v>
      </c>
      <c r="V193" s="150">
        <f>IF(G193="Yes",C193/1000*'Preliminary results'!$E$46*Inflation!$D$7)</f>
        <v>0</v>
      </c>
      <c r="W193" s="150">
        <f>IF(G193="Yes",C193/1000*'Preliminary results'!$F$46*Inflation!$D$7)</f>
        <v>0</v>
      </c>
      <c r="X193" s="151">
        <f t="shared" si="44"/>
        <v>0</v>
      </c>
      <c r="Y193" s="151">
        <f t="shared" si="45"/>
        <v>0</v>
      </c>
      <c r="Z193" s="151">
        <f t="shared" si="46"/>
        <v>0</v>
      </c>
      <c r="AA193" s="151">
        <f t="shared" si="47"/>
        <v>0</v>
      </c>
      <c r="AB193" s="151">
        <f t="shared" si="48"/>
        <v>0</v>
      </c>
      <c r="AC193" s="151">
        <f t="shared" si="49"/>
        <v>0</v>
      </c>
    </row>
    <row r="194" spans="1:29" hidden="1" x14ac:dyDescent="0.3">
      <c r="A194" t="s">
        <v>965</v>
      </c>
      <c r="B194" t="s">
        <v>966</v>
      </c>
      <c r="C194" s="90">
        <v>981.293586906408</v>
      </c>
      <c r="D194" s="45">
        <f t="shared" si="37"/>
        <v>8.3765302888652509E-6</v>
      </c>
      <c r="E194" t="s">
        <v>1059</v>
      </c>
      <c r="F194" t="s">
        <v>1048</v>
      </c>
      <c r="G194" t="s">
        <v>1047</v>
      </c>
      <c r="H194" t="s">
        <v>1047</v>
      </c>
      <c r="I194" t="s">
        <v>1060</v>
      </c>
      <c r="J194" s="36" t="b">
        <f>IF(H194="Yes",C194/1000*'Preliminary results'!$D$46*Inflation!$D$7)</f>
        <v>0</v>
      </c>
      <c r="K194" s="36" t="b">
        <f>IF(H194="Yes",C194/1000*'Preliminary results'!$E$46*Inflation!$D$7)</f>
        <v>0</v>
      </c>
      <c r="L194" s="36" t="b">
        <f>IF(H194="Yes",C194/1000*'Preliminary results'!$F$46*Inflation!$D$7)</f>
        <v>0</v>
      </c>
      <c r="M194" s="150" t="b">
        <f>IF(H194="Yes",C194/1000*'Preliminary results'!$G$46*Inflation!$D$7)</f>
        <v>0</v>
      </c>
      <c r="N194" s="151">
        <f t="shared" si="50"/>
        <v>0</v>
      </c>
      <c r="O194" s="151">
        <f t="shared" si="38"/>
        <v>0</v>
      </c>
      <c r="P194" s="151">
        <f t="shared" si="39"/>
        <v>0</v>
      </c>
      <c r="Q194" s="151">
        <f t="shared" si="40"/>
        <v>0</v>
      </c>
      <c r="R194" s="151">
        <f t="shared" si="41"/>
        <v>0</v>
      </c>
      <c r="S194" s="151">
        <f t="shared" si="42"/>
        <v>0</v>
      </c>
      <c r="T194" s="151">
        <f t="shared" si="43"/>
        <v>0</v>
      </c>
      <c r="U194" s="150" t="b">
        <f>IF(G194="Yes",C194/1000*'Preliminary results'!$D$46*Inflation!$D$7)</f>
        <v>0</v>
      </c>
      <c r="V194" s="150" t="b">
        <f>IF(G194="Yes",C194/1000*'Preliminary results'!$E$46*Inflation!$D$7)</f>
        <v>0</v>
      </c>
      <c r="W194" s="150" t="b">
        <f>IF(G194="Yes",C194/1000*'Preliminary results'!$F$46*Inflation!$D$7)</f>
        <v>0</v>
      </c>
      <c r="X194" s="151">
        <f t="shared" si="44"/>
        <v>0</v>
      </c>
      <c r="Y194" s="151">
        <f t="shared" si="45"/>
        <v>0</v>
      </c>
      <c r="Z194" s="151">
        <f t="shared" si="46"/>
        <v>0</v>
      </c>
      <c r="AA194" s="151">
        <f t="shared" si="47"/>
        <v>0</v>
      </c>
      <c r="AB194" s="151">
        <f t="shared" si="48"/>
        <v>0</v>
      </c>
      <c r="AC194" s="151">
        <f t="shared" si="49"/>
        <v>0</v>
      </c>
    </row>
    <row r="195" spans="1:29" hidden="1" x14ac:dyDescent="0.3">
      <c r="A195" t="s">
        <v>849</v>
      </c>
      <c r="B195" t="s">
        <v>850</v>
      </c>
      <c r="C195" s="90">
        <v>17660.626562483201</v>
      </c>
      <c r="D195" s="37">
        <f t="shared" si="37"/>
        <v>1.5075485593190591E-4</v>
      </c>
      <c r="E195" t="s">
        <v>850</v>
      </c>
      <c r="F195" t="s">
        <v>1053</v>
      </c>
      <c r="G195" t="s">
        <v>1045</v>
      </c>
      <c r="H195" t="s">
        <v>1047</v>
      </c>
      <c r="I195" s="93" t="str">
        <f>VLOOKUP(B195,'Beynon 2023'!$B$88:$R$336,15,FALSE)</f>
        <v/>
      </c>
      <c r="J195" s="36" t="b">
        <f>IF(H195="Yes",C195/1000*'Preliminary results'!$D$46*Inflation!$D$7)</f>
        <v>0</v>
      </c>
      <c r="K195" s="36" t="b">
        <f>IF(H195="Yes",C195/1000*'Preliminary results'!$E$46*Inflation!$D$7)</f>
        <v>0</v>
      </c>
      <c r="L195" s="36" t="b">
        <f>IF(H195="Yes",C195/1000*'Preliminary results'!$F$46*Inflation!$D$7)</f>
        <v>0</v>
      </c>
      <c r="M195" s="150" t="b">
        <f>IF(H195="Yes",C195/1000*'Preliminary results'!$G$46*Inflation!$D$7)</f>
        <v>0</v>
      </c>
      <c r="N195" s="151">
        <f t="shared" si="50"/>
        <v>0</v>
      </c>
      <c r="O195" s="151">
        <f t="shared" si="38"/>
        <v>0</v>
      </c>
      <c r="P195" s="151">
        <f t="shared" si="39"/>
        <v>0</v>
      </c>
      <c r="Q195" s="151">
        <f t="shared" si="40"/>
        <v>0</v>
      </c>
      <c r="R195" s="151">
        <f t="shared" si="41"/>
        <v>0</v>
      </c>
      <c r="S195" s="151">
        <f t="shared" si="42"/>
        <v>0</v>
      </c>
      <c r="T195" s="151">
        <f t="shared" si="43"/>
        <v>0</v>
      </c>
      <c r="U195" s="150">
        <f>IF(G195="Yes",C195/1000*'Preliminary results'!$D$46*Inflation!$D$7)</f>
        <v>1.680898780786266E-2</v>
      </c>
      <c r="V195" s="150">
        <f>IF(G195="Yes",C195/1000*'Preliminary results'!$E$46*Inflation!$D$7)</f>
        <v>0.54194133996657101</v>
      </c>
      <c r="W195" s="150">
        <f>IF(G195="Yes",C195/1000*'Preliminary results'!$F$46*Inflation!$D$7)</f>
        <v>2.2866391693655839</v>
      </c>
      <c r="X195" s="151">
        <f t="shared" si="44"/>
        <v>0</v>
      </c>
      <c r="Y195" s="151">
        <f t="shared" si="45"/>
        <v>0</v>
      </c>
      <c r="Z195" s="151">
        <f t="shared" si="46"/>
        <v>0</v>
      </c>
      <c r="AA195" s="151">
        <f t="shared" si="47"/>
        <v>1.680898780786266E-2</v>
      </c>
      <c r="AB195" s="151">
        <f t="shared" si="48"/>
        <v>0.54194133996657101</v>
      </c>
      <c r="AC195" s="151">
        <f t="shared" si="49"/>
        <v>2.2866391693655839</v>
      </c>
    </row>
    <row r="196" spans="1:29" hidden="1" x14ac:dyDescent="0.3">
      <c r="A196" t="s">
        <v>735</v>
      </c>
      <c r="B196" t="s">
        <v>736</v>
      </c>
      <c r="C196" s="90">
        <v>90143.496090441098</v>
      </c>
      <c r="D196" s="37">
        <f t="shared" si="37"/>
        <v>7.6948401112683889E-4</v>
      </c>
      <c r="E196" t="s">
        <v>736</v>
      </c>
      <c r="F196" t="s">
        <v>1048</v>
      </c>
      <c r="G196" t="s">
        <v>1045</v>
      </c>
      <c r="H196" t="s">
        <v>1047</v>
      </c>
      <c r="I196" s="93" t="str">
        <f>VLOOKUP(B196,'Beynon 2023'!$B$88:$R$336,15,FALSE)</f>
        <v/>
      </c>
      <c r="J196" s="36" t="b">
        <f>IF(H196="Yes",C196/1000*'Preliminary results'!$D$46*Inflation!$D$7)</f>
        <v>0</v>
      </c>
      <c r="K196" s="36" t="b">
        <f>IF(H196="Yes",C196/1000*'Preliminary results'!$E$46*Inflation!$D$7)</f>
        <v>0</v>
      </c>
      <c r="L196" s="36" t="b">
        <f>IF(H196="Yes",C196/1000*'Preliminary results'!$F$46*Inflation!$D$7)</f>
        <v>0</v>
      </c>
      <c r="M196" s="150" t="b">
        <f>IF(H196="Yes",C196/1000*'Preliminary results'!$G$46*Inflation!$D$7)</f>
        <v>0</v>
      </c>
      <c r="N196" s="151">
        <f t="shared" si="50"/>
        <v>0</v>
      </c>
      <c r="O196" s="151">
        <f t="shared" si="38"/>
        <v>0</v>
      </c>
      <c r="P196" s="151">
        <f t="shared" si="39"/>
        <v>0</v>
      </c>
      <c r="Q196" s="151">
        <f t="shared" si="40"/>
        <v>0</v>
      </c>
      <c r="R196" s="151">
        <f t="shared" si="41"/>
        <v>0</v>
      </c>
      <c r="S196" s="151">
        <f t="shared" si="42"/>
        <v>0</v>
      </c>
      <c r="T196" s="151">
        <f t="shared" si="43"/>
        <v>0</v>
      </c>
      <c r="U196" s="150">
        <f>IF(G196="Yes",C196/1000*'Preliminary results'!$D$46*Inflation!$D$7)</f>
        <v>8.57965554835496E-2</v>
      </c>
      <c r="V196" s="150">
        <f>IF(G196="Yes",C196/1000*'Preliminary results'!$E$46*Inflation!$D$7)</f>
        <v>2.766180853645547</v>
      </c>
      <c r="W196" s="150">
        <f>IF(G196="Yes",C196/1000*'Preliminary results'!$F$46*Inflation!$D$7)</f>
        <v>11.67147996106959</v>
      </c>
      <c r="X196" s="151">
        <f t="shared" si="44"/>
        <v>0</v>
      </c>
      <c r="Y196" s="151">
        <f t="shared" si="45"/>
        <v>0</v>
      </c>
      <c r="Z196" s="151">
        <f t="shared" si="46"/>
        <v>0</v>
      </c>
      <c r="AA196" s="151">
        <f t="shared" si="47"/>
        <v>8.57965554835496E-2</v>
      </c>
      <c r="AB196" s="151">
        <f t="shared" si="48"/>
        <v>2.766180853645547</v>
      </c>
      <c r="AC196" s="151">
        <f t="shared" si="49"/>
        <v>11.67147996106959</v>
      </c>
    </row>
    <row r="197" spans="1:29" hidden="1" x14ac:dyDescent="0.3">
      <c r="A197" t="s">
        <v>628</v>
      </c>
      <c r="B197" t="s">
        <v>629</v>
      </c>
      <c r="C197" s="90">
        <v>577009.98111201497</v>
      </c>
      <c r="D197" s="37">
        <f t="shared" si="37"/>
        <v>4.9254796406035667E-3</v>
      </c>
      <c r="E197" t="s">
        <v>629</v>
      </c>
      <c r="F197" t="s">
        <v>1058</v>
      </c>
      <c r="G197" t="s">
        <v>1045</v>
      </c>
      <c r="H197" t="s">
        <v>1047</v>
      </c>
      <c r="I197" s="45">
        <f>VLOOKUP(B197,'Beynon 2023'!$B$88:$R$336,15,FALSE)</f>
        <v>2.5759203537115043E-3</v>
      </c>
      <c r="J197" s="36" t="b">
        <f>IF(H197="Yes",C197/1000*'Preliminary results'!$D$46*Inflation!$D$7)</f>
        <v>0</v>
      </c>
      <c r="K197" s="36" t="b">
        <f>IF(H197="Yes",C197/1000*'Preliminary results'!$E$46*Inflation!$D$7)</f>
        <v>0</v>
      </c>
      <c r="L197" s="36" t="b">
        <f>IF(H197="Yes",C197/1000*'Preliminary results'!$F$46*Inflation!$D$7)</f>
        <v>0</v>
      </c>
      <c r="M197" s="150" t="b">
        <f>IF(H197="Yes",C197/1000*'Preliminary results'!$G$46*Inflation!$D$7)</f>
        <v>0</v>
      </c>
      <c r="N197" s="151">
        <f t="shared" si="50"/>
        <v>1.0904449870951483E-2</v>
      </c>
      <c r="O197" s="151">
        <f t="shared" si="38"/>
        <v>0.35157216140626008</v>
      </c>
      <c r="P197" s="151">
        <f t="shared" si="39"/>
        <v>1.483405335307439</v>
      </c>
      <c r="Q197" s="151">
        <f t="shared" si="40"/>
        <v>2.5373593616771468</v>
      </c>
      <c r="R197" s="151">
        <f t="shared" si="41"/>
        <v>-1.0904449870951483E-2</v>
      </c>
      <c r="S197" s="151">
        <f t="shared" si="42"/>
        <v>-0.35157216140626008</v>
      </c>
      <c r="T197" s="151">
        <f t="shared" si="43"/>
        <v>-1.483405335307439</v>
      </c>
      <c r="U197" s="150">
        <f>IF(G197="Yes",C197/1000*'Preliminary results'!$D$46*Inflation!$D$7)</f>
        <v>0.54918514375535199</v>
      </c>
      <c r="V197" s="150">
        <f>IF(G197="Yes",C197/1000*'Preliminary results'!$E$46*Inflation!$D$7)</f>
        <v>17.706368527276233</v>
      </c>
      <c r="W197" s="150">
        <f>IF(G197="Yes",C197/1000*'Preliminary results'!$F$46*Inflation!$D$7)</f>
        <v>74.709332608192057</v>
      </c>
      <c r="X197" s="151">
        <f t="shared" si="44"/>
        <v>9.8906713407989608E-2</v>
      </c>
      <c r="Y197" s="151">
        <f t="shared" si="45"/>
        <v>3.1888676111087735</v>
      </c>
      <c r="Z197" s="151">
        <f t="shared" si="46"/>
        <v>13.45494253295451</v>
      </c>
      <c r="AA197" s="151">
        <f t="shared" si="47"/>
        <v>0.45027843034736237</v>
      </c>
      <c r="AB197" s="151">
        <f t="shared" si="48"/>
        <v>14.51750091616746</v>
      </c>
      <c r="AC197" s="151">
        <f t="shared" si="49"/>
        <v>61.254390075237545</v>
      </c>
    </row>
    <row r="198" spans="1:29" hidden="1" x14ac:dyDescent="0.3">
      <c r="A198" t="s">
        <v>945</v>
      </c>
      <c r="B198" t="s">
        <v>946</v>
      </c>
      <c r="C198" s="90">
        <v>1902.18025782737</v>
      </c>
      <c r="D198" s="45">
        <f t="shared" ref="D198:D221" si="51">C198/$C$3</f>
        <v>1.6237414324498349E-5</v>
      </c>
      <c r="E198" t="s">
        <v>1067</v>
      </c>
      <c r="F198" t="s">
        <v>1058</v>
      </c>
      <c r="G198" t="s">
        <v>1045</v>
      </c>
      <c r="H198" t="s">
        <v>1045</v>
      </c>
      <c r="I198" s="93" t="str">
        <f>'Beynon 2023'!P153</f>
        <v/>
      </c>
      <c r="J198" s="36">
        <f>IF(H198="Yes",C198/1000*'Preliminary results'!$D$46*Inflation!$D$7)</f>
        <v>1.8104524575645407E-3</v>
      </c>
      <c r="K198" s="36">
        <f>IF(H198="Yes",C198/1000*'Preliminary results'!$E$46*Inflation!$D$7)</f>
        <v>5.837109539334346E-2</v>
      </c>
      <c r="L198" s="36">
        <f>IF(H198="Yes",C198/1000*'Preliminary results'!$F$46*Inflation!$D$7)</f>
        <v>0.24628797111773632</v>
      </c>
      <c r="M198" s="150">
        <f>IF(H198="Yes",C198/1000*'Preliminary results'!$G$46*Inflation!$D$7)</f>
        <v>0.42127466735485547</v>
      </c>
      <c r="N198" s="151">
        <f t="shared" si="50"/>
        <v>0</v>
      </c>
      <c r="O198" s="151">
        <f t="shared" ref="O198:O221" si="52">IFERROR($K$3*$I198,0)</f>
        <v>0</v>
      </c>
      <c r="P198" s="151">
        <f t="shared" ref="P198:P221" si="53">IFERROR($L$3*$I198,0)</f>
        <v>0</v>
      </c>
      <c r="Q198" s="151">
        <f t="shared" ref="Q198:Q221" si="54">IFERROR($M$3*$I198,0)</f>
        <v>0</v>
      </c>
      <c r="R198" s="151">
        <f t="shared" ref="R198:R221" si="55">J198-N198</f>
        <v>1.8104524575645407E-3</v>
      </c>
      <c r="S198" s="151">
        <f t="shared" ref="S198:S221" si="56">K198-O198</f>
        <v>5.837109539334346E-2</v>
      </c>
      <c r="T198" s="151">
        <f t="shared" ref="T198:T221" si="57">L198-P198</f>
        <v>0.24628797111773632</v>
      </c>
      <c r="U198" s="150">
        <f>IF(G198="Yes",C198/1000*'Preliminary results'!$D$46*Inflation!$D$7)</f>
        <v>1.8104524575645407E-3</v>
      </c>
      <c r="V198" s="150">
        <f>IF(G198="Yes",C198/1000*'Preliminary results'!$E$46*Inflation!$D$7)</f>
        <v>5.837109539334346E-2</v>
      </c>
      <c r="W198" s="150">
        <f>IF(G198="Yes",C198/1000*'Preliminary results'!$F$46*Inflation!$D$7)</f>
        <v>0.24628797111773632</v>
      </c>
      <c r="X198" s="151">
        <f t="shared" ref="X198:X221" si="58">IFERROR($U$3*$I198,0)</f>
        <v>0</v>
      </c>
      <c r="Y198" s="151">
        <f t="shared" ref="Y198:Y221" si="59">IFERROR($V$3*$I198,0)</f>
        <v>0</v>
      </c>
      <c r="Z198" s="151">
        <f t="shared" ref="Z198:Z221" si="60">IFERROR($W$3*$I198,0)</f>
        <v>0</v>
      </c>
      <c r="AA198" s="151">
        <f t="shared" ref="AA198:AA221" si="61">U198-X198</f>
        <v>1.8104524575645407E-3</v>
      </c>
      <c r="AB198" s="151">
        <f t="shared" ref="AB198:AB221" si="62">V198-Y198</f>
        <v>5.837109539334346E-2</v>
      </c>
      <c r="AC198" s="151">
        <f t="shared" ref="AC198:AC221" si="63">W198-Z198</f>
        <v>0.24628797111773632</v>
      </c>
    </row>
    <row r="199" spans="1:29" hidden="1" x14ac:dyDescent="0.3">
      <c r="A199" t="s">
        <v>875</v>
      </c>
      <c r="B199" t="s">
        <v>876</v>
      </c>
      <c r="C199" s="90">
        <v>11889.949067469701</v>
      </c>
      <c r="D199" s="37">
        <f t="shared" si="51"/>
        <v>1.0149512829357176E-4</v>
      </c>
      <c r="E199" t="s">
        <v>876</v>
      </c>
      <c r="F199" t="s">
        <v>1048</v>
      </c>
      <c r="G199" t="s">
        <v>1045</v>
      </c>
      <c r="H199" t="s">
        <v>1045</v>
      </c>
      <c r="I199" s="93" t="str">
        <f>VLOOKUP(B199,'Beynon 2023'!$B$88:$R$336,15,FALSE)</f>
        <v/>
      </c>
      <c r="J199" s="36">
        <f>IF(H199="Yes",C199/1000*'Preliminary results'!$D$46*Inflation!$D$7)</f>
        <v>1.131658654375085E-2</v>
      </c>
      <c r="K199" s="36">
        <f>IF(H199="Yes",C199/1000*'Preliminary results'!$E$46*Inflation!$D$7)</f>
        <v>0.36485992764532982</v>
      </c>
      <c r="L199" s="36">
        <f>IF(H199="Yes",C199/1000*'Preliminary results'!$F$46*Inflation!$D$7)</f>
        <v>1.5394710466951402</v>
      </c>
      <c r="M199" s="150">
        <f>IF(H199="Yes",C199/1000*'Preliminary results'!$G$46*Inflation!$D$7)</f>
        <v>2.6332595544785908</v>
      </c>
      <c r="N199" s="151">
        <f t="shared" ref="N199:N221" si="64">IFERROR($J$3*$I199,0)</f>
        <v>0</v>
      </c>
      <c r="O199" s="151">
        <f t="shared" si="52"/>
        <v>0</v>
      </c>
      <c r="P199" s="151">
        <f t="shared" si="53"/>
        <v>0</v>
      </c>
      <c r="Q199" s="151">
        <f t="shared" si="54"/>
        <v>0</v>
      </c>
      <c r="R199" s="151">
        <f t="shared" si="55"/>
        <v>1.131658654375085E-2</v>
      </c>
      <c r="S199" s="151">
        <f t="shared" si="56"/>
        <v>0.36485992764532982</v>
      </c>
      <c r="T199" s="151">
        <f t="shared" si="57"/>
        <v>1.5394710466951402</v>
      </c>
      <c r="U199" s="150">
        <f>IF(G199="Yes",C199/1000*'Preliminary results'!$D$46*Inflation!$D$7)</f>
        <v>1.131658654375085E-2</v>
      </c>
      <c r="V199" s="150">
        <f>IF(G199="Yes",C199/1000*'Preliminary results'!$E$46*Inflation!$D$7)</f>
        <v>0.36485992764532982</v>
      </c>
      <c r="W199" s="150">
        <f>IF(G199="Yes",C199/1000*'Preliminary results'!$F$46*Inflation!$D$7)</f>
        <v>1.5394710466951402</v>
      </c>
      <c r="X199" s="151">
        <f t="shared" si="58"/>
        <v>0</v>
      </c>
      <c r="Y199" s="151">
        <f t="shared" si="59"/>
        <v>0</v>
      </c>
      <c r="Z199" s="151">
        <f t="shared" si="60"/>
        <v>0</v>
      </c>
      <c r="AA199" s="151">
        <f t="shared" si="61"/>
        <v>1.131658654375085E-2</v>
      </c>
      <c r="AB199" s="151">
        <f t="shared" si="62"/>
        <v>0.36485992764532982</v>
      </c>
      <c r="AC199" s="151">
        <f t="shared" si="63"/>
        <v>1.5394710466951402</v>
      </c>
    </row>
    <row r="200" spans="1:29" hidden="1" x14ac:dyDescent="0.3">
      <c r="A200" t="s">
        <v>969</v>
      </c>
      <c r="B200" t="s">
        <v>970</v>
      </c>
      <c r="C200" s="90">
        <v>679.21821857801694</v>
      </c>
      <c r="D200" s="37">
        <f t="shared" si="51"/>
        <v>5.7979508442568663E-6</v>
      </c>
      <c r="E200" t="s">
        <v>1067</v>
      </c>
      <c r="F200" t="s">
        <v>1058</v>
      </c>
      <c r="G200" t="s">
        <v>1045</v>
      </c>
      <c r="H200" t="s">
        <v>1045</v>
      </c>
      <c r="I200" s="93" t="str">
        <f>VLOOKUP(B200,'Beynon 2023'!$B$88:$R$336,15,FALSE)</f>
        <v/>
      </c>
      <c r="J200" s="36">
        <f>IF(H200="Yes",C200/1000*'Preliminary results'!$D$46*Inflation!$D$7)</f>
        <v>6.4646464917668129E-4</v>
      </c>
      <c r="K200" s="36">
        <f>IF(H200="Yes",C200/1000*'Preliminary results'!$E$46*Inflation!$D$7)</f>
        <v>2.0842773058110626E-2</v>
      </c>
      <c r="L200" s="36">
        <f>IF(H200="Yes",C200/1000*'Preliminary results'!$F$46*Inflation!$D$7)</f>
        <v>8.7942915142464134E-2</v>
      </c>
      <c r="M200" s="150">
        <f>IF(H200="Yes",C200/1000*'Preliminary results'!$G$46*Inflation!$D$7)</f>
        <v>0.15042603239907015</v>
      </c>
      <c r="N200" s="151">
        <f t="shared" si="64"/>
        <v>0</v>
      </c>
      <c r="O200" s="151">
        <f t="shared" si="52"/>
        <v>0</v>
      </c>
      <c r="P200" s="151">
        <f t="shared" si="53"/>
        <v>0</v>
      </c>
      <c r="Q200" s="151">
        <f t="shared" si="54"/>
        <v>0</v>
      </c>
      <c r="R200" s="151">
        <f t="shared" si="55"/>
        <v>6.4646464917668129E-4</v>
      </c>
      <c r="S200" s="151">
        <f t="shared" si="56"/>
        <v>2.0842773058110626E-2</v>
      </c>
      <c r="T200" s="151">
        <f t="shared" si="57"/>
        <v>8.7942915142464134E-2</v>
      </c>
      <c r="U200" s="150">
        <f>IF(G200="Yes",C200/1000*'Preliminary results'!$D$46*Inflation!$D$7)</f>
        <v>6.4646464917668129E-4</v>
      </c>
      <c r="V200" s="150">
        <f>IF(G200="Yes",C200/1000*'Preliminary results'!$E$46*Inflation!$D$7)</f>
        <v>2.0842773058110626E-2</v>
      </c>
      <c r="W200" s="150">
        <f>IF(G200="Yes",C200/1000*'Preliminary results'!$F$46*Inflation!$D$7)</f>
        <v>8.7942915142464134E-2</v>
      </c>
      <c r="X200" s="151">
        <f t="shared" si="58"/>
        <v>0</v>
      </c>
      <c r="Y200" s="151">
        <f t="shared" si="59"/>
        <v>0</v>
      </c>
      <c r="Z200" s="151">
        <f t="shared" si="60"/>
        <v>0</v>
      </c>
      <c r="AA200" s="151">
        <f t="shared" si="61"/>
        <v>6.4646464917668129E-4</v>
      </c>
      <c r="AB200" s="151">
        <f t="shared" si="62"/>
        <v>2.0842773058110626E-2</v>
      </c>
      <c r="AC200" s="151">
        <f t="shared" si="63"/>
        <v>8.7942915142464134E-2</v>
      </c>
    </row>
    <row r="201" spans="1:29" hidden="1" x14ac:dyDescent="0.3">
      <c r="A201" t="s">
        <v>816</v>
      </c>
      <c r="B201" t="s">
        <v>817</v>
      </c>
      <c r="C201" s="90">
        <v>25942.749718468502</v>
      </c>
      <c r="D201" s="37">
        <f t="shared" si="51"/>
        <v>2.2145281666242873E-4</v>
      </c>
      <c r="E201" t="s">
        <v>1051</v>
      </c>
      <c r="F201" t="s">
        <v>1052</v>
      </c>
      <c r="G201" t="s">
        <v>1045</v>
      </c>
      <c r="H201" t="s">
        <v>1045</v>
      </c>
      <c r="I201" s="45" t="str">
        <f>VLOOKUP(B201,'Beynon 2023'!$B$88:$R$336,15,FALSE)</f>
        <v/>
      </c>
      <c r="J201" s="36">
        <f>IF(H201="Yes",C201/1000*'Preliminary results'!$D$46*Inflation!$D$7)</f>
        <v>2.469172665971682E-2</v>
      </c>
      <c r="K201" s="36">
        <f>IF(H201="Yes",C201/1000*'Preliminary results'!$E$46*Inflation!$D$7)</f>
        <v>0.79609001951895364</v>
      </c>
      <c r="L201" s="36">
        <f>IF(H201="Yes",C201/1000*'Preliminary results'!$F$46*Inflation!$D$7)</f>
        <v>3.3589809204910237</v>
      </c>
      <c r="M201" s="150">
        <f>IF(H201="Yes",C201/1000*'Preliminary results'!$G$46*Inflation!$D$7)</f>
        <v>5.7455244911441712</v>
      </c>
      <c r="N201" s="151">
        <f t="shared" si="64"/>
        <v>0</v>
      </c>
      <c r="O201" s="151">
        <f t="shared" si="52"/>
        <v>0</v>
      </c>
      <c r="P201" s="151">
        <f t="shared" si="53"/>
        <v>0</v>
      </c>
      <c r="Q201" s="151">
        <f t="shared" si="54"/>
        <v>0</v>
      </c>
      <c r="R201" s="151">
        <f t="shared" si="55"/>
        <v>2.469172665971682E-2</v>
      </c>
      <c r="S201" s="151">
        <f t="shared" si="56"/>
        <v>0.79609001951895364</v>
      </c>
      <c r="T201" s="151">
        <f t="shared" si="57"/>
        <v>3.3589809204910237</v>
      </c>
      <c r="U201" s="150">
        <f>IF(G201="Yes",C201/1000*'Preliminary results'!$D$46*Inflation!$D$7)</f>
        <v>2.469172665971682E-2</v>
      </c>
      <c r="V201" s="150">
        <f>IF(G201="Yes",C201/1000*'Preliminary results'!$E$46*Inflation!$D$7)</f>
        <v>0.79609001951895364</v>
      </c>
      <c r="W201" s="150">
        <f>IF(G201="Yes",C201/1000*'Preliminary results'!$F$46*Inflation!$D$7)</f>
        <v>3.3589809204910237</v>
      </c>
      <c r="X201" s="151">
        <f t="shared" si="58"/>
        <v>0</v>
      </c>
      <c r="Y201" s="151">
        <f t="shared" si="59"/>
        <v>0</v>
      </c>
      <c r="Z201" s="151">
        <f t="shared" si="60"/>
        <v>0</v>
      </c>
      <c r="AA201" s="151">
        <f t="shared" si="61"/>
        <v>2.469172665971682E-2</v>
      </c>
      <c r="AB201" s="151">
        <f t="shared" si="62"/>
        <v>0.79609001951895364</v>
      </c>
      <c r="AC201" s="151">
        <f t="shared" si="63"/>
        <v>3.3589809204910237</v>
      </c>
    </row>
    <row r="202" spans="1:29" hidden="1" x14ac:dyDescent="0.3">
      <c r="A202" t="s">
        <v>756</v>
      </c>
      <c r="B202" t="s">
        <v>757</v>
      </c>
      <c r="C202" s="90">
        <v>57502.836548087798</v>
      </c>
      <c r="D202" s="37">
        <f t="shared" si="51"/>
        <v>4.9085641490762683E-4</v>
      </c>
      <c r="E202" t="s">
        <v>757</v>
      </c>
      <c r="F202" t="s">
        <v>1048</v>
      </c>
      <c r="G202" t="s">
        <v>1045</v>
      </c>
      <c r="H202" t="s">
        <v>1045</v>
      </c>
      <c r="I202" s="93" t="str">
        <f>VLOOKUP(B202,'Beynon 2023'!$B$88:$R$336,15,FALSE)</f>
        <v/>
      </c>
      <c r="J202" s="36">
        <f>IF(H202="Yes",C202/1000*'Preliminary results'!$D$46*Inflation!$D$7)</f>
        <v>5.4729908649312486E-2</v>
      </c>
      <c r="K202" s="36">
        <f>IF(H202="Yes",C202/1000*'Preliminary results'!$E$46*Inflation!$D$7)</f>
        <v>1.7645559844943384</v>
      </c>
      <c r="L202" s="36">
        <f>IF(H202="Yes",C202/1000*'Preliminary results'!$F$46*Inflation!$D$7)</f>
        <v>7.4452759609224355</v>
      </c>
      <c r="M202" s="150">
        <f>IF(H202="Yes",C202/1000*'Preliminary results'!$G$46*Inflation!$D$7)</f>
        <v>12.735117105265834</v>
      </c>
      <c r="N202" s="151">
        <f t="shared" si="64"/>
        <v>0</v>
      </c>
      <c r="O202" s="151">
        <f t="shared" si="52"/>
        <v>0</v>
      </c>
      <c r="P202" s="151">
        <f t="shared" si="53"/>
        <v>0</v>
      </c>
      <c r="Q202" s="151">
        <f t="shared" si="54"/>
        <v>0</v>
      </c>
      <c r="R202" s="151">
        <f t="shared" si="55"/>
        <v>5.4729908649312486E-2</v>
      </c>
      <c r="S202" s="151">
        <f t="shared" si="56"/>
        <v>1.7645559844943384</v>
      </c>
      <c r="T202" s="151">
        <f t="shared" si="57"/>
        <v>7.4452759609224355</v>
      </c>
      <c r="U202" s="150">
        <f>IF(G202="Yes",C202/1000*'Preliminary results'!$D$46*Inflation!$D$7)</f>
        <v>5.4729908649312486E-2</v>
      </c>
      <c r="V202" s="150">
        <f>IF(G202="Yes",C202/1000*'Preliminary results'!$E$46*Inflation!$D$7)</f>
        <v>1.7645559844943384</v>
      </c>
      <c r="W202" s="150">
        <f>IF(G202="Yes",C202/1000*'Preliminary results'!$F$46*Inflation!$D$7)</f>
        <v>7.4452759609224355</v>
      </c>
      <c r="X202" s="151">
        <f t="shared" si="58"/>
        <v>0</v>
      </c>
      <c r="Y202" s="151">
        <f t="shared" si="59"/>
        <v>0</v>
      </c>
      <c r="Z202" s="151">
        <f t="shared" si="60"/>
        <v>0</v>
      </c>
      <c r="AA202" s="151">
        <f t="shared" si="61"/>
        <v>5.4729908649312486E-2</v>
      </c>
      <c r="AB202" s="151">
        <f t="shared" si="62"/>
        <v>1.7645559844943384</v>
      </c>
      <c r="AC202" s="151">
        <f t="shared" si="63"/>
        <v>7.4452759609224355</v>
      </c>
    </row>
    <row r="203" spans="1:29" hidden="1" x14ac:dyDescent="0.3">
      <c r="A203" t="s">
        <v>764</v>
      </c>
      <c r="B203" t="s">
        <v>765</v>
      </c>
      <c r="C203" s="90">
        <v>49828.621355651601</v>
      </c>
      <c r="D203" s="37">
        <f t="shared" si="51"/>
        <v>4.253476855523592E-4</v>
      </c>
      <c r="E203" t="s">
        <v>765</v>
      </c>
      <c r="F203" t="s">
        <v>1053</v>
      </c>
      <c r="G203" t="s">
        <v>1045</v>
      </c>
      <c r="H203" t="s">
        <v>1047</v>
      </c>
      <c r="I203" s="45">
        <f>VLOOKUP(B203,'Beynon 2023'!$B$88:$R$336,15,FALSE)</f>
        <v>6.2659941967031557E-4</v>
      </c>
      <c r="J203" s="36" t="b">
        <f>IF(H203="Yes",C203/1000*'Preliminary results'!$D$46*Inflation!$D$7)</f>
        <v>0</v>
      </c>
      <c r="K203" s="36" t="b">
        <f>IF(H203="Yes",C203/1000*'Preliminary results'!$E$46*Inflation!$D$7)</f>
        <v>0</v>
      </c>
      <c r="L203" s="36" t="b">
        <f>IF(H203="Yes",C203/1000*'Preliminary results'!$F$46*Inflation!$D$7)</f>
        <v>0</v>
      </c>
      <c r="M203" s="150" t="b">
        <f>IF(H203="Yes",C203/1000*'Preliminary results'!$G$46*Inflation!$D$7)</f>
        <v>0</v>
      </c>
      <c r="N203" s="151">
        <f t="shared" si="64"/>
        <v>2.6525361900717726E-3</v>
      </c>
      <c r="O203" s="151">
        <f t="shared" si="52"/>
        <v>8.5520855484522276E-2</v>
      </c>
      <c r="P203" s="151">
        <f t="shared" si="53"/>
        <v>0.36084226008782588</v>
      </c>
      <c r="Q203" s="151">
        <f t="shared" si="54"/>
        <v>0.61721935665872985</v>
      </c>
      <c r="R203" s="151">
        <f t="shared" si="55"/>
        <v>-2.6525361900717726E-3</v>
      </c>
      <c r="S203" s="151">
        <f t="shared" si="56"/>
        <v>-8.5520855484522276E-2</v>
      </c>
      <c r="T203" s="151">
        <f t="shared" si="57"/>
        <v>-0.36084226008782588</v>
      </c>
      <c r="U203" s="150">
        <f>IF(G203="Yes",C203/1000*'Preliminary results'!$D$46*Inflation!$D$7)</f>
        <v>4.7425762947109443E-2</v>
      </c>
      <c r="V203" s="150">
        <f>IF(G203="Yes",C203/1000*'Preliminary results'!$E$46*Inflation!$D$7)</f>
        <v>1.5290618218231409</v>
      </c>
      <c r="W203" s="150">
        <f>IF(G203="Yes",C203/1000*'Preliminary results'!$F$46*Inflation!$D$7)</f>
        <v>6.4516441103717348</v>
      </c>
      <c r="X203" s="151">
        <f t="shared" si="58"/>
        <v>2.4059318889129568E-2</v>
      </c>
      <c r="Y203" s="151">
        <f t="shared" si="59"/>
        <v>0.7757004565949438</v>
      </c>
      <c r="Z203" s="151">
        <f t="shared" si="60"/>
        <v>3.2729502566720172</v>
      </c>
      <c r="AA203" s="151">
        <f t="shared" si="61"/>
        <v>2.3366444057979874E-2</v>
      </c>
      <c r="AB203" s="151">
        <f t="shared" si="62"/>
        <v>0.75336136522819708</v>
      </c>
      <c r="AC203" s="151">
        <f t="shared" si="63"/>
        <v>3.1786938536997176</v>
      </c>
    </row>
    <row r="204" spans="1:29" hidden="1" x14ac:dyDescent="0.3">
      <c r="A204" t="s">
        <v>953</v>
      </c>
      <c r="B204" t="s">
        <v>954</v>
      </c>
      <c r="C204" s="90">
        <v>1745.3779999999999</v>
      </c>
      <c r="D204" s="37">
        <f t="shared" si="51"/>
        <v>1.4898916978159637E-5</v>
      </c>
      <c r="E204" t="s">
        <v>1051</v>
      </c>
      <c r="F204" t="s">
        <v>1052</v>
      </c>
      <c r="G204" t="s">
        <v>1047</v>
      </c>
      <c r="H204" t="s">
        <v>1047</v>
      </c>
      <c r="I204" s="93">
        <f>VLOOKUP(B204,'Beynon 2023'!$B$88:$R$336,15,FALSE)</f>
        <v>3.6227941436559083E-6</v>
      </c>
      <c r="J204" s="36" t="b">
        <f>IF(H204="Yes",C204/1000*'Preliminary results'!$D$46*Inflation!$D$7)</f>
        <v>0</v>
      </c>
      <c r="K204" s="36" t="b">
        <f>IF(H204="Yes",C204/1000*'Preliminary results'!$E$46*Inflation!$D$7)</f>
        <v>0</v>
      </c>
      <c r="L204" s="36" t="b">
        <f>IF(H204="Yes",C204/1000*'Preliminary results'!$F$46*Inflation!$D$7)</f>
        <v>0</v>
      </c>
      <c r="M204" s="150" t="b">
        <f>IF(H204="Yes",C204/1000*'Preliminary results'!$G$46*Inflation!$D$7)</f>
        <v>0</v>
      </c>
      <c r="N204" s="151">
        <f t="shared" si="64"/>
        <v>1.5336101939391272E-5</v>
      </c>
      <c r="O204" s="151">
        <f t="shared" si="52"/>
        <v>4.9445378448129476E-4</v>
      </c>
      <c r="P204" s="151">
        <f t="shared" si="53"/>
        <v>2.0862726418060672E-3</v>
      </c>
      <c r="Q204" s="151">
        <f t="shared" si="54"/>
        <v>3.5685616686827017E-3</v>
      </c>
      <c r="R204" s="151">
        <f t="shared" si="55"/>
        <v>-1.5336101939391272E-5</v>
      </c>
      <c r="S204" s="151">
        <f t="shared" si="56"/>
        <v>-4.9445378448129476E-4</v>
      </c>
      <c r="T204" s="151">
        <f t="shared" si="57"/>
        <v>-2.0862726418060672E-3</v>
      </c>
      <c r="U204" s="150" t="b">
        <f>IF(G204="Yes",C204/1000*'Preliminary results'!$D$46*Inflation!$D$7)</f>
        <v>0</v>
      </c>
      <c r="V204" s="150" t="b">
        <f>IF(G204="Yes",C204/1000*'Preliminary results'!$E$46*Inflation!$D$7)</f>
        <v>0</v>
      </c>
      <c r="W204" s="150" t="b">
        <f>IF(G204="Yes",C204/1000*'Preliminary results'!$F$46*Inflation!$D$7)</f>
        <v>0</v>
      </c>
      <c r="X204" s="151">
        <f t="shared" si="58"/>
        <v>1.3910316038554378E-4</v>
      </c>
      <c r="Y204" s="151">
        <f t="shared" si="59"/>
        <v>4.4848478679759404E-3</v>
      </c>
      <c r="Z204" s="151">
        <f t="shared" si="60"/>
        <v>1.8923134382389229E-2</v>
      </c>
      <c r="AA204" s="151">
        <f t="shared" si="61"/>
        <v>-1.3910316038554378E-4</v>
      </c>
      <c r="AB204" s="151">
        <f t="shared" si="62"/>
        <v>-4.4848478679759404E-3</v>
      </c>
      <c r="AC204" s="151">
        <f t="shared" si="63"/>
        <v>-1.8923134382389229E-2</v>
      </c>
    </row>
    <row r="205" spans="1:29" hidden="1" x14ac:dyDescent="0.3">
      <c r="A205" t="s">
        <v>981</v>
      </c>
      <c r="B205" t="s">
        <v>982</v>
      </c>
      <c r="C205" s="90">
        <v>57.3454347234984</v>
      </c>
      <c r="D205" s="37">
        <f t="shared" si="51"/>
        <v>4.8951279953217903E-7</v>
      </c>
      <c r="E205" t="s">
        <v>1067</v>
      </c>
      <c r="F205" t="s">
        <v>1058</v>
      </c>
      <c r="G205" t="s">
        <v>1047</v>
      </c>
      <c r="H205" t="s">
        <v>1045</v>
      </c>
      <c r="I205" s="93" t="str">
        <f>VLOOKUP(B205,'Beynon 2023'!$B$88:$R$336,15,FALSE)</f>
        <v/>
      </c>
      <c r="J205" s="36">
        <f>IF(H205="Yes",C205/1000*'Preliminary results'!$D$46*Inflation!$D$7)</f>
        <v>5.4580097126992033E-5</v>
      </c>
      <c r="K205" s="36">
        <f>IF(H205="Yes",C205/1000*'Preliminary results'!$E$46*Inflation!$D$7)</f>
        <v>1.7597258865683471E-3</v>
      </c>
      <c r="L205" s="36">
        <f>IF(H205="Yes",C205/1000*'Preliminary results'!$F$46*Inflation!$D$7)</f>
        <v>7.4248960963597425E-3</v>
      </c>
      <c r="M205" s="150">
        <f>IF(H205="Yes",C205/1000*'Preliminary results'!$G$46*Inflation!$D$7)</f>
        <v>1.2700257422003911E-2</v>
      </c>
      <c r="N205" s="151">
        <f t="shared" si="64"/>
        <v>0</v>
      </c>
      <c r="O205" s="151">
        <f t="shared" si="52"/>
        <v>0</v>
      </c>
      <c r="P205" s="151">
        <f t="shared" si="53"/>
        <v>0</v>
      </c>
      <c r="Q205" s="151">
        <f t="shared" si="54"/>
        <v>0</v>
      </c>
      <c r="R205" s="151">
        <f t="shared" si="55"/>
        <v>5.4580097126992033E-5</v>
      </c>
      <c r="S205" s="151">
        <f t="shared" si="56"/>
        <v>1.7597258865683471E-3</v>
      </c>
      <c r="T205" s="151">
        <f t="shared" si="57"/>
        <v>7.4248960963597425E-3</v>
      </c>
      <c r="U205" s="150" t="b">
        <f>IF(G205="Yes",C205/1000*'Preliminary results'!$D$46*Inflation!$D$7)</f>
        <v>0</v>
      </c>
      <c r="V205" s="150" t="b">
        <f>IF(G205="Yes",C205/1000*'Preliminary results'!$E$46*Inflation!$D$7)</f>
        <v>0</v>
      </c>
      <c r="W205" s="150" t="b">
        <f>IF(G205="Yes",C205/1000*'Preliminary results'!$F$46*Inflation!$D$7)</f>
        <v>0</v>
      </c>
      <c r="X205" s="151">
        <f t="shared" si="58"/>
        <v>0</v>
      </c>
      <c r="Y205" s="151">
        <f t="shared" si="59"/>
        <v>0</v>
      </c>
      <c r="Z205" s="151">
        <f t="shared" si="60"/>
        <v>0</v>
      </c>
      <c r="AA205" s="151">
        <f t="shared" si="61"/>
        <v>0</v>
      </c>
      <c r="AB205" s="151">
        <f t="shared" si="62"/>
        <v>0</v>
      </c>
      <c r="AC205" s="151">
        <f t="shared" si="63"/>
        <v>0</v>
      </c>
    </row>
    <row r="206" spans="1:29" hidden="1" x14ac:dyDescent="0.3">
      <c r="A206" t="s">
        <v>603</v>
      </c>
      <c r="B206" t="s">
        <v>604</v>
      </c>
      <c r="C206" s="90">
        <v>1597293.2292869999</v>
      </c>
      <c r="D206" s="37">
        <f t="shared" si="51"/>
        <v>1.3634833951684688E-2</v>
      </c>
      <c r="E206" t="s">
        <v>1082</v>
      </c>
      <c r="F206" t="s">
        <v>1046</v>
      </c>
      <c r="G206" t="s">
        <v>1047</v>
      </c>
      <c r="H206" t="s">
        <v>1047</v>
      </c>
      <c r="I206" s="45">
        <f>VLOOKUP(E206,'Beynon 2023'!$B$88:$R$336,15,FALSE)</f>
        <v>3.2730978439065896E-3</v>
      </c>
      <c r="J206" s="36" t="b">
        <f>IF(H206="Yes",C206/1000*'Preliminary results'!$D$46*Inflation!$D$7)</f>
        <v>0</v>
      </c>
      <c r="K206" s="36" t="b">
        <f>IF(H206="Yes",C206/1000*'Preliminary results'!$E$46*Inflation!$D$7)</f>
        <v>0</v>
      </c>
      <c r="L206" s="36" t="b">
        <f>IF(H206="Yes",C206/1000*'Preliminary results'!$F$46*Inflation!$D$7)</f>
        <v>0</v>
      </c>
      <c r="M206" s="150" t="b">
        <f>IF(H206="Yes",C206/1000*'Preliminary results'!$G$46*Inflation!$D$7)</f>
        <v>0</v>
      </c>
      <c r="N206" s="151">
        <f t="shared" si="64"/>
        <v>1.3855758898047091E-2</v>
      </c>
      <c r="O206" s="151">
        <f t="shared" si="52"/>
        <v>0.44672580105917659</v>
      </c>
      <c r="P206" s="151">
        <f t="shared" si="53"/>
        <v>1.8848916650852681</v>
      </c>
      <c r="Q206" s="151">
        <f t="shared" si="54"/>
        <v>3.224100249821547</v>
      </c>
      <c r="R206" s="151">
        <f t="shared" si="55"/>
        <v>-1.3855758898047091E-2</v>
      </c>
      <c r="S206" s="151">
        <f t="shared" si="56"/>
        <v>-0.44672580105917659</v>
      </c>
      <c r="T206" s="151">
        <f t="shared" si="57"/>
        <v>-1.8848916650852681</v>
      </c>
      <c r="U206" s="150" t="b">
        <f>IF(G206="Yes",C206/1000*'Preliminary results'!$D$46*Inflation!$D$7)</f>
        <v>0</v>
      </c>
      <c r="V206" s="150" t="b">
        <f>IF(G206="Yes",C206/1000*'Preliminary results'!$E$46*Inflation!$D$7)</f>
        <v>0</v>
      </c>
      <c r="W206" s="150" t="b">
        <f>IF(G206="Yes",C206/1000*'Preliminary results'!$F$46*Inflation!$D$7)</f>
        <v>0</v>
      </c>
      <c r="X206" s="151">
        <f t="shared" si="58"/>
        <v>0.1256759938004802</v>
      </c>
      <c r="Y206" s="151">
        <f t="shared" si="59"/>
        <v>4.0519403821569595</v>
      </c>
      <c r="Z206" s="151">
        <f t="shared" si="60"/>
        <v>17.096546999617658</v>
      </c>
      <c r="AA206" s="151">
        <f t="shared" si="61"/>
        <v>-0.1256759938004802</v>
      </c>
      <c r="AB206" s="151">
        <f t="shared" si="62"/>
        <v>-4.0519403821569595</v>
      </c>
      <c r="AC206" s="151">
        <f t="shared" si="63"/>
        <v>-17.096546999617658</v>
      </c>
    </row>
    <row r="207" spans="1:29" hidden="1" x14ac:dyDescent="0.3">
      <c r="A207" t="s">
        <v>748</v>
      </c>
      <c r="B207" t="s">
        <v>749</v>
      </c>
      <c r="C207" s="90">
        <v>61985.829288149587</v>
      </c>
      <c r="D207" s="37">
        <f t="shared" si="51"/>
        <v>5.2912419223028872E-4</v>
      </c>
      <c r="E207" t="s">
        <v>749</v>
      </c>
      <c r="F207" t="s">
        <v>1048</v>
      </c>
      <c r="G207" t="s">
        <v>1045</v>
      </c>
      <c r="H207" t="s">
        <v>1045</v>
      </c>
      <c r="I207" s="93" t="str">
        <f>VLOOKUP(B207,'Beynon 2023'!$B$88:$R$336,15,FALSE)</f>
        <v/>
      </c>
      <c r="J207" s="36">
        <f>IF(H207="Yes",C207/1000*'Preliminary results'!$D$46*Inflation!$D$7)</f>
        <v>5.8996720477524314E-2</v>
      </c>
      <c r="K207" s="36">
        <f>IF(H207="Yes",C207/1000*'Preliminary results'!$E$46*Inflation!$D$7)</f>
        <v>1.9021229662780184</v>
      </c>
      <c r="L207" s="36">
        <f>IF(H207="Yes",C207/1000*'Preliminary results'!$F$46*Inflation!$D$7)</f>
        <v>8.0257189457247531</v>
      </c>
      <c r="M207" s="150">
        <f>IF(H207="Yes",C207/1000*'Preliminary results'!$G$46*Inflation!$D$7)</f>
        <v>13.727962692613506</v>
      </c>
      <c r="N207" s="151">
        <f t="shared" si="64"/>
        <v>0</v>
      </c>
      <c r="O207" s="151">
        <f t="shared" si="52"/>
        <v>0</v>
      </c>
      <c r="P207" s="151">
        <f t="shared" si="53"/>
        <v>0</v>
      </c>
      <c r="Q207" s="151">
        <f t="shared" si="54"/>
        <v>0</v>
      </c>
      <c r="R207" s="151">
        <f t="shared" si="55"/>
        <v>5.8996720477524314E-2</v>
      </c>
      <c r="S207" s="151">
        <f t="shared" si="56"/>
        <v>1.9021229662780184</v>
      </c>
      <c r="T207" s="151">
        <f t="shared" si="57"/>
        <v>8.0257189457247531</v>
      </c>
      <c r="U207" s="150">
        <f>IF(G207="Yes",C207/1000*'Preliminary results'!$D$46*Inflation!$D$7)</f>
        <v>5.8996720477524314E-2</v>
      </c>
      <c r="V207" s="150">
        <f>IF(G207="Yes",C207/1000*'Preliminary results'!$E$46*Inflation!$D$7)</f>
        <v>1.9021229662780184</v>
      </c>
      <c r="W207" s="150">
        <f>IF(G207="Yes",C207/1000*'Preliminary results'!$F$46*Inflation!$D$7)</f>
        <v>8.0257189457247531</v>
      </c>
      <c r="X207" s="151">
        <f t="shared" si="58"/>
        <v>0</v>
      </c>
      <c r="Y207" s="151">
        <f t="shared" si="59"/>
        <v>0</v>
      </c>
      <c r="Z207" s="151">
        <f t="shared" si="60"/>
        <v>0</v>
      </c>
      <c r="AA207" s="151">
        <f t="shared" si="61"/>
        <v>5.8996720477524314E-2</v>
      </c>
      <c r="AB207" s="151">
        <f t="shared" si="62"/>
        <v>1.9021229662780184</v>
      </c>
      <c r="AC207" s="151">
        <f t="shared" si="63"/>
        <v>8.0257189457247531</v>
      </c>
    </row>
    <row r="208" spans="1:29" hidden="1" x14ac:dyDescent="0.3">
      <c r="A208" t="s">
        <v>682</v>
      </c>
      <c r="B208" t="s">
        <v>683</v>
      </c>
      <c r="C208" s="90">
        <v>214233.31278439701</v>
      </c>
      <c r="D208" s="37">
        <f t="shared" si="51"/>
        <v>1.8287410183529509E-3</v>
      </c>
      <c r="E208" t="s">
        <v>683</v>
      </c>
      <c r="F208" t="s">
        <v>1053</v>
      </c>
      <c r="G208" t="s">
        <v>1047</v>
      </c>
      <c r="H208" t="s">
        <v>1047</v>
      </c>
      <c r="I208" s="45" t="str">
        <f>VLOOKUP(B208,'Beynon 2023'!$B$88:$R$336,15,FALSE)</f>
        <v/>
      </c>
      <c r="J208" s="36" t="b">
        <f>IF(H208="Yes",C208/1000*'Preliminary results'!$D$46*Inflation!$D$7)</f>
        <v>0</v>
      </c>
      <c r="K208" s="36" t="b">
        <f>IF(H208="Yes",C208/1000*'Preliminary results'!$E$46*Inflation!$D$7)</f>
        <v>0</v>
      </c>
      <c r="L208" s="36" t="b">
        <f>IF(H208="Yes",C208/1000*'Preliminary results'!$F$46*Inflation!$D$7)</f>
        <v>0</v>
      </c>
      <c r="M208" s="150" t="b">
        <f>IF(H208="Yes",C208/1000*'Preliminary results'!$G$46*Inflation!$D$7)</f>
        <v>0</v>
      </c>
      <c r="N208" s="151">
        <f t="shared" si="64"/>
        <v>0</v>
      </c>
      <c r="O208" s="151">
        <f t="shared" si="52"/>
        <v>0</v>
      </c>
      <c r="P208" s="151">
        <f t="shared" si="53"/>
        <v>0</v>
      </c>
      <c r="Q208" s="151">
        <f t="shared" si="54"/>
        <v>0</v>
      </c>
      <c r="R208" s="151">
        <f t="shared" si="55"/>
        <v>0</v>
      </c>
      <c r="S208" s="151">
        <f t="shared" si="56"/>
        <v>0</v>
      </c>
      <c r="T208" s="151">
        <f t="shared" si="57"/>
        <v>0</v>
      </c>
      <c r="U208" s="150" t="b">
        <f>IF(G208="Yes",C208/1000*'Preliminary results'!$D$46*Inflation!$D$7)</f>
        <v>0</v>
      </c>
      <c r="V208" s="150" t="b">
        <f>IF(G208="Yes",C208/1000*'Preliminary results'!$E$46*Inflation!$D$7)</f>
        <v>0</v>
      </c>
      <c r="W208" s="150" t="b">
        <f>IF(G208="Yes",C208/1000*'Preliminary results'!$F$46*Inflation!$D$7)</f>
        <v>0</v>
      </c>
      <c r="X208" s="151">
        <f t="shared" si="58"/>
        <v>0</v>
      </c>
      <c r="Y208" s="151">
        <f t="shared" si="59"/>
        <v>0</v>
      </c>
      <c r="Z208" s="151">
        <f t="shared" si="60"/>
        <v>0</v>
      </c>
      <c r="AA208" s="151">
        <f t="shared" si="61"/>
        <v>0</v>
      </c>
      <c r="AB208" s="151">
        <f t="shared" si="62"/>
        <v>0</v>
      </c>
      <c r="AC208" s="151">
        <f t="shared" si="63"/>
        <v>0</v>
      </c>
    </row>
    <row r="209" spans="1:29" hidden="1" x14ac:dyDescent="0.3">
      <c r="A209" t="s">
        <v>630</v>
      </c>
      <c r="B209" t="s">
        <v>631</v>
      </c>
      <c r="C209" s="90">
        <v>552324.91909587197</v>
      </c>
      <c r="D209" s="37">
        <f t="shared" si="51"/>
        <v>4.7147627130502022E-3</v>
      </c>
      <c r="E209" t="s">
        <v>631</v>
      </c>
      <c r="F209" t="s">
        <v>1056</v>
      </c>
      <c r="G209" t="s">
        <v>1045</v>
      </c>
      <c r="H209" t="s">
        <v>1047</v>
      </c>
      <c r="I209" s="45">
        <f>VLOOKUP(B209,'Beynon 2023'!$B$88:$R$336,15,FALSE)</f>
        <v>6.0987690089690178E-3</v>
      </c>
      <c r="J209" s="36" t="b">
        <f>IF(H209="Yes",C209/1000*'Preliminary results'!$D$46*Inflation!$D$7)</f>
        <v>0</v>
      </c>
      <c r="K209" s="36" t="b">
        <f>IF(H209="Yes",C209/1000*'Preliminary results'!$E$46*Inflation!$D$7)</f>
        <v>0</v>
      </c>
      <c r="L209" s="36" t="b">
        <f>IF(H209="Yes",C209/1000*'Preliminary results'!$F$46*Inflation!$D$7)</f>
        <v>0</v>
      </c>
      <c r="M209" s="150" t="b">
        <f>IF(H209="Yes",C209/1000*'Preliminary results'!$G$46*Inflation!$D$7)</f>
        <v>0</v>
      </c>
      <c r="N209" s="151">
        <f t="shared" si="64"/>
        <v>2.58174600922709E-2</v>
      </c>
      <c r="O209" s="151">
        <f t="shared" si="52"/>
        <v>0.83238497623241803</v>
      </c>
      <c r="P209" s="151">
        <f t="shared" si="53"/>
        <v>3.5121219775592234</v>
      </c>
      <c r="Q209" s="151">
        <f t="shared" si="54"/>
        <v>6.0074717051391877</v>
      </c>
      <c r="R209" s="151">
        <f t="shared" si="55"/>
        <v>-2.58174600922709E-2</v>
      </c>
      <c r="S209" s="151">
        <f t="shared" si="56"/>
        <v>-0.83238497623241803</v>
      </c>
      <c r="T209" s="151">
        <f t="shared" si="57"/>
        <v>-3.5121219775592234</v>
      </c>
      <c r="U209" s="150">
        <f>IF(G209="Yes",C209/1000*'Preliminary results'!$D$46*Inflation!$D$7)</f>
        <v>0.52569045601040376</v>
      </c>
      <c r="V209" s="150">
        <f>IF(G209="Yes",C209/1000*'Preliminary results'!$E$46*Inflation!$D$7)</f>
        <v>16.948872436248227</v>
      </c>
      <c r="W209" s="150">
        <f>IF(G209="Yes",C209/1000*'Preliminary results'!$F$46*Inflation!$D$7)</f>
        <v>71.513192906997091</v>
      </c>
      <c r="X209" s="151">
        <f t="shared" si="58"/>
        <v>0.23417230181146553</v>
      </c>
      <c r="Y209" s="151">
        <f t="shared" si="59"/>
        <v>7.5499876897643361</v>
      </c>
      <c r="Z209" s="151">
        <f t="shared" si="60"/>
        <v>31.856026301127006</v>
      </c>
      <c r="AA209" s="151">
        <f t="shared" si="61"/>
        <v>0.29151815419893823</v>
      </c>
      <c r="AB209" s="151">
        <f t="shared" si="62"/>
        <v>9.3988847464838905</v>
      </c>
      <c r="AC209" s="151">
        <f t="shared" si="63"/>
        <v>39.657166605870088</v>
      </c>
    </row>
    <row r="210" spans="1:29" hidden="1" x14ac:dyDescent="0.3">
      <c r="A210" t="s">
        <v>582</v>
      </c>
      <c r="B210" t="s">
        <v>317</v>
      </c>
      <c r="C210" s="90">
        <v>4002587.5418460099</v>
      </c>
      <c r="D210" s="37">
        <f t="shared" si="51"/>
        <v>3.4166936608448009E-2</v>
      </c>
      <c r="E210" t="s">
        <v>317</v>
      </c>
      <c r="F210" t="s">
        <v>1046</v>
      </c>
      <c r="G210" t="s">
        <v>1047</v>
      </c>
      <c r="H210" t="s">
        <v>1047</v>
      </c>
      <c r="I210" s="45">
        <f>VLOOKUP(B210,'Beynon 2023'!$B$88:$R$336,15,FALSE)</f>
        <v>2.9424545506581197E-2</v>
      </c>
      <c r="J210" s="36" t="b">
        <f>IF(H210="Yes",C210/1000*'Preliminary results'!$D$46*Inflation!$D$7)</f>
        <v>0</v>
      </c>
      <c r="K210" s="36" t="b">
        <f>IF(H210="Yes",C210/1000*'Preliminary results'!$E$46*Inflation!$D$7)</f>
        <v>0</v>
      </c>
      <c r="L210" s="36" t="b">
        <f>IF(H210="Yes",C210/1000*'Preliminary results'!$F$46*Inflation!$D$7)</f>
        <v>0</v>
      </c>
      <c r="M210" s="150" t="b">
        <f>IF(H210="Yes",C210/1000*'Preliminary results'!$G$46*Inflation!$D$7)</f>
        <v>0</v>
      </c>
      <c r="N210" s="151">
        <f t="shared" si="64"/>
        <v>0.1245607151594333</v>
      </c>
      <c r="O210" s="151">
        <f t="shared" si="52"/>
        <v>4.0159825000956539</v>
      </c>
      <c r="P210" s="151">
        <f t="shared" si="53"/>
        <v>16.944828177846521</v>
      </c>
      <c r="Q210" s="151">
        <f t="shared" si="54"/>
        <v>28.984066179159822</v>
      </c>
      <c r="R210" s="151">
        <f t="shared" si="55"/>
        <v>-0.1245607151594333</v>
      </c>
      <c r="S210" s="151">
        <f t="shared" si="56"/>
        <v>-4.0159825000956539</v>
      </c>
      <c r="T210" s="151">
        <f t="shared" si="57"/>
        <v>-16.944828177846521</v>
      </c>
      <c r="U210" s="150" t="b">
        <f>IF(G210="Yes",C210/1000*'Preliminary results'!$D$46*Inflation!$D$7)</f>
        <v>0</v>
      </c>
      <c r="V210" s="150" t="b">
        <f>IF(G210="Yes",C210/1000*'Preliminary results'!$E$46*Inflation!$D$7)</f>
        <v>0</v>
      </c>
      <c r="W210" s="150" t="b">
        <f>IF(G210="Yes",C210/1000*'Preliminary results'!$F$46*Inflation!$D$7)</f>
        <v>0</v>
      </c>
      <c r="X210" s="151">
        <f t="shared" si="58"/>
        <v>1.1298039884604749</v>
      </c>
      <c r="Y210" s="151">
        <f t="shared" si="59"/>
        <v>36.426196175800619</v>
      </c>
      <c r="Z210" s="151">
        <f t="shared" si="60"/>
        <v>153.6948020457682</v>
      </c>
      <c r="AA210" s="151">
        <f t="shared" si="61"/>
        <v>-1.1298039884604749</v>
      </c>
      <c r="AB210" s="151">
        <f t="shared" si="62"/>
        <v>-36.426196175800619</v>
      </c>
      <c r="AC210" s="151">
        <f t="shared" si="63"/>
        <v>-153.6948020457682</v>
      </c>
    </row>
    <row r="211" spans="1:29" hidden="1" x14ac:dyDescent="0.3">
      <c r="A211" t="s">
        <v>573</v>
      </c>
      <c r="B211" t="s">
        <v>574</v>
      </c>
      <c r="C211" s="90">
        <v>30769700</v>
      </c>
      <c r="D211" s="37">
        <f t="shared" si="51"/>
        <v>0.26265668854705321</v>
      </c>
      <c r="E211" t="s">
        <v>1083</v>
      </c>
      <c r="F211" t="s">
        <v>861</v>
      </c>
      <c r="G211" t="s">
        <v>1047</v>
      </c>
      <c r="H211" t="s">
        <v>1047</v>
      </c>
      <c r="I211" s="45">
        <f>VLOOKUP(B211,'Beynon 2023'!$B$88:$R$336,15,FALSE)</f>
        <v>0.44369475213561244</v>
      </c>
      <c r="J211" s="36" t="b">
        <f>IF(H211="Yes",C211/1000*'Preliminary results'!$D$46*Inflation!$D$7)</f>
        <v>0</v>
      </c>
      <c r="K211" s="36" t="b">
        <f>IF(H211="Yes",C211/1000*'Preliminary results'!$E$46*Inflation!$D$7)</f>
        <v>0</v>
      </c>
      <c r="L211" s="36" t="b">
        <f>IF(H211="Yes",C211/1000*'Preliminary results'!$F$46*Inflation!$D$7)</f>
        <v>0</v>
      </c>
      <c r="M211" s="150" t="b">
        <f>IF(H211="Yes",C211/1000*'Preliminary results'!$G$46*Inflation!$D$7)</f>
        <v>0</v>
      </c>
      <c r="N211" s="151">
        <f t="shared" si="64"/>
        <v>1.8782596192059511</v>
      </c>
      <c r="O211" s="151">
        <f t="shared" si="52"/>
        <v>60.557277241966545</v>
      </c>
      <c r="P211" s="151">
        <f t="shared" si="53"/>
        <v>255.51223337225642</v>
      </c>
      <c r="Q211" s="151">
        <f t="shared" si="54"/>
        <v>437.05273396213289</v>
      </c>
      <c r="R211" s="151">
        <f t="shared" si="55"/>
        <v>-1.8782596192059511</v>
      </c>
      <c r="S211" s="151">
        <f t="shared" si="56"/>
        <v>-60.557277241966545</v>
      </c>
      <c r="T211" s="151">
        <f t="shared" si="57"/>
        <v>-255.51223337225642</v>
      </c>
      <c r="U211" s="150" t="b">
        <f>IF(G211="Yes",C211/1000*'Preliminary results'!$D$46*Inflation!$D$7)</f>
        <v>0</v>
      </c>
      <c r="V211" s="150" t="b">
        <f>IF(G211="Yes",C211/1000*'Preliminary results'!$E$46*Inflation!$D$7)</f>
        <v>0</v>
      </c>
      <c r="W211" s="150" t="b">
        <f>IF(G211="Yes",C211/1000*'Preliminary results'!$F$46*Inflation!$D$7)</f>
        <v>0</v>
      </c>
      <c r="X211" s="151">
        <f t="shared" si="58"/>
        <v>17.036392304162419</v>
      </c>
      <c r="Y211" s="151">
        <f t="shared" si="59"/>
        <v>549.2731257259411</v>
      </c>
      <c r="Z211" s="151">
        <f t="shared" si="60"/>
        <v>2317.5745257637614</v>
      </c>
      <c r="AA211" s="151">
        <f t="shared" si="61"/>
        <v>-17.036392304162419</v>
      </c>
      <c r="AB211" s="151">
        <f t="shared" si="62"/>
        <v>-549.2731257259411</v>
      </c>
      <c r="AC211" s="151">
        <f t="shared" si="63"/>
        <v>-2317.5745257637614</v>
      </c>
    </row>
    <row r="212" spans="1:29" hidden="1" x14ac:dyDescent="0.3">
      <c r="A212" t="s">
        <v>738</v>
      </c>
      <c r="B212" t="s">
        <v>739</v>
      </c>
      <c r="C212" s="90">
        <v>85347.6962776859</v>
      </c>
      <c r="D212" s="37">
        <f t="shared" si="51"/>
        <v>7.2854604625383534E-4</v>
      </c>
      <c r="E212" t="s">
        <v>739</v>
      </c>
      <c r="F212" t="s">
        <v>1052</v>
      </c>
      <c r="G212" t="s">
        <v>1045</v>
      </c>
      <c r="H212" t="s">
        <v>1047</v>
      </c>
      <c r="I212" s="45">
        <f>VLOOKUP(B212,'Beynon 2023'!$B$88:$R$336,15,FALSE)</f>
        <v>5.5303723561854468E-4</v>
      </c>
      <c r="J212" s="36" t="b">
        <f>IF(H212="Yes",C212/1000*'Preliminary results'!$D$46*Inflation!$D$7)</f>
        <v>0</v>
      </c>
      <c r="K212" s="36" t="b">
        <f>IF(H212="Yes",C212/1000*'Preliminary results'!$E$46*Inflation!$D$7)</f>
        <v>0</v>
      </c>
      <c r="L212" s="36" t="b">
        <f>IF(H212="Yes",C212/1000*'Preliminary results'!$F$46*Inflation!$D$7)</f>
        <v>0</v>
      </c>
      <c r="M212" s="150" t="b">
        <f>IF(H212="Yes",C212/1000*'Preliminary results'!$G$46*Inflation!$D$7)</f>
        <v>0</v>
      </c>
      <c r="N212" s="151">
        <f t="shared" si="64"/>
        <v>2.3411309297210556E-3</v>
      </c>
      <c r="O212" s="151">
        <f t="shared" si="52"/>
        <v>7.5480787278382894E-2</v>
      </c>
      <c r="P212" s="151">
        <f t="shared" si="53"/>
        <v>0.31847971726229329</v>
      </c>
      <c r="Q212" s="151">
        <f t="shared" si="54"/>
        <v>0.54475838320501302</v>
      </c>
      <c r="R212" s="151">
        <f t="shared" si="55"/>
        <v>-2.3411309297210556E-3</v>
      </c>
      <c r="S212" s="151">
        <f t="shared" si="56"/>
        <v>-7.5480787278382894E-2</v>
      </c>
      <c r="T212" s="151">
        <f t="shared" si="57"/>
        <v>-0.31847971726229329</v>
      </c>
      <c r="U212" s="150">
        <f>IF(G212="Yes",C212/1000*'Preliminary results'!$D$46*Inflation!$D$7)</f>
        <v>8.1232020907364227E-2</v>
      </c>
      <c r="V212" s="150">
        <f>IF(G212="Yes",C212/1000*'Preliminary results'!$E$46*Inflation!$D$7)</f>
        <v>2.6190149437872194</v>
      </c>
      <c r="W212" s="150">
        <f>IF(G212="Yes",C212/1000*'Preliminary results'!$F$46*Inflation!$D$7)</f>
        <v>11.050535757222484</v>
      </c>
      <c r="X212" s="151">
        <f t="shared" si="58"/>
        <v>2.1234777421769758E-2</v>
      </c>
      <c r="Y212" s="151">
        <f t="shared" si="59"/>
        <v>0.68463395068100086</v>
      </c>
      <c r="Z212" s="151">
        <f t="shared" si="60"/>
        <v>2.8887089669174304</v>
      </c>
      <c r="AA212" s="151">
        <f t="shared" si="61"/>
        <v>5.9997243485594473E-2</v>
      </c>
      <c r="AB212" s="151">
        <f t="shared" si="62"/>
        <v>1.9343809931062186</v>
      </c>
      <c r="AC212" s="151">
        <f t="shared" si="63"/>
        <v>8.161826790305053</v>
      </c>
    </row>
    <row r="213" spans="1:29" hidden="1" x14ac:dyDescent="0.3">
      <c r="A213" t="s">
        <v>691</v>
      </c>
      <c r="B213" t="s">
        <v>692</v>
      </c>
      <c r="C213" s="90">
        <v>147038.08112940501</v>
      </c>
      <c r="D213" s="37">
        <f t="shared" si="51"/>
        <v>1.2551482620812835E-3</v>
      </c>
      <c r="E213" t="s">
        <v>692</v>
      </c>
      <c r="F213" t="s">
        <v>1053</v>
      </c>
      <c r="G213" t="s">
        <v>1047</v>
      </c>
      <c r="H213" t="s">
        <v>1047</v>
      </c>
      <c r="I213" s="93" t="str">
        <f>VLOOKUP(B213,'Beynon 2023'!$B$88:$R$336,15,FALSE)</f>
        <v/>
      </c>
      <c r="J213" s="36" t="b">
        <f>IF(H213="Yes",C213/1000*'Preliminary results'!$D$46*Inflation!$D$7)</f>
        <v>0</v>
      </c>
      <c r="K213" s="36" t="b">
        <f>IF(H213="Yes",C213/1000*'Preliminary results'!$E$46*Inflation!$D$7)</f>
        <v>0</v>
      </c>
      <c r="L213" s="36" t="b">
        <f>IF(H213="Yes",C213/1000*'Preliminary results'!$F$46*Inflation!$D$7)</f>
        <v>0</v>
      </c>
      <c r="M213" s="150" t="b">
        <f>IF(H213="Yes",C213/1000*'Preliminary results'!$G$46*Inflation!$D$7)</f>
        <v>0</v>
      </c>
      <c r="N213" s="151">
        <f t="shared" si="64"/>
        <v>0</v>
      </c>
      <c r="O213" s="151">
        <f t="shared" si="52"/>
        <v>0</v>
      </c>
      <c r="P213" s="151">
        <f t="shared" si="53"/>
        <v>0</v>
      </c>
      <c r="Q213" s="151">
        <f t="shared" si="54"/>
        <v>0</v>
      </c>
      <c r="R213" s="151">
        <f t="shared" si="55"/>
        <v>0</v>
      </c>
      <c r="S213" s="151">
        <f t="shared" si="56"/>
        <v>0</v>
      </c>
      <c r="T213" s="151">
        <f t="shared" si="57"/>
        <v>0</v>
      </c>
      <c r="U213" s="150" t="b">
        <f>IF(G213="Yes",C213/1000*'Preliminary results'!$D$46*Inflation!$D$7)</f>
        <v>0</v>
      </c>
      <c r="V213" s="150" t="b">
        <f>IF(G213="Yes",C213/1000*'Preliminary results'!$E$46*Inflation!$D$7)</f>
        <v>0</v>
      </c>
      <c r="W213" s="150" t="b">
        <f>IF(G213="Yes",C213/1000*'Preliminary results'!$F$46*Inflation!$D$7)</f>
        <v>0</v>
      </c>
      <c r="X213" s="151">
        <f t="shared" si="58"/>
        <v>0</v>
      </c>
      <c r="Y213" s="151">
        <f t="shared" si="59"/>
        <v>0</v>
      </c>
      <c r="Z213" s="151">
        <f t="shared" si="60"/>
        <v>0</v>
      </c>
      <c r="AA213" s="151">
        <f t="shared" si="61"/>
        <v>0</v>
      </c>
      <c r="AB213" s="151">
        <f t="shared" si="62"/>
        <v>0</v>
      </c>
      <c r="AC213" s="151">
        <f t="shared" si="63"/>
        <v>0</v>
      </c>
    </row>
    <row r="214" spans="1:29" hidden="1" x14ac:dyDescent="0.3">
      <c r="A214" t="s">
        <v>957</v>
      </c>
      <c r="B214" t="s">
        <v>958</v>
      </c>
      <c r="C214" s="90">
        <v>1353.6588406399301</v>
      </c>
      <c r="D214" s="37">
        <f t="shared" si="51"/>
        <v>1.1555119110843695E-5</v>
      </c>
      <c r="E214" t="s">
        <v>1067</v>
      </c>
      <c r="F214" t="s">
        <v>1058</v>
      </c>
      <c r="G214" t="s">
        <v>1045</v>
      </c>
      <c r="H214" t="s">
        <v>1045</v>
      </c>
      <c r="I214" s="93" t="str">
        <f>VLOOKUP(B214,'Beynon 2023'!$B$88:$R$336,15,FALSE)</f>
        <v/>
      </c>
      <c r="J214" s="36">
        <f>IF(H214="Yes",C214/1000*'Preliminary results'!$D$46*Inflation!$D$7)</f>
        <v>1.2883820892661906E-3</v>
      </c>
      <c r="K214" s="36">
        <f>IF(H214="Yes",C214/1000*'Preliminary results'!$E$46*Inflation!$D$7)</f>
        <v>4.1538938800303196E-2</v>
      </c>
      <c r="L214" s="36">
        <f>IF(H214="Yes",C214/1000*'Preliminary results'!$F$46*Inflation!$D$7)</f>
        <v>0.17526724298336815</v>
      </c>
      <c r="M214" s="150">
        <f>IF(H214="Yes",C214/1000*'Preliminary results'!$G$46*Inflation!$D$7)</f>
        <v>0.29979397349748926</v>
      </c>
      <c r="N214" s="151">
        <f t="shared" si="64"/>
        <v>0</v>
      </c>
      <c r="O214" s="151">
        <f t="shared" si="52"/>
        <v>0</v>
      </c>
      <c r="P214" s="151">
        <f t="shared" si="53"/>
        <v>0</v>
      </c>
      <c r="Q214" s="151">
        <f t="shared" si="54"/>
        <v>0</v>
      </c>
      <c r="R214" s="151">
        <f t="shared" si="55"/>
        <v>1.2883820892661906E-3</v>
      </c>
      <c r="S214" s="151">
        <f t="shared" si="56"/>
        <v>4.1538938800303196E-2</v>
      </c>
      <c r="T214" s="151">
        <f t="shared" si="57"/>
        <v>0.17526724298336815</v>
      </c>
      <c r="U214" s="150">
        <f>IF(G214="Yes",C214/1000*'Preliminary results'!$D$46*Inflation!$D$7)</f>
        <v>1.2883820892661906E-3</v>
      </c>
      <c r="V214" s="150">
        <f>IF(G214="Yes",C214/1000*'Preliminary results'!$E$46*Inflation!$D$7)</f>
        <v>4.1538938800303196E-2</v>
      </c>
      <c r="W214" s="150">
        <f>IF(G214="Yes",C214/1000*'Preliminary results'!$F$46*Inflation!$D$7)</f>
        <v>0.17526724298336815</v>
      </c>
      <c r="X214" s="151">
        <f t="shared" si="58"/>
        <v>0</v>
      </c>
      <c r="Y214" s="151">
        <f t="shared" si="59"/>
        <v>0</v>
      </c>
      <c r="Z214" s="151">
        <f t="shared" si="60"/>
        <v>0</v>
      </c>
      <c r="AA214" s="151">
        <f t="shared" si="61"/>
        <v>1.2883820892661906E-3</v>
      </c>
      <c r="AB214" s="151">
        <f t="shared" si="62"/>
        <v>4.1538938800303196E-2</v>
      </c>
      <c r="AC214" s="151">
        <f t="shared" si="63"/>
        <v>0.17526724298336815</v>
      </c>
    </row>
    <row r="215" spans="1:29" hidden="1" x14ac:dyDescent="0.3">
      <c r="A215" t="s">
        <v>725</v>
      </c>
      <c r="B215" t="s">
        <v>726</v>
      </c>
      <c r="C215" s="90">
        <v>99661.2441556306</v>
      </c>
      <c r="D215" s="37">
        <f t="shared" si="51"/>
        <v>8.5072952828260564E-4</v>
      </c>
      <c r="E215" t="s">
        <v>1084</v>
      </c>
      <c r="F215" t="s">
        <v>1052</v>
      </c>
      <c r="G215" t="s">
        <v>1045</v>
      </c>
      <c r="H215" t="s">
        <v>1047</v>
      </c>
      <c r="I215" s="45">
        <f>VLOOKUP(E215,'Beynon 2023'!$B$88:$R$336,15,FALSE)</f>
        <v>3.2589312331123741E-3</v>
      </c>
      <c r="J215" s="36" t="b">
        <f>IF(H215="Yes",C215/1000*'Preliminary results'!$D$46*Inflation!$D$7)</f>
        <v>0</v>
      </c>
      <c r="K215" s="36" t="b">
        <f>IF(H215="Yes",C215/1000*'Preliminary results'!$E$46*Inflation!$D$7)</f>
        <v>0</v>
      </c>
      <c r="L215" s="36" t="b">
        <f>IF(H215="Yes",C215/1000*'Preliminary results'!$F$46*Inflation!$D$7)</f>
        <v>0</v>
      </c>
      <c r="M215" s="150" t="b">
        <f>IF(H215="Yes",C215/1000*'Preliminary results'!$G$46*Inflation!$D$7)</f>
        <v>0</v>
      </c>
      <c r="N215" s="151">
        <f t="shared" si="64"/>
        <v>1.3795788450193677E-2</v>
      </c>
      <c r="O215" s="151">
        <f t="shared" si="52"/>
        <v>0.44479228398845377</v>
      </c>
      <c r="P215" s="151">
        <f t="shared" si="53"/>
        <v>1.8767334834842397</v>
      </c>
      <c r="Q215" s="151">
        <f t="shared" si="54"/>
        <v>3.2101457102449849</v>
      </c>
      <c r="R215" s="151">
        <f t="shared" si="55"/>
        <v>-1.3795788450193677E-2</v>
      </c>
      <c r="S215" s="151">
        <f t="shared" si="56"/>
        <v>-0.44479228398845377</v>
      </c>
      <c r="T215" s="151">
        <f t="shared" si="57"/>
        <v>-1.8767334834842397</v>
      </c>
      <c r="U215" s="150">
        <f>IF(G215="Yes",C215/1000*'Preliminary results'!$D$46*Inflation!$D$7)</f>
        <v>9.4855334379080697E-2</v>
      </c>
      <c r="V215" s="150">
        <f>IF(G215="Yes",C215/1000*'Preliminary results'!$E$46*Inflation!$D$7)</f>
        <v>3.0582464336329749</v>
      </c>
      <c r="W215" s="150">
        <f>IF(G215="Yes",C215/1000*'Preliminary results'!$F$46*Inflation!$D$7)</f>
        <v>12.903806314441939</v>
      </c>
      <c r="X215" s="151">
        <f t="shared" si="58"/>
        <v>0.12513204339775633</v>
      </c>
      <c r="Y215" s="151">
        <f t="shared" si="59"/>
        <v>4.0344027877760746</v>
      </c>
      <c r="Z215" s="151">
        <f t="shared" si="60"/>
        <v>17.022549783885321</v>
      </c>
      <c r="AA215" s="151">
        <f t="shared" si="61"/>
        <v>-3.0276709018675629E-2</v>
      </c>
      <c r="AB215" s="151">
        <f t="shared" si="62"/>
        <v>-0.97615635414309976</v>
      </c>
      <c r="AC215" s="151">
        <f t="shared" si="63"/>
        <v>-4.1187434694433822</v>
      </c>
    </row>
    <row r="216" spans="1:29" hidden="1" x14ac:dyDescent="0.3">
      <c r="A216" t="s">
        <v>634</v>
      </c>
      <c r="B216" t="s">
        <v>635</v>
      </c>
      <c r="C216" s="90">
        <v>514697.21516506502</v>
      </c>
      <c r="D216" s="47">
        <f t="shared" si="51"/>
        <v>4.3935646476776216E-3</v>
      </c>
      <c r="E216" t="s">
        <v>635</v>
      </c>
      <c r="F216" t="s">
        <v>1058</v>
      </c>
      <c r="G216" t="s">
        <v>1045</v>
      </c>
      <c r="H216" t="s">
        <v>1045</v>
      </c>
      <c r="I216" s="45" t="str">
        <f>'Beynon 2023'!P332</f>
        <v/>
      </c>
      <c r="J216" s="36">
        <f>IF(H216="Yes",C216/1000*'Preliminary results'!$D$46*Inflation!$D$7)</f>
        <v>0.48987725230706525</v>
      </c>
      <c r="K216" s="36">
        <f>IF(H216="Yes",C216/1000*'Preliminary results'!$E$46*Inflation!$D$7)</f>
        <v>15.79421304656122</v>
      </c>
      <c r="L216" s="36">
        <f>IF(H216="Yes",C216/1000*'Preliminary results'!$F$46*Inflation!$D$7)</f>
        <v>66.641282991623356</v>
      </c>
      <c r="M216" s="150">
        <f>IF(H216="Yes",C216/1000*'Preliminary results'!$G$46*Inflation!$D$7)</f>
        <v>113.98966907310384</v>
      </c>
      <c r="N216" s="151">
        <f t="shared" si="64"/>
        <v>0</v>
      </c>
      <c r="O216" s="151">
        <f t="shared" si="52"/>
        <v>0</v>
      </c>
      <c r="P216" s="151">
        <f t="shared" si="53"/>
        <v>0</v>
      </c>
      <c r="Q216" s="151">
        <f t="shared" si="54"/>
        <v>0</v>
      </c>
      <c r="R216" s="151">
        <f t="shared" si="55"/>
        <v>0.48987725230706525</v>
      </c>
      <c r="S216" s="151">
        <f t="shared" si="56"/>
        <v>15.79421304656122</v>
      </c>
      <c r="T216" s="151">
        <f t="shared" si="57"/>
        <v>66.641282991623356</v>
      </c>
      <c r="U216" s="150">
        <f>IF(G216="Yes",C216/1000*'Preliminary results'!$D$46*Inflation!$D$7)</f>
        <v>0.48987725230706525</v>
      </c>
      <c r="V216" s="150">
        <f>IF(G216="Yes",C216/1000*'Preliminary results'!$E$46*Inflation!$D$7)</f>
        <v>15.79421304656122</v>
      </c>
      <c r="W216" s="150">
        <f>IF(G216="Yes",C216/1000*'Preliminary results'!$F$46*Inflation!$D$7)</f>
        <v>66.641282991623356</v>
      </c>
      <c r="X216" s="151">
        <f t="shared" si="58"/>
        <v>0</v>
      </c>
      <c r="Y216" s="151">
        <f t="shared" si="59"/>
        <v>0</v>
      </c>
      <c r="Z216" s="151">
        <f t="shared" si="60"/>
        <v>0</v>
      </c>
      <c r="AA216" s="151">
        <f t="shared" si="61"/>
        <v>0.48987725230706525</v>
      </c>
      <c r="AB216" s="151">
        <f t="shared" si="62"/>
        <v>15.79421304656122</v>
      </c>
      <c r="AC216" s="151">
        <f t="shared" si="63"/>
        <v>66.641282991623356</v>
      </c>
    </row>
    <row r="217" spans="1:29" hidden="1" x14ac:dyDescent="0.3">
      <c r="A217" t="s">
        <v>1005</v>
      </c>
      <c r="B217" t="s">
        <v>1006</v>
      </c>
      <c r="C217" s="90">
        <v>0</v>
      </c>
      <c r="D217" s="37">
        <f t="shared" si="51"/>
        <v>0</v>
      </c>
      <c r="E217" t="s">
        <v>1049</v>
      </c>
      <c r="F217" s="8"/>
      <c r="G217" t="s">
        <v>1047</v>
      </c>
      <c r="H217" t="s">
        <v>1047</v>
      </c>
      <c r="I217" t="s">
        <v>1049</v>
      </c>
      <c r="J217" s="36" t="b">
        <f>IF(H217="Yes",C217/1000*'Preliminary results'!$D$46*Inflation!$D$7)</f>
        <v>0</v>
      </c>
      <c r="K217" s="36" t="b">
        <f>IF(H217="Yes",C217/1000*'Preliminary results'!$E$46*Inflation!$D$7)</f>
        <v>0</v>
      </c>
      <c r="L217" s="36" t="b">
        <f>IF(H217="Yes",C217/1000*'Preliminary results'!$F$46*Inflation!$D$7)</f>
        <v>0</v>
      </c>
      <c r="M217" s="150" t="b">
        <f>IF(H217="Yes",C217/1000*'Preliminary results'!$G$46*Inflation!$D$7)</f>
        <v>0</v>
      </c>
      <c r="N217" s="151">
        <f t="shared" si="64"/>
        <v>0</v>
      </c>
      <c r="O217" s="151">
        <f t="shared" si="52"/>
        <v>0</v>
      </c>
      <c r="P217" s="151">
        <f t="shared" si="53"/>
        <v>0</v>
      </c>
      <c r="Q217" s="151">
        <f t="shared" si="54"/>
        <v>0</v>
      </c>
      <c r="R217" s="151">
        <f t="shared" si="55"/>
        <v>0</v>
      </c>
      <c r="S217" s="151">
        <f t="shared" si="56"/>
        <v>0</v>
      </c>
      <c r="T217" s="151">
        <f t="shared" si="57"/>
        <v>0</v>
      </c>
      <c r="U217" s="150" t="b">
        <f>IF(G217="Yes",C217/1000*'Preliminary results'!$D$46*Inflation!$D$7)</f>
        <v>0</v>
      </c>
      <c r="V217" s="150" t="b">
        <f>IF(G217="Yes",C217/1000*'Preliminary results'!$E$46*Inflation!$D$7)</f>
        <v>0</v>
      </c>
      <c r="W217" s="150" t="b">
        <f>IF(G217="Yes",C217/1000*'Preliminary results'!$F$46*Inflation!$D$7)</f>
        <v>0</v>
      </c>
      <c r="X217" s="151">
        <f t="shared" si="58"/>
        <v>0</v>
      </c>
      <c r="Y217" s="151">
        <f t="shared" si="59"/>
        <v>0</v>
      </c>
      <c r="Z217" s="151">
        <f t="shared" si="60"/>
        <v>0</v>
      </c>
      <c r="AA217" s="151">
        <f t="shared" si="61"/>
        <v>0</v>
      </c>
      <c r="AB217" s="151">
        <f t="shared" si="62"/>
        <v>0</v>
      </c>
      <c r="AC217" s="151">
        <f t="shared" si="63"/>
        <v>0</v>
      </c>
    </row>
    <row r="218" spans="1:29" hidden="1" x14ac:dyDescent="0.3">
      <c r="A218" t="s">
        <v>851</v>
      </c>
      <c r="B218" t="s">
        <v>852</v>
      </c>
      <c r="C218" s="90">
        <v>17167.099999999999</v>
      </c>
      <c r="D218" s="37">
        <f t="shared" si="51"/>
        <v>1.4654200846794466E-4</v>
      </c>
      <c r="E218" t="s">
        <v>1085</v>
      </c>
      <c r="F218" t="s">
        <v>1056</v>
      </c>
      <c r="G218" t="s">
        <v>1045</v>
      </c>
      <c r="H218" t="s">
        <v>1047</v>
      </c>
      <c r="I218" s="93" t="str">
        <f>VLOOKUP(E218,'Beynon 2023'!$B$88:$R$336,15,FALSE)</f>
        <v/>
      </c>
      <c r="J218" s="36" t="b">
        <f>IF(H218="Yes",C218/1000*'Preliminary results'!$D$46*Inflation!$D$7)</f>
        <v>0</v>
      </c>
      <c r="K218" s="36" t="b">
        <f>IF(H218="Yes",C218/1000*'Preliminary results'!$E$46*Inflation!$D$7)</f>
        <v>0</v>
      </c>
      <c r="L218" s="36" t="b">
        <f>IF(H218="Yes",C218/1000*'Preliminary results'!$F$46*Inflation!$D$7)</f>
        <v>0</v>
      </c>
      <c r="M218" s="150" t="b">
        <f>IF(H218="Yes",C218/1000*'Preliminary results'!$G$46*Inflation!$D$7)</f>
        <v>0</v>
      </c>
      <c r="N218" s="151">
        <f t="shared" si="64"/>
        <v>0</v>
      </c>
      <c r="O218" s="151">
        <f t="shared" si="52"/>
        <v>0</v>
      </c>
      <c r="P218" s="151">
        <f t="shared" si="53"/>
        <v>0</v>
      </c>
      <c r="Q218" s="151">
        <f t="shared" si="54"/>
        <v>0</v>
      </c>
      <c r="R218" s="151">
        <f t="shared" si="55"/>
        <v>0</v>
      </c>
      <c r="S218" s="151">
        <f t="shared" si="56"/>
        <v>0</v>
      </c>
      <c r="T218" s="151">
        <f t="shared" si="57"/>
        <v>0</v>
      </c>
      <c r="U218" s="150">
        <f>IF(G218="Yes",C218/1000*'Preliminary results'!$D$46*Inflation!$D$7)</f>
        <v>1.6339260307409238E-2</v>
      </c>
      <c r="V218" s="150">
        <f>IF(G218="Yes",C218/1000*'Preliminary results'!$E$46*Inflation!$D$7)</f>
        <v>0.52679677838292827</v>
      </c>
      <c r="W218" s="150">
        <f>IF(G218="Yes",C218/1000*'Preliminary results'!$F$46*Inflation!$D$7)</f>
        <v>2.2227389920471996</v>
      </c>
      <c r="X218" s="151">
        <f t="shared" si="58"/>
        <v>0</v>
      </c>
      <c r="Y218" s="151">
        <f t="shared" si="59"/>
        <v>0</v>
      </c>
      <c r="Z218" s="151">
        <f t="shared" si="60"/>
        <v>0</v>
      </c>
      <c r="AA218" s="151">
        <f t="shared" si="61"/>
        <v>1.6339260307409238E-2</v>
      </c>
      <c r="AB218" s="151">
        <f t="shared" si="62"/>
        <v>0.52679677838292827</v>
      </c>
      <c r="AC218" s="151">
        <f t="shared" si="63"/>
        <v>2.2227389920471996</v>
      </c>
    </row>
    <row r="219" spans="1:29" hidden="1" x14ac:dyDescent="0.3">
      <c r="A219" t="s">
        <v>1007</v>
      </c>
      <c r="B219" t="s">
        <v>1008</v>
      </c>
      <c r="C219" s="90">
        <v>0</v>
      </c>
      <c r="D219" s="45">
        <f t="shared" si="51"/>
        <v>0</v>
      </c>
      <c r="E219" t="s">
        <v>1086</v>
      </c>
      <c r="F219" t="s">
        <v>1056</v>
      </c>
      <c r="G219" t="s">
        <v>1045</v>
      </c>
      <c r="H219" t="s">
        <v>1047</v>
      </c>
      <c r="I219" s="93" t="str">
        <f>'Beynon 2023'!P334</f>
        <v/>
      </c>
      <c r="J219" s="36" t="b">
        <f>IF(H219="Yes",C219/1000*'Preliminary results'!$D$46*Inflation!$D$7)</f>
        <v>0</v>
      </c>
      <c r="K219" s="36" t="b">
        <f>IF(H219="Yes",C219/1000*'Preliminary results'!$E$46*Inflation!$D$7)</f>
        <v>0</v>
      </c>
      <c r="L219" s="36" t="b">
        <f>IF(H219="Yes",C219/1000*'Preliminary results'!$F$46*Inflation!$D$7)</f>
        <v>0</v>
      </c>
      <c r="M219" s="150" t="b">
        <f>IF(H219="Yes",C219/1000*'Preliminary results'!$G$46*Inflation!$D$7)</f>
        <v>0</v>
      </c>
      <c r="N219" s="151">
        <f t="shared" si="64"/>
        <v>0</v>
      </c>
      <c r="O219" s="151">
        <f t="shared" si="52"/>
        <v>0</v>
      </c>
      <c r="P219" s="151">
        <f t="shared" si="53"/>
        <v>0</v>
      </c>
      <c r="Q219" s="151">
        <f t="shared" si="54"/>
        <v>0</v>
      </c>
      <c r="R219" s="151">
        <f t="shared" si="55"/>
        <v>0</v>
      </c>
      <c r="S219" s="151">
        <f t="shared" si="56"/>
        <v>0</v>
      </c>
      <c r="T219" s="151">
        <f t="shared" si="57"/>
        <v>0</v>
      </c>
      <c r="U219" s="150">
        <f>IF(G219="Yes",C219/1000*'Preliminary results'!$D$46*Inflation!$D$7)</f>
        <v>0</v>
      </c>
      <c r="V219" s="150">
        <f>IF(G219="Yes",C219/1000*'Preliminary results'!$E$46*Inflation!$D$7)</f>
        <v>0</v>
      </c>
      <c r="W219" s="150">
        <f>IF(G219="Yes",C219/1000*'Preliminary results'!$F$46*Inflation!$D$7)</f>
        <v>0</v>
      </c>
      <c r="X219" s="151">
        <f t="shared" si="58"/>
        <v>0</v>
      </c>
      <c r="Y219" s="151">
        <f t="shared" si="59"/>
        <v>0</v>
      </c>
      <c r="Z219" s="151">
        <f t="shared" si="60"/>
        <v>0</v>
      </c>
      <c r="AA219" s="151">
        <f t="shared" si="61"/>
        <v>0</v>
      </c>
      <c r="AB219" s="151">
        <f t="shared" si="62"/>
        <v>0</v>
      </c>
      <c r="AC219" s="151">
        <f t="shared" si="63"/>
        <v>0</v>
      </c>
    </row>
    <row r="220" spans="1:29" hidden="1" x14ac:dyDescent="0.3">
      <c r="A220" t="s">
        <v>804</v>
      </c>
      <c r="B220" t="s">
        <v>805</v>
      </c>
      <c r="C220" s="90">
        <v>28879.8062201264</v>
      </c>
      <c r="D220" s="37">
        <f t="shared" si="51"/>
        <v>2.465241542055655E-4</v>
      </c>
      <c r="E220" t="s">
        <v>805</v>
      </c>
      <c r="F220" t="s">
        <v>1048</v>
      </c>
      <c r="G220" t="s">
        <v>1045</v>
      </c>
      <c r="H220" t="s">
        <v>1047</v>
      </c>
      <c r="I220" s="93" t="str">
        <f>VLOOKUP(B220,'Beynon 2023'!$B$88:$R$336,15,FALSE)</f>
        <v/>
      </c>
      <c r="J220" s="36" t="b">
        <f>IF(H220="Yes",C220/1000*'Preliminary results'!$D$46*Inflation!$D$7)</f>
        <v>0</v>
      </c>
      <c r="K220" s="36" t="b">
        <f>IF(H220="Yes",C220/1000*'Preliminary results'!$E$46*Inflation!$D$7)</f>
        <v>0</v>
      </c>
      <c r="L220" s="36" t="b">
        <f>IF(H220="Yes",C220/1000*'Preliminary results'!$F$46*Inflation!$D$7)</f>
        <v>0</v>
      </c>
      <c r="M220" s="150" t="b">
        <f>IF(H220="Yes",C220/1000*'Preliminary results'!$G$46*Inflation!$D$7)</f>
        <v>0</v>
      </c>
      <c r="N220" s="151">
        <f t="shared" si="64"/>
        <v>0</v>
      </c>
      <c r="O220" s="151">
        <f t="shared" si="52"/>
        <v>0</v>
      </c>
      <c r="P220" s="151">
        <f t="shared" si="53"/>
        <v>0</v>
      </c>
      <c r="Q220" s="151">
        <f t="shared" si="54"/>
        <v>0</v>
      </c>
      <c r="R220" s="151">
        <f t="shared" si="55"/>
        <v>0</v>
      </c>
      <c r="S220" s="151">
        <f t="shared" si="56"/>
        <v>0</v>
      </c>
      <c r="T220" s="151">
        <f t="shared" si="57"/>
        <v>0</v>
      </c>
      <c r="U220" s="150">
        <f>IF(G220="Yes",C220/1000*'Preliminary results'!$D$46*Inflation!$D$7)</f>
        <v>2.7487151088895722E-2</v>
      </c>
      <c r="V220" s="150">
        <f>IF(G220="Yes",C220/1000*'Preliminary results'!$E$46*Inflation!$D$7)</f>
        <v>0.88621775821692905</v>
      </c>
      <c r="W220" s="150">
        <f>IF(G220="Yes",C220/1000*'Preliminary results'!$F$46*Inflation!$D$7)</f>
        <v>3.739261224565722</v>
      </c>
      <c r="X220" s="151">
        <f t="shared" si="58"/>
        <v>0</v>
      </c>
      <c r="Y220" s="151">
        <f t="shared" si="59"/>
        <v>0</v>
      </c>
      <c r="Z220" s="151">
        <f t="shared" si="60"/>
        <v>0</v>
      </c>
      <c r="AA220" s="151">
        <f t="shared" si="61"/>
        <v>2.7487151088895722E-2</v>
      </c>
      <c r="AB220" s="151">
        <f t="shared" si="62"/>
        <v>0.88621775821692905</v>
      </c>
      <c r="AC220" s="151">
        <f t="shared" si="63"/>
        <v>3.739261224565722</v>
      </c>
    </row>
    <row r="221" spans="1:29" hidden="1" x14ac:dyDescent="0.3">
      <c r="A221" t="s">
        <v>762</v>
      </c>
      <c r="B221" t="s">
        <v>763</v>
      </c>
      <c r="C221" s="90">
        <v>51215.6439055886</v>
      </c>
      <c r="D221" s="37">
        <f t="shared" si="51"/>
        <v>4.3718760436555989E-4</v>
      </c>
      <c r="E221" t="s">
        <v>763</v>
      </c>
      <c r="F221" t="s">
        <v>1048</v>
      </c>
      <c r="G221" t="s">
        <v>1045</v>
      </c>
      <c r="H221" t="s">
        <v>1047</v>
      </c>
      <c r="I221" s="93" t="str">
        <f>VLOOKUP(B221,'Beynon 2023'!$B$88:$R$336,15,FALSE)</f>
        <v/>
      </c>
      <c r="J221" s="36" t="b">
        <f>IF(H221="Yes",C221/1000*'Preliminary results'!$D$46*Inflation!$D$7)</f>
        <v>0</v>
      </c>
      <c r="K221" s="36" t="b">
        <f>IF(H221="Yes",C221/1000*'Preliminary results'!$E$46*Inflation!$D$7)</f>
        <v>0</v>
      </c>
      <c r="L221" s="36" t="b">
        <f>IF(H221="Yes",C221/1000*'Preliminary results'!$F$46*Inflation!$D$7)</f>
        <v>0</v>
      </c>
      <c r="M221" s="150" t="b">
        <f>IF(H221="Yes",C221/1000*'Preliminary results'!$G$46*Inflation!$D$7)</f>
        <v>0</v>
      </c>
      <c r="N221" s="151">
        <f t="shared" si="64"/>
        <v>0</v>
      </c>
      <c r="O221" s="151">
        <f t="shared" si="52"/>
        <v>0</v>
      </c>
      <c r="P221" s="151">
        <f t="shared" si="53"/>
        <v>0</v>
      </c>
      <c r="Q221" s="151">
        <f t="shared" si="54"/>
        <v>0</v>
      </c>
      <c r="R221" s="151">
        <f t="shared" si="55"/>
        <v>0</v>
      </c>
      <c r="S221" s="151">
        <f t="shared" si="56"/>
        <v>0</v>
      </c>
      <c r="T221" s="151">
        <f t="shared" si="57"/>
        <v>0</v>
      </c>
      <c r="U221" s="150">
        <f>IF(G221="Yes",C221/1000*'Preliminary results'!$D$46*Inflation!$D$7)</f>
        <v>4.8745899865730954E-2</v>
      </c>
      <c r="V221" s="150">
        <f>IF(G221="Yes",C221/1000*'Preliminary results'!$E$46*Inflation!$D$7)</f>
        <v>1.5716245732984215</v>
      </c>
      <c r="W221" s="150">
        <f>IF(G221="Yes",C221/1000*'Preliminary results'!$F$46*Inflation!$D$7)</f>
        <v>6.6312311754318625</v>
      </c>
      <c r="X221" s="151">
        <f t="shared" si="58"/>
        <v>0</v>
      </c>
      <c r="Y221" s="151">
        <f t="shared" si="59"/>
        <v>0</v>
      </c>
      <c r="Z221" s="151">
        <f t="shared" si="60"/>
        <v>0</v>
      </c>
      <c r="AA221" s="151">
        <f t="shared" si="61"/>
        <v>4.8745899865730954E-2</v>
      </c>
      <c r="AB221" s="151">
        <f t="shared" si="62"/>
        <v>1.5716245732984215</v>
      </c>
      <c r="AC221" s="151">
        <f t="shared" si="63"/>
        <v>6.6312311754318625</v>
      </c>
    </row>
  </sheetData>
  <autoFilter ref="A4:AC221" xr:uid="{00000000-0001-0000-0100-000000000000}">
    <filterColumn colId="5">
      <filters>
        <filter val="SAS"/>
      </filters>
    </filterColumn>
  </autoFilter>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0E22-41FA-4B9B-8DBF-00C2C96CC754}">
  <sheetPr>
    <tabColor theme="3" tint="0.89999084444715716"/>
  </sheetPr>
  <dimension ref="B2:P21"/>
  <sheetViews>
    <sheetView zoomScale="85" zoomScaleNormal="85" workbookViewId="0">
      <selection activeCell="P16" sqref="C2:P16"/>
    </sheetView>
  </sheetViews>
  <sheetFormatPr defaultRowHeight="14.4" x14ac:dyDescent="0.3"/>
  <cols>
    <col min="3" max="3" width="13.77734375" customWidth="1"/>
    <col min="4" max="4" width="14.88671875" customWidth="1"/>
    <col min="5" max="14" width="9.33203125" customWidth="1"/>
    <col min="15" max="15" width="12.77734375" customWidth="1"/>
    <col min="16" max="16" width="15.33203125" customWidth="1"/>
  </cols>
  <sheetData>
    <row r="2" spans="2:16" x14ac:dyDescent="0.3">
      <c r="C2" s="280" t="s">
        <v>565</v>
      </c>
      <c r="D2" s="281"/>
      <c r="E2" s="281"/>
      <c r="F2" s="281"/>
      <c r="G2" s="281"/>
      <c r="H2" s="281"/>
      <c r="I2" s="281"/>
      <c r="J2" s="281"/>
      <c r="K2" s="281"/>
      <c r="L2" s="281"/>
      <c r="M2" s="281"/>
      <c r="N2" s="281"/>
      <c r="O2" s="281"/>
      <c r="P2" s="282"/>
    </row>
    <row r="3" spans="2:16" x14ac:dyDescent="0.3">
      <c r="C3" s="285" t="s">
        <v>1280</v>
      </c>
      <c r="D3" s="286" t="s">
        <v>1285</v>
      </c>
      <c r="E3" s="286" t="s">
        <v>1281</v>
      </c>
      <c r="F3" s="286"/>
      <c r="G3" s="286"/>
      <c r="H3" s="286"/>
      <c r="I3" s="286"/>
      <c r="J3" s="286"/>
      <c r="K3" s="286"/>
      <c r="L3" s="286"/>
      <c r="M3" s="286"/>
      <c r="N3" s="286"/>
      <c r="O3" s="285" t="s">
        <v>1283</v>
      </c>
      <c r="P3" s="285" t="s">
        <v>1282</v>
      </c>
    </row>
    <row r="4" spans="2:16" ht="34.950000000000003" customHeight="1" x14ac:dyDescent="0.3">
      <c r="C4" s="285"/>
      <c r="D4" s="286"/>
      <c r="E4" s="185" t="s">
        <v>1048</v>
      </c>
      <c r="F4" s="185" t="s">
        <v>1058</v>
      </c>
      <c r="G4" s="185" t="s">
        <v>1021</v>
      </c>
      <c r="H4" s="185" t="s">
        <v>1052</v>
      </c>
      <c r="I4" s="185" t="s">
        <v>1056</v>
      </c>
      <c r="J4" s="185" t="s">
        <v>1046</v>
      </c>
      <c r="K4" s="185" t="s">
        <v>1053</v>
      </c>
      <c r="L4" s="185" t="s">
        <v>1011</v>
      </c>
      <c r="M4" s="185" t="s">
        <v>1054</v>
      </c>
      <c r="N4" s="185" t="s">
        <v>861</v>
      </c>
      <c r="O4" s="285"/>
      <c r="P4" s="285"/>
    </row>
    <row r="5" spans="2:16" ht="38.4" customHeight="1" x14ac:dyDescent="0.3">
      <c r="B5" s="7"/>
      <c r="C5" s="185" t="s">
        <v>861</v>
      </c>
      <c r="D5" s="191">
        <v>0.48492565500923263</v>
      </c>
      <c r="E5" s="186">
        <f t="shared" ref="E5:N14" si="0">$D5*E$15</f>
        <v>17.013960173790764</v>
      </c>
      <c r="F5" s="186">
        <f t="shared" si="0"/>
        <v>16.480600155060813</v>
      </c>
      <c r="G5" s="186">
        <f t="shared" si="0"/>
        <v>15.46542913902773</v>
      </c>
      <c r="H5" s="186">
        <f t="shared" si="0"/>
        <v>14.803987869940169</v>
      </c>
      <c r="I5" s="186">
        <f t="shared" si="0"/>
        <v>1.3032708612755333</v>
      </c>
      <c r="J5" s="186">
        <f t="shared" si="0"/>
        <v>0.40322754747802086</v>
      </c>
      <c r="K5" s="186">
        <f t="shared" si="0"/>
        <v>0.33665569671806606</v>
      </c>
      <c r="L5" s="186">
        <f t="shared" si="0"/>
        <v>0.37750831363997356</v>
      </c>
      <c r="M5" s="187">
        <f t="shared" si="0"/>
        <v>0</v>
      </c>
      <c r="N5" s="187">
        <f t="shared" si="0"/>
        <v>0</v>
      </c>
      <c r="O5" s="189">
        <f>SUM(E5:N5)</f>
        <v>66.184639756931091</v>
      </c>
      <c r="P5" s="192">
        <f>O5/VLOOKUP(C5,'Baseline govt spend'!$A$7:$E$106,5,FALSE)</f>
        <v>1.9224649088643353E-2</v>
      </c>
    </row>
    <row r="6" spans="2:16" ht="38.4" customHeight="1" x14ac:dyDescent="0.3">
      <c r="B6" s="7"/>
      <c r="C6" s="185" t="s">
        <v>1046</v>
      </c>
      <c r="D6" s="191">
        <v>0.21192607066295802</v>
      </c>
      <c r="E6" s="186">
        <f t="shared" si="0"/>
        <v>7.4355763379417095</v>
      </c>
      <c r="F6" s="186">
        <f t="shared" si="0"/>
        <v>7.2024830960178354</v>
      </c>
      <c r="G6" s="186">
        <f t="shared" si="0"/>
        <v>6.7588249759401959</v>
      </c>
      <c r="H6" s="186">
        <f t="shared" si="0"/>
        <v>6.4697566462198841</v>
      </c>
      <c r="I6" s="186">
        <f t="shared" si="0"/>
        <v>0.56956580825651348</v>
      </c>
      <c r="J6" s="186">
        <f t="shared" si="0"/>
        <v>0.17622171324066432</v>
      </c>
      <c r="K6" s="186">
        <f t="shared" si="0"/>
        <v>0.14712795298570427</v>
      </c>
      <c r="L6" s="186">
        <f t="shared" si="0"/>
        <v>0.1649816888957874</v>
      </c>
      <c r="M6" s="187">
        <f t="shared" si="0"/>
        <v>0</v>
      </c>
      <c r="N6" s="187">
        <f t="shared" si="0"/>
        <v>0</v>
      </c>
      <c r="O6" s="189">
        <f t="shared" ref="O6:O14" si="1">SUM(E6:N6)</f>
        <v>28.924538219498295</v>
      </c>
      <c r="P6" s="192">
        <f>O6/VLOOKUP(C6,'Baseline govt spend'!$A$7:$E$106,5,FALSE)</f>
        <v>7.1322653002186967E-3</v>
      </c>
    </row>
    <row r="7" spans="2:16" ht="38.4" customHeight="1" x14ac:dyDescent="0.3">
      <c r="B7" s="7"/>
      <c r="C7" s="185" t="s">
        <v>1011</v>
      </c>
      <c r="D7" s="191">
        <v>0.1030626272712587</v>
      </c>
      <c r="E7" s="186">
        <f t="shared" si="0"/>
        <v>3.6160252972510847</v>
      </c>
      <c r="F7" s="186">
        <f t="shared" si="0"/>
        <v>3.5026687770424152</v>
      </c>
      <c r="G7" s="186">
        <f t="shared" si="0"/>
        <v>3.2869115966143951</v>
      </c>
      <c r="H7" s="186">
        <f t="shared" si="0"/>
        <v>3.1463336043518457</v>
      </c>
      <c r="I7" s="186">
        <f t="shared" si="0"/>
        <v>0.27698785911125956</v>
      </c>
      <c r="J7" s="186">
        <f t="shared" si="0"/>
        <v>8.5699096350016393E-2</v>
      </c>
      <c r="K7" s="186">
        <f t="shared" si="0"/>
        <v>7.1550391758380683E-2</v>
      </c>
      <c r="L7" s="186">
        <f t="shared" si="0"/>
        <v>8.0232914506734559E-2</v>
      </c>
      <c r="M7" s="187">
        <f t="shared" si="0"/>
        <v>0</v>
      </c>
      <c r="N7" s="187">
        <f t="shared" si="0"/>
        <v>0</v>
      </c>
      <c r="O7" s="189">
        <f t="shared" si="1"/>
        <v>14.06640953698613</v>
      </c>
      <c r="P7" s="192">
        <f>O7/VLOOKUP(C7,'Baseline govt spend'!$A$7:$E$106,5,FALSE)</f>
        <v>4.8482330127192375E-3</v>
      </c>
    </row>
    <row r="8" spans="2:16" ht="38.4" customHeight="1" x14ac:dyDescent="0.3">
      <c r="B8" s="7"/>
      <c r="C8" s="185" t="s">
        <v>1054</v>
      </c>
      <c r="D8" s="191">
        <v>9.0036584755913099E-2</v>
      </c>
      <c r="E8" s="186">
        <f t="shared" si="0"/>
        <v>3.1589973667037188</v>
      </c>
      <c r="F8" s="186">
        <f t="shared" si="0"/>
        <v>3.0599679298493618</v>
      </c>
      <c r="G8" s="186">
        <f t="shared" si="0"/>
        <v>2.8714802095511467</v>
      </c>
      <c r="H8" s="186">
        <f t="shared" si="0"/>
        <v>2.7486698111528045</v>
      </c>
      <c r="I8" s="186">
        <f t="shared" si="0"/>
        <v>0.24197947901707179</v>
      </c>
      <c r="J8" s="186">
        <f t="shared" si="0"/>
        <v>7.4867623272545925E-2</v>
      </c>
      <c r="K8" s="186">
        <f t="shared" si="0"/>
        <v>6.2507167558581794E-2</v>
      </c>
      <c r="L8" s="186">
        <f t="shared" si="0"/>
        <v>7.0092309874717124E-2</v>
      </c>
      <c r="M8" s="187">
        <f t="shared" si="0"/>
        <v>0</v>
      </c>
      <c r="N8" s="187">
        <f t="shared" si="0"/>
        <v>0</v>
      </c>
      <c r="O8" s="189">
        <f t="shared" si="1"/>
        <v>12.288561896979949</v>
      </c>
      <c r="P8" s="192">
        <f>O8/VLOOKUP(C8,'Baseline govt spend'!$A$7:$E$106,5,FALSE)</f>
        <v>8.8893104515727593E-3</v>
      </c>
    </row>
    <row r="9" spans="2:16" ht="38.4" customHeight="1" x14ac:dyDescent="0.3">
      <c r="B9" s="7"/>
      <c r="C9" s="185" t="s">
        <v>1052</v>
      </c>
      <c r="D9" s="191">
        <v>3.6551927040088472E-2</v>
      </c>
      <c r="E9" s="186">
        <f t="shared" si="0"/>
        <v>1.2824502570884408</v>
      </c>
      <c r="F9" s="186">
        <f t="shared" si="0"/>
        <v>1.2422475243822364</v>
      </c>
      <c r="G9" s="186">
        <f t="shared" si="0"/>
        <v>1.1657276361726772</v>
      </c>
      <c r="H9" s="186">
        <f t="shared" si="0"/>
        <v>1.1158706060088848</v>
      </c>
      <c r="I9" s="186">
        <f t="shared" si="0"/>
        <v>9.8235803659242518E-2</v>
      </c>
      <c r="J9" s="186">
        <f t="shared" si="0"/>
        <v>3.0393821699719752E-2</v>
      </c>
      <c r="K9" s="186">
        <f t="shared" si="0"/>
        <v>2.5375878419620048E-2</v>
      </c>
      <c r="L9" s="186">
        <f t="shared" si="0"/>
        <v>2.845519966752931E-2</v>
      </c>
      <c r="M9" s="187">
        <f t="shared" si="0"/>
        <v>0</v>
      </c>
      <c r="N9" s="187">
        <f t="shared" si="0"/>
        <v>0</v>
      </c>
      <c r="O9" s="189">
        <f t="shared" si="1"/>
        <v>4.9887567270983508</v>
      </c>
      <c r="P9" s="192">
        <f>O9/VLOOKUP(C9,'Baseline govt spend'!$A$7:$E$106,5,FALSE)</f>
        <v>5.7661770716383627E-3</v>
      </c>
    </row>
    <row r="10" spans="2:16" ht="38.4" customHeight="1" x14ac:dyDescent="0.3">
      <c r="B10" s="7"/>
      <c r="C10" s="185" t="s">
        <v>1053</v>
      </c>
      <c r="D10" s="191">
        <v>3.2154362824770834E-2</v>
      </c>
      <c r="E10" s="186">
        <f t="shared" si="0"/>
        <v>1.128158600938227</v>
      </c>
      <c r="F10" s="186">
        <f t="shared" si="0"/>
        <v>1.0927926610641181</v>
      </c>
      <c r="G10" s="186">
        <f t="shared" si="0"/>
        <v>1.0254788845263569</v>
      </c>
      <c r="H10" s="186">
        <f t="shared" si="0"/>
        <v>0.98162015621652265</v>
      </c>
      <c r="I10" s="186">
        <f t="shared" si="0"/>
        <v>8.6417049086848607E-2</v>
      </c>
      <c r="J10" s="186">
        <f t="shared" si="0"/>
        <v>2.6737139453477537E-2</v>
      </c>
      <c r="K10" s="186">
        <f t="shared" si="0"/>
        <v>2.2322905186554026E-2</v>
      </c>
      <c r="L10" s="186">
        <f t="shared" si="0"/>
        <v>2.5031753137325731E-2</v>
      </c>
      <c r="M10" s="187">
        <f t="shared" si="0"/>
        <v>0</v>
      </c>
      <c r="N10" s="187">
        <f t="shared" si="0"/>
        <v>0</v>
      </c>
      <c r="O10" s="189">
        <f t="shared" si="1"/>
        <v>4.3885591496094314</v>
      </c>
      <c r="P10" s="192">
        <f>O10/VLOOKUP(C10,'Baseline govt spend'!$A$7:$E$106,5,FALSE)</f>
        <v>1.1313965395111336E-2</v>
      </c>
    </row>
    <row r="11" spans="2:16" ht="38.4" customHeight="1" x14ac:dyDescent="0.3">
      <c r="B11" s="7"/>
      <c r="C11" s="185" t="s">
        <v>1056</v>
      </c>
      <c r="D11" s="191">
        <v>3.065266003563924E-2</v>
      </c>
      <c r="E11" s="186">
        <f t="shared" si="0"/>
        <v>1.0754702946314201</v>
      </c>
      <c r="F11" s="186">
        <f t="shared" si="0"/>
        <v>1.0417560475878809</v>
      </c>
      <c r="G11" s="186">
        <f t="shared" si="0"/>
        <v>0.97758602129404804</v>
      </c>
      <c r="H11" s="186">
        <f t="shared" si="0"/>
        <v>0.93577562387447499</v>
      </c>
      <c r="I11" s="186">
        <f t="shared" si="0"/>
        <v>8.2381120141546388E-2</v>
      </c>
      <c r="J11" s="186">
        <f t="shared" si="0"/>
        <v>2.54884368401029E-2</v>
      </c>
      <c r="K11" s="186">
        <f t="shared" si="0"/>
        <v>2.1280360224215554E-2</v>
      </c>
      <c r="L11" s="186">
        <f t="shared" si="0"/>
        <v>2.3862697052836411E-2</v>
      </c>
      <c r="M11" s="187">
        <f t="shared" si="0"/>
        <v>0</v>
      </c>
      <c r="N11" s="187">
        <f t="shared" si="0"/>
        <v>0</v>
      </c>
      <c r="O11" s="189">
        <f t="shared" si="1"/>
        <v>4.1836006016465248</v>
      </c>
      <c r="P11" s="192">
        <f>O11/VLOOKUP(C11,'Baseline govt spend'!$A$7:$E$106,5,FALSE)</f>
        <v>6.8349581536543396E-3</v>
      </c>
    </row>
    <row r="12" spans="2:16" ht="38.4" customHeight="1" x14ac:dyDescent="0.3">
      <c r="B12" s="7"/>
      <c r="C12" s="185" t="s">
        <v>1058</v>
      </c>
      <c r="D12" s="191">
        <v>6.2462614117483892E-3</v>
      </c>
      <c r="E12" s="186">
        <f t="shared" si="0"/>
        <v>0.21915450708119327</v>
      </c>
      <c r="F12" s="186">
        <f t="shared" si="0"/>
        <v>0.21228436921748539</v>
      </c>
      <c r="G12" s="186">
        <f t="shared" si="0"/>
        <v>0.19920808942434445</v>
      </c>
      <c r="H12" s="186">
        <f t="shared" si="0"/>
        <v>0.19068815439397191</v>
      </c>
      <c r="I12" s="186">
        <f t="shared" si="0"/>
        <v>1.6787254717811249E-2</v>
      </c>
      <c r="J12" s="186">
        <f t="shared" si="0"/>
        <v>5.1939191996718545E-3</v>
      </c>
      <c r="K12" s="186">
        <f t="shared" si="0"/>
        <v>4.3364162438782258E-3</v>
      </c>
      <c r="L12" s="186">
        <f t="shared" si="0"/>
        <v>4.8626332464482211E-3</v>
      </c>
      <c r="M12" s="187">
        <f t="shared" si="0"/>
        <v>0</v>
      </c>
      <c r="N12" s="187">
        <f t="shared" si="0"/>
        <v>0</v>
      </c>
      <c r="O12" s="189">
        <f t="shared" si="1"/>
        <v>0.85251534352480463</v>
      </c>
      <c r="P12" s="192">
        <f>O12/VLOOKUP(C12,'Baseline govt spend'!$A$7:$E$106,5,FALSE)</f>
        <v>1.64613717228201E-3</v>
      </c>
    </row>
    <row r="13" spans="2:16" ht="38.4" customHeight="1" x14ac:dyDescent="0.3">
      <c r="B13" s="7"/>
      <c r="C13" s="185" t="s">
        <v>1048</v>
      </c>
      <c r="D13" s="191">
        <v>4.4206198717783125E-3</v>
      </c>
      <c r="E13" s="186">
        <f t="shared" si="0"/>
        <v>0.15510058019197243</v>
      </c>
      <c r="F13" s="186">
        <f t="shared" si="0"/>
        <v>0.15023842890495756</v>
      </c>
      <c r="G13" s="186">
        <f t="shared" si="0"/>
        <v>0.14098405120732102</v>
      </c>
      <c r="H13" s="186">
        <f t="shared" si="0"/>
        <v>0.13495430131073724</v>
      </c>
      <c r="I13" s="186">
        <f t="shared" si="0"/>
        <v>1.1880718225878497E-2</v>
      </c>
      <c r="J13" s="186">
        <f t="shared" si="0"/>
        <v>3.6758535887234803E-3</v>
      </c>
      <c r="K13" s="186">
        <f t="shared" si="0"/>
        <v>3.0689794352722396E-3</v>
      </c>
      <c r="L13" s="186">
        <f t="shared" si="0"/>
        <v>3.4413950588087854E-3</v>
      </c>
      <c r="M13" s="187">
        <f t="shared" si="0"/>
        <v>0</v>
      </c>
      <c r="N13" s="187">
        <f t="shared" si="0"/>
        <v>0</v>
      </c>
      <c r="O13" s="189">
        <f t="shared" si="1"/>
        <v>0.60334430792367144</v>
      </c>
      <c r="P13" s="192">
        <f>O13/VLOOKUP(C13,'Baseline govt spend'!$A$7:$E$106,5,FALSE)</f>
        <v>1.8153490388600289E-3</v>
      </c>
    </row>
    <row r="14" spans="2:16" ht="38.4" customHeight="1" x14ac:dyDescent="0.3">
      <c r="B14" s="7"/>
      <c r="C14" s="185" t="s">
        <v>1021</v>
      </c>
      <c r="D14" s="191">
        <v>0</v>
      </c>
      <c r="E14" s="187">
        <f t="shared" si="0"/>
        <v>0</v>
      </c>
      <c r="F14" s="187">
        <f t="shared" si="0"/>
        <v>0</v>
      </c>
      <c r="G14" s="187">
        <f t="shared" si="0"/>
        <v>0</v>
      </c>
      <c r="H14" s="187">
        <f t="shared" si="0"/>
        <v>0</v>
      </c>
      <c r="I14" s="187">
        <f t="shared" si="0"/>
        <v>0</v>
      </c>
      <c r="J14" s="187">
        <f t="shared" si="0"/>
        <v>0</v>
      </c>
      <c r="K14" s="187">
        <f t="shared" si="0"/>
        <v>0</v>
      </c>
      <c r="L14" s="187">
        <f t="shared" si="0"/>
        <v>0</v>
      </c>
      <c r="M14" s="187">
        <f t="shared" si="0"/>
        <v>0</v>
      </c>
      <c r="N14" s="187">
        <f t="shared" si="0"/>
        <v>0</v>
      </c>
      <c r="O14" s="189">
        <f t="shared" si="1"/>
        <v>0</v>
      </c>
      <c r="P14" s="192">
        <f>O14/VLOOKUP(C14,'Baseline govt spend'!$A$7:$E$106,5,FALSE)</f>
        <v>0</v>
      </c>
    </row>
    <row r="15" spans="2:16" ht="38.4" customHeight="1" x14ac:dyDescent="0.3">
      <c r="C15" s="283" t="s">
        <v>1286</v>
      </c>
      <c r="D15" s="284"/>
      <c r="E15" s="189">
        <f>GETPIVOTDATA("CVF Receipts (Central)",$D$19,"IPCC region",E4)</f>
        <v>35.08570849580402</v>
      </c>
      <c r="F15" s="189">
        <f t="shared" ref="F15:N15" si="2">GETPIVOTDATA("CVF Receipts (Central)",$D$19,"IPCC region",F4)</f>
        <v>33.985828517872569</v>
      </c>
      <c r="G15" s="189">
        <f t="shared" si="2"/>
        <v>31.892371499159555</v>
      </c>
      <c r="H15" s="189">
        <f t="shared" si="2"/>
        <v>30.528365981499395</v>
      </c>
      <c r="I15" s="189">
        <f t="shared" si="2"/>
        <v>2.6875683887063468</v>
      </c>
      <c r="J15" s="189">
        <f t="shared" si="2"/>
        <v>0.83152446836483362</v>
      </c>
      <c r="K15" s="189">
        <f t="shared" si="2"/>
        <v>0.69424187654426406</v>
      </c>
      <c r="L15" s="189">
        <f t="shared" si="2"/>
        <v>0.77848699020221168</v>
      </c>
      <c r="M15" s="189">
        <f t="shared" si="2"/>
        <v>0</v>
      </c>
      <c r="N15" s="189">
        <f t="shared" si="2"/>
        <v>0</v>
      </c>
      <c r="O15" s="194">
        <f>SUM(E15:N15)</f>
        <v>136.48409621815321</v>
      </c>
      <c r="P15" s="192"/>
    </row>
    <row r="16" spans="2:16" ht="38.4" customHeight="1" x14ac:dyDescent="0.3">
      <c r="C16" s="283" t="s">
        <v>1284</v>
      </c>
      <c r="D16" s="284"/>
      <c r="E16" s="192">
        <f>E15/VLOOKUP(E4,'Baseline govt spend'!$A$7:$E$106,5,FALSE)</f>
        <v>0.10556626847905673</v>
      </c>
      <c r="F16" s="192">
        <f>F15/VLOOKUP(F4,'Baseline govt spend'!$A$7:$E$106,5,FALSE)</f>
        <v>6.5623846044530781E-2</v>
      </c>
      <c r="G16" s="192">
        <f>G15/VLOOKUP(G4,'Baseline govt spend'!$A$7:$E$106,5,FALSE)</f>
        <v>8.3288042056598205E-2</v>
      </c>
      <c r="H16" s="192">
        <f>H15/VLOOKUP(H4,'Baseline govt spend'!$A$7:$E$106,5,FALSE)</f>
        <v>3.5285738228308682E-2</v>
      </c>
      <c r="I16" s="192">
        <f>I15/VLOOKUP(I4,'Baseline govt spend'!$A$7:$E$106,5,FALSE)</f>
        <v>4.390815285919625E-3</v>
      </c>
      <c r="J16" s="192">
        <f>J15/VLOOKUP(J4,'Baseline govt spend'!$A$7:$E$106,5,FALSE)</f>
        <v>2.0503881745650117E-4</v>
      </c>
      <c r="K16" s="192">
        <f>K15/VLOOKUP(K4,'Baseline govt spend'!$A$7:$E$106,5,FALSE)</f>
        <v>1.7897966734156923E-3</v>
      </c>
      <c r="L16" s="192">
        <f>L15/VLOOKUP(L4,'Baseline govt spend'!$A$7:$E$106,5,FALSE)</f>
        <v>2.6831909848399585E-4</v>
      </c>
      <c r="M16" s="192">
        <f>M15/VLOOKUP(M4,'Baseline govt spend'!$A$7:$E$106,5,FALSE)</f>
        <v>0</v>
      </c>
      <c r="N16" s="193">
        <f>N15/VLOOKUP(N4,'Baseline govt spend'!$A$7:$E$106,5,FALSE)</f>
        <v>0</v>
      </c>
      <c r="O16" s="186"/>
      <c r="P16" s="188"/>
    </row>
    <row r="17" spans="4:15" ht="38.4" customHeight="1" x14ac:dyDescent="0.3">
      <c r="O17" s="150"/>
    </row>
    <row r="19" spans="4:15" ht="28.8" x14ac:dyDescent="0.3">
      <c r="E19" s="163" t="s">
        <v>1287</v>
      </c>
    </row>
    <row r="20" spans="4:15" x14ac:dyDescent="0.3">
      <c r="E20" t="s">
        <v>1048</v>
      </c>
      <c r="F20" t="s">
        <v>1058</v>
      </c>
      <c r="G20" t="s">
        <v>1021</v>
      </c>
      <c r="H20" t="s">
        <v>1052</v>
      </c>
      <c r="I20" t="s">
        <v>1056</v>
      </c>
      <c r="J20" t="s">
        <v>1046</v>
      </c>
      <c r="K20" t="s">
        <v>1011</v>
      </c>
      <c r="L20" t="s">
        <v>1053</v>
      </c>
      <c r="M20" t="s">
        <v>1054</v>
      </c>
      <c r="N20" t="s">
        <v>861</v>
      </c>
      <c r="O20" t="s">
        <v>1202</v>
      </c>
    </row>
    <row r="21" spans="4:15" x14ac:dyDescent="0.3">
      <c r="D21" t="s">
        <v>1279</v>
      </c>
      <c r="E21" s="266">
        <v>35.08570849580402</v>
      </c>
      <c r="F21" s="266">
        <v>33.985828517872569</v>
      </c>
      <c r="G21" s="266">
        <v>31.892371499159555</v>
      </c>
      <c r="H21" s="266">
        <v>30.528365981499395</v>
      </c>
      <c r="I21" s="266">
        <v>2.6875683887063468</v>
      </c>
      <c r="J21" s="266">
        <v>0.83152446836483362</v>
      </c>
      <c r="K21" s="266">
        <v>0.77848699020221168</v>
      </c>
      <c r="L21" s="266">
        <v>0.69424187654426406</v>
      </c>
      <c r="M21" s="266">
        <v>0</v>
      </c>
      <c r="N21" s="266">
        <v>0</v>
      </c>
      <c r="O21" s="266">
        <v>136.48409621815321</v>
      </c>
    </row>
  </sheetData>
  <mergeCells count="8">
    <mergeCell ref="C2:P2"/>
    <mergeCell ref="C16:D16"/>
    <mergeCell ref="C3:C4"/>
    <mergeCell ref="E3:N3"/>
    <mergeCell ref="O3:O4"/>
    <mergeCell ref="P3:P4"/>
    <mergeCell ref="D3:D4"/>
    <mergeCell ref="C15:D15"/>
  </mergeCells>
  <conditionalFormatting sqref="E5:L13 P15">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CFCFF"/>
        <color rgb="FF5A8AC6"/>
      </colorScale>
    </cfRule>
  </conditionalFormatting>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4683-61E6-4566-93F8-04DD9FB3F688}">
  <sheetPr>
    <tabColor theme="8"/>
  </sheetPr>
  <dimension ref="A1"/>
  <sheetViews>
    <sheetView workbookViewId="0">
      <selection activeCell="J35" sqref="J35"/>
    </sheetView>
  </sheetViews>
  <sheetFormatPr defaultRowHeight="14.4" x14ac:dyDescent="0.3"/>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42D60-0E80-4E91-B9FB-92AA4F53DE65}">
  <sheetPr>
    <tabColor theme="8" tint="0.79998168889431442"/>
  </sheetPr>
  <dimension ref="A1:K3"/>
  <sheetViews>
    <sheetView workbookViewId="0">
      <selection activeCell="N33" sqref="N33"/>
    </sheetView>
  </sheetViews>
  <sheetFormatPr defaultRowHeight="14.4" x14ac:dyDescent="0.3"/>
  <sheetData>
    <row r="1" spans="1:11" x14ac:dyDescent="0.3">
      <c r="A1" t="s">
        <v>527</v>
      </c>
      <c r="B1" t="s">
        <v>1338</v>
      </c>
      <c r="C1" t="s">
        <v>528</v>
      </c>
      <c r="D1" t="s">
        <v>529</v>
      </c>
      <c r="E1" t="s">
        <v>530</v>
      </c>
      <c r="F1" t="s">
        <v>531</v>
      </c>
      <c r="G1" t="s">
        <v>532</v>
      </c>
      <c r="H1" t="s">
        <v>533</v>
      </c>
      <c r="I1" t="s">
        <v>534</v>
      </c>
      <c r="J1" t="s">
        <v>535</v>
      </c>
      <c r="K1" t="s">
        <v>536</v>
      </c>
    </row>
    <row r="2" spans="1:11" x14ac:dyDescent="0.3">
      <c r="A2" t="s">
        <v>537</v>
      </c>
      <c r="B2" t="s">
        <v>1339</v>
      </c>
      <c r="C2">
        <v>0.19667489988710801</v>
      </c>
      <c r="D2">
        <v>0.13855828493047101</v>
      </c>
      <c r="E2">
        <v>0</v>
      </c>
      <c r="F2">
        <v>1</v>
      </c>
      <c r="G2">
        <v>4.2975583339302202E-3</v>
      </c>
      <c r="H2">
        <v>0.58462563786271704</v>
      </c>
      <c r="I2">
        <v>10</v>
      </c>
      <c r="J2">
        <v>5</v>
      </c>
      <c r="K2">
        <v>10000</v>
      </c>
    </row>
    <row r="3" spans="1:11" x14ac:dyDescent="0.3">
      <c r="A3" t="s">
        <v>537</v>
      </c>
      <c r="B3" t="s">
        <v>1337</v>
      </c>
      <c r="C3">
        <v>0.19667489988710801</v>
      </c>
      <c r="D3">
        <v>0.133799637968849</v>
      </c>
      <c r="E3">
        <v>0</v>
      </c>
      <c r="F3">
        <v>1</v>
      </c>
      <c r="G3">
        <v>3.2766648958796698E-3</v>
      </c>
      <c r="H3">
        <v>0.56192087411698</v>
      </c>
      <c r="I3">
        <v>10</v>
      </c>
      <c r="J3">
        <v>5</v>
      </c>
      <c r="K3">
        <v>10000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95BE2-3B3E-40CE-A3B0-7FE32CE2C1B2}">
  <sheetPr>
    <tabColor theme="8" tint="0.79998168889431442"/>
  </sheetPr>
  <dimension ref="A1:K3"/>
  <sheetViews>
    <sheetView workbookViewId="0">
      <selection activeCell="N33" sqref="N33"/>
    </sheetView>
  </sheetViews>
  <sheetFormatPr defaultRowHeight="14.4" x14ac:dyDescent="0.3"/>
  <cols>
    <col min="2" max="2" width="20.44140625" customWidth="1"/>
    <col min="4" max="4" width="15.6640625" customWidth="1"/>
    <col min="5" max="5" width="16.33203125" customWidth="1"/>
    <col min="6" max="6" width="11.5546875" customWidth="1"/>
    <col min="7" max="7" width="18.88671875" customWidth="1"/>
  </cols>
  <sheetData>
    <row r="1" spans="1:11" x14ac:dyDescent="0.3">
      <c r="A1" t="s">
        <v>527</v>
      </c>
      <c r="B1" t="s">
        <v>1338</v>
      </c>
      <c r="C1" t="s">
        <v>528</v>
      </c>
      <c r="D1" t="s">
        <v>529</v>
      </c>
      <c r="E1" t="s">
        <v>530</v>
      </c>
      <c r="F1" t="s">
        <v>531</v>
      </c>
      <c r="G1" t="s">
        <v>532</v>
      </c>
      <c r="H1" t="s">
        <v>533</v>
      </c>
      <c r="I1" t="s">
        <v>534</v>
      </c>
      <c r="J1" t="s">
        <v>535</v>
      </c>
      <c r="K1" t="s">
        <v>536</v>
      </c>
    </row>
    <row r="2" spans="1:11" x14ac:dyDescent="0.3">
      <c r="A2" t="s">
        <v>559</v>
      </c>
      <c r="B2" t="s">
        <v>1339</v>
      </c>
      <c r="C2">
        <v>129.06340059238499</v>
      </c>
      <c r="D2">
        <v>113.596507790448</v>
      </c>
      <c r="E2">
        <v>0</v>
      </c>
      <c r="F2">
        <v>500</v>
      </c>
      <c r="G2">
        <v>20.510354489675201</v>
      </c>
      <c r="H2">
        <v>290.85765359178703</v>
      </c>
      <c r="I2">
        <v>10</v>
      </c>
      <c r="J2">
        <v>5</v>
      </c>
      <c r="K2">
        <v>10000</v>
      </c>
    </row>
    <row r="3" spans="1:11" x14ac:dyDescent="0.3">
      <c r="A3" t="s">
        <v>559</v>
      </c>
      <c r="B3" t="s">
        <v>1337</v>
      </c>
      <c r="C3">
        <v>129.06340059238499</v>
      </c>
      <c r="D3">
        <v>109.117619599195</v>
      </c>
      <c r="E3">
        <v>0</v>
      </c>
      <c r="F3">
        <v>500</v>
      </c>
      <c r="G3">
        <v>17.422920846046701</v>
      </c>
      <c r="H3">
        <v>273.42063068668898</v>
      </c>
      <c r="I3">
        <v>10</v>
      </c>
      <c r="J3">
        <v>5</v>
      </c>
      <c r="K3">
        <v>10000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481F-6CA8-4B74-A86C-F23F5473A759}">
  <sheetPr>
    <tabColor theme="8"/>
  </sheetPr>
  <dimension ref="A1"/>
  <sheetViews>
    <sheetView workbookViewId="0"/>
  </sheetViews>
  <sheetFormatPr defaultRowHeight="14.4" x14ac:dyDescent="0.3"/>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32FCA-A8F5-486B-80AA-F5712CE5B06C}">
  <sheetPr>
    <tabColor theme="8" tint="0.79998168889431442"/>
  </sheetPr>
  <dimension ref="A1:U140"/>
  <sheetViews>
    <sheetView topLeftCell="A83" zoomScale="85" zoomScaleNormal="85" workbookViewId="0">
      <selection activeCell="K144" sqref="K144"/>
    </sheetView>
  </sheetViews>
  <sheetFormatPr defaultRowHeight="14.4" x14ac:dyDescent="0.3"/>
  <cols>
    <col min="2" max="2" width="21.44140625" customWidth="1"/>
    <col min="3" max="3" width="15.88671875" customWidth="1"/>
    <col min="4" max="4" width="22.109375" customWidth="1"/>
    <col min="5" max="5" width="21.88671875" customWidth="1"/>
    <col min="6" max="6" width="13.109375" customWidth="1"/>
    <col min="7" max="7" width="26" customWidth="1"/>
    <col min="8" max="8" width="22" customWidth="1"/>
    <col min="10" max="10" width="12.44140625" bestFit="1" customWidth="1"/>
    <col min="11" max="11" width="12.88671875" customWidth="1"/>
    <col min="12" max="12" width="18.6640625" customWidth="1"/>
    <col min="13" max="13" width="14.5546875" customWidth="1"/>
    <col min="14" max="14" width="21.88671875" customWidth="1"/>
    <col min="20" max="20" width="18.44140625" customWidth="1"/>
    <col min="21" max="21" width="18.33203125" customWidth="1"/>
    <col min="22" max="22" width="18.5546875" customWidth="1"/>
    <col min="27" max="27" width="12.33203125" bestFit="1" customWidth="1"/>
  </cols>
  <sheetData>
    <row r="1" spans="1:21" x14ac:dyDescent="0.3">
      <c r="A1" s="22" t="s">
        <v>487</v>
      </c>
      <c r="J1" s="210" t="s">
        <v>1330</v>
      </c>
      <c r="K1" s="210"/>
      <c r="L1" s="210"/>
      <c r="M1" s="210"/>
      <c r="N1" s="210"/>
      <c r="O1" s="210"/>
      <c r="P1" s="210"/>
      <c r="Q1" s="210"/>
      <c r="R1" s="210"/>
      <c r="S1" s="210"/>
      <c r="T1" s="210"/>
      <c r="U1" s="210"/>
    </row>
    <row r="2" spans="1:21" x14ac:dyDescent="0.3">
      <c r="J2" s="218"/>
      <c r="K2" s="218" t="s">
        <v>292</v>
      </c>
      <c r="L2" s="219" t="s">
        <v>457</v>
      </c>
      <c r="M2" s="219" t="s">
        <v>458</v>
      </c>
      <c r="N2" s="220" t="s">
        <v>236</v>
      </c>
      <c r="O2" s="220" t="s">
        <v>238</v>
      </c>
      <c r="P2" s="220" t="s">
        <v>269</v>
      </c>
      <c r="Q2" s="220" t="s">
        <v>237</v>
      </c>
      <c r="R2" s="220" t="s">
        <v>315</v>
      </c>
      <c r="S2" s="221" t="s">
        <v>353</v>
      </c>
      <c r="T2" s="220" t="s">
        <v>323</v>
      </c>
      <c r="U2" s="220" t="s">
        <v>493</v>
      </c>
    </row>
    <row r="3" spans="1:21" x14ac:dyDescent="0.3">
      <c r="D3" t="s">
        <v>488</v>
      </c>
      <c r="E3" t="s">
        <v>489</v>
      </c>
      <c r="F3" t="s">
        <v>490</v>
      </c>
      <c r="J3" s="23" t="s">
        <v>491</v>
      </c>
      <c r="K3" s="23">
        <f t="shared" ref="K3:T3" si="0">COUNTIF($D$7:$D$20,K2)</f>
        <v>2</v>
      </c>
      <c r="L3" s="23">
        <f t="shared" si="0"/>
        <v>4</v>
      </c>
      <c r="M3" s="23">
        <f t="shared" si="0"/>
        <v>1</v>
      </c>
      <c r="N3" s="23">
        <f t="shared" si="0"/>
        <v>1</v>
      </c>
      <c r="O3" s="23">
        <f t="shared" si="0"/>
        <v>1</v>
      </c>
      <c r="P3" s="23">
        <f t="shared" si="0"/>
        <v>1</v>
      </c>
      <c r="Q3" s="23">
        <f t="shared" si="0"/>
        <v>2</v>
      </c>
      <c r="R3" s="23">
        <f t="shared" si="0"/>
        <v>0</v>
      </c>
      <c r="S3" s="23">
        <f t="shared" si="0"/>
        <v>0</v>
      </c>
      <c r="T3" s="23">
        <f t="shared" si="0"/>
        <v>2</v>
      </c>
      <c r="U3" s="25">
        <f>SUM(K3:T3)</f>
        <v>14</v>
      </c>
    </row>
    <row r="4" spans="1:21" x14ac:dyDescent="0.3">
      <c r="D4" t="s">
        <v>81</v>
      </c>
      <c r="E4" t="s">
        <v>82</v>
      </c>
      <c r="F4" t="s">
        <v>83</v>
      </c>
      <c r="J4" s="23" t="s">
        <v>490</v>
      </c>
      <c r="K4" s="23">
        <f t="shared" ref="K4:T4" si="1">COUNTIF($F$7:$F$20,K2)</f>
        <v>0</v>
      </c>
      <c r="L4" s="23">
        <f t="shared" si="1"/>
        <v>0</v>
      </c>
      <c r="M4" s="23">
        <f t="shared" si="1"/>
        <v>2</v>
      </c>
      <c r="N4" s="23">
        <f t="shared" si="1"/>
        <v>0</v>
      </c>
      <c r="O4" s="23">
        <f t="shared" si="1"/>
        <v>5</v>
      </c>
      <c r="P4" s="23">
        <f t="shared" si="1"/>
        <v>1</v>
      </c>
      <c r="Q4" s="23">
        <f t="shared" si="1"/>
        <v>3</v>
      </c>
      <c r="R4" s="23">
        <f t="shared" si="1"/>
        <v>1</v>
      </c>
      <c r="S4" s="23">
        <f t="shared" si="1"/>
        <v>0</v>
      </c>
      <c r="T4" s="23">
        <f t="shared" si="1"/>
        <v>2</v>
      </c>
      <c r="U4" s="25">
        <f>SUM(K4:T4)</f>
        <v>14</v>
      </c>
    </row>
    <row r="5" spans="1:21" ht="31.5" customHeight="1" x14ac:dyDescent="0.3">
      <c r="D5" s="1" t="s">
        <v>110</v>
      </c>
      <c r="E5" s="1" t="s">
        <v>111</v>
      </c>
      <c r="F5" s="1" t="s">
        <v>112</v>
      </c>
      <c r="J5" s="23" t="s">
        <v>492</v>
      </c>
      <c r="K5" s="23">
        <f t="shared" ref="K5:R5" si="2">COUNTIF($E$7:$E$20,K2)</f>
        <v>0</v>
      </c>
      <c r="L5" s="23">
        <f t="shared" si="2"/>
        <v>1</v>
      </c>
      <c r="M5" s="23">
        <f t="shared" si="2"/>
        <v>0</v>
      </c>
      <c r="N5" s="23">
        <f t="shared" si="2"/>
        <v>0</v>
      </c>
      <c r="O5" s="23">
        <f t="shared" si="2"/>
        <v>1</v>
      </c>
      <c r="P5" s="23">
        <f t="shared" si="2"/>
        <v>2</v>
      </c>
      <c r="Q5" s="23">
        <f t="shared" si="2"/>
        <v>2</v>
      </c>
      <c r="R5" s="23">
        <f t="shared" si="2"/>
        <v>4</v>
      </c>
      <c r="S5" s="28">
        <v>2</v>
      </c>
      <c r="T5" s="23">
        <f>COUNTIF($E$7:$E$20,T2)</f>
        <v>2</v>
      </c>
      <c r="U5" s="25">
        <f>SUM(K5:T5)</f>
        <v>14</v>
      </c>
    </row>
    <row r="6" spans="1:21" x14ac:dyDescent="0.3">
      <c r="D6" t="s">
        <v>196</v>
      </c>
      <c r="E6" t="s">
        <v>197</v>
      </c>
      <c r="F6" t="s">
        <v>198</v>
      </c>
    </row>
    <row r="7" spans="1:21" x14ac:dyDescent="0.3">
      <c r="C7" t="s">
        <v>464</v>
      </c>
      <c r="D7" t="s">
        <v>236</v>
      </c>
      <c r="E7" t="s">
        <v>237</v>
      </c>
      <c r="F7" t="s">
        <v>238</v>
      </c>
    </row>
    <row r="8" spans="1:21" x14ac:dyDescent="0.3">
      <c r="C8" t="s">
        <v>465</v>
      </c>
      <c r="D8" s="9" t="s">
        <v>457</v>
      </c>
      <c r="E8" t="s">
        <v>237</v>
      </c>
      <c r="F8" t="s">
        <v>238</v>
      </c>
    </row>
    <row r="9" spans="1:21" x14ac:dyDescent="0.3">
      <c r="C9" t="s">
        <v>466</v>
      </c>
      <c r="D9" s="9" t="s">
        <v>457</v>
      </c>
      <c r="E9" t="s">
        <v>269</v>
      </c>
      <c r="F9" t="s">
        <v>238</v>
      </c>
    </row>
    <row r="10" spans="1:21" x14ac:dyDescent="0.3">
      <c r="C10" t="s">
        <v>467</v>
      </c>
      <c r="D10" t="s">
        <v>292</v>
      </c>
      <c r="E10" t="s">
        <v>238</v>
      </c>
      <c r="F10" s="9" t="s">
        <v>458</v>
      </c>
    </row>
    <row r="11" spans="1:21" x14ac:dyDescent="0.3">
      <c r="C11" t="s">
        <v>468</v>
      </c>
      <c r="D11" t="s">
        <v>237</v>
      </c>
      <c r="E11" t="s">
        <v>315</v>
      </c>
      <c r="F11" t="s">
        <v>237</v>
      </c>
    </row>
    <row r="12" spans="1:21" x14ac:dyDescent="0.3">
      <c r="C12" t="s">
        <v>469</v>
      </c>
      <c r="D12" t="s">
        <v>323</v>
      </c>
      <c r="E12" t="s">
        <v>323</v>
      </c>
      <c r="F12" s="21" t="s">
        <v>323</v>
      </c>
    </row>
    <row r="13" spans="1:21" x14ac:dyDescent="0.3">
      <c r="C13" t="s">
        <v>470</v>
      </c>
      <c r="D13" s="9" t="s">
        <v>458</v>
      </c>
      <c r="E13" t="s">
        <v>315</v>
      </c>
      <c r="F13" t="s">
        <v>238</v>
      </c>
    </row>
    <row r="14" spans="1:21" x14ac:dyDescent="0.3">
      <c r="C14" t="s">
        <v>471</v>
      </c>
      <c r="D14" s="9" t="s">
        <v>457</v>
      </c>
      <c r="E14" s="27" t="s">
        <v>353</v>
      </c>
      <c r="F14" t="s">
        <v>269</v>
      </c>
    </row>
    <row r="15" spans="1:21" x14ac:dyDescent="0.3">
      <c r="C15" t="s">
        <v>523</v>
      </c>
      <c r="D15" t="s">
        <v>269</v>
      </c>
      <c r="E15" s="27" t="s">
        <v>353</v>
      </c>
      <c r="F15" t="s">
        <v>237</v>
      </c>
    </row>
    <row r="16" spans="1:21" x14ac:dyDescent="0.3">
      <c r="C16" t="s">
        <v>472</v>
      </c>
      <c r="D16" s="8" t="s">
        <v>292</v>
      </c>
      <c r="E16" s="26" t="s">
        <v>457</v>
      </c>
      <c r="F16" s="26" t="s">
        <v>458</v>
      </c>
    </row>
    <row r="17" spans="3:7" x14ac:dyDescent="0.3">
      <c r="C17" t="s">
        <v>473</v>
      </c>
      <c r="D17" s="9" t="s">
        <v>457</v>
      </c>
      <c r="E17" t="s">
        <v>315</v>
      </c>
      <c r="F17" t="s">
        <v>238</v>
      </c>
    </row>
    <row r="18" spans="3:7" x14ac:dyDescent="0.3">
      <c r="C18" t="s">
        <v>474</v>
      </c>
      <c r="D18" s="8" t="s">
        <v>238</v>
      </c>
      <c r="E18" s="8" t="s">
        <v>269</v>
      </c>
      <c r="F18" s="8" t="s">
        <v>315</v>
      </c>
    </row>
    <row r="19" spans="3:7" x14ac:dyDescent="0.3">
      <c r="C19" t="s">
        <v>475</v>
      </c>
      <c r="D19" t="s">
        <v>323</v>
      </c>
      <c r="E19" t="s">
        <v>323</v>
      </c>
      <c r="F19" t="s">
        <v>323</v>
      </c>
    </row>
    <row r="20" spans="3:7" x14ac:dyDescent="0.3">
      <c r="C20" t="s">
        <v>476</v>
      </c>
      <c r="D20" t="s">
        <v>237</v>
      </c>
      <c r="E20" t="s">
        <v>315</v>
      </c>
      <c r="F20" t="s">
        <v>237</v>
      </c>
    </row>
    <row r="23" spans="3:7" x14ac:dyDescent="0.3">
      <c r="D23" t="s">
        <v>13</v>
      </c>
      <c r="E23" t="s">
        <v>14</v>
      </c>
      <c r="F23" t="s">
        <v>15</v>
      </c>
    </row>
    <row r="24" spans="3:7" ht="28.8" x14ac:dyDescent="0.3">
      <c r="D24" s="1" t="s">
        <v>13</v>
      </c>
      <c r="E24" s="1" t="s">
        <v>14</v>
      </c>
      <c r="F24" s="1" t="s">
        <v>15</v>
      </c>
    </row>
    <row r="25" spans="3:7" x14ac:dyDescent="0.3">
      <c r="D25" t="s">
        <v>126</v>
      </c>
      <c r="E25" t="s">
        <v>127</v>
      </c>
      <c r="F25" t="s">
        <v>128</v>
      </c>
      <c r="G25" t="s">
        <v>525</v>
      </c>
    </row>
    <row r="26" spans="3:7" x14ac:dyDescent="0.3">
      <c r="C26" t="s">
        <v>464</v>
      </c>
      <c r="D26">
        <v>37</v>
      </c>
      <c r="E26">
        <v>75</v>
      </c>
      <c r="F26" s="21">
        <v>200</v>
      </c>
      <c r="G26" t="str">
        <f>_xlfn.CONCAT("[",D26,", ",E26,", ",F26,"]")</f>
        <v>[37, 75, 200]</v>
      </c>
    </row>
    <row r="27" spans="3:7" x14ac:dyDescent="0.3">
      <c r="C27" t="s">
        <v>465</v>
      </c>
      <c r="D27">
        <v>5</v>
      </c>
      <c r="E27">
        <v>75</v>
      </c>
      <c r="F27" s="21">
        <v>200</v>
      </c>
      <c r="G27" t="str">
        <f>_xlfn.CONCAT("[",D27,", ",E27,", ",F27,"]")</f>
        <v>[5, 75, 200]</v>
      </c>
    </row>
    <row r="28" spans="3:7" x14ac:dyDescent="0.3">
      <c r="C28" t="s">
        <v>466</v>
      </c>
      <c r="D28">
        <v>5</v>
      </c>
      <c r="E28">
        <v>57</v>
      </c>
      <c r="F28">
        <v>125</v>
      </c>
      <c r="G28" t="str">
        <f>_xlfn.CONCAT("[",D28,", ",E28,", ",F28,"]")</f>
        <v>[5, 57, 125]</v>
      </c>
    </row>
    <row r="29" spans="3:7" x14ac:dyDescent="0.3">
      <c r="C29" t="s">
        <v>467</v>
      </c>
      <c r="D29">
        <v>0</v>
      </c>
      <c r="E29">
        <v>18</v>
      </c>
      <c r="F29">
        <v>37</v>
      </c>
      <c r="G29" t="str">
        <f>_xlfn.CONCAT("[",D29,", ",E29,", ",F29,"]")</f>
        <v>[0, 18, 37]</v>
      </c>
    </row>
    <row r="30" spans="3:7" x14ac:dyDescent="0.3">
      <c r="C30" t="s">
        <v>468</v>
      </c>
      <c r="D30" s="21">
        <v>150</v>
      </c>
      <c r="E30" s="21">
        <v>200</v>
      </c>
      <c r="F30">
        <v>375</v>
      </c>
      <c r="G30" t="str">
        <f>_xlfn.CONCAT("[",D30,", ",E30,", ",F30,"]")</f>
        <v>[150, 200, 375]</v>
      </c>
    </row>
    <row r="31" spans="3:7" x14ac:dyDescent="0.3">
      <c r="C31" t="s">
        <v>469</v>
      </c>
      <c r="D31" s="20"/>
      <c r="E31" s="20"/>
      <c r="F31" s="20"/>
      <c r="G31" s="22" t="s">
        <v>323</v>
      </c>
    </row>
    <row r="32" spans="3:7" x14ac:dyDescent="0.3">
      <c r="C32" t="s">
        <v>470</v>
      </c>
      <c r="D32">
        <v>18</v>
      </c>
      <c r="E32">
        <v>75</v>
      </c>
      <c r="F32">
        <v>375</v>
      </c>
      <c r="G32" t="str">
        <f>_xlfn.CONCAT("[",D32,", ",E32,", ",F32,"]")</f>
        <v>[18, 75, 375]</v>
      </c>
    </row>
    <row r="33" spans="3:7" x14ac:dyDescent="0.3">
      <c r="C33" t="s">
        <v>471</v>
      </c>
      <c r="D33">
        <v>5</v>
      </c>
      <c r="E33">
        <v>125</v>
      </c>
      <c r="F33" s="21">
        <v>500</v>
      </c>
      <c r="G33" t="str">
        <f>_xlfn.CONCAT("[",D33,", ",E33,", ",F33,"]")</f>
        <v>[5, 125, 500]</v>
      </c>
    </row>
    <row r="34" spans="3:7" x14ac:dyDescent="0.3">
      <c r="C34" t="s">
        <v>523</v>
      </c>
      <c r="D34">
        <v>125</v>
      </c>
      <c r="E34" s="21">
        <v>200</v>
      </c>
      <c r="F34" s="21">
        <v>500</v>
      </c>
      <c r="G34" t="str">
        <f>_xlfn.CONCAT("[",D34,", ",E34,", ",F34,"]")</f>
        <v>[125, 200, 500]</v>
      </c>
    </row>
    <row r="35" spans="3:7" x14ac:dyDescent="0.3">
      <c r="C35" t="s">
        <v>472</v>
      </c>
      <c r="D35" s="8">
        <v>0</v>
      </c>
      <c r="E35" s="8">
        <v>18</v>
      </c>
      <c r="F35" s="8">
        <v>5</v>
      </c>
      <c r="G35" s="22" t="s">
        <v>524</v>
      </c>
    </row>
    <row r="36" spans="3:7" x14ac:dyDescent="0.3">
      <c r="C36" t="s">
        <v>473</v>
      </c>
      <c r="D36">
        <v>5</v>
      </c>
      <c r="E36">
        <v>80</v>
      </c>
      <c r="F36">
        <v>375</v>
      </c>
      <c r="G36" t="str">
        <f>_xlfn.CONCAT("[",D36,", ",E36,", ",F36,"]")</f>
        <v>[5, 80, 375]</v>
      </c>
    </row>
    <row r="37" spans="3:7" x14ac:dyDescent="0.3">
      <c r="C37" t="s">
        <v>474</v>
      </c>
      <c r="D37" s="8">
        <v>75</v>
      </c>
      <c r="E37" s="8">
        <v>200</v>
      </c>
      <c r="F37" s="8">
        <v>125</v>
      </c>
      <c r="G37" s="22" t="s">
        <v>524</v>
      </c>
    </row>
    <row r="38" spans="3:7" x14ac:dyDescent="0.3">
      <c r="C38" t="s">
        <v>475</v>
      </c>
      <c r="D38" s="21"/>
      <c r="E38" s="21"/>
      <c r="F38" s="21"/>
      <c r="G38" s="22" t="s">
        <v>323</v>
      </c>
    </row>
    <row r="39" spans="3:7" x14ac:dyDescent="0.3">
      <c r="C39" t="s">
        <v>476</v>
      </c>
      <c r="D39" s="21">
        <v>150</v>
      </c>
      <c r="E39" s="21">
        <v>200</v>
      </c>
      <c r="F39">
        <v>375</v>
      </c>
      <c r="G39" t="str">
        <f>_xlfn.CONCAT("[",D39,", ",E39,", ",F39,"]")</f>
        <v>[150, 200, 375]</v>
      </c>
    </row>
    <row r="41" spans="3:7" x14ac:dyDescent="0.3">
      <c r="C41" s="210" t="s">
        <v>501</v>
      </c>
      <c r="D41" s="223">
        <f>AVERAGE(D26:D39)</f>
        <v>47.916666666666664</v>
      </c>
      <c r="E41" s="223">
        <f>AVERAGE(E26:E39)</f>
        <v>110.25</v>
      </c>
      <c r="F41" s="223">
        <f>AVERAGE(F26:F39)</f>
        <v>266</v>
      </c>
    </row>
    <row r="42" spans="3:7" x14ac:dyDescent="0.3">
      <c r="C42" s="29" t="s">
        <v>502</v>
      </c>
      <c r="D42" s="30">
        <f>AVERAGE(D26:D39)</f>
        <v>47.916666666666664</v>
      </c>
      <c r="E42" s="30">
        <f>AVERAGE(E26,E27,E28,E29,E30,E32,E33,E34,E36,E39)</f>
        <v>110.5</v>
      </c>
      <c r="F42" s="30">
        <f>AVERAGE(F26,F27,F28,F29,F30,F32,F33,F34,F36,F39)</f>
        <v>306.2</v>
      </c>
    </row>
    <row r="43" spans="3:7" x14ac:dyDescent="0.3">
      <c r="C43" s="210" t="s">
        <v>496</v>
      </c>
      <c r="D43" s="210">
        <f>MEDIAN(D26:D39)</f>
        <v>11.5</v>
      </c>
      <c r="E43" s="210">
        <f>MEDIAN(E26:E39)</f>
        <v>77.5</v>
      </c>
      <c r="F43" s="210">
        <f>MEDIAN(F26:F39)</f>
        <v>287.5</v>
      </c>
    </row>
    <row r="44" spans="3:7" x14ac:dyDescent="0.3">
      <c r="C44" s="29" t="s">
        <v>499</v>
      </c>
      <c r="D44" s="29">
        <f>MEDIAN(D26:D39)</f>
        <v>11.5</v>
      </c>
      <c r="E44" s="29">
        <f>MEDIAN(E26,E27,E28,E29,E30,E32,E33,E34,E36,E39)</f>
        <v>77.5</v>
      </c>
      <c r="F44" s="29">
        <f>MEDIAN(F26,F27,F28,F29,F30,F32,F33,F34,F36,F39)</f>
        <v>375</v>
      </c>
    </row>
    <row r="45" spans="3:7" x14ac:dyDescent="0.3">
      <c r="C45" s="210" t="s">
        <v>500</v>
      </c>
      <c r="D45" s="210">
        <f>MODE(D26:D39)</f>
        <v>5</v>
      </c>
      <c r="E45" s="210">
        <f>MODE(E26:E39)</f>
        <v>200</v>
      </c>
      <c r="F45" s="210">
        <f>MODE(F26:F39)</f>
        <v>375</v>
      </c>
    </row>
    <row r="46" spans="3:7" x14ac:dyDescent="0.3">
      <c r="C46" s="29" t="s">
        <v>503</v>
      </c>
      <c r="D46" s="29" cm="1">
        <f t="array" ref="D46">_xlfn.MODE.MULT(D39,D36,D32:D34,D26:D30)</f>
        <v>5</v>
      </c>
      <c r="E46" s="29" cm="1">
        <f t="array" ref="E46:E47">_xlfn.MODE.MULT(E39,E36,E32:E34,E26:E30)</f>
        <v>200</v>
      </c>
      <c r="F46" s="29" cm="1">
        <f t="array" ref="F46">_xlfn.MODE.MULT(F39,F36,F32:F34,F26:F30)</f>
        <v>375</v>
      </c>
    </row>
    <row r="47" spans="3:7" x14ac:dyDescent="0.3">
      <c r="C47" s="29" t="s">
        <v>494</v>
      </c>
      <c r="D47" s="29">
        <f>MIN(D26:D39)</f>
        <v>0</v>
      </c>
      <c r="E47" s="29">
        <v>75</v>
      </c>
      <c r="F47" s="29"/>
    </row>
    <row r="48" spans="3:7" x14ac:dyDescent="0.3">
      <c r="C48" s="29" t="s">
        <v>495</v>
      </c>
      <c r="D48" s="29"/>
      <c r="E48" s="29"/>
      <c r="F48" s="29">
        <f>MAX(F26:F39)</f>
        <v>500</v>
      </c>
    </row>
    <row r="49" spans="1:15" ht="15" thickBot="1" x14ac:dyDescent="0.35"/>
    <row r="50" spans="1:15" ht="15" thickBot="1" x14ac:dyDescent="0.35">
      <c r="C50" s="38" t="s">
        <v>527</v>
      </c>
      <c r="D50" s="39" t="s">
        <v>553</v>
      </c>
      <c r="E50" s="39" t="s">
        <v>554</v>
      </c>
      <c r="F50" s="39" t="s">
        <v>555</v>
      </c>
      <c r="G50" s="39" t="s">
        <v>556</v>
      </c>
      <c r="H50" s="39" t="s">
        <v>557</v>
      </c>
      <c r="I50" s="39" t="s">
        <v>558</v>
      </c>
      <c r="J50" s="39" t="s">
        <v>476</v>
      </c>
      <c r="K50" s="39" t="s">
        <v>535</v>
      </c>
      <c r="L50" s="39" t="s">
        <v>536</v>
      </c>
      <c r="N50" s="37">
        <f>(D51-E51)/E51</f>
        <v>0.16858997475658136</v>
      </c>
      <c r="O50" t="s">
        <v>567</v>
      </c>
    </row>
    <row r="51" spans="1:15" ht="15" thickBot="1" x14ac:dyDescent="0.35">
      <c r="A51" s="22"/>
      <c r="C51" s="40" t="s">
        <v>559</v>
      </c>
      <c r="D51" s="41">
        <v>129.62</v>
      </c>
      <c r="E51" s="41">
        <v>110.92</v>
      </c>
      <c r="F51" s="42">
        <v>0</v>
      </c>
      <c r="G51" s="42">
        <v>500</v>
      </c>
      <c r="H51" s="42">
        <v>17.48</v>
      </c>
      <c r="I51" s="41">
        <v>274.57</v>
      </c>
      <c r="J51" s="42">
        <v>10</v>
      </c>
      <c r="K51" s="42">
        <v>5</v>
      </c>
      <c r="L51" s="41">
        <v>10000</v>
      </c>
    </row>
    <row r="52" spans="1:15" x14ac:dyDescent="0.3">
      <c r="A52" s="22" t="s">
        <v>485</v>
      </c>
      <c r="C52" s="216"/>
      <c r="D52" s="216"/>
      <c r="E52" s="216"/>
      <c r="F52" s="217"/>
      <c r="G52" s="217"/>
      <c r="H52" s="217"/>
      <c r="I52" s="216"/>
      <c r="J52" s="217"/>
      <c r="K52" s="217"/>
      <c r="L52" s="216"/>
    </row>
    <row r="53" spans="1:15" x14ac:dyDescent="0.3">
      <c r="B53" s="210" t="s">
        <v>1330</v>
      </c>
      <c r="C53" s="210"/>
      <c r="D53" s="210"/>
      <c r="E53" s="210"/>
      <c r="F53" s="210"/>
      <c r="G53" s="210"/>
      <c r="H53" s="210"/>
      <c r="I53" s="210"/>
      <c r="J53" s="210"/>
      <c r="K53" s="210"/>
      <c r="L53" s="210"/>
    </row>
    <row r="54" spans="1:15" x14ac:dyDescent="0.3">
      <c r="B54" s="23"/>
      <c r="C54" s="23"/>
      <c r="D54" s="23" t="s">
        <v>478</v>
      </c>
      <c r="E54" s="24" t="s">
        <v>479</v>
      </c>
      <c r="F54" s="24" t="s">
        <v>480</v>
      </c>
      <c r="G54" s="24" t="s">
        <v>481</v>
      </c>
      <c r="H54" s="24" t="s">
        <v>482</v>
      </c>
      <c r="I54" s="24" t="s">
        <v>483</v>
      </c>
      <c r="J54" s="24" t="s">
        <v>484</v>
      </c>
      <c r="K54" s="24" t="s">
        <v>323</v>
      </c>
      <c r="L54" s="23" t="s">
        <v>493</v>
      </c>
    </row>
    <row r="55" spans="1:15" x14ac:dyDescent="0.3">
      <c r="B55" s="23" t="s">
        <v>477</v>
      </c>
      <c r="C55">
        <f>SUM(D55:J55)</f>
        <v>12</v>
      </c>
      <c r="D55" s="23">
        <v>2</v>
      </c>
      <c r="E55" s="23">
        <v>1</v>
      </c>
      <c r="F55" s="23">
        <v>6</v>
      </c>
      <c r="G55" s="23">
        <v>3</v>
      </c>
      <c r="H55" s="23"/>
      <c r="I55" s="23"/>
      <c r="J55" s="23"/>
      <c r="K55" s="23">
        <v>2</v>
      </c>
      <c r="L55" s="23">
        <f>SUM(D55:K55)</f>
        <v>14</v>
      </c>
    </row>
    <row r="56" spans="1:15" x14ac:dyDescent="0.3">
      <c r="B56" s="23" t="s">
        <v>501</v>
      </c>
      <c r="C56" s="199">
        <f>AVERAGE(E66:E73,E75:E77,E79)</f>
        <v>2.9583333333333333E-2</v>
      </c>
      <c r="D56" s="23"/>
      <c r="E56" s="23"/>
      <c r="F56" s="23"/>
      <c r="G56" s="23"/>
      <c r="H56" s="23"/>
      <c r="I56" s="23"/>
      <c r="J56" s="23"/>
      <c r="K56" s="23"/>
      <c r="L56" s="23"/>
    </row>
    <row r="57" spans="1:15" x14ac:dyDescent="0.3">
      <c r="B57" s="31" t="s">
        <v>496</v>
      </c>
      <c r="C57" s="200">
        <f>MEDIAN(E66:E79)</f>
        <v>0.03</v>
      </c>
      <c r="D57" s="31"/>
      <c r="E57" s="31"/>
      <c r="F57" s="31"/>
      <c r="G57" s="31"/>
      <c r="H57" s="31"/>
      <c r="I57" s="31"/>
      <c r="J57" s="31"/>
      <c r="K57" s="31"/>
      <c r="L57" s="31"/>
    </row>
    <row r="58" spans="1:15" x14ac:dyDescent="0.3">
      <c r="B58" s="31" t="s">
        <v>500</v>
      </c>
      <c r="C58" s="200" cm="1">
        <f t="array" ref="C58">_xlfn.MODE.MULT(E66:E79)</f>
        <v>0.03</v>
      </c>
      <c r="D58" s="31"/>
      <c r="E58" s="35" t="s">
        <v>522</v>
      </c>
      <c r="F58" s="31"/>
      <c r="G58" s="31"/>
      <c r="H58" s="31"/>
      <c r="I58" s="31"/>
      <c r="J58" s="31"/>
      <c r="K58" s="31"/>
      <c r="L58" s="31"/>
    </row>
    <row r="59" spans="1:15" x14ac:dyDescent="0.3">
      <c r="B59" s="31" t="s">
        <v>519</v>
      </c>
      <c r="C59" s="32"/>
      <c r="D59" s="35" t="s">
        <v>520</v>
      </c>
      <c r="E59" s="34">
        <f>SUM(D55:E55)/C55</f>
        <v>0.25</v>
      </c>
      <c r="F59" s="31"/>
      <c r="G59" s="31"/>
      <c r="H59" s="31"/>
      <c r="I59" s="31"/>
      <c r="J59" s="31"/>
      <c r="K59" s="31"/>
      <c r="L59" s="31"/>
    </row>
    <row r="60" spans="1:15" x14ac:dyDescent="0.3">
      <c r="B60" s="31"/>
      <c r="C60" s="32"/>
      <c r="D60" s="35" t="s">
        <v>486</v>
      </c>
      <c r="E60" s="34">
        <f>F55/C55</f>
        <v>0.5</v>
      </c>
      <c r="F60" s="31"/>
      <c r="G60" s="31"/>
      <c r="H60" s="31"/>
      <c r="I60" s="31"/>
      <c r="J60" s="31"/>
      <c r="K60" s="31"/>
      <c r="L60" s="31"/>
    </row>
    <row r="61" spans="1:15" x14ac:dyDescent="0.3">
      <c r="B61" s="31"/>
      <c r="C61" s="32"/>
      <c r="D61" s="35" t="s">
        <v>521</v>
      </c>
      <c r="E61" s="34">
        <f>G55/C55</f>
        <v>0.25</v>
      </c>
      <c r="F61" s="31"/>
      <c r="G61" s="31"/>
      <c r="H61" s="31"/>
      <c r="I61" s="31"/>
      <c r="J61" s="31"/>
      <c r="K61" s="31"/>
      <c r="L61" s="31"/>
    </row>
    <row r="63" spans="1:15" x14ac:dyDescent="0.3">
      <c r="D63" t="s">
        <v>65</v>
      </c>
      <c r="E63" t="s">
        <v>16</v>
      </c>
    </row>
    <row r="64" spans="1:15" ht="86.4" x14ac:dyDescent="0.3">
      <c r="D64" s="1" t="s">
        <v>96</v>
      </c>
      <c r="E64" s="1" t="s">
        <v>16</v>
      </c>
    </row>
    <row r="65" spans="3:5" x14ac:dyDescent="0.3">
      <c r="D65" t="s">
        <v>178</v>
      </c>
      <c r="E65" t="s">
        <v>129</v>
      </c>
    </row>
    <row r="66" spans="3:5" x14ac:dyDescent="0.3">
      <c r="C66" t="s">
        <v>464</v>
      </c>
      <c r="D66" t="s">
        <v>227</v>
      </c>
      <c r="E66" s="3">
        <v>0.03</v>
      </c>
    </row>
    <row r="67" spans="3:5" x14ac:dyDescent="0.3">
      <c r="C67" t="s">
        <v>465</v>
      </c>
      <c r="D67" t="s">
        <v>227</v>
      </c>
      <c r="E67" s="3">
        <v>0.03</v>
      </c>
    </row>
    <row r="68" spans="3:5" x14ac:dyDescent="0.3">
      <c r="C68" t="s">
        <v>466</v>
      </c>
      <c r="D68" t="s">
        <v>227</v>
      </c>
      <c r="E68" s="3">
        <v>0.03</v>
      </c>
    </row>
    <row r="69" spans="3:5" x14ac:dyDescent="0.3">
      <c r="C69" t="s">
        <v>467</v>
      </c>
      <c r="D69" t="s">
        <v>227</v>
      </c>
      <c r="E69" s="3">
        <v>0.03</v>
      </c>
    </row>
    <row r="70" spans="3:5" x14ac:dyDescent="0.3">
      <c r="C70" t="s">
        <v>468</v>
      </c>
      <c r="D70" t="s">
        <v>310</v>
      </c>
      <c r="E70" s="3">
        <v>0.05</v>
      </c>
    </row>
    <row r="71" spans="3:5" x14ac:dyDescent="0.3">
      <c r="C71" t="s">
        <v>469</v>
      </c>
      <c r="D71" t="s">
        <v>310</v>
      </c>
      <c r="E71" s="3">
        <v>0.05</v>
      </c>
    </row>
    <row r="72" spans="3:5" x14ac:dyDescent="0.3">
      <c r="C72" t="s">
        <v>470</v>
      </c>
      <c r="D72" t="s">
        <v>227</v>
      </c>
      <c r="E72" s="3">
        <v>0.03</v>
      </c>
    </row>
    <row r="73" spans="3:5" x14ac:dyDescent="0.3">
      <c r="C73" t="s">
        <v>471</v>
      </c>
      <c r="D73" t="s">
        <v>346</v>
      </c>
      <c r="E73" s="7">
        <v>5.0000000000000001E-3</v>
      </c>
    </row>
    <row r="74" spans="3:5" x14ac:dyDescent="0.3">
      <c r="C74" t="s">
        <v>523</v>
      </c>
      <c r="D74" s="15" t="s">
        <v>323</v>
      </c>
      <c r="E74" s="222" t="s">
        <v>323</v>
      </c>
    </row>
    <row r="75" spans="3:5" x14ac:dyDescent="0.3">
      <c r="C75" t="s">
        <v>472</v>
      </c>
      <c r="D75" t="s">
        <v>369</v>
      </c>
      <c r="E75" s="7">
        <v>1.4999999999999999E-2</v>
      </c>
    </row>
    <row r="76" spans="3:5" x14ac:dyDescent="0.3">
      <c r="C76" t="s">
        <v>473</v>
      </c>
      <c r="D76" t="s">
        <v>346</v>
      </c>
      <c r="E76" s="7">
        <v>5.0000000000000001E-3</v>
      </c>
    </row>
    <row r="77" spans="3:5" x14ac:dyDescent="0.3">
      <c r="C77" t="s">
        <v>474</v>
      </c>
      <c r="D77" t="s">
        <v>310</v>
      </c>
      <c r="E77" s="3">
        <v>0.05</v>
      </c>
    </row>
    <row r="78" spans="3:5" x14ac:dyDescent="0.3">
      <c r="C78" t="s">
        <v>475</v>
      </c>
      <c r="D78" s="8" t="s">
        <v>323</v>
      </c>
      <c r="E78" s="222" t="s">
        <v>323</v>
      </c>
    </row>
    <row r="79" spans="3:5" x14ac:dyDescent="0.3">
      <c r="C79" t="s">
        <v>476</v>
      </c>
      <c r="D79" t="s">
        <v>227</v>
      </c>
      <c r="E79" s="3">
        <v>0.03</v>
      </c>
    </row>
    <row r="97" spans="1:13" x14ac:dyDescent="0.3">
      <c r="A97" s="22" t="s">
        <v>497</v>
      </c>
    </row>
    <row r="99" spans="1:13" x14ac:dyDescent="0.3">
      <c r="B99" s="210" t="s">
        <v>1330</v>
      </c>
      <c r="C99" s="210"/>
      <c r="D99" s="210"/>
      <c r="E99" s="210"/>
      <c r="F99" s="210"/>
      <c r="G99" s="210"/>
      <c r="H99" s="210"/>
      <c r="I99" s="210"/>
      <c r="J99" s="210"/>
      <c r="K99" s="210"/>
      <c r="M99" s="37"/>
    </row>
    <row r="100" spans="1:13" ht="43.2" x14ac:dyDescent="0.3">
      <c r="B100" s="212"/>
      <c r="C100" s="213" t="s">
        <v>350</v>
      </c>
      <c r="D100" s="213" t="s">
        <v>252</v>
      </c>
      <c r="E100" s="213" t="s">
        <v>253</v>
      </c>
      <c r="F100" s="213" t="s">
        <v>231</v>
      </c>
      <c r="G100" s="213" t="s">
        <v>233</v>
      </c>
      <c r="H100" s="213" t="s">
        <v>232</v>
      </c>
      <c r="I100" s="213" t="s">
        <v>266</v>
      </c>
      <c r="J100" s="213" t="s">
        <v>323</v>
      </c>
      <c r="K100" s="213" t="s">
        <v>493</v>
      </c>
      <c r="M100" s="37"/>
    </row>
    <row r="101" spans="1:13" x14ac:dyDescent="0.3">
      <c r="B101" s="23" t="s">
        <v>491</v>
      </c>
      <c r="C101" s="214">
        <f t="shared" ref="C101:J101" si="3">COUNTIF($C$110:$C$123,C100)</f>
        <v>4</v>
      </c>
      <c r="D101" s="215">
        <f t="shared" si="3"/>
        <v>6</v>
      </c>
      <c r="E101" s="214">
        <f t="shared" si="3"/>
        <v>2</v>
      </c>
      <c r="F101" s="214">
        <f t="shared" si="3"/>
        <v>1</v>
      </c>
      <c r="G101" s="214">
        <f t="shared" si="3"/>
        <v>0</v>
      </c>
      <c r="H101" s="214">
        <f t="shared" si="3"/>
        <v>0</v>
      </c>
      <c r="I101" s="214">
        <f t="shared" si="3"/>
        <v>0</v>
      </c>
      <c r="J101" s="214">
        <f t="shared" si="3"/>
        <v>1</v>
      </c>
      <c r="K101" s="214">
        <f>SUM(C101:J101)</f>
        <v>14</v>
      </c>
      <c r="M101" s="37"/>
    </row>
    <row r="102" spans="1:13" x14ac:dyDescent="0.3">
      <c r="B102" s="23" t="s">
        <v>490</v>
      </c>
      <c r="C102" s="214">
        <f t="shared" ref="C102:J102" si="4">COUNTIF($D$110:$D$123,C100)</f>
        <v>1</v>
      </c>
      <c r="D102" s="214">
        <f t="shared" si="4"/>
        <v>2</v>
      </c>
      <c r="E102" s="215">
        <f t="shared" si="4"/>
        <v>4</v>
      </c>
      <c r="F102" s="214">
        <f t="shared" si="4"/>
        <v>1</v>
      </c>
      <c r="G102" s="215">
        <f t="shared" si="4"/>
        <v>4</v>
      </c>
      <c r="H102" s="214">
        <f t="shared" si="4"/>
        <v>1</v>
      </c>
      <c r="I102" s="214">
        <f t="shared" si="4"/>
        <v>0</v>
      </c>
      <c r="J102" s="214">
        <f t="shared" si="4"/>
        <v>1</v>
      </c>
      <c r="K102" s="214">
        <f>SUM(C102:J102)</f>
        <v>14</v>
      </c>
      <c r="M102" s="37"/>
    </row>
    <row r="103" spans="1:13" x14ac:dyDescent="0.3">
      <c r="B103" s="23" t="s">
        <v>492</v>
      </c>
      <c r="C103" s="214">
        <f t="shared" ref="C103:J103" si="5">COUNTIF($E$110:$E$123,C100)</f>
        <v>0</v>
      </c>
      <c r="D103" s="215">
        <f t="shared" si="5"/>
        <v>4</v>
      </c>
      <c r="E103" s="214">
        <f t="shared" si="5"/>
        <v>1</v>
      </c>
      <c r="F103" s="214">
        <f t="shared" si="5"/>
        <v>1</v>
      </c>
      <c r="G103" s="215">
        <f t="shared" si="5"/>
        <v>4</v>
      </c>
      <c r="H103" s="214">
        <f t="shared" si="5"/>
        <v>1</v>
      </c>
      <c r="I103" s="214">
        <f t="shared" si="5"/>
        <v>2</v>
      </c>
      <c r="J103" s="214">
        <f t="shared" si="5"/>
        <v>1</v>
      </c>
      <c r="K103" s="214">
        <f>SUM(C103:J103)</f>
        <v>14</v>
      </c>
      <c r="M103" s="37"/>
    </row>
    <row r="106" spans="1:13" x14ac:dyDescent="0.3">
      <c r="C106" t="s">
        <v>488</v>
      </c>
      <c r="D106" t="s">
        <v>498</v>
      </c>
      <c r="E106" t="s">
        <v>489</v>
      </c>
    </row>
    <row r="107" spans="1:13" x14ac:dyDescent="0.3">
      <c r="C107" t="s">
        <v>73</v>
      </c>
      <c r="D107" t="s">
        <v>75</v>
      </c>
      <c r="E107" t="s">
        <v>74</v>
      </c>
      <c r="F107" t="s">
        <v>69</v>
      </c>
      <c r="G107" t="s">
        <v>70</v>
      </c>
      <c r="H107" t="s">
        <v>71</v>
      </c>
    </row>
    <row r="108" spans="1:13" ht="45.75" customHeight="1" x14ac:dyDescent="0.3">
      <c r="C108" s="1" t="s">
        <v>101</v>
      </c>
      <c r="D108" s="1" t="s">
        <v>103</v>
      </c>
      <c r="E108" s="1" t="s">
        <v>102</v>
      </c>
      <c r="F108" s="1" t="s">
        <v>69</v>
      </c>
      <c r="G108" s="1" t="s">
        <v>70</v>
      </c>
      <c r="H108" s="1" t="s">
        <v>71</v>
      </c>
    </row>
    <row r="109" spans="1:13" x14ac:dyDescent="0.3">
      <c r="C109" t="s">
        <v>187</v>
      </c>
      <c r="D109" t="s">
        <v>189</v>
      </c>
      <c r="E109" t="s">
        <v>188</v>
      </c>
      <c r="F109" t="s">
        <v>183</v>
      </c>
      <c r="G109" t="s">
        <v>184</v>
      </c>
      <c r="H109" t="s">
        <v>185</v>
      </c>
      <c r="I109" t="s">
        <v>526</v>
      </c>
    </row>
    <row r="110" spans="1:13" x14ac:dyDescent="0.3">
      <c r="B110" t="s">
        <v>464</v>
      </c>
      <c r="C110" s="29" t="s">
        <v>231</v>
      </c>
      <c r="D110" s="29" t="s">
        <v>233</v>
      </c>
      <c r="E110" s="29" t="s">
        <v>232</v>
      </c>
      <c r="F110" s="29">
        <v>0.22500000000000001</v>
      </c>
      <c r="G110" s="29">
        <v>0.4</v>
      </c>
      <c r="H110" s="29">
        <v>0.65</v>
      </c>
      <c r="I110" t="str">
        <f>_xlfn.CONCAT("[",F110,", ",G110,", ",H110,"]")</f>
        <v>[0.225, 0.4, 0.65]</v>
      </c>
    </row>
    <row r="111" spans="1:13" x14ac:dyDescent="0.3">
      <c r="B111" t="s">
        <v>465</v>
      </c>
      <c r="C111" s="29" t="s">
        <v>252</v>
      </c>
      <c r="D111" s="29" t="s">
        <v>252</v>
      </c>
      <c r="E111" s="29" t="s">
        <v>253</v>
      </c>
      <c r="F111" s="21">
        <v>0.01</v>
      </c>
      <c r="G111" s="29">
        <v>0.03</v>
      </c>
      <c r="H111" s="29">
        <v>0.1</v>
      </c>
      <c r="I111" t="str">
        <f t="shared" ref="I111:I120" si="6">_xlfn.CONCAT("[",F111,", ",G111,", ",H111,"]")</f>
        <v>[0.01, 0.03, 0.1]</v>
      </c>
    </row>
    <row r="112" spans="1:13" x14ac:dyDescent="0.3">
      <c r="B112" t="s">
        <v>466</v>
      </c>
      <c r="C112" s="29" t="s">
        <v>252</v>
      </c>
      <c r="D112" s="29" t="s">
        <v>233</v>
      </c>
      <c r="E112" s="29" t="s">
        <v>266</v>
      </c>
      <c r="F112" s="29">
        <v>0.03</v>
      </c>
      <c r="G112" s="29">
        <v>0.4</v>
      </c>
      <c r="H112" s="29">
        <v>1</v>
      </c>
      <c r="I112" t="str">
        <f t="shared" si="6"/>
        <v>[0.03, 0.4, 1]</v>
      </c>
    </row>
    <row r="113" spans="2:9" x14ac:dyDescent="0.3">
      <c r="B113" t="s">
        <v>467</v>
      </c>
      <c r="C113" s="29" t="s">
        <v>252</v>
      </c>
      <c r="D113" s="29" t="s">
        <v>253</v>
      </c>
      <c r="E113" s="29" t="s">
        <v>233</v>
      </c>
      <c r="F113" s="29">
        <v>0.03</v>
      </c>
      <c r="G113" s="29">
        <v>0.1</v>
      </c>
      <c r="H113" s="29">
        <v>0.4</v>
      </c>
      <c r="I113" t="str">
        <f t="shared" si="6"/>
        <v>[0.03, 0.1, 0.4]</v>
      </c>
    </row>
    <row r="114" spans="2:9" x14ac:dyDescent="0.3">
      <c r="B114" t="s">
        <v>468</v>
      </c>
      <c r="C114" s="29" t="s">
        <v>253</v>
      </c>
      <c r="D114" s="29" t="s">
        <v>233</v>
      </c>
      <c r="E114" s="29" t="s">
        <v>266</v>
      </c>
      <c r="F114" s="29">
        <v>0.1</v>
      </c>
      <c r="G114" s="29">
        <v>0.4</v>
      </c>
      <c r="H114" s="29">
        <v>1</v>
      </c>
      <c r="I114" t="str">
        <f t="shared" si="6"/>
        <v>[0.1, 0.4, 1]</v>
      </c>
    </row>
    <row r="115" spans="2:9" x14ac:dyDescent="0.3">
      <c r="B115" t="s">
        <v>469</v>
      </c>
      <c r="C115" s="29" t="s">
        <v>252</v>
      </c>
      <c r="D115" s="29" t="s">
        <v>231</v>
      </c>
      <c r="E115" s="29" t="s">
        <v>233</v>
      </c>
      <c r="F115" s="21">
        <v>0.03</v>
      </c>
      <c r="G115" s="21">
        <v>0.22500000000000001</v>
      </c>
      <c r="H115" s="21">
        <v>0.4</v>
      </c>
      <c r="I115" t="str">
        <f t="shared" si="6"/>
        <v>[0.03, 0.225, 0.4]</v>
      </c>
    </row>
    <row r="116" spans="2:9" x14ac:dyDescent="0.3">
      <c r="B116" t="s">
        <v>470</v>
      </c>
      <c r="C116" s="29" t="s">
        <v>252</v>
      </c>
      <c r="D116" s="29" t="s">
        <v>253</v>
      </c>
      <c r="E116" s="29" t="s">
        <v>233</v>
      </c>
      <c r="F116" s="29">
        <v>0.03</v>
      </c>
      <c r="G116" s="29">
        <v>0.1</v>
      </c>
      <c r="H116" s="29">
        <v>0.4</v>
      </c>
      <c r="I116" t="str">
        <f t="shared" si="6"/>
        <v>[0.03, 0.1, 0.4]</v>
      </c>
    </row>
    <row r="117" spans="2:9" x14ac:dyDescent="0.3">
      <c r="B117" t="s">
        <v>471</v>
      </c>
      <c r="C117" s="8" t="s">
        <v>350</v>
      </c>
      <c r="D117" s="8" t="s">
        <v>233</v>
      </c>
      <c r="E117" s="8" t="s">
        <v>252</v>
      </c>
      <c r="F117" s="8">
        <v>0</v>
      </c>
      <c r="G117" s="8">
        <v>0.4</v>
      </c>
      <c r="H117" s="8">
        <v>0.03</v>
      </c>
      <c r="I117" s="22" t="s">
        <v>524</v>
      </c>
    </row>
    <row r="118" spans="2:9" x14ac:dyDescent="0.3">
      <c r="B118" t="s">
        <v>523</v>
      </c>
      <c r="C118" s="29" t="s">
        <v>323</v>
      </c>
      <c r="D118" s="29" t="s">
        <v>323</v>
      </c>
      <c r="E118" s="29" t="s">
        <v>323</v>
      </c>
      <c r="F118" s="29"/>
      <c r="G118" s="29"/>
      <c r="H118" s="29"/>
      <c r="I118" s="22" t="s">
        <v>323</v>
      </c>
    </row>
    <row r="119" spans="2:9" x14ac:dyDescent="0.3">
      <c r="B119" t="s">
        <v>472</v>
      </c>
      <c r="C119" s="29" t="s">
        <v>350</v>
      </c>
      <c r="D119" s="29" t="s">
        <v>253</v>
      </c>
      <c r="E119" s="29" t="s">
        <v>252</v>
      </c>
      <c r="F119" s="8">
        <v>0</v>
      </c>
      <c r="G119" s="8">
        <v>0.1</v>
      </c>
      <c r="H119" s="8">
        <v>0.03</v>
      </c>
      <c r="I119" s="22" t="s">
        <v>524</v>
      </c>
    </row>
    <row r="120" spans="2:9" x14ac:dyDescent="0.3">
      <c r="B120" t="s">
        <v>473</v>
      </c>
      <c r="C120" s="29" t="s">
        <v>350</v>
      </c>
      <c r="D120" s="29" t="s">
        <v>350</v>
      </c>
      <c r="E120" s="29" t="s">
        <v>252</v>
      </c>
      <c r="F120" s="29">
        <v>0</v>
      </c>
      <c r="G120" s="29">
        <v>0</v>
      </c>
      <c r="H120" s="29">
        <v>0.03</v>
      </c>
      <c r="I120" t="str">
        <f t="shared" si="6"/>
        <v>[0, 0, 0.03]</v>
      </c>
    </row>
    <row r="121" spans="2:9" x14ac:dyDescent="0.3">
      <c r="B121" t="s">
        <v>474</v>
      </c>
      <c r="C121" s="8" t="s">
        <v>253</v>
      </c>
      <c r="D121" s="8" t="s">
        <v>232</v>
      </c>
      <c r="E121" s="8" t="s">
        <v>233</v>
      </c>
      <c r="F121" s="8">
        <v>0.1</v>
      </c>
      <c r="G121" s="8">
        <v>0.65</v>
      </c>
      <c r="H121" s="8">
        <v>0.4</v>
      </c>
      <c r="I121" s="22" t="s">
        <v>524</v>
      </c>
    </row>
    <row r="122" spans="2:9" x14ac:dyDescent="0.3">
      <c r="B122" t="s">
        <v>475</v>
      </c>
      <c r="C122" s="29" t="s">
        <v>252</v>
      </c>
      <c r="D122" s="29" t="s">
        <v>253</v>
      </c>
      <c r="E122" s="29" t="s">
        <v>231</v>
      </c>
      <c r="F122" s="29">
        <v>0.03</v>
      </c>
      <c r="G122" s="29">
        <v>0.1</v>
      </c>
      <c r="H122" s="29">
        <v>0.22500000000000001</v>
      </c>
      <c r="I122" t="str">
        <f t="shared" ref="I122:I123" si="7">_xlfn.CONCAT("[",F122,", ",G122,", ",H122,"]")</f>
        <v>[0.03, 0.1, 0.225]</v>
      </c>
    </row>
    <row r="123" spans="2:9" x14ac:dyDescent="0.3">
      <c r="B123" t="s">
        <v>476</v>
      </c>
      <c r="C123" s="29" t="s">
        <v>350</v>
      </c>
      <c r="D123" s="29" t="s">
        <v>252</v>
      </c>
      <c r="E123" s="29" t="s">
        <v>252</v>
      </c>
      <c r="F123" s="29">
        <v>0</v>
      </c>
      <c r="G123" s="29">
        <v>0.03</v>
      </c>
      <c r="H123" s="21">
        <v>0.05</v>
      </c>
      <c r="I123" t="str">
        <f t="shared" si="7"/>
        <v>[0, 0.03, 0.05]</v>
      </c>
    </row>
    <row r="126" spans="2:9" x14ac:dyDescent="0.3">
      <c r="E126" s="210" t="s">
        <v>501</v>
      </c>
      <c r="F126" s="210">
        <f>AVERAGE(F110:F123)</f>
        <v>4.5000000000000005E-2</v>
      </c>
      <c r="G126" s="210">
        <f>AVERAGE(G110:G123)</f>
        <v>0.22576923076923078</v>
      </c>
      <c r="H126" s="210">
        <f>AVERAGE(H110:H123)</f>
        <v>0.3626923076923077</v>
      </c>
    </row>
    <row r="127" spans="2:9" x14ac:dyDescent="0.3">
      <c r="E127" s="29" t="s">
        <v>502</v>
      </c>
      <c r="F127" s="29">
        <f>AVERAGE(F110:F117,F119:F123)</f>
        <v>4.5000000000000005E-2</v>
      </c>
      <c r="G127" s="29">
        <f>AVERAGE(G110:G116,G120,G122:G123)</f>
        <v>0.17850000000000005</v>
      </c>
      <c r="H127" s="29">
        <f>AVERAGE(H110:H116,H119:H120,H122:H123)</f>
        <v>0.38954545454545447</v>
      </c>
    </row>
    <row r="128" spans="2:9" x14ac:dyDescent="0.3">
      <c r="E128" s="210" t="s">
        <v>496</v>
      </c>
      <c r="F128" s="210">
        <f>MEDIAN(F110:F117,F119:F123)</f>
        <v>0.03</v>
      </c>
      <c r="G128" s="210">
        <f>MEDIAN(G110:G117,G119:G123)</f>
        <v>0.1</v>
      </c>
      <c r="H128" s="210">
        <f>MEDIAN(H110:H117,H119:H123)</f>
        <v>0.4</v>
      </c>
    </row>
    <row r="129" spans="3:12" x14ac:dyDescent="0.3">
      <c r="E129" s="29" t="s">
        <v>499</v>
      </c>
      <c r="F129" s="29">
        <f t="shared" ref="F129:G129" si="8">MEDIAN(F110:F116,F119:F120,F122:F123)</f>
        <v>0.03</v>
      </c>
      <c r="G129" s="36">
        <f t="shared" si="8"/>
        <v>0.1</v>
      </c>
      <c r="H129" s="29">
        <f>MEDIAN(H110:H116,H119:H120,H122:H123)</f>
        <v>0.4</v>
      </c>
    </row>
    <row r="130" spans="3:12" x14ac:dyDescent="0.3">
      <c r="E130" s="210" t="s">
        <v>500</v>
      </c>
      <c r="F130" s="210" cm="1">
        <f t="array" ref="F130">_xlfn.MODE.MULT(F110:F123)</f>
        <v>0.03</v>
      </c>
      <c r="G130" s="210" cm="1">
        <f t="array" ref="G130:G131">_xlfn.MODE.MULT(G110:G123)</f>
        <v>0.4</v>
      </c>
      <c r="H130" s="210" cm="1">
        <f t="array" ref="H130">_xlfn.MODE.MULT(H110:H123)</f>
        <v>0.4</v>
      </c>
    </row>
    <row r="131" spans="3:12" x14ac:dyDescent="0.3">
      <c r="E131" s="210"/>
      <c r="F131" s="210"/>
      <c r="G131" s="210">
        <v>0.1</v>
      </c>
      <c r="H131" s="210"/>
    </row>
    <row r="132" spans="3:12" x14ac:dyDescent="0.3">
      <c r="E132" s="29" t="s">
        <v>503</v>
      </c>
      <c r="F132" cm="1">
        <f t="array" ref="F132">_xlfn.MODE.MULT(F110:F116,F119:F120,F122:F123)</f>
        <v>0.03</v>
      </c>
      <c r="G132" cm="1">
        <f t="array" ref="G132">_xlfn.MODE.MULT(G110:G116,G119:G120,G122:G123)</f>
        <v>0.1</v>
      </c>
      <c r="H132" s="22" cm="1">
        <f t="array" ref="H132">_xlfn.MODE.MULT(H110:H116,H119:H120,H122:H123)</f>
        <v>0.4</v>
      </c>
      <c r="I132" s="22" t="s">
        <v>504</v>
      </c>
    </row>
    <row r="137" spans="3:12" x14ac:dyDescent="0.3">
      <c r="C137" s="211" t="s">
        <v>527</v>
      </c>
      <c r="D137" s="211" t="s">
        <v>528</v>
      </c>
      <c r="E137" s="227" t="s">
        <v>529</v>
      </c>
      <c r="F137" s="211" t="s">
        <v>530</v>
      </c>
      <c r="G137" s="211" t="s">
        <v>531</v>
      </c>
      <c r="H137" s="227" t="s">
        <v>532</v>
      </c>
      <c r="I137" s="227" t="s">
        <v>533</v>
      </c>
      <c r="J137" s="211" t="s">
        <v>534</v>
      </c>
      <c r="K137" s="211" t="s">
        <v>535</v>
      </c>
      <c r="L137" s="211" t="s">
        <v>536</v>
      </c>
    </row>
    <row r="138" spans="3:12" x14ac:dyDescent="0.3">
      <c r="C138" s="225" t="s">
        <v>537</v>
      </c>
      <c r="D138" s="226">
        <v>0.17867088245985199</v>
      </c>
      <c r="E138" s="228">
        <v>0.11251454560037399</v>
      </c>
      <c r="F138" s="225">
        <v>0</v>
      </c>
      <c r="G138" s="225">
        <v>1</v>
      </c>
      <c r="H138" s="229">
        <v>3.85687332134411E-3</v>
      </c>
      <c r="I138" s="230">
        <v>0.55445635313541197</v>
      </c>
      <c r="J138" s="225">
        <v>11</v>
      </c>
      <c r="K138" s="225">
        <v>5</v>
      </c>
      <c r="L138" s="225">
        <v>10000</v>
      </c>
    </row>
    <row r="140" spans="3:12" x14ac:dyDescent="0.3">
      <c r="E140" s="37">
        <f>(D138-E138)/E138</f>
        <v>0.58798030518160926</v>
      </c>
    </row>
  </sheetData>
  <pageMargins left="0.7" right="0.7" top="0.75" bottom="0.75" header="0.3" footer="0.3"/>
  <pageSetup paperSize="9" orientation="portrait" r:id="rId1"/>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C56-A1CE-461F-B42A-6236AA74650B}">
  <sheetPr>
    <tabColor theme="8" tint="0.79998168889431442"/>
  </sheetPr>
  <dimension ref="A3:E62"/>
  <sheetViews>
    <sheetView workbookViewId="0">
      <selection activeCell="B62" sqref="B62"/>
    </sheetView>
  </sheetViews>
  <sheetFormatPr defaultRowHeight="14.4" x14ac:dyDescent="0.3"/>
  <cols>
    <col min="1" max="1" width="23.88671875" customWidth="1"/>
  </cols>
  <sheetData>
    <row r="3" spans="1:4" ht="100.8" x14ac:dyDescent="0.3">
      <c r="A3" s="1" t="s">
        <v>93</v>
      </c>
      <c r="B3" s="1" t="s">
        <v>93</v>
      </c>
    </row>
    <row r="4" spans="1:4" x14ac:dyDescent="0.3">
      <c r="A4" t="s">
        <v>124</v>
      </c>
      <c r="B4" t="s">
        <v>355</v>
      </c>
      <c r="C4">
        <v>3</v>
      </c>
      <c r="D4" s="37">
        <f>C4/$C$13</f>
        <v>0.21428571428571427</v>
      </c>
    </row>
    <row r="5" spans="1:4" x14ac:dyDescent="0.3">
      <c r="A5" t="s">
        <v>272</v>
      </c>
      <c r="B5" t="s">
        <v>272</v>
      </c>
      <c r="C5">
        <v>3</v>
      </c>
      <c r="D5" s="37">
        <f t="shared" ref="D5:D12" si="0">C5/$C$13</f>
        <v>0.21428571428571427</v>
      </c>
    </row>
    <row r="6" spans="1:4" x14ac:dyDescent="0.3">
      <c r="A6" t="s">
        <v>366</v>
      </c>
      <c r="B6" t="s">
        <v>257</v>
      </c>
      <c r="C6">
        <v>2</v>
      </c>
      <c r="D6" s="37">
        <f t="shared" si="0"/>
        <v>0.14285714285714285</v>
      </c>
    </row>
    <row r="7" spans="1:4" x14ac:dyDescent="0.3">
      <c r="A7" t="s">
        <v>257</v>
      </c>
      <c r="B7" t="s">
        <v>540</v>
      </c>
      <c r="C7">
        <v>1</v>
      </c>
      <c r="D7" s="37">
        <f t="shared" si="0"/>
        <v>7.1428571428571425E-2</v>
      </c>
    </row>
    <row r="8" spans="1:4" x14ac:dyDescent="0.3">
      <c r="A8" t="s">
        <v>204</v>
      </c>
      <c r="B8" t="s">
        <v>395</v>
      </c>
      <c r="C8">
        <v>1</v>
      </c>
      <c r="D8" s="37">
        <f t="shared" si="0"/>
        <v>7.1428571428571425E-2</v>
      </c>
    </row>
    <row r="9" spans="1:4" x14ac:dyDescent="0.3">
      <c r="B9" t="s">
        <v>382</v>
      </c>
      <c r="C9">
        <v>1</v>
      </c>
      <c r="D9" s="37">
        <f t="shared" si="0"/>
        <v>7.1428571428571425E-2</v>
      </c>
    </row>
    <row r="10" spans="1:4" x14ac:dyDescent="0.3">
      <c r="A10" t="s">
        <v>272</v>
      </c>
      <c r="B10" t="s">
        <v>333</v>
      </c>
      <c r="C10">
        <v>1</v>
      </c>
      <c r="D10" s="37">
        <f t="shared" si="0"/>
        <v>7.1428571428571425E-2</v>
      </c>
    </row>
    <row r="11" spans="1:4" x14ac:dyDescent="0.3">
      <c r="A11" t="s">
        <v>355</v>
      </c>
      <c r="B11" t="s">
        <v>538</v>
      </c>
      <c r="C11">
        <v>1</v>
      </c>
      <c r="D11" s="37">
        <f t="shared" si="0"/>
        <v>7.1428571428571425E-2</v>
      </c>
    </row>
    <row r="12" spans="1:4" x14ac:dyDescent="0.3">
      <c r="A12" t="s">
        <v>333</v>
      </c>
      <c r="B12" t="s">
        <v>539</v>
      </c>
      <c r="C12">
        <v>1</v>
      </c>
      <c r="D12" s="37">
        <f t="shared" si="0"/>
        <v>7.1428571428571425E-2</v>
      </c>
    </row>
    <row r="13" spans="1:4" x14ac:dyDescent="0.3">
      <c r="A13" t="s">
        <v>355</v>
      </c>
      <c r="C13">
        <f>SUM(C4:C12)</f>
        <v>14</v>
      </c>
    </row>
    <row r="14" spans="1:4" x14ac:dyDescent="0.3">
      <c r="A14" t="s">
        <v>382</v>
      </c>
    </row>
    <row r="15" spans="1:4" x14ac:dyDescent="0.3">
      <c r="A15" t="s">
        <v>257</v>
      </c>
      <c r="B15" t="s">
        <v>538</v>
      </c>
      <c r="C15">
        <v>3</v>
      </c>
      <c r="D15" s="37">
        <f>C15/$C$21</f>
        <v>0.21428571428571427</v>
      </c>
    </row>
    <row r="16" spans="1:4" x14ac:dyDescent="0.3">
      <c r="A16" t="s">
        <v>410</v>
      </c>
      <c r="B16" t="s">
        <v>541</v>
      </c>
      <c r="C16">
        <v>7</v>
      </c>
      <c r="D16" s="37">
        <f t="shared" ref="D16:D17" si="1">C16/$C$21</f>
        <v>0.5</v>
      </c>
    </row>
    <row r="17" spans="1:5" x14ac:dyDescent="0.3">
      <c r="A17" t="s">
        <v>317</v>
      </c>
      <c r="B17" t="s">
        <v>542</v>
      </c>
      <c r="C17">
        <v>3</v>
      </c>
      <c r="D17" s="37">
        <f t="shared" si="1"/>
        <v>0.21428571428571427</v>
      </c>
    </row>
    <row r="18" spans="1:5" x14ac:dyDescent="0.3">
      <c r="A18" t="s">
        <v>395</v>
      </c>
      <c r="B18" t="s">
        <v>543</v>
      </c>
      <c r="D18" s="37"/>
    </row>
    <row r="19" spans="1:5" x14ac:dyDescent="0.3">
      <c r="B19" t="s">
        <v>544</v>
      </c>
      <c r="D19" s="37"/>
    </row>
    <row r="20" spans="1:5" x14ac:dyDescent="0.3">
      <c r="B20" t="s">
        <v>539</v>
      </c>
      <c r="C20">
        <v>1</v>
      </c>
      <c r="D20" s="37">
        <f t="shared" ref="D20" si="2">C20/$C$21</f>
        <v>7.1428571428571425E-2</v>
      </c>
    </row>
    <row r="21" spans="1:5" x14ac:dyDescent="0.3">
      <c r="C21">
        <v>14</v>
      </c>
    </row>
    <row r="25" spans="1:5" ht="28.8" x14ac:dyDescent="0.3">
      <c r="A25" s="1" t="s">
        <v>92</v>
      </c>
    </row>
    <row r="26" spans="1:5" x14ac:dyDescent="0.3">
      <c r="A26" t="s">
        <v>123</v>
      </c>
    </row>
    <row r="27" spans="1:5" x14ac:dyDescent="0.3">
      <c r="A27" t="s">
        <v>271</v>
      </c>
      <c r="B27" s="5" t="s">
        <v>545</v>
      </c>
      <c r="C27" s="4" t="s">
        <v>546</v>
      </c>
      <c r="D27">
        <f>COUNTIF($A$27:$A$40,B27)</f>
        <v>0</v>
      </c>
      <c r="E27" s="37">
        <f>D27/$D$31</f>
        <v>0</v>
      </c>
    </row>
    <row r="28" spans="1:5" x14ac:dyDescent="0.3">
      <c r="A28" t="s">
        <v>240</v>
      </c>
      <c r="B28" t="s">
        <v>240</v>
      </c>
      <c r="C28" s="4" t="s">
        <v>547</v>
      </c>
      <c r="D28">
        <f>COUNTIF($A$27:$A$40,B28)</f>
        <v>9</v>
      </c>
      <c r="E28" s="37">
        <f>D28/$D$31</f>
        <v>0.6428571428571429</v>
      </c>
    </row>
    <row r="29" spans="1:5" x14ac:dyDescent="0.3">
      <c r="A29" t="s">
        <v>240</v>
      </c>
      <c r="B29" t="s">
        <v>271</v>
      </c>
      <c r="C29" s="4" t="s">
        <v>548</v>
      </c>
      <c r="D29">
        <f>COUNTIF($A$27:$A$40,B29)</f>
        <v>4</v>
      </c>
      <c r="E29" s="37">
        <f>D29/$D$31</f>
        <v>0.2857142857142857</v>
      </c>
    </row>
    <row r="30" spans="1:5" x14ac:dyDescent="0.3">
      <c r="A30" t="s">
        <v>203</v>
      </c>
      <c r="B30" t="s">
        <v>203</v>
      </c>
      <c r="C30" s="4" t="s">
        <v>203</v>
      </c>
      <c r="D30">
        <f>COUNTIF($A$27:$A$40,B30)</f>
        <v>1</v>
      </c>
      <c r="E30" s="37">
        <f>D30/$D$31</f>
        <v>7.1428571428571425E-2</v>
      </c>
    </row>
    <row r="31" spans="1:5" x14ac:dyDescent="0.3">
      <c r="A31" t="s">
        <v>240</v>
      </c>
      <c r="D31">
        <f>SUM(D27:D30)</f>
        <v>14</v>
      </c>
    </row>
    <row r="32" spans="1:5" x14ac:dyDescent="0.3">
      <c r="A32" t="s">
        <v>271</v>
      </c>
    </row>
    <row r="33" spans="1:1" x14ac:dyDescent="0.3">
      <c r="A33" t="s">
        <v>271</v>
      </c>
    </row>
    <row r="34" spans="1:1" x14ac:dyDescent="0.3">
      <c r="A34" t="s">
        <v>240</v>
      </c>
    </row>
    <row r="35" spans="1:1" x14ac:dyDescent="0.3">
      <c r="A35" t="s">
        <v>240</v>
      </c>
    </row>
    <row r="36" spans="1:1" x14ac:dyDescent="0.3">
      <c r="A36" t="s">
        <v>240</v>
      </c>
    </row>
    <row r="37" spans="1:1" x14ac:dyDescent="0.3">
      <c r="A37" t="s">
        <v>271</v>
      </c>
    </row>
    <row r="38" spans="1:1" x14ac:dyDescent="0.3">
      <c r="A38" t="s">
        <v>240</v>
      </c>
    </row>
    <row r="39" spans="1:1" x14ac:dyDescent="0.3">
      <c r="A39" t="s">
        <v>240</v>
      </c>
    </row>
    <row r="40" spans="1:1" x14ac:dyDescent="0.3">
      <c r="A40" t="s">
        <v>240</v>
      </c>
    </row>
    <row r="49" spans="1:4" x14ac:dyDescent="0.3">
      <c r="A49" t="s">
        <v>289</v>
      </c>
      <c r="B49" t="s">
        <v>290</v>
      </c>
      <c r="C49" t="s">
        <v>254</v>
      </c>
      <c r="D49">
        <f t="shared" ref="D49:D56" si="3">COUNTIF($A$49:$A$62,C49)</f>
        <v>3</v>
      </c>
    </row>
    <row r="50" spans="1:4" x14ac:dyDescent="0.3">
      <c r="A50" t="s">
        <v>267</v>
      </c>
      <c r="C50" t="s">
        <v>550</v>
      </c>
      <c r="D50">
        <f t="shared" si="3"/>
        <v>0</v>
      </c>
    </row>
    <row r="51" spans="1:4" x14ac:dyDescent="0.3">
      <c r="A51" t="s">
        <v>267</v>
      </c>
      <c r="C51" t="s">
        <v>549</v>
      </c>
      <c r="D51">
        <f t="shared" si="3"/>
        <v>0</v>
      </c>
    </row>
    <row r="52" spans="1:4" x14ac:dyDescent="0.3">
      <c r="A52" t="s">
        <v>234</v>
      </c>
      <c r="C52" t="s">
        <v>234</v>
      </c>
      <c r="D52">
        <f t="shared" si="3"/>
        <v>3</v>
      </c>
    </row>
    <row r="53" spans="1:4" x14ac:dyDescent="0.3">
      <c r="A53" t="s">
        <v>254</v>
      </c>
      <c r="C53" t="s">
        <v>552</v>
      </c>
      <c r="D53">
        <f t="shared" si="3"/>
        <v>0</v>
      </c>
    </row>
    <row r="54" spans="1:4" x14ac:dyDescent="0.3">
      <c r="A54" t="s">
        <v>254</v>
      </c>
      <c r="C54" t="s">
        <v>351</v>
      </c>
      <c r="D54">
        <f t="shared" si="3"/>
        <v>2</v>
      </c>
    </row>
    <row r="55" spans="1:4" x14ac:dyDescent="0.3">
      <c r="A55" t="s">
        <v>234</v>
      </c>
      <c r="C55" t="s">
        <v>267</v>
      </c>
      <c r="D55">
        <f t="shared" si="3"/>
        <v>4</v>
      </c>
    </row>
    <row r="56" spans="1:4" x14ac:dyDescent="0.3">
      <c r="A56" t="s">
        <v>351</v>
      </c>
      <c r="C56" t="s">
        <v>289</v>
      </c>
      <c r="D56">
        <f t="shared" si="3"/>
        <v>2</v>
      </c>
    </row>
    <row r="57" spans="1:4" x14ac:dyDescent="0.3">
      <c r="A57" t="s">
        <v>289</v>
      </c>
      <c r="B57" t="s">
        <v>363</v>
      </c>
    </row>
    <row r="58" spans="1:4" x14ac:dyDescent="0.3">
      <c r="A58" t="s">
        <v>351</v>
      </c>
    </row>
    <row r="59" spans="1:4" x14ac:dyDescent="0.3">
      <c r="A59" t="s">
        <v>254</v>
      </c>
    </row>
    <row r="60" spans="1:4" x14ac:dyDescent="0.3">
      <c r="A60" t="s">
        <v>267</v>
      </c>
    </row>
    <row r="61" spans="1:4" x14ac:dyDescent="0.3">
      <c r="A61" t="s">
        <v>267</v>
      </c>
    </row>
    <row r="62" spans="1:4" x14ac:dyDescent="0.3">
      <c r="A62" t="s">
        <v>234</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9B71A-C2ED-4CDA-89D0-292E6B99D50C}">
  <sheetPr>
    <tabColor theme="8" tint="0.79998168889431442"/>
  </sheetPr>
  <dimension ref="B1:CN33"/>
  <sheetViews>
    <sheetView zoomScale="85" zoomScaleNormal="85" workbookViewId="0">
      <pane ySplit="3" topLeftCell="A16" activePane="bottomLeft" state="frozen"/>
      <selection activeCell="B62" sqref="B62"/>
      <selection pane="bottomLeft" activeCell="B62" sqref="B62"/>
    </sheetView>
  </sheetViews>
  <sheetFormatPr defaultRowHeight="14.4" x14ac:dyDescent="0.3"/>
  <cols>
    <col min="16" max="16" width="82.109375" customWidth="1"/>
    <col min="17" max="17" width="15.88671875" customWidth="1"/>
    <col min="22" max="22" width="67" customWidth="1"/>
    <col min="37" max="37" width="28.33203125" customWidth="1"/>
    <col min="38" max="38" width="24.5546875" customWidth="1"/>
    <col min="39" max="39" width="19.44140625" customWidth="1"/>
    <col min="44" max="44" width="79" customWidth="1"/>
    <col min="45" max="45" width="13.44140625" customWidth="1"/>
    <col min="83" max="83" width="20.6640625" customWidth="1"/>
    <col min="86" max="86" width="10.5546875" customWidth="1"/>
  </cols>
  <sheetData>
    <row r="1" spans="2:92" x14ac:dyDescent="0.3">
      <c r="B1" t="s">
        <v>3</v>
      </c>
      <c r="C1" t="s">
        <v>463</v>
      </c>
      <c r="D1" t="s">
        <v>4</v>
      </c>
      <c r="E1" t="s">
        <v>42</v>
      </c>
      <c r="F1" t="s">
        <v>8</v>
      </c>
      <c r="G1" t="s">
        <v>9</v>
      </c>
      <c r="H1" s="13" t="s">
        <v>460</v>
      </c>
      <c r="I1" t="s">
        <v>81</v>
      </c>
      <c r="J1" t="s">
        <v>83</v>
      </c>
      <c r="K1" t="s">
        <v>82</v>
      </c>
      <c r="L1" t="s">
        <v>13</v>
      </c>
      <c r="M1" t="s">
        <v>14</v>
      </c>
      <c r="N1" t="s">
        <v>15</v>
      </c>
      <c r="O1" t="s">
        <v>45</v>
      </c>
      <c r="P1" t="s">
        <v>68</v>
      </c>
      <c r="Q1" t="s">
        <v>65</v>
      </c>
      <c r="R1" t="s">
        <v>46</v>
      </c>
      <c r="S1" t="s">
        <v>16</v>
      </c>
      <c r="T1" t="s">
        <v>20</v>
      </c>
      <c r="U1" t="s">
        <v>39</v>
      </c>
      <c r="V1" t="s">
        <v>11</v>
      </c>
      <c r="W1" t="s">
        <v>67</v>
      </c>
      <c r="X1" t="s">
        <v>17</v>
      </c>
      <c r="Y1" t="s">
        <v>18</v>
      </c>
      <c r="Z1" t="s">
        <v>19</v>
      </c>
      <c r="AA1" t="s">
        <v>26</v>
      </c>
      <c r="AB1" t="s">
        <v>27</v>
      </c>
      <c r="AC1" t="s">
        <v>28</v>
      </c>
      <c r="AD1" t="s">
        <v>30</v>
      </c>
      <c r="AE1" t="s">
        <v>31</v>
      </c>
      <c r="AF1" t="s">
        <v>32</v>
      </c>
      <c r="AG1" t="s">
        <v>23</v>
      </c>
      <c r="AH1" t="s">
        <v>24</v>
      </c>
      <c r="AI1" t="s">
        <v>25</v>
      </c>
      <c r="AJ1" s="13" t="s">
        <v>461</v>
      </c>
      <c r="AK1" t="s">
        <v>73</v>
      </c>
      <c r="AL1" t="s">
        <v>75</v>
      </c>
      <c r="AM1" t="s">
        <v>74</v>
      </c>
      <c r="AN1" t="s">
        <v>69</v>
      </c>
      <c r="AO1" t="s">
        <v>70</v>
      </c>
      <c r="AP1" t="s">
        <v>71</v>
      </c>
      <c r="AQ1" t="s">
        <v>53</v>
      </c>
      <c r="AR1" t="s">
        <v>66</v>
      </c>
      <c r="AS1" t="s">
        <v>76</v>
      </c>
      <c r="AT1" t="s">
        <v>35</v>
      </c>
      <c r="AU1" t="s">
        <v>47</v>
      </c>
      <c r="AV1" t="s">
        <v>48</v>
      </c>
      <c r="AW1" t="s">
        <v>49</v>
      </c>
      <c r="AX1" t="s">
        <v>54</v>
      </c>
      <c r="AY1" t="s">
        <v>55</v>
      </c>
      <c r="AZ1" t="s">
        <v>56</v>
      </c>
      <c r="BA1" t="s">
        <v>57</v>
      </c>
      <c r="BB1" t="s">
        <v>58</v>
      </c>
      <c r="BC1" t="s">
        <v>59</v>
      </c>
      <c r="BD1" t="s">
        <v>60</v>
      </c>
      <c r="BE1" t="s">
        <v>61</v>
      </c>
      <c r="BF1" t="s">
        <v>62</v>
      </c>
      <c r="BG1" s="13" t="s">
        <v>462</v>
      </c>
      <c r="BH1" t="s">
        <v>10</v>
      </c>
      <c r="BI1" t="s">
        <v>11</v>
      </c>
      <c r="BJ1" t="s">
        <v>67</v>
      </c>
      <c r="BK1" t="s">
        <v>78</v>
      </c>
      <c r="BL1" s="16" t="s">
        <v>64</v>
      </c>
      <c r="BM1" s="16"/>
      <c r="BN1" s="10" t="s">
        <v>12</v>
      </c>
      <c r="BO1" s="10" t="s">
        <v>5</v>
      </c>
      <c r="BP1" s="10" t="s">
        <v>6</v>
      </c>
      <c r="BQ1" s="10" t="s">
        <v>7</v>
      </c>
      <c r="BR1" s="10" t="s">
        <v>33</v>
      </c>
      <c r="BS1" s="10" t="s">
        <v>34</v>
      </c>
      <c r="BT1" s="10" t="s">
        <v>50</v>
      </c>
      <c r="BU1" s="10" t="s">
        <v>36</v>
      </c>
      <c r="BV1" s="10" t="s">
        <v>29</v>
      </c>
      <c r="BW1" s="10" t="s">
        <v>37</v>
      </c>
      <c r="BX1" s="10" t="s">
        <v>38</v>
      </c>
      <c r="BY1" s="10" t="s">
        <v>40</v>
      </c>
      <c r="BZ1" s="10" t="s">
        <v>41</v>
      </c>
      <c r="CA1" s="10" t="s">
        <v>43</v>
      </c>
      <c r="CB1" s="10" t="s">
        <v>44</v>
      </c>
      <c r="CC1" s="10" t="s">
        <v>51</v>
      </c>
      <c r="CD1" s="10" t="s">
        <v>52</v>
      </c>
      <c r="CE1" s="10" t="s">
        <v>63</v>
      </c>
      <c r="CF1" s="10" t="s">
        <v>72</v>
      </c>
      <c r="CG1" s="8" t="s">
        <v>77</v>
      </c>
      <c r="CH1" s="10" t="s">
        <v>0</v>
      </c>
      <c r="CI1" s="10" t="s">
        <v>1</v>
      </c>
      <c r="CJ1" s="10" t="s">
        <v>2</v>
      </c>
      <c r="CK1" s="10" t="s">
        <v>79</v>
      </c>
      <c r="CL1" s="10" t="s">
        <v>21</v>
      </c>
      <c r="CM1" s="10" t="s">
        <v>22</v>
      </c>
      <c r="CN1" s="10" t="s">
        <v>80</v>
      </c>
    </row>
    <row r="2" spans="2:92" s="1" customFormat="1" ht="102" customHeight="1" x14ac:dyDescent="0.3">
      <c r="B2" s="1" t="s">
        <v>3</v>
      </c>
      <c r="C2" s="1" t="s">
        <v>463</v>
      </c>
      <c r="D2" s="1" t="s">
        <v>86</v>
      </c>
      <c r="E2" s="1" t="s">
        <v>42</v>
      </c>
      <c r="F2" s="1" t="s">
        <v>90</v>
      </c>
      <c r="G2" s="1" t="s">
        <v>91</v>
      </c>
      <c r="H2" s="14"/>
      <c r="I2" s="1" t="s">
        <v>110</v>
      </c>
      <c r="J2" s="1" t="s">
        <v>112</v>
      </c>
      <c r="K2" s="1" t="s">
        <v>111</v>
      </c>
      <c r="L2" s="1" t="s">
        <v>13</v>
      </c>
      <c r="M2" s="1" t="s">
        <v>14</v>
      </c>
      <c r="N2" s="1" t="s">
        <v>15</v>
      </c>
      <c r="O2" s="1" t="s">
        <v>45</v>
      </c>
      <c r="P2" s="1" t="s">
        <v>100</v>
      </c>
      <c r="Q2" s="1" t="s">
        <v>96</v>
      </c>
      <c r="R2" s="1" t="s">
        <v>46</v>
      </c>
      <c r="S2" s="1" t="s">
        <v>16</v>
      </c>
      <c r="T2" s="1" t="s">
        <v>20</v>
      </c>
      <c r="U2" s="1" t="s">
        <v>39</v>
      </c>
      <c r="V2" s="1" t="s">
        <v>98</v>
      </c>
      <c r="W2" s="1" t="s">
        <v>99</v>
      </c>
      <c r="X2" s="1" t="s">
        <v>17</v>
      </c>
      <c r="Y2" s="1" t="s">
        <v>18</v>
      </c>
      <c r="Z2" s="1" t="s">
        <v>19</v>
      </c>
      <c r="AA2" s="1" t="s">
        <v>26</v>
      </c>
      <c r="AB2" s="1" t="s">
        <v>27</v>
      </c>
      <c r="AC2" s="1" t="s">
        <v>28</v>
      </c>
      <c r="AD2" s="1" t="s">
        <v>30</v>
      </c>
      <c r="AE2" s="1" t="s">
        <v>31</v>
      </c>
      <c r="AF2" s="1" t="s">
        <v>32</v>
      </c>
      <c r="AG2" s="1" t="s">
        <v>23</v>
      </c>
      <c r="AH2" s="1" t="s">
        <v>24</v>
      </c>
      <c r="AI2" s="1" t="s">
        <v>25</v>
      </c>
      <c r="AJ2" s="14"/>
      <c r="AK2" s="1" t="s">
        <v>101</v>
      </c>
      <c r="AL2" s="1" t="s">
        <v>103</v>
      </c>
      <c r="AM2" s="1" t="s">
        <v>102</v>
      </c>
      <c r="AN2" s="1" t="s">
        <v>69</v>
      </c>
      <c r="AO2" s="1" t="s">
        <v>70</v>
      </c>
      <c r="AP2" s="1" t="s">
        <v>71</v>
      </c>
      <c r="AQ2" s="1" t="s">
        <v>53</v>
      </c>
      <c r="AR2" s="1" t="s">
        <v>97</v>
      </c>
      <c r="AS2" s="1" t="s">
        <v>104</v>
      </c>
      <c r="AT2" s="1" t="s">
        <v>35</v>
      </c>
      <c r="AU2" s="1" t="s">
        <v>47</v>
      </c>
      <c r="AV2" s="12" t="s">
        <v>48</v>
      </c>
      <c r="AW2" s="12" t="s">
        <v>49</v>
      </c>
      <c r="AX2" s="1" t="s">
        <v>54</v>
      </c>
      <c r="AY2" s="1" t="s">
        <v>55</v>
      </c>
      <c r="AZ2" s="1" t="s">
        <v>56</v>
      </c>
      <c r="BA2" s="1" t="s">
        <v>57</v>
      </c>
      <c r="BB2" s="1" t="s">
        <v>58</v>
      </c>
      <c r="BC2" s="1" t="s">
        <v>59</v>
      </c>
      <c r="BD2" s="1" t="s">
        <v>60</v>
      </c>
      <c r="BE2" s="1" t="s">
        <v>61</v>
      </c>
      <c r="BF2" s="1" t="s">
        <v>62</v>
      </c>
      <c r="BG2" s="14"/>
      <c r="BH2" s="1" t="s">
        <v>92</v>
      </c>
      <c r="BI2" s="1" t="s">
        <v>93</v>
      </c>
      <c r="BJ2" s="1" t="s">
        <v>106</v>
      </c>
      <c r="BK2" s="1" t="s">
        <v>107</v>
      </c>
      <c r="BL2" s="17" t="s">
        <v>95</v>
      </c>
      <c r="BM2" s="17"/>
      <c r="BN2" s="11" t="s">
        <v>12</v>
      </c>
      <c r="BO2" s="11" t="s">
        <v>87</v>
      </c>
      <c r="BP2" s="11" t="s">
        <v>88</v>
      </c>
      <c r="BQ2" s="11" t="s">
        <v>89</v>
      </c>
      <c r="BR2" s="11" t="s">
        <v>33</v>
      </c>
      <c r="BS2" s="11" t="s">
        <v>34</v>
      </c>
      <c r="BT2" s="11" t="s">
        <v>50</v>
      </c>
      <c r="BU2" s="11" t="s">
        <v>36</v>
      </c>
      <c r="BV2" s="11" t="s">
        <v>29</v>
      </c>
      <c r="BW2" s="11" t="s">
        <v>37</v>
      </c>
      <c r="BX2" s="11" t="s">
        <v>38</v>
      </c>
      <c r="BY2" s="11" t="s">
        <v>40</v>
      </c>
      <c r="BZ2" s="11" t="s">
        <v>41</v>
      </c>
      <c r="CA2" s="11" t="s">
        <v>43</v>
      </c>
      <c r="CB2" s="11" t="s">
        <v>44</v>
      </c>
      <c r="CC2" s="11" t="s">
        <v>51</v>
      </c>
      <c r="CD2" s="11" t="s">
        <v>52</v>
      </c>
      <c r="CE2" s="11" t="s">
        <v>94</v>
      </c>
      <c r="CF2" s="11" t="s">
        <v>72</v>
      </c>
      <c r="CG2" s="12" t="s">
        <v>105</v>
      </c>
      <c r="CH2" s="11" t="s">
        <v>84</v>
      </c>
      <c r="CI2" s="11" t="s">
        <v>85</v>
      </c>
      <c r="CJ2" s="11" t="s">
        <v>2</v>
      </c>
      <c r="CK2" s="11" t="s">
        <v>108</v>
      </c>
      <c r="CL2" s="11" t="s">
        <v>21</v>
      </c>
      <c r="CM2" s="11" t="s">
        <v>22</v>
      </c>
      <c r="CN2" s="11" t="s">
        <v>109</v>
      </c>
    </row>
    <row r="3" spans="2:92" x14ac:dyDescent="0.3">
      <c r="B3" t="s">
        <v>116</v>
      </c>
      <c r="C3" t="s">
        <v>463</v>
      </c>
      <c r="D3" t="s">
        <v>117</v>
      </c>
      <c r="E3" t="s">
        <v>155</v>
      </c>
      <c r="F3" t="s">
        <v>121</v>
      </c>
      <c r="G3" t="s">
        <v>122</v>
      </c>
      <c r="H3" s="13"/>
      <c r="I3" t="s">
        <v>196</v>
      </c>
      <c r="J3" t="s">
        <v>198</v>
      </c>
      <c r="K3" t="s">
        <v>197</v>
      </c>
      <c r="L3" t="s">
        <v>126</v>
      </c>
      <c r="M3" t="s">
        <v>127</v>
      </c>
      <c r="N3" t="s">
        <v>128</v>
      </c>
      <c r="O3" t="s">
        <v>158</v>
      </c>
      <c r="P3" t="s">
        <v>182</v>
      </c>
      <c r="Q3" t="s">
        <v>178</v>
      </c>
      <c r="R3" t="s">
        <v>159</v>
      </c>
      <c r="S3" t="s">
        <v>129</v>
      </c>
      <c r="T3" t="s">
        <v>133</v>
      </c>
      <c r="U3" t="s">
        <v>152</v>
      </c>
      <c r="V3" t="s">
        <v>180</v>
      </c>
      <c r="W3" t="s">
        <v>181</v>
      </c>
      <c r="X3" t="s">
        <v>130</v>
      </c>
      <c r="Y3" t="s">
        <v>131</v>
      </c>
      <c r="Z3" t="s">
        <v>132</v>
      </c>
      <c r="AA3" t="s">
        <v>139</v>
      </c>
      <c r="AB3" t="s">
        <v>140</v>
      </c>
      <c r="AC3" t="s">
        <v>141</v>
      </c>
      <c r="AD3" t="s">
        <v>143</v>
      </c>
      <c r="AE3" t="s">
        <v>144</v>
      </c>
      <c r="AF3" t="s">
        <v>145</v>
      </c>
      <c r="AG3" t="s">
        <v>136</v>
      </c>
      <c r="AH3" t="s">
        <v>137</v>
      </c>
      <c r="AI3" t="s">
        <v>138</v>
      </c>
      <c r="AJ3" s="13"/>
      <c r="AK3" t="s">
        <v>187</v>
      </c>
      <c r="AL3" t="s">
        <v>189</v>
      </c>
      <c r="AM3" t="s">
        <v>188</v>
      </c>
      <c r="AN3" t="s">
        <v>183</v>
      </c>
      <c r="AO3" t="s">
        <v>184</v>
      </c>
      <c r="AP3" t="s">
        <v>185</v>
      </c>
      <c r="AQ3" t="s">
        <v>166</v>
      </c>
      <c r="AR3" t="s">
        <v>179</v>
      </c>
      <c r="AS3" t="s">
        <v>190</v>
      </c>
      <c r="AT3" t="s">
        <v>148</v>
      </c>
      <c r="AU3" t="s">
        <v>160</v>
      </c>
      <c r="AV3" t="s">
        <v>161</v>
      </c>
      <c r="AW3" t="s">
        <v>162</v>
      </c>
      <c r="AX3" t="s">
        <v>167</v>
      </c>
      <c r="AY3" t="s">
        <v>168</v>
      </c>
      <c r="AZ3" t="s">
        <v>169</v>
      </c>
      <c r="BA3" t="s">
        <v>170</v>
      </c>
      <c r="BB3" t="s">
        <v>171</v>
      </c>
      <c r="BC3" t="s">
        <v>172</v>
      </c>
      <c r="BD3" t="s">
        <v>173</v>
      </c>
      <c r="BE3" t="s">
        <v>174</v>
      </c>
      <c r="BF3" t="s">
        <v>175</v>
      </c>
      <c r="BG3" s="13"/>
      <c r="BH3" t="s">
        <v>123</v>
      </c>
      <c r="BI3" t="s">
        <v>124</v>
      </c>
      <c r="BJ3" t="s">
        <v>192</v>
      </c>
      <c r="BK3" t="s">
        <v>193</v>
      </c>
      <c r="BL3" s="16" t="s">
        <v>177</v>
      </c>
      <c r="BM3" s="16"/>
      <c r="BN3" s="10" t="s">
        <v>125</v>
      </c>
      <c r="BO3" s="10" t="s">
        <v>118</v>
      </c>
      <c r="BP3" s="10" t="s">
        <v>119</v>
      </c>
      <c r="BQ3" s="10" t="s">
        <v>120</v>
      </c>
      <c r="BR3" s="10" t="s">
        <v>146</v>
      </c>
      <c r="BS3" s="10" t="s">
        <v>147</v>
      </c>
      <c r="BT3" s="10" t="s">
        <v>163</v>
      </c>
      <c r="BU3" s="10" t="s">
        <v>149</v>
      </c>
      <c r="BV3" s="10" t="s">
        <v>142</v>
      </c>
      <c r="BW3" s="10" t="s">
        <v>150</v>
      </c>
      <c r="BX3" s="10" t="s">
        <v>151</v>
      </c>
      <c r="BY3" s="10" t="s">
        <v>153</v>
      </c>
      <c r="BZ3" s="10" t="s">
        <v>154</v>
      </c>
      <c r="CA3" s="10" t="s">
        <v>156</v>
      </c>
      <c r="CB3" s="10" t="s">
        <v>157</v>
      </c>
      <c r="CC3" s="10" t="s">
        <v>164</v>
      </c>
      <c r="CD3" s="10" t="s">
        <v>165</v>
      </c>
      <c r="CE3" s="10" t="s">
        <v>176</v>
      </c>
      <c r="CF3" s="10" t="s">
        <v>186</v>
      </c>
      <c r="CG3" s="8" t="s">
        <v>191</v>
      </c>
      <c r="CH3" s="10" t="s">
        <v>113</v>
      </c>
      <c r="CI3" s="10" t="s">
        <v>114</v>
      </c>
      <c r="CJ3" s="10" t="s">
        <v>115</v>
      </c>
      <c r="CK3" s="10" t="s">
        <v>194</v>
      </c>
      <c r="CL3" s="10" t="s">
        <v>134</v>
      </c>
      <c r="CM3" s="10" t="s">
        <v>135</v>
      </c>
      <c r="CN3" s="10" t="s">
        <v>195</v>
      </c>
    </row>
    <row r="4" spans="2:92" x14ac:dyDescent="0.3">
      <c r="B4" s="18" t="b">
        <v>1</v>
      </c>
      <c r="C4" s="18" t="s">
        <v>464</v>
      </c>
      <c r="D4" t="s">
        <v>199</v>
      </c>
      <c r="E4" s="18">
        <v>3</v>
      </c>
      <c r="F4" s="18" t="s">
        <v>201</v>
      </c>
      <c r="G4" s="18" t="s">
        <v>202</v>
      </c>
      <c r="I4" t="s">
        <v>236</v>
      </c>
      <c r="J4" t="s">
        <v>238</v>
      </c>
      <c r="K4" t="s">
        <v>237</v>
      </c>
      <c r="L4">
        <v>37</v>
      </c>
      <c r="M4">
        <v>75</v>
      </c>
      <c r="N4" s="21">
        <v>200</v>
      </c>
      <c r="O4">
        <v>0</v>
      </c>
      <c r="P4" t="s">
        <v>230</v>
      </c>
      <c r="Q4" t="s">
        <v>227</v>
      </c>
      <c r="R4">
        <v>0</v>
      </c>
      <c r="S4" s="3">
        <v>0.03</v>
      </c>
      <c r="T4">
        <v>0.03</v>
      </c>
      <c r="U4">
        <v>3</v>
      </c>
      <c r="V4" t="s">
        <v>229</v>
      </c>
      <c r="X4" s="4" t="s">
        <v>205</v>
      </c>
      <c r="Y4">
        <v>2.25</v>
      </c>
      <c r="Z4">
        <v>5.25</v>
      </c>
      <c r="AA4" s="4" t="s">
        <v>208</v>
      </c>
      <c r="AB4" s="4" t="s">
        <v>209</v>
      </c>
      <c r="AC4" s="4" t="s">
        <v>210</v>
      </c>
      <c r="AD4" s="4" t="s">
        <v>211</v>
      </c>
      <c r="AE4" s="4" t="s">
        <v>212</v>
      </c>
      <c r="AF4">
        <v>42.892156862745097</v>
      </c>
      <c r="AG4" s="4" t="s">
        <v>206</v>
      </c>
      <c r="AH4">
        <v>5.9429477020602202E-2</v>
      </c>
      <c r="AI4" s="4" t="s">
        <v>207</v>
      </c>
      <c r="AK4" s="29" t="s">
        <v>231</v>
      </c>
      <c r="AL4" s="29" t="s">
        <v>233</v>
      </c>
      <c r="AM4" s="29" t="s">
        <v>232</v>
      </c>
      <c r="AN4" s="29">
        <v>0.22500000000000001</v>
      </c>
      <c r="AO4" s="29">
        <v>0.4</v>
      </c>
      <c r="AP4" s="29">
        <v>0.65</v>
      </c>
      <c r="AQ4">
        <v>0</v>
      </c>
      <c r="AR4" t="s">
        <v>228</v>
      </c>
      <c r="AT4" s="4" t="s">
        <v>213</v>
      </c>
      <c r="AU4" s="4" t="s">
        <v>214</v>
      </c>
      <c r="AV4" s="4" t="s">
        <v>215</v>
      </c>
      <c r="AW4" s="4" t="s">
        <v>216</v>
      </c>
      <c r="AX4" s="4" t="s">
        <v>217</v>
      </c>
      <c r="AY4" s="4" t="s">
        <v>218</v>
      </c>
      <c r="AZ4" s="4" t="s">
        <v>219</v>
      </c>
      <c r="BA4" s="4" t="s">
        <v>220</v>
      </c>
      <c r="BB4" s="4" t="s">
        <v>221</v>
      </c>
      <c r="BC4" s="4" t="s">
        <v>222</v>
      </c>
      <c r="BD4" s="4" t="s">
        <v>223</v>
      </c>
      <c r="BE4" s="4" t="s">
        <v>224</v>
      </c>
      <c r="BF4" s="4" t="s">
        <v>225</v>
      </c>
      <c r="BG4" s="4"/>
      <c r="BH4" t="s">
        <v>203</v>
      </c>
      <c r="BI4" t="s">
        <v>204</v>
      </c>
      <c r="BJ4" t="s">
        <v>234</v>
      </c>
      <c r="BL4" t="s">
        <v>226</v>
      </c>
      <c r="BM4" t="str">
        <f t="shared" ref="BM4:BM17" si="0">_xlfn.CONCAT(BH4,", ",BI4,", ",BJ4,", ",BK4)</f>
        <v xml:space="preserve">20 +, new zealand, Economics, </v>
      </c>
      <c r="BO4">
        <v>43.1479</v>
      </c>
      <c r="BP4">
        <v>12.1097</v>
      </c>
      <c r="BQ4" t="s">
        <v>200</v>
      </c>
      <c r="BR4">
        <v>4100</v>
      </c>
      <c r="BS4">
        <v>3692</v>
      </c>
      <c r="CE4" s="2">
        <v>46200.713136574072</v>
      </c>
      <c r="CF4">
        <v>1743</v>
      </c>
      <c r="CH4" s="2">
        <v>46200.69295138889</v>
      </c>
      <c r="CI4" s="2">
        <v>46200.713125000002</v>
      </c>
      <c r="CJ4">
        <v>100</v>
      </c>
      <c r="CK4" t="s">
        <v>235</v>
      </c>
      <c r="CL4">
        <v>408</v>
      </c>
      <c r="CM4">
        <v>3786</v>
      </c>
      <c r="CN4" t="s">
        <v>108</v>
      </c>
    </row>
    <row r="5" spans="2:92" x14ac:dyDescent="0.3">
      <c r="B5" s="18" t="b">
        <v>1</v>
      </c>
      <c r="C5" s="18" t="s">
        <v>465</v>
      </c>
      <c r="D5" t="s">
        <v>239</v>
      </c>
      <c r="E5" s="18">
        <v>3</v>
      </c>
      <c r="F5" s="18" t="s">
        <v>201</v>
      </c>
      <c r="G5" s="18" t="s">
        <v>202</v>
      </c>
      <c r="I5" s="9" t="s">
        <v>457</v>
      </c>
      <c r="J5" t="s">
        <v>238</v>
      </c>
      <c r="K5" t="s">
        <v>237</v>
      </c>
      <c r="L5">
        <v>5</v>
      </c>
      <c r="M5">
        <v>75</v>
      </c>
      <c r="N5" s="21">
        <v>200</v>
      </c>
      <c r="O5">
        <v>0</v>
      </c>
      <c r="P5" t="s">
        <v>251</v>
      </c>
      <c r="Q5" t="s">
        <v>227</v>
      </c>
      <c r="R5">
        <v>0</v>
      </c>
      <c r="S5" s="3">
        <v>0.03</v>
      </c>
      <c r="T5">
        <v>0.03</v>
      </c>
      <c r="U5">
        <v>3</v>
      </c>
      <c r="V5" t="s">
        <v>250</v>
      </c>
      <c r="X5">
        <v>0.15</v>
      </c>
      <c r="Y5">
        <v>2.25</v>
      </c>
      <c r="Z5">
        <v>5.25</v>
      </c>
      <c r="AA5">
        <v>3.6764705882352901E-2</v>
      </c>
      <c r="AB5" s="4" t="s">
        <v>209</v>
      </c>
      <c r="AC5" s="4" t="s">
        <v>210</v>
      </c>
      <c r="AD5" s="4" t="s">
        <v>241</v>
      </c>
      <c r="AE5" s="4" t="s">
        <v>212</v>
      </c>
      <c r="AF5">
        <v>42.892156862745097</v>
      </c>
      <c r="AG5">
        <v>3.9619651347068104E-3</v>
      </c>
      <c r="AH5">
        <v>5.9429477020602202E-2</v>
      </c>
      <c r="AI5" s="4" t="s">
        <v>207</v>
      </c>
      <c r="AK5" s="29" t="s">
        <v>252</v>
      </c>
      <c r="AL5" s="29" t="s">
        <v>252</v>
      </c>
      <c r="AM5" s="29" t="s">
        <v>253</v>
      </c>
      <c r="AN5" s="21">
        <v>0.01</v>
      </c>
      <c r="AO5" s="29">
        <v>0.03</v>
      </c>
      <c r="AP5" s="29">
        <v>0.1</v>
      </c>
      <c r="AQ5">
        <v>0</v>
      </c>
      <c r="AR5" t="s">
        <v>249</v>
      </c>
      <c r="AT5" s="4" t="s">
        <v>213</v>
      </c>
      <c r="AU5" s="4" t="s">
        <v>242</v>
      </c>
      <c r="AV5" s="4" t="s">
        <v>242</v>
      </c>
      <c r="AW5" s="4" t="s">
        <v>243</v>
      </c>
      <c r="AX5">
        <v>0.55147058823529405</v>
      </c>
      <c r="AY5">
        <v>0.55147058823529405</v>
      </c>
      <c r="AZ5" s="4" t="s">
        <v>244</v>
      </c>
      <c r="BA5" s="4" t="s">
        <v>245</v>
      </c>
      <c r="BB5" s="4" t="s">
        <v>245</v>
      </c>
      <c r="BC5" s="4" t="s">
        <v>246</v>
      </c>
      <c r="BD5" s="4" t="s">
        <v>247</v>
      </c>
      <c r="BE5" s="4" t="s">
        <v>247</v>
      </c>
      <c r="BF5" s="4" t="s">
        <v>248</v>
      </c>
      <c r="BG5" s="4"/>
      <c r="BH5" t="s">
        <v>240</v>
      </c>
      <c r="BJ5" t="s">
        <v>254</v>
      </c>
      <c r="BM5" t="str">
        <f t="shared" si="0"/>
        <v xml:space="preserve">5--10, , International  law, </v>
      </c>
      <c r="BO5">
        <v>48.963099999999997</v>
      </c>
      <c r="BP5">
        <v>10.148400000000001</v>
      </c>
      <c r="BQ5" t="s">
        <v>200</v>
      </c>
      <c r="BR5">
        <v>4100</v>
      </c>
      <c r="BS5">
        <v>3692</v>
      </c>
      <c r="CE5" s="2">
        <v>46209.040486111109</v>
      </c>
      <c r="CF5">
        <v>1225</v>
      </c>
      <c r="CH5" s="2">
        <v>46209.026307870372</v>
      </c>
      <c r="CI5" s="2">
        <v>46209.040486111109</v>
      </c>
      <c r="CJ5">
        <v>100</v>
      </c>
      <c r="CK5" t="s">
        <v>255</v>
      </c>
      <c r="CL5">
        <v>408</v>
      </c>
      <c r="CM5">
        <v>3786</v>
      </c>
      <c r="CN5" t="s">
        <v>108</v>
      </c>
    </row>
    <row r="6" spans="2:92" x14ac:dyDescent="0.3">
      <c r="B6" s="18" t="b">
        <v>1</v>
      </c>
      <c r="C6" s="18" t="s">
        <v>466</v>
      </c>
      <c r="D6" t="s">
        <v>256</v>
      </c>
      <c r="E6" s="18">
        <v>3</v>
      </c>
      <c r="F6" s="18" t="s">
        <v>201</v>
      </c>
      <c r="G6" s="18" t="s">
        <v>202</v>
      </c>
      <c r="I6" s="9" t="s">
        <v>457</v>
      </c>
      <c r="J6" t="s">
        <v>238</v>
      </c>
      <c r="K6" t="s">
        <v>269</v>
      </c>
      <c r="L6">
        <v>5</v>
      </c>
      <c r="M6">
        <v>57</v>
      </c>
      <c r="N6">
        <v>125</v>
      </c>
      <c r="O6">
        <v>0</v>
      </c>
      <c r="P6" t="s">
        <v>509</v>
      </c>
      <c r="Q6" t="s">
        <v>227</v>
      </c>
      <c r="R6">
        <v>0</v>
      </c>
      <c r="S6" s="3">
        <v>0.03</v>
      </c>
      <c r="T6">
        <v>0.03</v>
      </c>
      <c r="U6">
        <v>3</v>
      </c>
      <c r="V6" t="s">
        <v>264</v>
      </c>
      <c r="X6">
        <v>0.15</v>
      </c>
      <c r="Y6">
        <v>2.25</v>
      </c>
      <c r="Z6">
        <v>3.75</v>
      </c>
      <c r="AA6">
        <v>3.6764705882352901E-2</v>
      </c>
      <c r="AB6" s="4" t="s">
        <v>209</v>
      </c>
      <c r="AC6" s="4" t="s">
        <v>258</v>
      </c>
      <c r="AD6" s="4" t="s">
        <v>241</v>
      </c>
      <c r="AE6" s="4" t="s">
        <v>212</v>
      </c>
      <c r="AF6" s="4" t="s">
        <v>259</v>
      </c>
      <c r="AG6">
        <v>3.9619651347068104E-3</v>
      </c>
      <c r="AH6">
        <v>5.9429477020602202E-2</v>
      </c>
      <c r="AI6">
        <v>9.9049128367670297E-2</v>
      </c>
      <c r="AK6" s="29" t="s">
        <v>252</v>
      </c>
      <c r="AL6" s="29" t="s">
        <v>233</v>
      </c>
      <c r="AM6" s="29" t="s">
        <v>266</v>
      </c>
      <c r="AN6" s="29">
        <v>0.03</v>
      </c>
      <c r="AO6" s="29">
        <v>0.4</v>
      </c>
      <c r="AP6" s="29">
        <v>1</v>
      </c>
      <c r="AQ6">
        <v>0</v>
      </c>
      <c r="AR6" t="s">
        <v>263</v>
      </c>
      <c r="AT6" s="4" t="s">
        <v>213</v>
      </c>
      <c r="AU6" s="4" t="s">
        <v>242</v>
      </c>
      <c r="AV6" s="4" t="s">
        <v>215</v>
      </c>
      <c r="AW6" s="4" t="s">
        <v>213</v>
      </c>
      <c r="AX6">
        <v>0.55147058823529405</v>
      </c>
      <c r="AY6" s="4" t="s">
        <v>218</v>
      </c>
      <c r="AZ6" s="4" t="s">
        <v>260</v>
      </c>
      <c r="BA6" s="4" t="s">
        <v>245</v>
      </c>
      <c r="BB6" s="4" t="s">
        <v>221</v>
      </c>
      <c r="BC6" s="4" t="s">
        <v>242</v>
      </c>
      <c r="BD6" s="4" t="s">
        <v>247</v>
      </c>
      <c r="BE6" s="4" t="s">
        <v>224</v>
      </c>
      <c r="BF6" s="4" t="s">
        <v>261</v>
      </c>
      <c r="BG6" s="4"/>
      <c r="BH6" t="s">
        <v>240</v>
      </c>
      <c r="BI6" t="s">
        <v>257</v>
      </c>
      <c r="BJ6" t="s">
        <v>267</v>
      </c>
      <c r="BL6" t="s">
        <v>262</v>
      </c>
      <c r="BM6" t="str">
        <f t="shared" si="0"/>
        <v xml:space="preserve">5--10, Switzerland, Academia, </v>
      </c>
      <c r="BO6">
        <v>56.156700000000001</v>
      </c>
      <c r="BP6">
        <v>10.215299999999999</v>
      </c>
      <c r="BQ6" t="s">
        <v>200</v>
      </c>
      <c r="BR6">
        <v>4100</v>
      </c>
      <c r="BS6">
        <v>3692</v>
      </c>
      <c r="CE6" s="2">
        <v>46215.450277777774</v>
      </c>
      <c r="CF6">
        <v>104595</v>
      </c>
      <c r="CH6" s="2">
        <v>46214.239675925928</v>
      </c>
      <c r="CI6" s="2">
        <v>46215.450266203705</v>
      </c>
      <c r="CJ6">
        <v>100</v>
      </c>
      <c r="CK6" t="s">
        <v>268</v>
      </c>
      <c r="CL6">
        <v>408</v>
      </c>
      <c r="CM6">
        <v>3786</v>
      </c>
      <c r="CN6" t="s">
        <v>108</v>
      </c>
    </row>
    <row r="7" spans="2:92" x14ac:dyDescent="0.3">
      <c r="B7" s="18" t="b">
        <v>1</v>
      </c>
      <c r="C7" s="18" t="s">
        <v>467</v>
      </c>
      <c r="D7" t="s">
        <v>270</v>
      </c>
      <c r="E7" s="18">
        <v>3</v>
      </c>
      <c r="F7" s="18" t="s">
        <v>201</v>
      </c>
      <c r="G7" s="18" t="s">
        <v>202</v>
      </c>
      <c r="I7" t="s">
        <v>292</v>
      </c>
      <c r="J7" s="9" t="s">
        <v>458</v>
      </c>
      <c r="K7" t="s">
        <v>238</v>
      </c>
      <c r="L7">
        <v>0</v>
      </c>
      <c r="M7">
        <v>18</v>
      </c>
      <c r="N7">
        <v>37</v>
      </c>
      <c r="O7">
        <v>0</v>
      </c>
      <c r="P7" t="s">
        <v>288</v>
      </c>
      <c r="Q7" t="s">
        <v>227</v>
      </c>
      <c r="R7">
        <v>0</v>
      </c>
      <c r="S7" s="3">
        <v>0.03</v>
      </c>
      <c r="T7">
        <v>0.03</v>
      </c>
      <c r="U7">
        <v>3</v>
      </c>
      <c r="V7" t="s">
        <v>287</v>
      </c>
      <c r="X7">
        <v>0</v>
      </c>
      <c r="Y7">
        <v>0.54</v>
      </c>
      <c r="Z7" s="4" t="s">
        <v>205</v>
      </c>
      <c r="AA7">
        <v>0</v>
      </c>
      <c r="AB7" s="4" t="s">
        <v>274</v>
      </c>
      <c r="AC7" s="4" t="s">
        <v>208</v>
      </c>
      <c r="AD7">
        <v>0</v>
      </c>
      <c r="AE7" s="4" t="s">
        <v>275</v>
      </c>
      <c r="AF7" s="4" t="s">
        <v>211</v>
      </c>
      <c r="AG7">
        <v>0</v>
      </c>
      <c r="AH7" s="4" t="s">
        <v>273</v>
      </c>
      <c r="AI7" s="4" t="s">
        <v>206</v>
      </c>
      <c r="AK7" s="29" t="s">
        <v>252</v>
      </c>
      <c r="AL7" s="29" t="s">
        <v>253</v>
      </c>
      <c r="AM7" s="29" t="s">
        <v>233</v>
      </c>
      <c r="AN7" s="29">
        <v>0.03</v>
      </c>
      <c r="AO7" s="29">
        <v>0.1</v>
      </c>
      <c r="AP7" s="29">
        <v>0.4</v>
      </c>
      <c r="AQ7">
        <v>0</v>
      </c>
      <c r="AR7" t="s">
        <v>286</v>
      </c>
      <c r="AT7" s="4" t="s">
        <v>276</v>
      </c>
      <c r="AU7" s="4" t="s">
        <v>277</v>
      </c>
      <c r="AV7" s="4" t="s">
        <v>278</v>
      </c>
      <c r="AW7">
        <v>72.352941176470594</v>
      </c>
      <c r="AX7" s="4" t="s">
        <v>279</v>
      </c>
      <c r="AY7" s="4" t="s">
        <v>280</v>
      </c>
      <c r="AZ7" s="4" t="s">
        <v>281</v>
      </c>
      <c r="BA7" s="4" t="s">
        <v>282</v>
      </c>
      <c r="BB7" s="4" t="s">
        <v>283</v>
      </c>
      <c r="BC7" s="4" t="s">
        <v>284</v>
      </c>
      <c r="BD7">
        <v>4.2998974550200403E-3</v>
      </c>
      <c r="BE7" s="4" t="s">
        <v>285</v>
      </c>
      <c r="BF7">
        <v>5.7331966066933901E-2</v>
      </c>
      <c r="BH7" t="s">
        <v>271</v>
      </c>
      <c r="BI7" t="s">
        <v>272</v>
      </c>
      <c r="BJ7" t="s">
        <v>289</v>
      </c>
      <c r="BK7" t="s">
        <v>290</v>
      </c>
      <c r="BM7" t="str">
        <f t="shared" si="0"/>
        <v>10--20, New Zealand, Other (please specifiy), governmental</v>
      </c>
      <c r="BO7">
        <v>-36.8504</v>
      </c>
      <c r="BP7">
        <v>174.76750000000001</v>
      </c>
      <c r="BQ7" t="s">
        <v>200</v>
      </c>
      <c r="BR7">
        <v>4100</v>
      </c>
      <c r="BS7">
        <v>3692</v>
      </c>
      <c r="CE7" s="2">
        <v>46215.788402777776</v>
      </c>
      <c r="CF7">
        <v>11980</v>
      </c>
      <c r="CH7" s="2">
        <v>46215.649733796294</v>
      </c>
      <c r="CI7" s="2">
        <v>46215.788391203707</v>
      </c>
      <c r="CJ7">
        <v>100</v>
      </c>
      <c r="CK7" t="s">
        <v>291</v>
      </c>
      <c r="CL7">
        <v>408</v>
      </c>
      <c r="CM7">
        <v>3786</v>
      </c>
      <c r="CN7" t="s">
        <v>108</v>
      </c>
    </row>
    <row r="8" spans="2:92" x14ac:dyDescent="0.3">
      <c r="B8" s="18" t="b">
        <v>1</v>
      </c>
      <c r="C8" s="18" t="s">
        <v>468</v>
      </c>
      <c r="D8" t="s">
        <v>293</v>
      </c>
      <c r="E8" s="18">
        <v>3</v>
      </c>
      <c r="F8" s="18" t="s">
        <v>201</v>
      </c>
      <c r="G8" s="18" t="s">
        <v>202</v>
      </c>
      <c r="I8" t="s">
        <v>237</v>
      </c>
      <c r="J8" t="s">
        <v>237</v>
      </c>
      <c r="K8" t="s">
        <v>315</v>
      </c>
      <c r="L8" s="21">
        <v>150</v>
      </c>
      <c r="M8" s="21">
        <v>200</v>
      </c>
      <c r="N8">
        <v>375</v>
      </c>
      <c r="O8">
        <v>0</v>
      </c>
      <c r="P8" t="s">
        <v>313</v>
      </c>
      <c r="Q8" t="s">
        <v>310</v>
      </c>
      <c r="R8">
        <v>0</v>
      </c>
      <c r="S8" s="3">
        <v>0.05</v>
      </c>
      <c r="T8">
        <v>0.05</v>
      </c>
      <c r="U8">
        <v>5</v>
      </c>
      <c r="V8" t="s">
        <v>312</v>
      </c>
      <c r="X8">
        <v>8.75</v>
      </c>
      <c r="Y8">
        <v>8.75</v>
      </c>
      <c r="Z8">
        <v>18.75</v>
      </c>
      <c r="AA8" s="4" t="s">
        <v>296</v>
      </c>
      <c r="AB8" s="4" t="s">
        <v>296</v>
      </c>
      <c r="AC8" s="4" t="s">
        <v>297</v>
      </c>
      <c r="AD8">
        <v>42.892156862745097</v>
      </c>
      <c r="AE8">
        <v>42.892156862745097</v>
      </c>
      <c r="AF8" s="4" t="s">
        <v>298</v>
      </c>
      <c r="AG8" s="4" t="s">
        <v>294</v>
      </c>
      <c r="AH8" s="4" t="s">
        <v>294</v>
      </c>
      <c r="AI8" s="4" t="s">
        <v>295</v>
      </c>
      <c r="AK8" s="29" t="s">
        <v>253</v>
      </c>
      <c r="AL8" s="29" t="s">
        <v>233</v>
      </c>
      <c r="AM8" s="29" t="s">
        <v>266</v>
      </c>
      <c r="AN8" s="29">
        <v>0.1</v>
      </c>
      <c r="AO8" s="29">
        <v>0.4</v>
      </c>
      <c r="AP8" s="29">
        <v>1</v>
      </c>
      <c r="AQ8">
        <v>0</v>
      </c>
      <c r="AR8" t="s">
        <v>311</v>
      </c>
      <c r="AT8" s="4" t="s">
        <v>299</v>
      </c>
      <c r="AU8" s="4" t="s">
        <v>300</v>
      </c>
      <c r="AV8" s="4" t="s">
        <v>301</v>
      </c>
      <c r="AW8" s="4" t="s">
        <v>299</v>
      </c>
      <c r="AX8" s="4" t="s">
        <v>302</v>
      </c>
      <c r="AY8" s="4" t="s">
        <v>303</v>
      </c>
      <c r="AZ8">
        <v>42.892156862745097</v>
      </c>
      <c r="BA8" s="4" t="s">
        <v>304</v>
      </c>
      <c r="BB8" s="4" t="s">
        <v>305</v>
      </c>
      <c r="BC8" s="4" t="s">
        <v>306</v>
      </c>
      <c r="BD8" s="4" t="s">
        <v>307</v>
      </c>
      <c r="BE8" s="4" t="s">
        <v>308</v>
      </c>
      <c r="BF8">
        <v>2.3224754772484801</v>
      </c>
      <c r="BH8" t="s">
        <v>271</v>
      </c>
      <c r="BI8" t="s">
        <v>257</v>
      </c>
      <c r="BJ8" t="s">
        <v>254</v>
      </c>
      <c r="BL8" t="s">
        <v>309</v>
      </c>
      <c r="BM8" t="str">
        <f t="shared" si="0"/>
        <v xml:space="preserve">10--20, Switzerland, International  law, </v>
      </c>
      <c r="BO8">
        <v>51.164900000000003</v>
      </c>
      <c r="BP8">
        <v>4.4001000000000001</v>
      </c>
      <c r="BQ8" t="s">
        <v>200</v>
      </c>
      <c r="BR8">
        <v>4100</v>
      </c>
      <c r="BS8">
        <v>3692</v>
      </c>
      <c r="CE8" s="2">
        <v>46216.283229166664</v>
      </c>
      <c r="CF8">
        <v>1316</v>
      </c>
      <c r="CH8" s="2">
        <v>46216.267997685187</v>
      </c>
      <c r="CI8" s="2">
        <v>46216.283229166664</v>
      </c>
      <c r="CJ8">
        <v>100</v>
      </c>
      <c r="CK8" t="s">
        <v>314</v>
      </c>
      <c r="CL8">
        <v>408</v>
      </c>
      <c r="CM8">
        <v>3786</v>
      </c>
      <c r="CN8" t="s">
        <v>108</v>
      </c>
    </row>
    <row r="9" spans="2:92" ht="273.60000000000002" x14ac:dyDescent="0.3">
      <c r="B9" s="18" t="b">
        <v>1</v>
      </c>
      <c r="C9" s="18" t="s">
        <v>469</v>
      </c>
      <c r="D9" t="s">
        <v>316</v>
      </c>
      <c r="E9" s="18">
        <v>3</v>
      </c>
      <c r="F9" s="18" t="s">
        <v>201</v>
      </c>
      <c r="G9" s="18" t="s">
        <v>202</v>
      </c>
      <c r="I9" t="s">
        <v>323</v>
      </c>
      <c r="J9" s="19"/>
      <c r="K9" t="s">
        <v>323</v>
      </c>
      <c r="L9" s="20"/>
      <c r="M9" s="20"/>
      <c r="N9" s="20"/>
      <c r="O9" s="20"/>
      <c r="P9" t="s">
        <v>321</v>
      </c>
      <c r="Q9" t="s">
        <v>310</v>
      </c>
      <c r="R9">
        <v>0</v>
      </c>
      <c r="S9" s="3">
        <v>0.05</v>
      </c>
      <c r="T9">
        <v>0.05</v>
      </c>
      <c r="U9">
        <v>5</v>
      </c>
      <c r="V9" t="s">
        <v>320</v>
      </c>
      <c r="AK9" s="29" t="s">
        <v>252</v>
      </c>
      <c r="AL9" s="29" t="s">
        <v>231</v>
      </c>
      <c r="AM9" s="29" t="s">
        <v>233</v>
      </c>
      <c r="AN9" s="21">
        <v>0.03</v>
      </c>
      <c r="AO9" s="21">
        <v>0.22500000000000001</v>
      </c>
      <c r="AP9" s="21">
        <v>0.4</v>
      </c>
      <c r="AR9" t="s">
        <v>319</v>
      </c>
      <c r="BH9" t="s">
        <v>240</v>
      </c>
      <c r="BI9" t="s">
        <v>317</v>
      </c>
      <c r="BJ9" t="s">
        <v>267</v>
      </c>
      <c r="BL9" s="1" t="s">
        <v>318</v>
      </c>
      <c r="BM9" t="str">
        <f t="shared" si="0"/>
        <v xml:space="preserve">5--10, United Kingdom, Academia, </v>
      </c>
      <c r="BO9">
        <v>51.496400000000001</v>
      </c>
      <c r="BP9">
        <v>-0.12239999999999999</v>
      </c>
      <c r="BQ9" t="s">
        <v>200</v>
      </c>
      <c r="BR9">
        <v>4100</v>
      </c>
      <c r="BS9">
        <v>3692</v>
      </c>
      <c r="CE9" s="2">
        <v>46216.485266203701</v>
      </c>
      <c r="CF9">
        <v>14873</v>
      </c>
      <c r="CH9" s="2">
        <v>46216.313113425924</v>
      </c>
      <c r="CI9" s="2">
        <v>46216.485254629632</v>
      </c>
      <c r="CJ9">
        <v>100</v>
      </c>
      <c r="CK9" t="s">
        <v>322</v>
      </c>
      <c r="CL9">
        <v>408</v>
      </c>
      <c r="CM9">
        <v>3786</v>
      </c>
      <c r="CN9" t="s">
        <v>108</v>
      </c>
    </row>
    <row r="10" spans="2:92" x14ac:dyDescent="0.3">
      <c r="B10" s="18" t="b">
        <v>1</v>
      </c>
      <c r="C10" s="18" t="s">
        <v>470</v>
      </c>
      <c r="D10" t="s">
        <v>324</v>
      </c>
      <c r="E10" s="18">
        <v>3</v>
      </c>
      <c r="F10" s="18" t="s">
        <v>201</v>
      </c>
      <c r="G10" s="18" t="s">
        <v>202</v>
      </c>
      <c r="I10" s="9" t="s">
        <v>458</v>
      </c>
      <c r="J10" t="s">
        <v>238</v>
      </c>
      <c r="K10" t="s">
        <v>315</v>
      </c>
      <c r="L10">
        <v>18</v>
      </c>
      <c r="M10">
        <v>75</v>
      </c>
      <c r="N10">
        <v>375</v>
      </c>
      <c r="O10">
        <v>0</v>
      </c>
      <c r="P10" t="s">
        <v>329</v>
      </c>
      <c r="Q10" t="s">
        <v>227</v>
      </c>
      <c r="R10">
        <v>0</v>
      </c>
      <c r="S10" s="3">
        <v>0.03</v>
      </c>
      <c r="T10">
        <v>0.03</v>
      </c>
      <c r="U10">
        <v>3</v>
      </c>
      <c r="V10" t="s">
        <v>328</v>
      </c>
      <c r="X10">
        <v>0.54</v>
      </c>
      <c r="Y10">
        <v>2.25</v>
      </c>
      <c r="Z10">
        <v>11.25</v>
      </c>
      <c r="AA10" s="4" t="s">
        <v>274</v>
      </c>
      <c r="AB10" s="4" t="s">
        <v>209</v>
      </c>
      <c r="AC10" s="4" t="s">
        <v>326</v>
      </c>
      <c r="AD10" s="4" t="s">
        <v>275</v>
      </c>
      <c r="AE10" s="4" t="s">
        <v>212</v>
      </c>
      <c r="AF10" s="4" t="s">
        <v>298</v>
      </c>
      <c r="AG10" s="4" t="s">
        <v>273</v>
      </c>
      <c r="AH10">
        <v>5.9429477020602202E-2</v>
      </c>
      <c r="AI10" s="4" t="s">
        <v>325</v>
      </c>
      <c r="AK10" s="29" t="s">
        <v>252</v>
      </c>
      <c r="AL10" s="29" t="s">
        <v>253</v>
      </c>
      <c r="AM10" s="29" t="s">
        <v>233</v>
      </c>
      <c r="AN10" s="29">
        <v>0.03</v>
      </c>
      <c r="AO10" s="29">
        <v>0.1</v>
      </c>
      <c r="AP10" s="29">
        <v>0.4</v>
      </c>
      <c r="AQ10">
        <v>0</v>
      </c>
      <c r="AR10" t="s">
        <v>327</v>
      </c>
      <c r="AT10" s="4" t="s">
        <v>213</v>
      </c>
      <c r="AU10" s="4" t="s">
        <v>242</v>
      </c>
      <c r="AV10" s="4" t="s">
        <v>243</v>
      </c>
      <c r="AW10" s="4" t="s">
        <v>215</v>
      </c>
      <c r="AX10">
        <v>0.55147058823529405</v>
      </c>
      <c r="AY10" s="4" t="s">
        <v>244</v>
      </c>
      <c r="AZ10" s="4" t="s">
        <v>218</v>
      </c>
      <c r="BA10" s="4" t="s">
        <v>245</v>
      </c>
      <c r="BB10" s="4" t="s">
        <v>246</v>
      </c>
      <c r="BC10" s="4" t="s">
        <v>221</v>
      </c>
      <c r="BD10" s="4" t="s">
        <v>247</v>
      </c>
      <c r="BE10" s="4" t="s">
        <v>248</v>
      </c>
      <c r="BF10" s="4" t="s">
        <v>224</v>
      </c>
      <c r="BG10" s="4"/>
      <c r="BH10" t="s">
        <v>271</v>
      </c>
      <c r="BI10" t="s">
        <v>272</v>
      </c>
      <c r="BJ10" t="s">
        <v>254</v>
      </c>
      <c r="BM10" t="str">
        <f t="shared" si="0"/>
        <v xml:space="preserve">10--20, New Zealand, International  law, </v>
      </c>
      <c r="BO10">
        <v>-41.2971</v>
      </c>
      <c r="BP10">
        <v>174.79320000000001</v>
      </c>
      <c r="BQ10" t="s">
        <v>200</v>
      </c>
      <c r="BR10">
        <v>4100</v>
      </c>
      <c r="BS10">
        <v>3692</v>
      </c>
      <c r="CE10" s="2">
        <v>46216.961412037039</v>
      </c>
      <c r="CF10">
        <v>2632</v>
      </c>
      <c r="CH10" s="2">
        <v>46216.930937500001</v>
      </c>
      <c r="CI10" s="2">
        <v>46216.961412037039</v>
      </c>
      <c r="CJ10">
        <v>100</v>
      </c>
      <c r="CK10" t="s">
        <v>330</v>
      </c>
      <c r="CL10">
        <v>408</v>
      </c>
      <c r="CM10">
        <v>3786</v>
      </c>
      <c r="CN10" t="s">
        <v>108</v>
      </c>
    </row>
    <row r="11" spans="2:92" ht="409.6" x14ac:dyDescent="0.3">
      <c r="B11" s="18" t="b">
        <v>1</v>
      </c>
      <c r="C11" s="18" t="s">
        <v>471</v>
      </c>
      <c r="D11" t="s">
        <v>331</v>
      </c>
      <c r="E11" s="18">
        <v>3</v>
      </c>
      <c r="F11" s="18" t="s">
        <v>201</v>
      </c>
      <c r="G11" s="18" t="s">
        <v>332</v>
      </c>
      <c r="I11" s="9" t="s">
        <v>457</v>
      </c>
      <c r="J11" t="s">
        <v>269</v>
      </c>
      <c r="K11" t="s">
        <v>353</v>
      </c>
      <c r="L11">
        <v>5</v>
      </c>
      <c r="M11">
        <v>125</v>
      </c>
      <c r="N11">
        <v>600</v>
      </c>
      <c r="O11">
        <v>0</v>
      </c>
      <c r="P11" s="1" t="s">
        <v>349</v>
      </c>
      <c r="Q11" t="s">
        <v>346</v>
      </c>
      <c r="R11">
        <v>0</v>
      </c>
      <c r="S11" s="7">
        <v>5.0000000000000001E-3</v>
      </c>
      <c r="T11">
        <v>5.0000000000000001E-3</v>
      </c>
      <c r="U11">
        <v>0.5</v>
      </c>
      <c r="V11" s="1" t="s">
        <v>551</v>
      </c>
      <c r="X11">
        <v>2.5000000000000001E-2</v>
      </c>
      <c r="Y11">
        <v>0.625</v>
      </c>
      <c r="Z11">
        <v>3</v>
      </c>
      <c r="AA11">
        <v>6.1274509803921498E-3</v>
      </c>
      <c r="AB11" s="4" t="s">
        <v>335</v>
      </c>
      <c r="AC11" s="4" t="s">
        <v>336</v>
      </c>
      <c r="AD11" s="4" t="s">
        <v>241</v>
      </c>
      <c r="AE11" s="4" t="s">
        <v>259</v>
      </c>
      <c r="AF11" s="4" t="s">
        <v>337</v>
      </c>
      <c r="AG11">
        <v>6.6032752245113503E-4</v>
      </c>
      <c r="AH11" s="4" t="s">
        <v>334</v>
      </c>
      <c r="AI11">
        <v>7.9239302694136204E-2</v>
      </c>
      <c r="AK11" s="29" t="s">
        <v>350</v>
      </c>
      <c r="AL11" s="8" t="s">
        <v>233</v>
      </c>
      <c r="AM11" s="8" t="s">
        <v>252</v>
      </c>
      <c r="AN11" s="29">
        <v>0</v>
      </c>
      <c r="AO11" s="8">
        <v>0.4</v>
      </c>
      <c r="AP11" s="8">
        <v>0.03</v>
      </c>
      <c r="AQ11">
        <v>0</v>
      </c>
      <c r="AR11" s="1" t="s">
        <v>511</v>
      </c>
      <c r="AT11" s="4" t="s">
        <v>338</v>
      </c>
      <c r="AU11">
        <v>0</v>
      </c>
      <c r="AV11" s="4" t="s">
        <v>339</v>
      </c>
      <c r="AW11" s="4" t="s">
        <v>340</v>
      </c>
      <c r="AX11">
        <v>0</v>
      </c>
      <c r="AY11" s="4" t="s">
        <v>341</v>
      </c>
      <c r="AZ11" s="4" t="s">
        <v>342</v>
      </c>
      <c r="BA11">
        <v>0</v>
      </c>
      <c r="BB11" s="4" t="s">
        <v>343</v>
      </c>
      <c r="BC11" s="4" t="s">
        <v>344</v>
      </c>
      <c r="BD11">
        <v>0</v>
      </c>
      <c r="BE11">
        <v>6.6356442207099395E-2</v>
      </c>
      <c r="BF11">
        <v>4.9767331655324503E-3</v>
      </c>
      <c r="BH11" t="s">
        <v>240</v>
      </c>
      <c r="BI11" t="s">
        <v>333</v>
      </c>
      <c r="BJ11" t="s">
        <v>351</v>
      </c>
      <c r="BL11" s="1" t="s">
        <v>345</v>
      </c>
      <c r="BM11" t="str">
        <f t="shared" si="0"/>
        <v xml:space="preserve">5--10, South Sudan , Civil society/NGO, </v>
      </c>
      <c r="BO11">
        <v>4.8498999999999999</v>
      </c>
      <c r="BP11">
        <v>31.581199999999999</v>
      </c>
      <c r="BQ11" t="s">
        <v>200</v>
      </c>
      <c r="BR11">
        <v>4100</v>
      </c>
      <c r="BS11">
        <v>3692</v>
      </c>
      <c r="CE11" s="2">
        <v>46218.149074074077</v>
      </c>
      <c r="CF11">
        <v>1560</v>
      </c>
      <c r="CH11" s="2">
        <v>46218.131006944444</v>
      </c>
      <c r="CI11" s="2">
        <v>46218.149062500001</v>
      </c>
      <c r="CJ11">
        <v>100</v>
      </c>
      <c r="CK11" t="s">
        <v>352</v>
      </c>
      <c r="CL11">
        <v>408</v>
      </c>
      <c r="CM11">
        <v>3786</v>
      </c>
      <c r="CN11" t="s">
        <v>108</v>
      </c>
    </row>
    <row r="12" spans="2:92" x14ac:dyDescent="0.3">
      <c r="B12" s="18" t="b">
        <v>1</v>
      </c>
      <c r="C12" s="18" t="s">
        <v>523</v>
      </c>
      <c r="D12" t="s">
        <v>354</v>
      </c>
      <c r="E12" s="18">
        <v>3</v>
      </c>
      <c r="F12" s="18" t="s">
        <v>201</v>
      </c>
      <c r="G12" s="18" t="s">
        <v>202</v>
      </c>
      <c r="I12" t="s">
        <v>269</v>
      </c>
      <c r="J12" t="s">
        <v>237</v>
      </c>
      <c r="K12" t="s">
        <v>353</v>
      </c>
      <c r="L12">
        <v>125</v>
      </c>
      <c r="M12">
        <v>175</v>
      </c>
      <c r="N12">
        <v>600</v>
      </c>
      <c r="O12">
        <v>0</v>
      </c>
      <c r="P12" t="s">
        <v>510</v>
      </c>
      <c r="Q12" s="15" t="s">
        <v>323</v>
      </c>
      <c r="R12" s="8">
        <v>1</v>
      </c>
      <c r="S12" s="15" t="s">
        <v>356</v>
      </c>
      <c r="T12">
        <v>0.04</v>
      </c>
      <c r="U12">
        <v>4</v>
      </c>
      <c r="W12" t="s">
        <v>360</v>
      </c>
      <c r="X12">
        <v>5</v>
      </c>
      <c r="Y12">
        <v>7</v>
      </c>
      <c r="Z12">
        <v>24</v>
      </c>
      <c r="AA12" s="4" t="s">
        <v>241</v>
      </c>
      <c r="AB12" s="4" t="s">
        <v>359</v>
      </c>
      <c r="AC12">
        <v>5.8823529411764701</v>
      </c>
      <c r="AD12" s="4" t="s">
        <v>259</v>
      </c>
      <c r="AE12">
        <v>42.892156862745097</v>
      </c>
      <c r="AF12" s="4" t="s">
        <v>337</v>
      </c>
      <c r="AG12" s="4" t="s">
        <v>357</v>
      </c>
      <c r="AH12">
        <v>0.18489170628631801</v>
      </c>
      <c r="AI12" s="4" t="s">
        <v>358</v>
      </c>
      <c r="AK12" s="29" t="s">
        <v>323</v>
      </c>
      <c r="AL12" s="29" t="s">
        <v>323</v>
      </c>
      <c r="AM12" s="29" t="s">
        <v>323</v>
      </c>
      <c r="AN12" s="29"/>
      <c r="AO12" s="29"/>
      <c r="AP12" s="29"/>
      <c r="AS12" t="s">
        <v>362</v>
      </c>
      <c r="BH12" t="s">
        <v>240</v>
      </c>
      <c r="BI12" t="s">
        <v>355</v>
      </c>
      <c r="BJ12" t="s">
        <v>289</v>
      </c>
      <c r="BK12" t="s">
        <v>363</v>
      </c>
      <c r="BM12" t="str">
        <f t="shared" si="0"/>
        <v>5--10, UK, Other (please specifiy), Advisory</v>
      </c>
      <c r="BO12">
        <v>51.4116</v>
      </c>
      <c r="BP12">
        <v>-0.36420000000000002</v>
      </c>
      <c r="BQ12" t="s">
        <v>200</v>
      </c>
      <c r="BR12">
        <v>4100</v>
      </c>
      <c r="BS12">
        <v>3692</v>
      </c>
      <c r="CE12" s="2">
        <v>46218.43236111111</v>
      </c>
      <c r="CF12">
        <v>1391674</v>
      </c>
      <c r="CH12" s="2">
        <v>46202.325023148151</v>
      </c>
      <c r="CI12" s="2">
        <v>46218.43236111111</v>
      </c>
      <c r="CJ12">
        <v>100</v>
      </c>
      <c r="CK12" t="s">
        <v>364</v>
      </c>
      <c r="CL12">
        <v>408</v>
      </c>
      <c r="CM12">
        <v>3786</v>
      </c>
      <c r="CN12" t="s">
        <v>108</v>
      </c>
    </row>
    <row r="13" spans="2:92" x14ac:dyDescent="0.3">
      <c r="B13" s="18" t="b">
        <v>1</v>
      </c>
      <c r="C13" s="18" t="s">
        <v>472</v>
      </c>
      <c r="D13" t="s">
        <v>365</v>
      </c>
      <c r="E13" s="18">
        <v>3</v>
      </c>
      <c r="F13" s="18" t="s">
        <v>201</v>
      </c>
      <c r="G13" s="18" t="s">
        <v>202</v>
      </c>
      <c r="I13" t="s">
        <v>292</v>
      </c>
      <c r="J13" s="9" t="s">
        <v>458</v>
      </c>
      <c r="K13" s="9" t="s">
        <v>457</v>
      </c>
      <c r="L13">
        <v>0</v>
      </c>
      <c r="M13" s="8">
        <v>18</v>
      </c>
      <c r="N13" s="8">
        <v>5</v>
      </c>
      <c r="O13">
        <v>0</v>
      </c>
      <c r="P13" t="s">
        <v>372</v>
      </c>
      <c r="Q13" t="s">
        <v>369</v>
      </c>
      <c r="R13">
        <v>0</v>
      </c>
      <c r="S13" s="7">
        <v>1.4999999999999999E-2</v>
      </c>
      <c r="T13">
        <v>1.4999999999999999E-2</v>
      </c>
      <c r="U13">
        <v>1.5</v>
      </c>
      <c r="V13" t="s">
        <v>371</v>
      </c>
      <c r="X13">
        <v>0</v>
      </c>
      <c r="Y13">
        <v>0.27</v>
      </c>
      <c r="Z13">
        <v>7.4999999999999997E-2</v>
      </c>
      <c r="AA13">
        <v>0</v>
      </c>
      <c r="AB13">
        <v>6.6176470588235295E-2</v>
      </c>
      <c r="AC13">
        <v>1.8382352941176398E-2</v>
      </c>
      <c r="AD13">
        <v>0</v>
      </c>
      <c r="AE13" s="4" t="s">
        <v>275</v>
      </c>
      <c r="AF13" s="4" t="s">
        <v>241</v>
      </c>
      <c r="AG13">
        <v>0</v>
      </c>
      <c r="AH13">
        <v>7.1315372424722596E-3</v>
      </c>
      <c r="AI13">
        <v>1.9809825673534E-3</v>
      </c>
      <c r="AK13" s="29" t="s">
        <v>350</v>
      </c>
      <c r="AL13" s="29" t="s">
        <v>253</v>
      </c>
      <c r="AM13" s="29" t="s">
        <v>252</v>
      </c>
      <c r="AN13" s="29">
        <v>0</v>
      </c>
      <c r="AO13" s="29">
        <v>0.1</v>
      </c>
      <c r="AP13" s="29">
        <v>0.03</v>
      </c>
      <c r="AQ13">
        <v>0</v>
      </c>
      <c r="AR13" t="s">
        <v>370</v>
      </c>
      <c r="AT13" s="4" t="s">
        <v>276</v>
      </c>
      <c r="AU13">
        <v>0</v>
      </c>
      <c r="AV13" s="4" t="s">
        <v>278</v>
      </c>
      <c r="AW13" s="4" t="s">
        <v>277</v>
      </c>
      <c r="AX13">
        <v>0</v>
      </c>
      <c r="AY13" s="4" t="s">
        <v>280</v>
      </c>
      <c r="AZ13" s="4" t="s">
        <v>279</v>
      </c>
      <c r="BA13">
        <v>0</v>
      </c>
      <c r="BB13" s="4" t="s">
        <v>367</v>
      </c>
      <c r="BC13">
        <v>8.1397058823529406E-2</v>
      </c>
      <c r="BD13">
        <v>0</v>
      </c>
      <c r="BE13">
        <v>7.1664957583667298E-3</v>
      </c>
      <c r="BF13">
        <v>2.1499487275100202E-3</v>
      </c>
      <c r="BH13" t="s">
        <v>240</v>
      </c>
      <c r="BI13" t="s">
        <v>366</v>
      </c>
      <c r="BJ13" t="s">
        <v>267</v>
      </c>
      <c r="BL13" t="s">
        <v>368</v>
      </c>
      <c r="BM13" t="str">
        <f t="shared" si="0"/>
        <v xml:space="preserve">5--10, africa, Academia, </v>
      </c>
      <c r="BO13">
        <v>-4.33</v>
      </c>
      <c r="BP13">
        <v>15.3104</v>
      </c>
      <c r="BQ13" t="s">
        <v>200</v>
      </c>
      <c r="BR13">
        <v>4100</v>
      </c>
      <c r="BS13">
        <v>3692</v>
      </c>
      <c r="CE13" s="2">
        <v>46218.647303240738</v>
      </c>
      <c r="CF13">
        <v>941</v>
      </c>
      <c r="CH13" s="2">
        <v>46218.636412037034</v>
      </c>
      <c r="CI13" s="2">
        <v>46218.647303240738</v>
      </c>
      <c r="CJ13">
        <v>100</v>
      </c>
      <c r="CK13" t="s">
        <v>373</v>
      </c>
      <c r="CL13">
        <v>408</v>
      </c>
      <c r="CM13">
        <v>3786</v>
      </c>
      <c r="CN13" t="s">
        <v>108</v>
      </c>
    </row>
    <row r="14" spans="2:92" x14ac:dyDescent="0.3">
      <c r="B14" s="18" t="b">
        <v>1</v>
      </c>
      <c r="C14" s="18" t="s">
        <v>473</v>
      </c>
      <c r="D14" t="s">
        <v>374</v>
      </c>
      <c r="E14" s="18">
        <v>3</v>
      </c>
      <c r="F14" s="18" t="s">
        <v>201</v>
      </c>
      <c r="G14" s="18" t="s">
        <v>202</v>
      </c>
      <c r="I14" s="9" t="s">
        <v>457</v>
      </c>
      <c r="J14" t="s">
        <v>238</v>
      </c>
      <c r="K14" t="s">
        <v>315</v>
      </c>
      <c r="L14">
        <v>5</v>
      </c>
      <c r="M14">
        <v>80</v>
      </c>
      <c r="N14">
        <v>375</v>
      </c>
      <c r="O14">
        <v>0</v>
      </c>
      <c r="P14" t="s">
        <v>379</v>
      </c>
      <c r="Q14" t="s">
        <v>346</v>
      </c>
      <c r="R14">
        <v>0</v>
      </c>
      <c r="S14" s="7">
        <v>5.0000000000000001E-3</v>
      </c>
      <c r="T14">
        <v>5.0000000000000001E-3</v>
      </c>
      <c r="U14">
        <v>0.5</v>
      </c>
      <c r="V14" t="s">
        <v>378</v>
      </c>
      <c r="X14">
        <v>2.5000000000000001E-2</v>
      </c>
      <c r="Y14">
        <v>0.375</v>
      </c>
      <c r="Z14">
        <v>1.875</v>
      </c>
      <c r="AA14">
        <v>6.1274509803921498E-3</v>
      </c>
      <c r="AB14">
        <v>9.1911764705882304E-2</v>
      </c>
      <c r="AC14" s="4" t="s">
        <v>375</v>
      </c>
      <c r="AD14" s="4" t="s">
        <v>241</v>
      </c>
      <c r="AE14" s="4" t="s">
        <v>212</v>
      </c>
      <c r="AF14" s="4" t="s">
        <v>298</v>
      </c>
      <c r="AG14">
        <v>6.6032752245113503E-4</v>
      </c>
      <c r="AH14">
        <v>9.9049128367670308E-3</v>
      </c>
      <c r="AI14">
        <v>4.95245641838351E-2</v>
      </c>
      <c r="AK14" s="29" t="s">
        <v>350</v>
      </c>
      <c r="AL14" s="29" t="s">
        <v>350</v>
      </c>
      <c r="AM14" s="29" t="s">
        <v>252</v>
      </c>
      <c r="AN14" s="29">
        <v>0</v>
      </c>
      <c r="AO14" s="29">
        <v>0</v>
      </c>
      <c r="AP14" s="29">
        <v>0.03</v>
      </c>
      <c r="AQ14">
        <v>0</v>
      </c>
      <c r="AR14" t="s">
        <v>377</v>
      </c>
      <c r="AT14" s="4" t="s">
        <v>213</v>
      </c>
      <c r="AU14">
        <v>0</v>
      </c>
      <c r="AV14">
        <v>0</v>
      </c>
      <c r="AW14" s="4" t="s">
        <v>242</v>
      </c>
      <c r="AX14">
        <v>0</v>
      </c>
      <c r="AY14">
        <v>0</v>
      </c>
      <c r="AZ14">
        <v>0.55147058823529405</v>
      </c>
      <c r="BA14">
        <v>0</v>
      </c>
      <c r="BB14">
        <v>0</v>
      </c>
      <c r="BC14" s="4" t="s">
        <v>376</v>
      </c>
      <c r="BD14">
        <v>0</v>
      </c>
      <c r="BE14">
        <v>0</v>
      </c>
      <c r="BF14">
        <v>2.9860398993194698E-3</v>
      </c>
      <c r="BH14" t="s">
        <v>271</v>
      </c>
      <c r="BI14" t="s">
        <v>355</v>
      </c>
      <c r="BJ14" t="s">
        <v>234</v>
      </c>
      <c r="BM14" t="str">
        <f t="shared" si="0"/>
        <v xml:space="preserve">10--20, UK, Economics, </v>
      </c>
      <c r="BO14">
        <v>51.4435</v>
      </c>
      <c r="BP14">
        <v>-0.32890000000000003</v>
      </c>
      <c r="BQ14" t="s">
        <v>200</v>
      </c>
      <c r="BR14">
        <v>4100</v>
      </c>
      <c r="BS14">
        <v>3692</v>
      </c>
      <c r="CE14" s="2">
        <v>46221.363217592596</v>
      </c>
      <c r="CF14">
        <v>1195</v>
      </c>
      <c r="CH14" s="2">
        <v>46221.349374999998</v>
      </c>
      <c r="CI14" s="2">
        <v>46221.363217592596</v>
      </c>
      <c r="CJ14">
        <v>100</v>
      </c>
      <c r="CK14" t="s">
        <v>380</v>
      </c>
      <c r="CL14">
        <v>408</v>
      </c>
      <c r="CM14">
        <v>3786</v>
      </c>
      <c r="CN14" t="s">
        <v>108</v>
      </c>
    </row>
    <row r="15" spans="2:92" x14ac:dyDescent="0.3">
      <c r="B15" s="18" t="b">
        <v>1</v>
      </c>
      <c r="C15" s="18" t="s">
        <v>474</v>
      </c>
      <c r="D15" t="s">
        <v>381</v>
      </c>
      <c r="E15" s="18">
        <v>3</v>
      </c>
      <c r="F15" s="18" t="s">
        <v>201</v>
      </c>
      <c r="G15" s="18" t="s">
        <v>202</v>
      </c>
      <c r="I15" t="s">
        <v>238</v>
      </c>
      <c r="J15" s="8" t="s">
        <v>315</v>
      </c>
      <c r="K15" s="8" t="s">
        <v>269</v>
      </c>
      <c r="L15">
        <v>75</v>
      </c>
      <c r="M15" s="8">
        <v>175</v>
      </c>
      <c r="N15" s="8">
        <v>125</v>
      </c>
      <c r="O15">
        <v>0</v>
      </c>
      <c r="P15" t="s">
        <v>390</v>
      </c>
      <c r="Q15" t="s">
        <v>310</v>
      </c>
      <c r="R15">
        <v>0</v>
      </c>
      <c r="S15" s="3">
        <v>0.05</v>
      </c>
      <c r="T15">
        <v>0.05</v>
      </c>
      <c r="U15">
        <v>5</v>
      </c>
      <c r="V15" t="s">
        <v>390</v>
      </c>
      <c r="X15">
        <v>3.75</v>
      </c>
      <c r="Y15">
        <v>8.75</v>
      </c>
      <c r="Z15">
        <v>6.25</v>
      </c>
      <c r="AA15" s="4" t="s">
        <v>258</v>
      </c>
      <c r="AB15" s="4" t="s">
        <v>296</v>
      </c>
      <c r="AC15" s="4" t="s">
        <v>384</v>
      </c>
      <c r="AD15" s="4" t="s">
        <v>212</v>
      </c>
      <c r="AE15">
        <v>42.892156862745097</v>
      </c>
      <c r="AF15" s="4" t="s">
        <v>259</v>
      </c>
      <c r="AG15">
        <v>9.9049128367670297E-2</v>
      </c>
      <c r="AH15" s="4" t="s">
        <v>294</v>
      </c>
      <c r="AI15" s="4" t="s">
        <v>383</v>
      </c>
      <c r="AK15" s="29" t="s">
        <v>253</v>
      </c>
      <c r="AL15" s="8" t="s">
        <v>232</v>
      </c>
      <c r="AM15" s="8" t="s">
        <v>233</v>
      </c>
      <c r="AN15" s="29">
        <v>0.1</v>
      </c>
      <c r="AO15" s="8">
        <v>0.65</v>
      </c>
      <c r="AP15" s="8">
        <v>0.4</v>
      </c>
      <c r="AQ15">
        <v>0</v>
      </c>
      <c r="AR15" t="s">
        <v>512</v>
      </c>
      <c r="AT15" s="4" t="s">
        <v>299</v>
      </c>
      <c r="AU15" s="4" t="s">
        <v>300</v>
      </c>
      <c r="AV15" s="4" t="s">
        <v>385</v>
      </c>
      <c r="AW15" s="4" t="s">
        <v>301</v>
      </c>
      <c r="AX15" s="4" t="s">
        <v>302</v>
      </c>
      <c r="AY15" s="4" t="s">
        <v>386</v>
      </c>
      <c r="AZ15" s="4" t="s">
        <v>303</v>
      </c>
      <c r="BA15" s="4" t="s">
        <v>304</v>
      </c>
      <c r="BB15" s="4" t="s">
        <v>387</v>
      </c>
      <c r="BC15" s="4" t="s">
        <v>305</v>
      </c>
      <c r="BD15" s="4" t="s">
        <v>307</v>
      </c>
      <c r="BE15" s="4" t="s">
        <v>388</v>
      </c>
      <c r="BF15" s="4" t="s">
        <v>308</v>
      </c>
      <c r="BG15" s="4"/>
      <c r="BH15" t="s">
        <v>240</v>
      </c>
      <c r="BI15" t="s">
        <v>382</v>
      </c>
      <c r="BJ15" t="s">
        <v>351</v>
      </c>
      <c r="BM15" t="str">
        <f t="shared" si="0"/>
        <v xml:space="preserve">5--10, Nigeria, Civil society/NGO, </v>
      </c>
      <c r="BO15">
        <v>9.0566999999999993</v>
      </c>
      <c r="BP15">
        <v>7.4969000000000001</v>
      </c>
      <c r="BQ15" t="s">
        <v>200</v>
      </c>
      <c r="BR15">
        <v>4100</v>
      </c>
      <c r="BS15">
        <v>3692</v>
      </c>
      <c r="CE15" s="2">
        <v>46223.540752314817</v>
      </c>
      <c r="CF15">
        <v>39416</v>
      </c>
      <c r="CH15" s="2">
        <v>46223.084537037037</v>
      </c>
      <c r="CI15" s="2">
        <v>46223.540752314817</v>
      </c>
      <c r="CJ15">
        <v>100</v>
      </c>
      <c r="CK15" t="s">
        <v>391</v>
      </c>
      <c r="CL15">
        <v>408</v>
      </c>
      <c r="CM15">
        <v>3786</v>
      </c>
      <c r="CN15" t="s">
        <v>108</v>
      </c>
    </row>
    <row r="16" spans="2:92" ht="360" x14ac:dyDescent="0.3">
      <c r="B16" s="18" t="b">
        <v>1</v>
      </c>
      <c r="C16" s="18" t="s">
        <v>475</v>
      </c>
      <c r="D16" t="s">
        <v>394</v>
      </c>
      <c r="E16" s="18">
        <v>3</v>
      </c>
      <c r="F16" s="18" t="s">
        <v>201</v>
      </c>
      <c r="G16" s="18" t="s">
        <v>202</v>
      </c>
      <c r="I16" t="s">
        <v>323</v>
      </c>
      <c r="J16" t="s">
        <v>323</v>
      </c>
      <c r="K16" t="s">
        <v>323</v>
      </c>
      <c r="L16" s="21"/>
      <c r="M16" s="21"/>
      <c r="N16" s="21"/>
      <c r="O16">
        <v>1</v>
      </c>
      <c r="P16" s="1" t="s">
        <v>505</v>
      </c>
      <c r="Q16" s="8" t="s">
        <v>323</v>
      </c>
      <c r="R16">
        <v>1</v>
      </c>
      <c r="S16" s="8" t="s">
        <v>356</v>
      </c>
      <c r="T16">
        <v>0.04</v>
      </c>
      <c r="U16">
        <v>4</v>
      </c>
      <c r="W16" t="s">
        <v>406</v>
      </c>
      <c r="X16">
        <v>2</v>
      </c>
      <c r="Y16">
        <v>2</v>
      </c>
      <c r="Z16">
        <v>2</v>
      </c>
      <c r="AA16" s="4" t="s">
        <v>396</v>
      </c>
      <c r="AB16" s="4" t="s">
        <v>396</v>
      </c>
      <c r="AC16" s="4" t="s">
        <v>396</v>
      </c>
      <c r="AD16" s="4" t="s">
        <v>341</v>
      </c>
      <c r="AE16" s="4" t="s">
        <v>341</v>
      </c>
      <c r="AF16" s="4" t="s">
        <v>341</v>
      </c>
      <c r="AG16">
        <v>5.2826201796090801E-2</v>
      </c>
      <c r="AH16">
        <v>5.2826201796090801E-2</v>
      </c>
      <c r="AI16">
        <v>5.2826201796090801E-2</v>
      </c>
      <c r="AK16" s="29" t="s">
        <v>252</v>
      </c>
      <c r="AL16" s="29" t="s">
        <v>253</v>
      </c>
      <c r="AM16" s="29" t="s">
        <v>231</v>
      </c>
      <c r="AN16" s="29">
        <v>0.03</v>
      </c>
      <c r="AO16" s="29">
        <v>0.1</v>
      </c>
      <c r="AP16" s="29">
        <v>0.22500000000000001</v>
      </c>
      <c r="AQ16">
        <v>0</v>
      </c>
      <c r="AR16" s="1" t="s">
        <v>506</v>
      </c>
      <c r="AT16" s="4" t="s">
        <v>339</v>
      </c>
      <c r="AU16" s="4" t="s">
        <v>397</v>
      </c>
      <c r="AV16" s="4" t="s">
        <v>398</v>
      </c>
      <c r="AW16" s="4" t="s">
        <v>399</v>
      </c>
      <c r="AX16" s="4" t="s">
        <v>400</v>
      </c>
      <c r="AY16" s="4" t="s">
        <v>241</v>
      </c>
      <c r="AZ16" s="4" t="s">
        <v>326</v>
      </c>
      <c r="BA16" s="4" t="s">
        <v>401</v>
      </c>
      <c r="BB16" s="4" t="s">
        <v>402</v>
      </c>
      <c r="BC16" s="4" t="s">
        <v>403</v>
      </c>
      <c r="BD16">
        <v>1.5925546129703799E-2</v>
      </c>
      <c r="BE16">
        <v>5.3085153765679502E-2</v>
      </c>
      <c r="BF16" s="4" t="s">
        <v>404</v>
      </c>
      <c r="BG16" s="4"/>
      <c r="BH16" t="s">
        <v>240</v>
      </c>
      <c r="BI16" t="s">
        <v>395</v>
      </c>
      <c r="BJ16" t="s">
        <v>234</v>
      </c>
      <c r="BM16" t="str">
        <f t="shared" si="0"/>
        <v xml:space="preserve">5--10, France, Economics, </v>
      </c>
      <c r="BO16">
        <v>48.855800000000002</v>
      </c>
      <c r="BP16">
        <v>2.3494000000000002</v>
      </c>
      <c r="BQ16" t="s">
        <v>200</v>
      </c>
      <c r="BR16">
        <v>4100</v>
      </c>
      <c r="BS16">
        <v>3692</v>
      </c>
      <c r="CE16" s="2">
        <v>46224.393958333334</v>
      </c>
      <c r="CF16">
        <v>1053388</v>
      </c>
      <c r="CH16" s="2">
        <v>46212.201956018522</v>
      </c>
      <c r="CI16" s="2">
        <v>46224.393958333334</v>
      </c>
      <c r="CJ16">
        <v>100</v>
      </c>
      <c r="CK16" t="s">
        <v>408</v>
      </c>
      <c r="CL16">
        <v>408</v>
      </c>
      <c r="CM16">
        <v>3786</v>
      </c>
      <c r="CN16" t="s">
        <v>108</v>
      </c>
    </row>
    <row r="17" spans="2:92" ht="302.39999999999998" x14ac:dyDescent="0.3">
      <c r="B17" s="18" t="b">
        <v>1</v>
      </c>
      <c r="C17" s="18" t="s">
        <v>476</v>
      </c>
      <c r="D17" t="s">
        <v>409</v>
      </c>
      <c r="E17" s="18">
        <v>3</v>
      </c>
      <c r="F17" s="18" t="s">
        <v>201</v>
      </c>
      <c r="G17" s="18" t="s">
        <v>202</v>
      </c>
      <c r="I17" t="s">
        <v>237</v>
      </c>
      <c r="J17" t="s">
        <v>237</v>
      </c>
      <c r="K17" t="s">
        <v>315</v>
      </c>
      <c r="L17" s="21">
        <v>150</v>
      </c>
      <c r="M17" s="21">
        <v>200</v>
      </c>
      <c r="N17">
        <v>375</v>
      </c>
      <c r="O17">
        <v>0</v>
      </c>
      <c r="P17" t="s">
        <v>417</v>
      </c>
      <c r="Q17" t="s">
        <v>227</v>
      </c>
      <c r="R17">
        <v>0</v>
      </c>
      <c r="S17" s="3">
        <v>0.03</v>
      </c>
      <c r="T17">
        <v>0.03</v>
      </c>
      <c r="U17">
        <v>3</v>
      </c>
      <c r="V17" t="s">
        <v>416</v>
      </c>
      <c r="X17">
        <v>5.25</v>
      </c>
      <c r="Y17">
        <v>5.25</v>
      </c>
      <c r="Z17">
        <v>11.25</v>
      </c>
      <c r="AA17" s="4" t="s">
        <v>210</v>
      </c>
      <c r="AB17" s="4" t="s">
        <v>210</v>
      </c>
      <c r="AC17" s="4" t="s">
        <v>326</v>
      </c>
      <c r="AD17">
        <v>42.892156862745097</v>
      </c>
      <c r="AE17">
        <v>42.892156862745097</v>
      </c>
      <c r="AF17" s="4" t="s">
        <v>298</v>
      </c>
      <c r="AG17" s="4" t="s">
        <v>207</v>
      </c>
      <c r="AH17" s="4" t="s">
        <v>207</v>
      </c>
      <c r="AI17" s="4" t="s">
        <v>325</v>
      </c>
      <c r="AK17" s="29" t="s">
        <v>350</v>
      </c>
      <c r="AL17" s="29" t="s">
        <v>252</v>
      </c>
      <c r="AM17" s="29" t="s">
        <v>252</v>
      </c>
      <c r="AN17" s="29">
        <v>0</v>
      </c>
      <c r="AO17" s="29">
        <v>0.03</v>
      </c>
      <c r="AP17" s="21">
        <v>0.05</v>
      </c>
      <c r="AQ17">
        <v>0</v>
      </c>
      <c r="AR17" t="s">
        <v>415</v>
      </c>
      <c r="AT17" s="4" t="s">
        <v>299</v>
      </c>
      <c r="AU17">
        <v>0</v>
      </c>
      <c r="AV17" s="4" t="s">
        <v>411</v>
      </c>
      <c r="AW17" s="4" t="s">
        <v>411</v>
      </c>
      <c r="AX17">
        <v>0</v>
      </c>
      <c r="AY17" s="4" t="s">
        <v>210</v>
      </c>
      <c r="AZ17" s="4" t="s">
        <v>210</v>
      </c>
      <c r="BA17">
        <v>0</v>
      </c>
      <c r="BB17" s="4" t="s">
        <v>412</v>
      </c>
      <c r="BC17" s="4" t="s">
        <v>412</v>
      </c>
      <c r="BD17">
        <v>0</v>
      </c>
      <c r="BE17" s="4" t="s">
        <v>413</v>
      </c>
      <c r="BF17" s="4" t="s">
        <v>413</v>
      </c>
      <c r="BG17" s="4"/>
      <c r="BH17" t="s">
        <v>240</v>
      </c>
      <c r="BI17" t="s">
        <v>410</v>
      </c>
      <c r="BJ17" t="s">
        <v>267</v>
      </c>
      <c r="BL17" s="1" t="s">
        <v>414</v>
      </c>
      <c r="BM17" t="str">
        <f t="shared" si="0"/>
        <v xml:space="preserve">5--10, Netherlands, Austria, Academia, </v>
      </c>
      <c r="BO17">
        <v>48.153500000000001</v>
      </c>
      <c r="BP17">
        <v>16.3855</v>
      </c>
      <c r="BQ17" t="s">
        <v>200</v>
      </c>
      <c r="BR17">
        <v>4100</v>
      </c>
      <c r="BS17">
        <v>3692</v>
      </c>
      <c r="CE17" s="2">
        <v>46224.415312500001</v>
      </c>
      <c r="CF17">
        <v>9486</v>
      </c>
      <c r="CH17" s="2">
        <v>46224.305497685185</v>
      </c>
      <c r="CI17" s="2">
        <v>46224.415300925924</v>
      </c>
      <c r="CJ17">
        <v>100</v>
      </c>
      <c r="CK17" t="s">
        <v>418</v>
      </c>
      <c r="CL17">
        <v>408</v>
      </c>
      <c r="CM17">
        <v>3786</v>
      </c>
      <c r="CN17" t="s">
        <v>108</v>
      </c>
    </row>
    <row r="18" spans="2:92" x14ac:dyDescent="0.3">
      <c r="B18" t="b">
        <v>0</v>
      </c>
      <c r="D18" t="s">
        <v>392</v>
      </c>
      <c r="E18" s="8"/>
      <c r="F18" t="s">
        <v>201</v>
      </c>
      <c r="G18" t="s">
        <v>202</v>
      </c>
      <c r="BO18">
        <v>59.946300000000001</v>
      </c>
      <c r="BP18">
        <v>10.754099999999999</v>
      </c>
      <c r="BQ18" t="s">
        <v>200</v>
      </c>
      <c r="BR18">
        <v>4100</v>
      </c>
      <c r="BS18">
        <v>3692</v>
      </c>
      <c r="CE18" s="2">
        <v>46224.201006944444</v>
      </c>
      <c r="CF18">
        <v>266</v>
      </c>
      <c r="CH18" s="2">
        <v>46196.197916666664</v>
      </c>
      <c r="CI18" s="2">
        <v>46196.200995370367</v>
      </c>
      <c r="CJ18">
        <v>19</v>
      </c>
      <c r="CK18" t="s">
        <v>393</v>
      </c>
      <c r="CL18">
        <v>408</v>
      </c>
      <c r="CM18">
        <v>3786</v>
      </c>
      <c r="CN18" t="s">
        <v>108</v>
      </c>
    </row>
    <row r="19" spans="2:92" x14ac:dyDescent="0.3">
      <c r="B19" t="b">
        <v>0</v>
      </c>
      <c r="D19" t="s">
        <v>419</v>
      </c>
      <c r="E19" s="8">
        <v>2</v>
      </c>
      <c r="F19" t="s">
        <v>201</v>
      </c>
      <c r="G19" t="s">
        <v>202</v>
      </c>
      <c r="BO19">
        <v>52.527900000000002</v>
      </c>
      <c r="BP19">
        <v>-2.0705</v>
      </c>
      <c r="BQ19" t="s">
        <v>200</v>
      </c>
      <c r="BR19">
        <v>4100</v>
      </c>
      <c r="BS19">
        <v>3692</v>
      </c>
      <c r="CE19" s="2">
        <v>46225.128634259258</v>
      </c>
      <c r="CF19">
        <v>198</v>
      </c>
      <c r="CH19" s="2">
        <v>46197.481828703705</v>
      </c>
      <c r="CI19" s="2">
        <v>46197.484131944446</v>
      </c>
      <c r="CJ19">
        <v>19</v>
      </c>
      <c r="CK19" t="s">
        <v>420</v>
      </c>
      <c r="CL19">
        <v>408</v>
      </c>
      <c r="CM19">
        <v>3786</v>
      </c>
      <c r="CN19" t="s">
        <v>108</v>
      </c>
    </row>
    <row r="20" spans="2:92" x14ac:dyDescent="0.3">
      <c r="B20" t="b">
        <v>0</v>
      </c>
      <c r="D20" t="s">
        <v>421</v>
      </c>
      <c r="E20">
        <v>3</v>
      </c>
      <c r="F20" t="s">
        <v>201</v>
      </c>
      <c r="G20" t="s">
        <v>202</v>
      </c>
      <c r="BO20">
        <v>-20.160799999999998</v>
      </c>
      <c r="BP20">
        <v>57.499400000000001</v>
      </c>
      <c r="BQ20" t="s">
        <v>200</v>
      </c>
      <c r="BR20">
        <v>4100</v>
      </c>
      <c r="BS20">
        <v>3692</v>
      </c>
      <c r="CE20" s="2">
        <v>46225.128634259258</v>
      </c>
      <c r="CF20">
        <v>2218</v>
      </c>
      <c r="CH20" s="2">
        <v>46218.092939814815</v>
      </c>
      <c r="CI20" s="2">
        <v>46218.118622685186</v>
      </c>
      <c r="CJ20">
        <v>28</v>
      </c>
      <c r="CK20" t="s">
        <v>422</v>
      </c>
      <c r="CL20">
        <v>408</v>
      </c>
      <c r="CM20">
        <v>3786</v>
      </c>
      <c r="CN20" t="s">
        <v>108</v>
      </c>
    </row>
    <row r="21" spans="2:92" x14ac:dyDescent="0.3">
      <c r="B21" t="b">
        <v>0</v>
      </c>
      <c r="D21" t="s">
        <v>423</v>
      </c>
      <c r="E21">
        <v>3</v>
      </c>
      <c r="F21" t="s">
        <v>201</v>
      </c>
      <c r="G21" t="s">
        <v>202</v>
      </c>
      <c r="BO21">
        <v>0.32100000000000001</v>
      </c>
      <c r="BP21">
        <v>32.571399999999997</v>
      </c>
      <c r="BQ21" t="s">
        <v>200</v>
      </c>
      <c r="BR21">
        <v>4100</v>
      </c>
      <c r="BS21">
        <v>3692</v>
      </c>
      <c r="CE21" s="2">
        <v>46225.128634259258</v>
      </c>
      <c r="CF21">
        <v>46</v>
      </c>
      <c r="CH21" s="2">
        <v>46218.127083333333</v>
      </c>
      <c r="CI21" s="2">
        <v>46218.127615740741</v>
      </c>
      <c r="CJ21">
        <v>14</v>
      </c>
      <c r="CK21" t="s">
        <v>424</v>
      </c>
      <c r="CL21">
        <v>408</v>
      </c>
      <c r="CM21">
        <v>3786</v>
      </c>
      <c r="CN21" t="s">
        <v>108</v>
      </c>
    </row>
    <row r="22" spans="2:92" x14ac:dyDescent="0.3">
      <c r="B22" t="b">
        <v>0</v>
      </c>
      <c r="D22" t="s">
        <v>425</v>
      </c>
      <c r="E22">
        <v>3</v>
      </c>
      <c r="F22" t="s">
        <v>201</v>
      </c>
      <c r="G22" t="s">
        <v>202</v>
      </c>
      <c r="BO22">
        <v>48.963099999999997</v>
      </c>
      <c r="BP22">
        <v>10.148400000000001</v>
      </c>
      <c r="BQ22" t="s">
        <v>200</v>
      </c>
      <c r="BR22">
        <v>4100</v>
      </c>
      <c r="BS22">
        <v>3692</v>
      </c>
      <c r="CE22" s="2">
        <v>46225.128634259258</v>
      </c>
      <c r="CF22">
        <v>19</v>
      </c>
      <c r="CH22" s="2">
        <v>46209.032627314817</v>
      </c>
      <c r="CI22" s="2">
        <v>46209.032847222225</v>
      </c>
      <c r="CJ22">
        <v>17</v>
      </c>
      <c r="CK22" t="s">
        <v>255</v>
      </c>
      <c r="CL22">
        <v>408</v>
      </c>
      <c r="CM22">
        <v>3786</v>
      </c>
      <c r="CN22" t="s">
        <v>108</v>
      </c>
    </row>
    <row r="23" spans="2:92" x14ac:dyDescent="0.3">
      <c r="B23" t="b">
        <v>0</v>
      </c>
      <c r="D23" t="s">
        <v>426</v>
      </c>
      <c r="E23">
        <v>3</v>
      </c>
      <c r="F23" t="s">
        <v>201</v>
      </c>
      <c r="G23" t="s">
        <v>202</v>
      </c>
      <c r="BO23">
        <v>50.376199999999997</v>
      </c>
      <c r="BP23">
        <v>-4.1755000000000004</v>
      </c>
      <c r="BQ23" t="s">
        <v>200</v>
      </c>
      <c r="BR23">
        <v>4100</v>
      </c>
      <c r="BS23">
        <v>3692</v>
      </c>
      <c r="CE23" s="2">
        <v>46225.128634259258</v>
      </c>
      <c r="CF23">
        <v>134</v>
      </c>
      <c r="CH23" s="2">
        <v>46218.106469907405</v>
      </c>
      <c r="CI23" s="2">
        <v>46218.108020833337</v>
      </c>
      <c r="CJ23">
        <v>55</v>
      </c>
      <c r="CK23" t="s">
        <v>427</v>
      </c>
      <c r="CL23">
        <v>408</v>
      </c>
      <c r="CM23">
        <v>3786</v>
      </c>
      <c r="CN23" t="s">
        <v>108</v>
      </c>
    </row>
    <row r="24" spans="2:92" x14ac:dyDescent="0.3">
      <c r="B24" t="b">
        <v>0</v>
      </c>
      <c r="D24" t="s">
        <v>428</v>
      </c>
      <c r="E24">
        <v>3</v>
      </c>
      <c r="F24" t="s">
        <v>201</v>
      </c>
      <c r="G24" t="s">
        <v>202</v>
      </c>
      <c r="BO24">
        <v>-18.913</v>
      </c>
      <c r="BP24">
        <v>47.529600000000002</v>
      </c>
      <c r="BQ24" t="s">
        <v>200</v>
      </c>
      <c r="BR24">
        <v>4100</v>
      </c>
      <c r="BS24">
        <v>3692</v>
      </c>
      <c r="CE24" s="2">
        <v>46225.128634259258</v>
      </c>
      <c r="CF24">
        <v>229</v>
      </c>
      <c r="CH24" s="2">
        <v>46218.094097222223</v>
      </c>
      <c r="CI24" s="2">
        <v>46218.096747685187</v>
      </c>
      <c r="CJ24">
        <v>17</v>
      </c>
      <c r="CK24" t="s">
        <v>429</v>
      </c>
      <c r="CL24">
        <v>408</v>
      </c>
      <c r="CM24">
        <v>3786</v>
      </c>
      <c r="CN24" t="s">
        <v>108</v>
      </c>
    </row>
    <row r="25" spans="2:92" x14ac:dyDescent="0.3">
      <c r="B25" t="b">
        <v>0</v>
      </c>
      <c r="D25" t="s">
        <v>430</v>
      </c>
      <c r="E25">
        <v>3</v>
      </c>
      <c r="F25" t="s">
        <v>201</v>
      </c>
      <c r="G25" t="s">
        <v>202</v>
      </c>
      <c r="I25" s="9" t="s">
        <v>458</v>
      </c>
      <c r="J25" s="9" t="s">
        <v>458</v>
      </c>
      <c r="K25" s="9" t="s">
        <v>458</v>
      </c>
      <c r="P25" t="s">
        <v>431</v>
      </c>
      <c r="BO25">
        <v>-4.33</v>
      </c>
      <c r="BP25">
        <v>15.3104</v>
      </c>
      <c r="BQ25" t="s">
        <v>200</v>
      </c>
      <c r="BR25">
        <v>4100</v>
      </c>
      <c r="BS25">
        <v>3692</v>
      </c>
      <c r="CE25" s="2">
        <v>46225.128634259258</v>
      </c>
      <c r="CF25">
        <v>467</v>
      </c>
      <c r="CH25" s="2">
        <v>46218.340578703705</v>
      </c>
      <c r="CI25" s="2">
        <v>46218.345983796295</v>
      </c>
      <c r="CJ25">
        <v>41</v>
      </c>
      <c r="CK25" t="s">
        <v>432</v>
      </c>
      <c r="CL25">
        <v>408</v>
      </c>
      <c r="CM25">
        <v>3786</v>
      </c>
      <c r="CN25" t="s">
        <v>108</v>
      </c>
    </row>
    <row r="26" spans="2:92" x14ac:dyDescent="0.3">
      <c r="B26" t="b">
        <v>0</v>
      </c>
      <c r="D26" t="s">
        <v>433</v>
      </c>
      <c r="E26">
        <v>3</v>
      </c>
      <c r="F26" t="s">
        <v>201</v>
      </c>
      <c r="G26" t="s">
        <v>202</v>
      </c>
      <c r="BO26">
        <v>51.506399999999999</v>
      </c>
      <c r="BP26">
        <v>-0.02</v>
      </c>
      <c r="BQ26" t="s">
        <v>200</v>
      </c>
      <c r="BR26">
        <v>4100</v>
      </c>
      <c r="BS26">
        <v>3692</v>
      </c>
      <c r="CE26" s="2">
        <v>46225.128634259258</v>
      </c>
      <c r="CF26">
        <v>770</v>
      </c>
      <c r="CH26" s="2">
        <v>46218.70107638889</v>
      </c>
      <c r="CI26" s="2">
        <v>46218.71</v>
      </c>
      <c r="CJ26">
        <v>28</v>
      </c>
      <c r="CK26" t="s">
        <v>434</v>
      </c>
      <c r="CL26">
        <v>408</v>
      </c>
      <c r="CM26">
        <v>3786</v>
      </c>
      <c r="CN26" t="s">
        <v>108</v>
      </c>
    </row>
    <row r="27" spans="2:92" x14ac:dyDescent="0.3">
      <c r="B27" t="b">
        <v>0</v>
      </c>
      <c r="D27" t="s">
        <v>435</v>
      </c>
      <c r="E27">
        <v>3</v>
      </c>
      <c r="F27" t="s">
        <v>201</v>
      </c>
      <c r="G27" t="s">
        <v>202</v>
      </c>
      <c r="BO27">
        <v>-43.555500000000002</v>
      </c>
      <c r="BP27">
        <v>172.6183</v>
      </c>
      <c r="BQ27" t="s">
        <v>200</v>
      </c>
      <c r="BR27">
        <v>4100</v>
      </c>
      <c r="BS27">
        <v>3692</v>
      </c>
      <c r="CE27" s="2">
        <v>46225.128634259258</v>
      </c>
      <c r="CF27">
        <v>210</v>
      </c>
      <c r="CH27" s="2">
        <v>46198.638287037036</v>
      </c>
      <c r="CI27" s="2">
        <v>46198.640729166669</v>
      </c>
      <c r="CJ27">
        <v>41</v>
      </c>
      <c r="CK27" t="s">
        <v>436</v>
      </c>
      <c r="CL27">
        <v>408</v>
      </c>
      <c r="CM27">
        <v>3786</v>
      </c>
      <c r="CN27" t="s">
        <v>108</v>
      </c>
    </row>
    <row r="28" spans="2:92" x14ac:dyDescent="0.3">
      <c r="B28" t="b">
        <v>0</v>
      </c>
      <c r="D28" t="s">
        <v>437</v>
      </c>
      <c r="E28">
        <v>3</v>
      </c>
      <c r="F28" t="s">
        <v>201</v>
      </c>
      <c r="G28" t="s">
        <v>202</v>
      </c>
      <c r="I28" t="s">
        <v>236</v>
      </c>
      <c r="J28" t="s">
        <v>269</v>
      </c>
      <c r="K28" s="9" t="s">
        <v>458</v>
      </c>
      <c r="L28">
        <v>37</v>
      </c>
      <c r="M28">
        <v>125</v>
      </c>
      <c r="N28">
        <v>18</v>
      </c>
      <c r="O28">
        <v>0</v>
      </c>
      <c r="P28">
        <v>1234</v>
      </c>
      <c r="Q28" t="s">
        <v>310</v>
      </c>
      <c r="R28">
        <v>0</v>
      </c>
      <c r="S28" s="3">
        <v>0.05</v>
      </c>
      <c r="T28">
        <v>0.05</v>
      </c>
      <c r="U28">
        <v>5</v>
      </c>
      <c r="V28" t="s">
        <v>445</v>
      </c>
      <c r="X28">
        <v>1.85</v>
      </c>
      <c r="Y28">
        <v>6.25</v>
      </c>
      <c r="Z28">
        <v>0.9</v>
      </c>
      <c r="AA28" s="4" t="s">
        <v>438</v>
      </c>
      <c r="AB28" s="4" t="s">
        <v>384</v>
      </c>
      <c r="AC28" s="4" t="s">
        <v>439</v>
      </c>
      <c r="AD28" s="4" t="s">
        <v>211</v>
      </c>
      <c r="AE28" s="4" t="s">
        <v>259</v>
      </c>
      <c r="AF28" s="4" t="s">
        <v>275</v>
      </c>
      <c r="AG28">
        <v>4.8864236661384002E-2</v>
      </c>
      <c r="AH28" s="4" t="s">
        <v>383</v>
      </c>
      <c r="AI28">
        <v>2.3771790808240802E-2</v>
      </c>
      <c r="AK28" t="s">
        <v>253</v>
      </c>
      <c r="AL28" t="s">
        <v>253</v>
      </c>
      <c r="AM28" t="s">
        <v>253</v>
      </c>
      <c r="AN28">
        <v>0.1</v>
      </c>
      <c r="AO28">
        <v>0.1</v>
      </c>
      <c r="AP28">
        <v>0.1</v>
      </c>
      <c r="AQ28">
        <v>0</v>
      </c>
      <c r="AR28" t="s">
        <v>444</v>
      </c>
      <c r="AT28" s="4" t="s">
        <v>338</v>
      </c>
      <c r="AU28" s="4" t="s">
        <v>440</v>
      </c>
      <c r="AV28" s="4" t="s">
        <v>440</v>
      </c>
      <c r="AW28" s="4" t="s">
        <v>440</v>
      </c>
      <c r="AX28" s="4" t="s">
        <v>441</v>
      </c>
      <c r="AY28" s="4" t="s">
        <v>441</v>
      </c>
      <c r="AZ28" s="4" t="s">
        <v>441</v>
      </c>
      <c r="BA28" s="4" t="s">
        <v>442</v>
      </c>
      <c r="BB28" s="4" t="s">
        <v>442</v>
      </c>
      <c r="BC28" s="4" t="s">
        <v>442</v>
      </c>
      <c r="BD28" s="4" t="s">
        <v>443</v>
      </c>
      <c r="BE28" s="4" t="s">
        <v>443</v>
      </c>
      <c r="BF28" s="4" t="s">
        <v>443</v>
      </c>
      <c r="BG28" s="4"/>
      <c r="BO28">
        <v>23.0276</v>
      </c>
      <c r="BP28">
        <v>72.587100000000007</v>
      </c>
      <c r="BQ28" t="s">
        <v>200</v>
      </c>
      <c r="BR28">
        <v>4100</v>
      </c>
      <c r="BS28">
        <v>3692</v>
      </c>
      <c r="CE28" s="2">
        <v>46225.128645833334</v>
      </c>
      <c r="CF28">
        <v>2590</v>
      </c>
      <c r="CH28" s="2">
        <v>46218.104733796295</v>
      </c>
      <c r="CI28" s="2">
        <v>46218.134722222225</v>
      </c>
      <c r="CJ28">
        <v>86</v>
      </c>
      <c r="CK28" t="s">
        <v>446</v>
      </c>
      <c r="CL28">
        <v>408</v>
      </c>
      <c r="CM28">
        <v>3786</v>
      </c>
      <c r="CN28" t="s">
        <v>108</v>
      </c>
    </row>
    <row r="29" spans="2:92" x14ac:dyDescent="0.3">
      <c r="B29" t="b">
        <v>0</v>
      </c>
      <c r="D29" t="s">
        <v>447</v>
      </c>
      <c r="E29">
        <v>3</v>
      </c>
      <c r="F29" t="s">
        <v>201</v>
      </c>
      <c r="G29" t="s">
        <v>202</v>
      </c>
      <c r="BO29">
        <v>1.2871999999999999</v>
      </c>
      <c r="BP29">
        <v>103.8507</v>
      </c>
      <c r="BQ29" t="s">
        <v>200</v>
      </c>
      <c r="BR29">
        <v>4100</v>
      </c>
      <c r="BS29">
        <v>3692</v>
      </c>
      <c r="CE29" s="2">
        <v>46225.128645833334</v>
      </c>
      <c r="CF29">
        <v>1409</v>
      </c>
      <c r="CH29" s="2">
        <v>46212.173715277779</v>
      </c>
      <c r="CI29" s="2">
        <v>46212.190034722225</v>
      </c>
      <c r="CJ29">
        <v>86</v>
      </c>
      <c r="CK29" t="s">
        <v>448</v>
      </c>
      <c r="CL29">
        <v>408</v>
      </c>
      <c r="CM29">
        <v>3786</v>
      </c>
      <c r="CN29" t="s">
        <v>108</v>
      </c>
    </row>
    <row r="30" spans="2:92" x14ac:dyDescent="0.3">
      <c r="B30" t="b">
        <v>0</v>
      </c>
      <c r="D30" t="s">
        <v>449</v>
      </c>
      <c r="E30">
        <v>3</v>
      </c>
      <c r="F30" t="s">
        <v>201</v>
      </c>
      <c r="G30" t="s">
        <v>202</v>
      </c>
      <c r="BO30">
        <v>28.654199999999999</v>
      </c>
      <c r="BP30">
        <v>77.237300000000005</v>
      </c>
      <c r="BQ30" t="s">
        <v>200</v>
      </c>
      <c r="BR30">
        <v>4100</v>
      </c>
      <c r="BS30">
        <v>3692</v>
      </c>
      <c r="CE30" s="2">
        <v>46225.128645833334</v>
      </c>
      <c r="CF30">
        <v>87</v>
      </c>
      <c r="CH30" s="2">
        <v>46218.337835648148</v>
      </c>
      <c r="CI30" s="2">
        <v>46218.338854166665</v>
      </c>
      <c r="CJ30">
        <v>14</v>
      </c>
      <c r="CK30" t="s">
        <v>450</v>
      </c>
      <c r="CL30">
        <v>408</v>
      </c>
      <c r="CM30">
        <v>3786</v>
      </c>
      <c r="CN30" t="s">
        <v>108</v>
      </c>
    </row>
    <row r="31" spans="2:92" x14ac:dyDescent="0.3">
      <c r="B31" t="b">
        <v>0</v>
      </c>
      <c r="D31" t="s">
        <v>451</v>
      </c>
      <c r="E31">
        <v>3</v>
      </c>
      <c r="F31" t="s">
        <v>201</v>
      </c>
      <c r="G31" t="s">
        <v>202</v>
      </c>
      <c r="BO31">
        <v>-1.2841</v>
      </c>
      <c r="BP31">
        <v>36.8155</v>
      </c>
      <c r="BQ31" t="s">
        <v>200</v>
      </c>
      <c r="BR31">
        <v>4100</v>
      </c>
      <c r="BS31">
        <v>3692</v>
      </c>
      <c r="CE31" s="2">
        <v>46225.128645833334</v>
      </c>
      <c r="CF31">
        <v>215</v>
      </c>
      <c r="CH31" s="2">
        <v>46219.288923611108</v>
      </c>
      <c r="CI31" s="2">
        <v>46219.291412037041</v>
      </c>
      <c r="CJ31">
        <v>28</v>
      </c>
      <c r="CK31" t="s">
        <v>452</v>
      </c>
      <c r="CL31">
        <v>408</v>
      </c>
      <c r="CM31">
        <v>3786</v>
      </c>
      <c r="CN31" t="s">
        <v>108</v>
      </c>
    </row>
    <row r="32" spans="2:92" x14ac:dyDescent="0.3">
      <c r="B32" t="b">
        <v>0</v>
      </c>
      <c r="D32" t="s">
        <v>453</v>
      </c>
      <c r="E32">
        <v>3</v>
      </c>
      <c r="F32" t="s">
        <v>201</v>
      </c>
      <c r="G32" t="s">
        <v>202</v>
      </c>
      <c r="BO32">
        <v>-1.2841</v>
      </c>
      <c r="BP32">
        <v>36.8155</v>
      </c>
      <c r="BQ32" t="s">
        <v>200</v>
      </c>
      <c r="BR32">
        <v>4100</v>
      </c>
      <c r="BS32">
        <v>3692</v>
      </c>
      <c r="CE32" s="2">
        <v>46225.128645833334</v>
      </c>
      <c r="CF32">
        <v>267</v>
      </c>
      <c r="CH32" s="2">
        <v>46219.968611111108</v>
      </c>
      <c r="CI32" s="2">
        <v>46219.971701388888</v>
      </c>
      <c r="CJ32">
        <v>28</v>
      </c>
      <c r="CK32" t="s">
        <v>454</v>
      </c>
      <c r="CL32">
        <v>408</v>
      </c>
      <c r="CM32">
        <v>3786</v>
      </c>
      <c r="CN32" t="s">
        <v>108</v>
      </c>
    </row>
    <row r="33" spans="2:92" x14ac:dyDescent="0.3">
      <c r="B33" t="b">
        <v>0</v>
      </c>
      <c r="D33" t="s">
        <v>455</v>
      </c>
      <c r="E33">
        <v>3</v>
      </c>
      <c r="F33" t="s">
        <v>201</v>
      </c>
      <c r="G33" t="s">
        <v>202</v>
      </c>
      <c r="BO33">
        <v>-1.2841</v>
      </c>
      <c r="BP33">
        <v>36.8155</v>
      </c>
      <c r="BQ33" t="s">
        <v>200</v>
      </c>
      <c r="BR33">
        <v>4100</v>
      </c>
      <c r="BS33">
        <v>3692</v>
      </c>
      <c r="CE33" s="2">
        <v>46225.128645833334</v>
      </c>
      <c r="CF33">
        <v>44</v>
      </c>
      <c r="CH33" s="2">
        <v>46224.051238425927</v>
      </c>
      <c r="CI33" s="2">
        <v>46224.051747685182</v>
      </c>
      <c r="CJ33">
        <v>14</v>
      </c>
      <c r="CK33" t="s">
        <v>456</v>
      </c>
      <c r="CL33">
        <v>408</v>
      </c>
      <c r="CM33">
        <v>3786</v>
      </c>
      <c r="CN33" t="s">
        <v>108</v>
      </c>
    </row>
  </sheetData>
  <autoFilter ref="B3:CN33" xr:uid="{C5E9B71A-C2ED-4CDA-89D0-292E6B99D50C}">
    <sortState xmlns:xlrd2="http://schemas.microsoft.com/office/spreadsheetml/2017/richdata2" ref="B4:CN33">
      <sortCondition ref="C3:C33"/>
    </sortState>
  </autoFilter>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110DF-A979-493A-BB39-AC365135944D}">
  <sheetPr>
    <tabColor theme="8" tint="0.79998168889431442"/>
  </sheetPr>
  <dimension ref="A4:A18"/>
  <sheetViews>
    <sheetView workbookViewId="0">
      <selection activeCell="A18" sqref="A18"/>
    </sheetView>
  </sheetViews>
  <sheetFormatPr defaultRowHeight="14.4" x14ac:dyDescent="0.3"/>
  <sheetData>
    <row r="4" spans="1:1" x14ac:dyDescent="0.3">
      <c r="A4" s="22" t="s">
        <v>516</v>
      </c>
    </row>
    <row r="5" spans="1:1" x14ac:dyDescent="0.3">
      <c r="A5" t="s">
        <v>518</v>
      </c>
    </row>
    <row r="6" spans="1:1" x14ac:dyDescent="0.3">
      <c r="A6" t="s">
        <v>459</v>
      </c>
    </row>
    <row r="7" spans="1:1" x14ac:dyDescent="0.3">
      <c r="A7" t="s">
        <v>1329</v>
      </c>
    </row>
    <row r="8" spans="1:1" x14ac:dyDescent="0.3">
      <c r="A8" t="s">
        <v>517</v>
      </c>
    </row>
    <row r="10" spans="1:1" x14ac:dyDescent="0.3">
      <c r="A10" s="22" t="s">
        <v>507</v>
      </c>
    </row>
    <row r="11" spans="1:1" x14ac:dyDescent="0.3">
      <c r="A11" t="s">
        <v>508</v>
      </c>
    </row>
    <row r="12" spans="1:1" x14ac:dyDescent="0.3">
      <c r="A12" t="s">
        <v>1327</v>
      </c>
    </row>
    <row r="13" spans="1:1" x14ac:dyDescent="0.3">
      <c r="A13" t="s">
        <v>1328</v>
      </c>
    </row>
    <row r="16" spans="1:1" x14ac:dyDescent="0.3">
      <c r="A16" s="22" t="s">
        <v>513</v>
      </c>
    </row>
    <row r="17" spans="1:1" x14ac:dyDescent="0.3">
      <c r="A17" t="s">
        <v>514</v>
      </c>
    </row>
    <row r="18" spans="1:1" x14ac:dyDescent="0.3">
      <c r="A18" s="180" t="s">
        <v>515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0022A-FA0C-4B0C-BD96-F372D476370E}">
  <sheetPr>
    <tabColor theme="8" tint="0.79998168889431442"/>
  </sheetPr>
  <dimension ref="A1:CH33"/>
  <sheetViews>
    <sheetView zoomScale="85" zoomScaleNormal="85" workbookViewId="0">
      <selection activeCell="B62" sqref="B62"/>
    </sheetView>
  </sheetViews>
  <sheetFormatPr defaultRowHeight="14.4" x14ac:dyDescent="0.3"/>
  <sheetData>
    <row r="1" spans="1:8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11</v>
      </c>
      <c r="BQ1" t="s">
        <v>67</v>
      </c>
      <c r="BR1" t="s">
        <v>68</v>
      </c>
      <c r="BS1" t="s">
        <v>69</v>
      </c>
      <c r="BT1" t="s">
        <v>70</v>
      </c>
      <c r="BU1" t="s">
        <v>71</v>
      </c>
      <c r="BV1" t="s">
        <v>72</v>
      </c>
      <c r="BW1" t="s">
        <v>73</v>
      </c>
      <c r="BX1" t="s">
        <v>74</v>
      </c>
      <c r="BY1" t="s">
        <v>75</v>
      </c>
      <c r="BZ1" t="s">
        <v>76</v>
      </c>
      <c r="CA1" t="s">
        <v>77</v>
      </c>
      <c r="CB1" t="s">
        <v>67</v>
      </c>
      <c r="CC1" t="s">
        <v>78</v>
      </c>
      <c r="CD1" t="s">
        <v>79</v>
      </c>
      <c r="CE1" t="s">
        <v>80</v>
      </c>
      <c r="CF1" t="s">
        <v>81</v>
      </c>
      <c r="CG1" t="s">
        <v>82</v>
      </c>
      <c r="CH1" t="s">
        <v>83</v>
      </c>
    </row>
    <row r="2" spans="1:86" ht="40.950000000000003" customHeight="1" x14ac:dyDescent="0.3">
      <c r="A2" t="s">
        <v>84</v>
      </c>
      <c r="B2" t="s">
        <v>85</v>
      </c>
      <c r="C2" t="s">
        <v>2</v>
      </c>
      <c r="D2" t="s">
        <v>3</v>
      </c>
      <c r="E2" t="s">
        <v>86</v>
      </c>
      <c r="F2" t="s">
        <v>87</v>
      </c>
      <c r="G2" t="s">
        <v>88</v>
      </c>
      <c r="H2" t="s">
        <v>89</v>
      </c>
      <c r="I2" t="s">
        <v>90</v>
      </c>
      <c r="J2" t="s">
        <v>91</v>
      </c>
      <c r="K2" t="s">
        <v>92</v>
      </c>
      <c r="L2" t="s">
        <v>93</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V2" t="s">
        <v>47</v>
      </c>
      <c r="AW2" t="s">
        <v>48</v>
      </c>
      <c r="AX2" t="s">
        <v>49</v>
      </c>
      <c r="AY2" t="s">
        <v>50</v>
      </c>
      <c r="AZ2" t="s">
        <v>51</v>
      </c>
      <c r="BA2" t="s">
        <v>52</v>
      </c>
      <c r="BB2" t="s">
        <v>53</v>
      </c>
      <c r="BC2" t="s">
        <v>54</v>
      </c>
      <c r="BD2" t="s">
        <v>55</v>
      </c>
      <c r="BE2" t="s">
        <v>56</v>
      </c>
      <c r="BF2" t="s">
        <v>57</v>
      </c>
      <c r="BG2" t="s">
        <v>58</v>
      </c>
      <c r="BH2" t="s">
        <v>59</v>
      </c>
      <c r="BI2" t="s">
        <v>60</v>
      </c>
      <c r="BJ2" t="s">
        <v>61</v>
      </c>
      <c r="BK2" t="s">
        <v>62</v>
      </c>
      <c r="BL2" t="s">
        <v>94</v>
      </c>
      <c r="BM2" t="s">
        <v>95</v>
      </c>
      <c r="BN2" t="s">
        <v>96</v>
      </c>
      <c r="BO2" s="1" t="s">
        <v>97</v>
      </c>
      <c r="BP2" s="1" t="s">
        <v>98</v>
      </c>
      <c r="BQ2" s="1" t="s">
        <v>99</v>
      </c>
      <c r="BR2" t="s">
        <v>100</v>
      </c>
      <c r="BS2" t="s">
        <v>69</v>
      </c>
      <c r="BT2" t="s">
        <v>70</v>
      </c>
      <c r="BU2" t="s">
        <v>71</v>
      </c>
      <c r="BV2" t="s">
        <v>72</v>
      </c>
      <c r="BW2" t="s">
        <v>101</v>
      </c>
      <c r="BX2" t="s">
        <v>102</v>
      </c>
      <c r="BY2" t="s">
        <v>103</v>
      </c>
      <c r="BZ2" s="1" t="s">
        <v>104</v>
      </c>
      <c r="CA2" t="s">
        <v>105</v>
      </c>
      <c r="CB2" t="s">
        <v>106</v>
      </c>
      <c r="CC2" t="s">
        <v>107</v>
      </c>
      <c r="CD2" t="s">
        <v>108</v>
      </c>
      <c r="CE2" t="s">
        <v>109</v>
      </c>
      <c r="CF2" s="1" t="s">
        <v>110</v>
      </c>
      <c r="CG2" s="1" t="s">
        <v>111</v>
      </c>
      <c r="CH2" s="1" t="s">
        <v>112</v>
      </c>
    </row>
    <row r="3" spans="1:86" x14ac:dyDescent="0.3">
      <c r="A3" t="s">
        <v>113</v>
      </c>
      <c r="B3" t="s">
        <v>114</v>
      </c>
      <c r="C3" t="s">
        <v>115</v>
      </c>
      <c r="D3" t="s">
        <v>116</v>
      </c>
      <c r="E3" t="s">
        <v>117</v>
      </c>
      <c r="F3" t="s">
        <v>118</v>
      </c>
      <c r="G3" t="s">
        <v>119</v>
      </c>
      <c r="H3" t="s">
        <v>120</v>
      </c>
      <c r="I3" t="s">
        <v>121</v>
      </c>
      <c r="J3" t="s">
        <v>122</v>
      </c>
      <c r="K3" t="s">
        <v>123</v>
      </c>
      <c r="L3" t="s">
        <v>124</v>
      </c>
      <c r="M3" t="s">
        <v>125</v>
      </c>
      <c r="N3" t="s">
        <v>126</v>
      </c>
      <c r="O3" t="s">
        <v>127</v>
      </c>
      <c r="P3" t="s">
        <v>128</v>
      </c>
      <c r="Q3" t="s">
        <v>129</v>
      </c>
      <c r="R3" t="s">
        <v>130</v>
      </c>
      <c r="S3" t="s">
        <v>131</v>
      </c>
      <c r="T3" t="s">
        <v>132</v>
      </c>
      <c r="U3" t="s">
        <v>133</v>
      </c>
      <c r="V3" t="s">
        <v>134</v>
      </c>
      <c r="W3" t="s">
        <v>135</v>
      </c>
      <c r="X3" t="s">
        <v>136</v>
      </c>
      <c r="Y3" t="s">
        <v>137</v>
      </c>
      <c r="Z3" t="s">
        <v>138</v>
      </c>
      <c r="AA3" t="s">
        <v>139</v>
      </c>
      <c r="AB3" t="s">
        <v>140</v>
      </c>
      <c r="AC3" t="s">
        <v>141</v>
      </c>
      <c r="AD3" t="s">
        <v>142</v>
      </c>
      <c r="AE3" t="s">
        <v>143</v>
      </c>
      <c r="AF3" t="s">
        <v>144</v>
      </c>
      <c r="AG3" t="s">
        <v>145</v>
      </c>
      <c r="AH3" t="s">
        <v>146</v>
      </c>
      <c r="AI3" t="s">
        <v>147</v>
      </c>
      <c r="AJ3" t="s">
        <v>148</v>
      </c>
      <c r="AK3" t="s">
        <v>149</v>
      </c>
      <c r="AL3" t="s">
        <v>150</v>
      </c>
      <c r="AM3" t="s">
        <v>151</v>
      </c>
      <c r="AN3" t="s">
        <v>152</v>
      </c>
      <c r="AO3" t="s">
        <v>153</v>
      </c>
      <c r="AP3" t="s">
        <v>154</v>
      </c>
      <c r="AQ3" t="s">
        <v>155</v>
      </c>
      <c r="AR3" t="s">
        <v>156</v>
      </c>
      <c r="AS3" t="s">
        <v>157</v>
      </c>
      <c r="AT3" t="s">
        <v>158</v>
      </c>
      <c r="AU3" t="s">
        <v>159</v>
      </c>
      <c r="AV3" t="s">
        <v>160</v>
      </c>
      <c r="AW3" t="s">
        <v>161</v>
      </c>
      <c r="AX3" t="s">
        <v>162</v>
      </c>
      <c r="AY3" t="s">
        <v>163</v>
      </c>
      <c r="AZ3" t="s">
        <v>164</v>
      </c>
      <c r="BA3" t="s">
        <v>165</v>
      </c>
      <c r="BB3" t="s">
        <v>166</v>
      </c>
      <c r="BC3" t="s">
        <v>167</v>
      </c>
      <c r="BD3" t="s">
        <v>168</v>
      </c>
      <c r="BE3" t="s">
        <v>169</v>
      </c>
      <c r="BF3" t="s">
        <v>170</v>
      </c>
      <c r="BG3" t="s">
        <v>171</v>
      </c>
      <c r="BH3" t="s">
        <v>172</v>
      </c>
      <c r="BI3" t="s">
        <v>173</v>
      </c>
      <c r="BJ3" t="s">
        <v>174</v>
      </c>
      <c r="BK3" t="s">
        <v>175</v>
      </c>
      <c r="BL3" t="s">
        <v>176</v>
      </c>
      <c r="BM3" t="s">
        <v>177</v>
      </c>
      <c r="BN3" t="s">
        <v>178</v>
      </c>
      <c r="BO3" t="s">
        <v>179</v>
      </c>
      <c r="BP3" t="s">
        <v>180</v>
      </c>
      <c r="BQ3" t="s">
        <v>181</v>
      </c>
      <c r="BR3" t="s">
        <v>182</v>
      </c>
      <c r="BS3" t="s">
        <v>183</v>
      </c>
      <c r="BT3" t="s">
        <v>184</v>
      </c>
      <c r="BU3" t="s">
        <v>185</v>
      </c>
      <c r="BV3" t="s">
        <v>186</v>
      </c>
      <c r="BW3" t="s">
        <v>187</v>
      </c>
      <c r="BX3" t="s">
        <v>188</v>
      </c>
      <c r="BY3" t="s">
        <v>189</v>
      </c>
      <c r="BZ3" t="s">
        <v>190</v>
      </c>
      <c r="CA3" t="s">
        <v>191</v>
      </c>
      <c r="CB3" t="s">
        <v>192</v>
      </c>
      <c r="CC3" t="s">
        <v>193</v>
      </c>
      <c r="CD3" t="s">
        <v>194</v>
      </c>
      <c r="CE3" t="s">
        <v>195</v>
      </c>
      <c r="CF3" t="s">
        <v>196</v>
      </c>
      <c r="CG3" t="s">
        <v>197</v>
      </c>
      <c r="CH3" t="s">
        <v>198</v>
      </c>
    </row>
    <row r="4" spans="1:86" x14ac:dyDescent="0.3">
      <c r="A4" s="2">
        <v>46200.69295138889</v>
      </c>
      <c r="B4" s="2">
        <v>46200.713125000002</v>
      </c>
      <c r="C4">
        <v>100</v>
      </c>
      <c r="D4" t="b">
        <v>1</v>
      </c>
      <c r="E4" t="s">
        <v>199</v>
      </c>
      <c r="F4">
        <v>43.1479</v>
      </c>
      <c r="G4">
        <v>12.1097</v>
      </c>
      <c r="H4" t="s">
        <v>200</v>
      </c>
      <c r="I4" t="s">
        <v>201</v>
      </c>
      <c r="J4" t="s">
        <v>202</v>
      </c>
      <c r="K4" t="s">
        <v>203</v>
      </c>
      <c r="L4" t="s">
        <v>204</v>
      </c>
      <c r="N4">
        <v>37</v>
      </c>
      <c r="O4">
        <v>75</v>
      </c>
      <c r="P4">
        <v>175</v>
      </c>
      <c r="Q4" s="3">
        <v>0.03</v>
      </c>
      <c r="R4" s="4" t="s">
        <v>205</v>
      </c>
      <c r="S4">
        <v>2.25</v>
      </c>
      <c r="T4">
        <v>5.25</v>
      </c>
      <c r="U4">
        <v>0.03</v>
      </c>
      <c r="V4">
        <v>408</v>
      </c>
      <c r="W4">
        <v>3786</v>
      </c>
      <c r="X4" s="4" t="s">
        <v>206</v>
      </c>
      <c r="Y4">
        <v>5.9429477020602202E-2</v>
      </c>
      <c r="Z4" s="4" t="s">
        <v>207</v>
      </c>
      <c r="AA4" s="4" t="s">
        <v>208</v>
      </c>
      <c r="AB4" s="4" t="s">
        <v>209</v>
      </c>
      <c r="AC4" s="4" t="s">
        <v>210</v>
      </c>
      <c r="AE4" s="4" t="s">
        <v>211</v>
      </c>
      <c r="AF4" s="4" t="s">
        <v>212</v>
      </c>
      <c r="AG4">
        <v>42.892156862745097</v>
      </c>
      <c r="AH4">
        <v>4100</v>
      </c>
      <c r="AI4">
        <v>3692</v>
      </c>
      <c r="AJ4" s="4" t="s">
        <v>213</v>
      </c>
      <c r="AN4">
        <v>3</v>
      </c>
      <c r="AQ4">
        <v>3</v>
      </c>
      <c r="AT4">
        <v>0</v>
      </c>
      <c r="AU4">
        <v>0</v>
      </c>
      <c r="AV4" s="4" t="s">
        <v>214</v>
      </c>
      <c r="AW4" s="4" t="s">
        <v>215</v>
      </c>
      <c r="AX4" s="4" t="s">
        <v>216</v>
      </c>
      <c r="BB4">
        <v>0</v>
      </c>
      <c r="BC4" s="4" t="s">
        <v>217</v>
      </c>
      <c r="BD4" s="4" t="s">
        <v>218</v>
      </c>
      <c r="BE4" s="4" t="s">
        <v>219</v>
      </c>
      <c r="BF4" s="4" t="s">
        <v>220</v>
      </c>
      <c r="BG4" s="4" t="s">
        <v>221</v>
      </c>
      <c r="BH4" s="4" t="s">
        <v>222</v>
      </c>
      <c r="BI4" s="4" t="s">
        <v>223</v>
      </c>
      <c r="BJ4" s="4" t="s">
        <v>224</v>
      </c>
      <c r="BK4" s="4" t="s">
        <v>225</v>
      </c>
      <c r="BL4" s="2">
        <v>46200.713136574072</v>
      </c>
      <c r="BM4" t="s">
        <v>226</v>
      </c>
      <c r="BN4" t="s">
        <v>227</v>
      </c>
      <c r="BO4" t="s">
        <v>228</v>
      </c>
      <c r="BP4" t="s">
        <v>229</v>
      </c>
      <c r="BR4" t="s">
        <v>230</v>
      </c>
      <c r="BS4">
        <v>0.22500000000000001</v>
      </c>
      <c r="BT4">
        <v>0.4</v>
      </c>
      <c r="BU4">
        <v>0.65</v>
      </c>
      <c r="BV4">
        <v>1743</v>
      </c>
      <c r="BW4" t="s">
        <v>231</v>
      </c>
      <c r="BX4" t="s">
        <v>232</v>
      </c>
      <c r="BY4" t="s">
        <v>233</v>
      </c>
      <c r="CB4" t="s">
        <v>234</v>
      </c>
      <c r="CD4" t="s">
        <v>235</v>
      </c>
      <c r="CE4" t="s">
        <v>108</v>
      </c>
      <c r="CF4" t="s">
        <v>236</v>
      </c>
      <c r="CG4" t="s">
        <v>237</v>
      </c>
      <c r="CH4" t="s">
        <v>238</v>
      </c>
    </row>
    <row r="5" spans="1:86" x14ac:dyDescent="0.3">
      <c r="A5" s="2">
        <v>46209.026307870372</v>
      </c>
      <c r="B5" s="2">
        <v>46209.040486111109</v>
      </c>
      <c r="C5">
        <v>100</v>
      </c>
      <c r="D5" t="b">
        <v>1</v>
      </c>
      <c r="E5" t="s">
        <v>239</v>
      </c>
      <c r="F5">
        <v>48.963099999999997</v>
      </c>
      <c r="G5">
        <v>10.148400000000001</v>
      </c>
      <c r="H5" t="s">
        <v>200</v>
      </c>
      <c r="I5" t="s">
        <v>201</v>
      </c>
      <c r="J5" t="s">
        <v>202</v>
      </c>
      <c r="K5" t="s">
        <v>240</v>
      </c>
      <c r="N5">
        <v>5</v>
      </c>
      <c r="O5">
        <v>75</v>
      </c>
      <c r="P5">
        <v>175</v>
      </c>
      <c r="Q5" s="3">
        <v>0.03</v>
      </c>
      <c r="R5">
        <v>0.15</v>
      </c>
      <c r="S5">
        <v>2.25</v>
      </c>
      <c r="T5">
        <v>5.25</v>
      </c>
      <c r="U5">
        <v>0.03</v>
      </c>
      <c r="V5">
        <v>408</v>
      </c>
      <c r="W5">
        <v>3786</v>
      </c>
      <c r="X5">
        <v>3.9619651347068104E-3</v>
      </c>
      <c r="Y5">
        <v>5.9429477020602202E-2</v>
      </c>
      <c r="Z5" s="4" t="s">
        <v>207</v>
      </c>
      <c r="AA5">
        <v>3.6764705882352901E-2</v>
      </c>
      <c r="AB5" s="4" t="s">
        <v>209</v>
      </c>
      <c r="AC5" s="4" t="s">
        <v>210</v>
      </c>
      <c r="AE5" s="4" t="s">
        <v>241</v>
      </c>
      <c r="AF5" s="4" t="s">
        <v>212</v>
      </c>
      <c r="AG5">
        <v>42.892156862745097</v>
      </c>
      <c r="AH5">
        <v>4100</v>
      </c>
      <c r="AI5">
        <v>3692</v>
      </c>
      <c r="AJ5" s="4" t="s">
        <v>213</v>
      </c>
      <c r="AN5">
        <v>3</v>
      </c>
      <c r="AQ5">
        <v>3</v>
      </c>
      <c r="AT5">
        <v>0</v>
      </c>
      <c r="AU5">
        <v>0</v>
      </c>
      <c r="AV5" s="4" t="s">
        <v>242</v>
      </c>
      <c r="AW5" s="4" t="s">
        <v>242</v>
      </c>
      <c r="AX5" s="4" t="s">
        <v>243</v>
      </c>
      <c r="BB5">
        <v>0</v>
      </c>
      <c r="BC5">
        <v>0.55147058823529405</v>
      </c>
      <c r="BD5">
        <v>0.55147058823529405</v>
      </c>
      <c r="BE5" s="4" t="s">
        <v>244</v>
      </c>
      <c r="BF5" s="4" t="s">
        <v>245</v>
      </c>
      <c r="BG5" s="4" t="s">
        <v>245</v>
      </c>
      <c r="BH5" s="4" t="s">
        <v>246</v>
      </c>
      <c r="BI5" s="4" t="s">
        <v>247</v>
      </c>
      <c r="BJ5" s="4" t="s">
        <v>247</v>
      </c>
      <c r="BK5" s="4" t="s">
        <v>248</v>
      </c>
      <c r="BL5" s="2">
        <v>46209.040486111109</v>
      </c>
      <c r="BN5" t="s">
        <v>227</v>
      </c>
      <c r="BO5" t="s">
        <v>249</v>
      </c>
      <c r="BP5" t="s">
        <v>250</v>
      </c>
      <c r="BR5" t="s">
        <v>251</v>
      </c>
      <c r="BS5">
        <v>0.03</v>
      </c>
      <c r="BT5">
        <v>0.03</v>
      </c>
      <c r="BU5">
        <v>0.1</v>
      </c>
      <c r="BV5">
        <v>1225</v>
      </c>
      <c r="BW5" t="s">
        <v>252</v>
      </c>
      <c r="BX5" t="s">
        <v>253</v>
      </c>
      <c r="BY5" t="s">
        <v>252</v>
      </c>
      <c r="CB5" t="s">
        <v>254</v>
      </c>
      <c r="CD5" t="s">
        <v>255</v>
      </c>
      <c r="CE5" t="s">
        <v>108</v>
      </c>
      <c r="CF5" s="5">
        <v>46296</v>
      </c>
      <c r="CG5" t="s">
        <v>237</v>
      </c>
      <c r="CH5" t="s">
        <v>238</v>
      </c>
    </row>
    <row r="6" spans="1:86" x14ac:dyDescent="0.3">
      <c r="A6" s="2">
        <v>46214.239675925928</v>
      </c>
      <c r="B6" s="2">
        <v>46215.450266203705</v>
      </c>
      <c r="C6">
        <v>100</v>
      </c>
      <c r="D6" t="b">
        <v>1</v>
      </c>
      <c r="E6" t="s">
        <v>256</v>
      </c>
      <c r="F6">
        <v>56.156700000000001</v>
      </c>
      <c r="G6">
        <v>10.215299999999999</v>
      </c>
      <c r="H6" t="s">
        <v>200</v>
      </c>
      <c r="I6" t="s">
        <v>201</v>
      </c>
      <c r="J6" t="s">
        <v>202</v>
      </c>
      <c r="K6" t="s">
        <v>240</v>
      </c>
      <c r="L6" t="s">
        <v>257</v>
      </c>
      <c r="N6">
        <v>5</v>
      </c>
      <c r="O6">
        <v>75</v>
      </c>
      <c r="P6">
        <v>125</v>
      </c>
      <c r="Q6" s="3">
        <v>0.03</v>
      </c>
      <c r="R6">
        <v>0.15</v>
      </c>
      <c r="S6">
        <v>2.25</v>
      </c>
      <c r="T6">
        <v>3.75</v>
      </c>
      <c r="U6">
        <v>0.03</v>
      </c>
      <c r="V6">
        <v>408</v>
      </c>
      <c r="W6">
        <v>3786</v>
      </c>
      <c r="X6">
        <v>3.9619651347068104E-3</v>
      </c>
      <c r="Y6">
        <v>5.9429477020602202E-2</v>
      </c>
      <c r="Z6">
        <v>9.9049128367670297E-2</v>
      </c>
      <c r="AA6">
        <v>3.6764705882352901E-2</v>
      </c>
      <c r="AB6" s="4" t="s">
        <v>209</v>
      </c>
      <c r="AC6" s="4" t="s">
        <v>258</v>
      </c>
      <c r="AE6" s="4" t="s">
        <v>241</v>
      </c>
      <c r="AF6" s="4" t="s">
        <v>212</v>
      </c>
      <c r="AG6" s="4" t="s">
        <v>259</v>
      </c>
      <c r="AH6">
        <v>4100</v>
      </c>
      <c r="AI6">
        <v>3692</v>
      </c>
      <c r="AJ6" s="4" t="s">
        <v>213</v>
      </c>
      <c r="AN6">
        <v>3</v>
      </c>
      <c r="AQ6">
        <v>3</v>
      </c>
      <c r="AT6">
        <v>0</v>
      </c>
      <c r="AU6">
        <v>0</v>
      </c>
      <c r="AV6" s="4" t="s">
        <v>242</v>
      </c>
      <c r="AW6" s="4" t="s">
        <v>215</v>
      </c>
      <c r="AX6" s="4" t="s">
        <v>213</v>
      </c>
      <c r="BB6">
        <v>0</v>
      </c>
      <c r="BC6">
        <v>0.55147058823529405</v>
      </c>
      <c r="BD6" s="4" t="s">
        <v>218</v>
      </c>
      <c r="BE6" s="4" t="s">
        <v>260</v>
      </c>
      <c r="BF6" s="4" t="s">
        <v>245</v>
      </c>
      <c r="BG6" s="4" t="s">
        <v>221</v>
      </c>
      <c r="BH6" s="4" t="s">
        <v>242</v>
      </c>
      <c r="BI6" s="4" t="s">
        <v>247</v>
      </c>
      <c r="BJ6" s="4" t="s">
        <v>224</v>
      </c>
      <c r="BK6" s="4" t="s">
        <v>261</v>
      </c>
      <c r="BL6" s="2">
        <v>46215.450277777774</v>
      </c>
      <c r="BM6" t="s">
        <v>262</v>
      </c>
      <c r="BN6" t="s">
        <v>227</v>
      </c>
      <c r="BO6" t="s">
        <v>263</v>
      </c>
      <c r="BP6" t="s">
        <v>264</v>
      </c>
      <c r="BR6" t="s">
        <v>265</v>
      </c>
      <c r="BS6">
        <v>0.03</v>
      </c>
      <c r="BT6">
        <v>0.4</v>
      </c>
      <c r="BU6">
        <v>1</v>
      </c>
      <c r="BV6">
        <v>104595</v>
      </c>
      <c r="BW6" t="s">
        <v>252</v>
      </c>
      <c r="BX6" t="s">
        <v>266</v>
      </c>
      <c r="BY6" t="s">
        <v>233</v>
      </c>
      <c r="CB6" t="s">
        <v>267</v>
      </c>
      <c r="CD6" t="s">
        <v>268</v>
      </c>
      <c r="CE6" t="s">
        <v>108</v>
      </c>
      <c r="CF6" s="5">
        <v>46296</v>
      </c>
      <c r="CG6" t="s">
        <v>269</v>
      </c>
      <c r="CH6" t="s">
        <v>238</v>
      </c>
    </row>
    <row r="7" spans="1:86" x14ac:dyDescent="0.3">
      <c r="A7" s="2">
        <v>46215.649733796294</v>
      </c>
      <c r="B7" s="2">
        <v>46215.788391203707</v>
      </c>
      <c r="C7">
        <v>100</v>
      </c>
      <c r="D7" t="b">
        <v>1</v>
      </c>
      <c r="E7" t="s">
        <v>270</v>
      </c>
      <c r="F7">
        <v>-36.8504</v>
      </c>
      <c r="G7">
        <v>174.76750000000001</v>
      </c>
      <c r="H7" t="s">
        <v>200</v>
      </c>
      <c r="I7" t="s">
        <v>201</v>
      </c>
      <c r="J7" t="s">
        <v>202</v>
      </c>
      <c r="K7" t="s">
        <v>271</v>
      </c>
      <c r="L7" t="s">
        <v>272</v>
      </c>
      <c r="N7">
        <v>0</v>
      </c>
      <c r="O7">
        <v>18</v>
      </c>
      <c r="P7">
        <v>37</v>
      </c>
      <c r="Q7" s="3">
        <v>0.03</v>
      </c>
      <c r="R7">
        <v>0</v>
      </c>
      <c r="S7">
        <v>0.54</v>
      </c>
      <c r="T7" s="4" t="s">
        <v>205</v>
      </c>
      <c r="U7">
        <v>0.03</v>
      </c>
      <c r="V7">
        <v>408</v>
      </c>
      <c r="W7">
        <v>3786</v>
      </c>
      <c r="X7">
        <v>0</v>
      </c>
      <c r="Y7" s="4" t="s">
        <v>273</v>
      </c>
      <c r="Z7" s="4" t="s">
        <v>206</v>
      </c>
      <c r="AA7">
        <v>0</v>
      </c>
      <c r="AB7" s="4" t="s">
        <v>274</v>
      </c>
      <c r="AC7" s="4" t="s">
        <v>208</v>
      </c>
      <c r="AE7">
        <v>0</v>
      </c>
      <c r="AF7" s="4" t="s">
        <v>275</v>
      </c>
      <c r="AG7" s="4" t="s">
        <v>211</v>
      </c>
      <c r="AH7">
        <v>4100</v>
      </c>
      <c r="AI7">
        <v>3692</v>
      </c>
      <c r="AJ7" s="4" t="s">
        <v>276</v>
      </c>
      <c r="AN7">
        <v>3</v>
      </c>
      <c r="AQ7">
        <v>3</v>
      </c>
      <c r="AT7">
        <v>0</v>
      </c>
      <c r="AU7">
        <v>0</v>
      </c>
      <c r="AV7" s="4" t="s">
        <v>277</v>
      </c>
      <c r="AW7" s="4" t="s">
        <v>278</v>
      </c>
      <c r="AX7">
        <v>72.352941176470594</v>
      </c>
      <c r="BB7">
        <v>0</v>
      </c>
      <c r="BC7" s="4" t="s">
        <v>279</v>
      </c>
      <c r="BD7" s="4" t="s">
        <v>280</v>
      </c>
      <c r="BE7" s="4" t="s">
        <v>281</v>
      </c>
      <c r="BF7" s="4" t="s">
        <v>282</v>
      </c>
      <c r="BG7" s="4" t="s">
        <v>283</v>
      </c>
      <c r="BH7" s="4" t="s">
        <v>284</v>
      </c>
      <c r="BI7">
        <v>4.2998974550200403E-3</v>
      </c>
      <c r="BJ7" s="4" t="s">
        <v>285</v>
      </c>
      <c r="BK7">
        <v>5.7331966066933901E-2</v>
      </c>
      <c r="BL7" s="2">
        <v>46215.788402777776</v>
      </c>
      <c r="BN7" t="s">
        <v>227</v>
      </c>
      <c r="BO7" t="s">
        <v>286</v>
      </c>
      <c r="BP7" t="s">
        <v>287</v>
      </c>
      <c r="BR7" t="s">
        <v>288</v>
      </c>
      <c r="BS7">
        <v>0.03</v>
      </c>
      <c r="BT7">
        <v>0.1</v>
      </c>
      <c r="BU7">
        <v>0.4</v>
      </c>
      <c r="BV7">
        <v>11980</v>
      </c>
      <c r="BW7" t="s">
        <v>252</v>
      </c>
      <c r="BX7" t="s">
        <v>233</v>
      </c>
      <c r="BY7" t="s">
        <v>253</v>
      </c>
      <c r="CB7" t="s">
        <v>289</v>
      </c>
      <c r="CC7" t="s">
        <v>290</v>
      </c>
      <c r="CD7" t="s">
        <v>291</v>
      </c>
      <c r="CE7" t="s">
        <v>108</v>
      </c>
      <c r="CF7" t="s">
        <v>292</v>
      </c>
      <c r="CG7" t="s">
        <v>238</v>
      </c>
      <c r="CH7" s="6">
        <v>45931</v>
      </c>
    </row>
    <row r="8" spans="1:86" x14ac:dyDescent="0.3">
      <c r="A8" s="2">
        <v>46216.267997685187</v>
      </c>
      <c r="B8" s="2">
        <v>46216.283229166664</v>
      </c>
      <c r="C8">
        <v>100</v>
      </c>
      <c r="D8" t="b">
        <v>1</v>
      </c>
      <c r="E8" t="s">
        <v>293</v>
      </c>
      <c r="F8">
        <v>51.164900000000003</v>
      </c>
      <c r="G8">
        <v>4.4001000000000001</v>
      </c>
      <c r="H8" t="s">
        <v>200</v>
      </c>
      <c r="I8" t="s">
        <v>201</v>
      </c>
      <c r="J8" t="s">
        <v>202</v>
      </c>
      <c r="K8" t="s">
        <v>271</v>
      </c>
      <c r="L8" t="s">
        <v>257</v>
      </c>
      <c r="N8">
        <v>175</v>
      </c>
      <c r="O8">
        <v>175</v>
      </c>
      <c r="P8">
        <v>375</v>
      </c>
      <c r="Q8" s="3">
        <v>0.05</v>
      </c>
      <c r="R8">
        <v>8.75</v>
      </c>
      <c r="S8">
        <v>8.75</v>
      </c>
      <c r="T8">
        <v>18.75</v>
      </c>
      <c r="U8">
        <v>0.05</v>
      </c>
      <c r="V8">
        <v>408</v>
      </c>
      <c r="W8">
        <v>3786</v>
      </c>
      <c r="X8" s="4" t="s">
        <v>294</v>
      </c>
      <c r="Y8" s="4" t="s">
        <v>294</v>
      </c>
      <c r="Z8" s="4" t="s">
        <v>295</v>
      </c>
      <c r="AA8" s="4" t="s">
        <v>296</v>
      </c>
      <c r="AB8" s="4" t="s">
        <v>296</v>
      </c>
      <c r="AC8" s="4" t="s">
        <v>297</v>
      </c>
      <c r="AE8">
        <v>42.892156862745097</v>
      </c>
      <c r="AF8">
        <v>42.892156862745097</v>
      </c>
      <c r="AG8" s="4" t="s">
        <v>298</v>
      </c>
      <c r="AH8">
        <v>4100</v>
      </c>
      <c r="AI8">
        <v>3692</v>
      </c>
      <c r="AJ8" s="4" t="s">
        <v>299</v>
      </c>
      <c r="AN8">
        <v>5</v>
      </c>
      <c r="AQ8">
        <v>3</v>
      </c>
      <c r="AT8">
        <v>0</v>
      </c>
      <c r="AU8">
        <v>0</v>
      </c>
      <c r="AV8" s="4" t="s">
        <v>300</v>
      </c>
      <c r="AW8" s="4" t="s">
        <v>301</v>
      </c>
      <c r="AX8" s="4" t="s">
        <v>299</v>
      </c>
      <c r="BB8">
        <v>0</v>
      </c>
      <c r="BC8" s="4" t="s">
        <v>302</v>
      </c>
      <c r="BD8" s="4" t="s">
        <v>303</v>
      </c>
      <c r="BE8">
        <v>42.892156862745097</v>
      </c>
      <c r="BF8" s="4" t="s">
        <v>304</v>
      </c>
      <c r="BG8" s="4" t="s">
        <v>305</v>
      </c>
      <c r="BH8" s="4" t="s">
        <v>306</v>
      </c>
      <c r="BI8" s="4" t="s">
        <v>307</v>
      </c>
      <c r="BJ8" s="4" t="s">
        <v>308</v>
      </c>
      <c r="BK8">
        <v>2.3224754772484801</v>
      </c>
      <c r="BL8" s="2">
        <v>46216.283229166664</v>
      </c>
      <c r="BM8" t="s">
        <v>309</v>
      </c>
      <c r="BN8" t="s">
        <v>310</v>
      </c>
      <c r="BO8" t="s">
        <v>311</v>
      </c>
      <c r="BP8" t="s">
        <v>312</v>
      </c>
      <c r="BR8" t="s">
        <v>313</v>
      </c>
      <c r="BS8">
        <v>0.1</v>
      </c>
      <c r="BT8">
        <v>0.4</v>
      </c>
      <c r="BU8">
        <v>1</v>
      </c>
      <c r="BV8">
        <v>1316</v>
      </c>
      <c r="BW8" t="s">
        <v>253</v>
      </c>
      <c r="BX8" t="s">
        <v>266</v>
      </c>
      <c r="BY8" t="s">
        <v>233</v>
      </c>
      <c r="CB8" t="s">
        <v>254</v>
      </c>
      <c r="CD8" t="s">
        <v>314</v>
      </c>
      <c r="CE8" t="s">
        <v>108</v>
      </c>
      <c r="CF8" t="s">
        <v>237</v>
      </c>
      <c r="CG8" t="s">
        <v>315</v>
      </c>
      <c r="CH8" t="s">
        <v>237</v>
      </c>
    </row>
    <row r="9" spans="1:86" ht="273.60000000000002" x14ac:dyDescent="0.3">
      <c r="A9" s="2">
        <v>46216.313113425924</v>
      </c>
      <c r="B9" s="2">
        <v>46216.485254629632</v>
      </c>
      <c r="C9">
        <v>100</v>
      </c>
      <c r="D9" t="b">
        <v>1</v>
      </c>
      <c r="E9" t="s">
        <v>316</v>
      </c>
      <c r="F9">
        <v>51.496400000000001</v>
      </c>
      <c r="G9">
        <v>-0.12239999999999999</v>
      </c>
      <c r="H9" t="s">
        <v>200</v>
      </c>
      <c r="I9" t="s">
        <v>201</v>
      </c>
      <c r="J9" t="s">
        <v>202</v>
      </c>
      <c r="K9" t="s">
        <v>240</v>
      </c>
      <c r="L9" t="s">
        <v>317</v>
      </c>
      <c r="Q9" s="3">
        <v>0.05</v>
      </c>
      <c r="U9">
        <v>0.05</v>
      </c>
      <c r="V9">
        <v>408</v>
      </c>
      <c r="W9">
        <v>3786</v>
      </c>
      <c r="AH9">
        <v>4100</v>
      </c>
      <c r="AI9">
        <v>3692</v>
      </c>
      <c r="AN9">
        <v>5</v>
      </c>
      <c r="AQ9">
        <v>3</v>
      </c>
      <c r="AU9">
        <v>0</v>
      </c>
      <c r="BL9" s="2">
        <v>46216.485266203701</v>
      </c>
      <c r="BM9" s="1" t="s">
        <v>318</v>
      </c>
      <c r="BN9" t="s">
        <v>310</v>
      </c>
      <c r="BO9" t="s">
        <v>319</v>
      </c>
      <c r="BP9" t="s">
        <v>320</v>
      </c>
      <c r="BR9" t="s">
        <v>321</v>
      </c>
      <c r="BV9">
        <v>14873</v>
      </c>
      <c r="BW9" t="s">
        <v>252</v>
      </c>
      <c r="BX9" t="s">
        <v>233</v>
      </c>
      <c r="BY9" t="s">
        <v>231</v>
      </c>
      <c r="CB9" t="s">
        <v>267</v>
      </c>
      <c r="CD9" t="s">
        <v>322</v>
      </c>
      <c r="CE9" t="s">
        <v>108</v>
      </c>
      <c r="CF9" t="s">
        <v>323</v>
      </c>
      <c r="CG9" t="s">
        <v>323</v>
      </c>
    </row>
    <row r="10" spans="1:86" x14ac:dyDescent="0.3">
      <c r="A10" s="2">
        <v>46216.930937500001</v>
      </c>
      <c r="B10" s="2">
        <v>46216.961412037039</v>
      </c>
      <c r="C10">
        <v>100</v>
      </c>
      <c r="D10" t="b">
        <v>1</v>
      </c>
      <c r="E10" t="s">
        <v>324</v>
      </c>
      <c r="F10">
        <v>-41.2971</v>
      </c>
      <c r="G10">
        <v>174.79320000000001</v>
      </c>
      <c r="H10" t="s">
        <v>200</v>
      </c>
      <c r="I10" t="s">
        <v>201</v>
      </c>
      <c r="J10" t="s">
        <v>202</v>
      </c>
      <c r="K10" t="s">
        <v>271</v>
      </c>
      <c r="L10" t="s">
        <v>272</v>
      </c>
      <c r="N10">
        <v>18</v>
      </c>
      <c r="O10">
        <v>75</v>
      </c>
      <c r="P10">
        <v>375</v>
      </c>
      <c r="Q10" s="3">
        <v>0.03</v>
      </c>
      <c r="R10">
        <v>0.54</v>
      </c>
      <c r="S10">
        <v>2.25</v>
      </c>
      <c r="T10">
        <v>11.25</v>
      </c>
      <c r="U10">
        <v>0.03</v>
      </c>
      <c r="V10">
        <v>408</v>
      </c>
      <c r="W10">
        <v>3786</v>
      </c>
      <c r="X10" s="4" t="s">
        <v>273</v>
      </c>
      <c r="Y10">
        <v>5.9429477020602202E-2</v>
      </c>
      <c r="Z10" s="4" t="s">
        <v>325</v>
      </c>
      <c r="AA10" s="4" t="s">
        <v>274</v>
      </c>
      <c r="AB10" s="4" t="s">
        <v>209</v>
      </c>
      <c r="AC10" s="4" t="s">
        <v>326</v>
      </c>
      <c r="AE10" s="4" t="s">
        <v>275</v>
      </c>
      <c r="AF10" s="4" t="s">
        <v>212</v>
      </c>
      <c r="AG10" s="4" t="s">
        <v>298</v>
      </c>
      <c r="AH10">
        <v>4100</v>
      </c>
      <c r="AI10">
        <v>3692</v>
      </c>
      <c r="AJ10" s="4" t="s">
        <v>213</v>
      </c>
      <c r="AN10">
        <v>3</v>
      </c>
      <c r="AQ10">
        <v>3</v>
      </c>
      <c r="AT10">
        <v>0</v>
      </c>
      <c r="AU10">
        <v>0</v>
      </c>
      <c r="AV10" s="4" t="s">
        <v>242</v>
      </c>
      <c r="AW10" s="4" t="s">
        <v>243</v>
      </c>
      <c r="AX10" s="4" t="s">
        <v>215</v>
      </c>
      <c r="BB10">
        <v>0</v>
      </c>
      <c r="BC10">
        <v>0.55147058823529405</v>
      </c>
      <c r="BD10" s="4" t="s">
        <v>244</v>
      </c>
      <c r="BE10" s="4" t="s">
        <v>218</v>
      </c>
      <c r="BF10" s="4" t="s">
        <v>245</v>
      </c>
      <c r="BG10" s="4" t="s">
        <v>246</v>
      </c>
      <c r="BH10" s="4" t="s">
        <v>221</v>
      </c>
      <c r="BI10" s="4" t="s">
        <v>247</v>
      </c>
      <c r="BJ10" s="4" t="s">
        <v>248</v>
      </c>
      <c r="BK10" s="4" t="s">
        <v>224</v>
      </c>
      <c r="BL10" s="2">
        <v>46216.961412037039</v>
      </c>
      <c r="BN10" t="s">
        <v>227</v>
      </c>
      <c r="BO10" t="s">
        <v>327</v>
      </c>
      <c r="BP10" t="s">
        <v>328</v>
      </c>
      <c r="BR10" t="s">
        <v>329</v>
      </c>
      <c r="BS10">
        <v>0.03</v>
      </c>
      <c r="BT10">
        <v>0.1</v>
      </c>
      <c r="BU10">
        <v>0.4</v>
      </c>
      <c r="BV10">
        <v>2632</v>
      </c>
      <c r="BW10" t="s">
        <v>252</v>
      </c>
      <c r="BX10" t="s">
        <v>233</v>
      </c>
      <c r="BY10" t="s">
        <v>253</v>
      </c>
      <c r="CB10" t="s">
        <v>254</v>
      </c>
      <c r="CD10" t="s">
        <v>330</v>
      </c>
      <c r="CE10" t="s">
        <v>108</v>
      </c>
      <c r="CF10" s="6">
        <v>45931</v>
      </c>
      <c r="CG10" t="s">
        <v>315</v>
      </c>
      <c r="CH10" t="s">
        <v>238</v>
      </c>
    </row>
    <row r="11" spans="1:86" ht="409.6" x14ac:dyDescent="0.3">
      <c r="A11" s="2">
        <v>46218.131006944444</v>
      </c>
      <c r="B11" s="2">
        <v>46218.149062500001</v>
      </c>
      <c r="C11">
        <v>100</v>
      </c>
      <c r="D11" t="b">
        <v>1</v>
      </c>
      <c r="E11" t="s">
        <v>331</v>
      </c>
      <c r="F11">
        <v>4.8498999999999999</v>
      </c>
      <c r="G11">
        <v>31.581199999999999</v>
      </c>
      <c r="H11" t="s">
        <v>200</v>
      </c>
      <c r="I11" t="s">
        <v>201</v>
      </c>
      <c r="J11" t="s">
        <v>332</v>
      </c>
      <c r="K11" t="s">
        <v>240</v>
      </c>
      <c r="L11" t="s">
        <v>333</v>
      </c>
      <c r="N11">
        <v>5</v>
      </c>
      <c r="O11">
        <v>125</v>
      </c>
      <c r="P11">
        <v>600</v>
      </c>
      <c r="Q11" s="7">
        <v>5.0000000000000001E-3</v>
      </c>
      <c r="R11">
        <v>2.5000000000000001E-2</v>
      </c>
      <c r="S11">
        <v>0.625</v>
      </c>
      <c r="T11">
        <v>3</v>
      </c>
      <c r="U11">
        <v>5.0000000000000001E-3</v>
      </c>
      <c r="V11">
        <v>408</v>
      </c>
      <c r="W11">
        <v>3786</v>
      </c>
      <c r="X11">
        <v>6.6032752245113503E-4</v>
      </c>
      <c r="Y11" s="4" t="s">
        <v>334</v>
      </c>
      <c r="Z11">
        <v>7.9239302694136204E-2</v>
      </c>
      <c r="AA11">
        <v>6.1274509803921498E-3</v>
      </c>
      <c r="AB11" s="4" t="s">
        <v>335</v>
      </c>
      <c r="AC11" s="4" t="s">
        <v>336</v>
      </c>
      <c r="AE11" s="4" t="s">
        <v>241</v>
      </c>
      <c r="AF11" s="4" t="s">
        <v>259</v>
      </c>
      <c r="AG11" s="4" t="s">
        <v>337</v>
      </c>
      <c r="AH11">
        <v>4100</v>
      </c>
      <c r="AI11">
        <v>3692</v>
      </c>
      <c r="AJ11" s="4" t="s">
        <v>338</v>
      </c>
      <c r="AN11">
        <v>0.5</v>
      </c>
      <c r="AQ11">
        <v>3</v>
      </c>
      <c r="AT11">
        <v>0</v>
      </c>
      <c r="AU11">
        <v>0</v>
      </c>
      <c r="AV11">
        <v>0</v>
      </c>
      <c r="AW11" s="4" t="s">
        <v>339</v>
      </c>
      <c r="AX11" s="4" t="s">
        <v>340</v>
      </c>
      <c r="BB11">
        <v>0</v>
      </c>
      <c r="BC11">
        <v>0</v>
      </c>
      <c r="BD11" s="4" t="s">
        <v>341</v>
      </c>
      <c r="BE11" s="4" t="s">
        <v>342</v>
      </c>
      <c r="BF11">
        <v>0</v>
      </c>
      <c r="BG11" s="4" t="s">
        <v>343</v>
      </c>
      <c r="BH11" s="4" t="s">
        <v>344</v>
      </c>
      <c r="BI11">
        <v>0</v>
      </c>
      <c r="BJ11">
        <v>6.6356442207099395E-2</v>
      </c>
      <c r="BK11">
        <v>4.9767331655324503E-3</v>
      </c>
      <c r="BL11" s="2">
        <v>46218.149074074077</v>
      </c>
      <c r="BM11" s="1" t="s">
        <v>345</v>
      </c>
      <c r="BN11" t="s">
        <v>346</v>
      </c>
      <c r="BO11" s="1" t="s">
        <v>347</v>
      </c>
      <c r="BP11" s="1" t="s">
        <v>348</v>
      </c>
      <c r="BR11" s="1" t="s">
        <v>349</v>
      </c>
      <c r="BS11">
        <v>0</v>
      </c>
      <c r="BT11">
        <v>0.4</v>
      </c>
      <c r="BU11">
        <v>0.03</v>
      </c>
      <c r="BV11">
        <v>1560</v>
      </c>
      <c r="BW11" t="s">
        <v>350</v>
      </c>
      <c r="BX11" t="s">
        <v>252</v>
      </c>
      <c r="BY11" t="s">
        <v>233</v>
      </c>
      <c r="CB11" t="s">
        <v>351</v>
      </c>
      <c r="CD11" t="s">
        <v>352</v>
      </c>
      <c r="CE11" t="s">
        <v>108</v>
      </c>
      <c r="CF11" s="5">
        <v>46296</v>
      </c>
      <c r="CG11" t="s">
        <v>353</v>
      </c>
      <c r="CH11" t="s">
        <v>269</v>
      </c>
    </row>
    <row r="12" spans="1:86" x14ac:dyDescent="0.3">
      <c r="A12" s="2">
        <v>46202.325023148151</v>
      </c>
      <c r="B12" s="2">
        <v>46218.43236111111</v>
      </c>
      <c r="C12">
        <v>100</v>
      </c>
      <c r="D12" t="b">
        <v>1</v>
      </c>
      <c r="E12" t="s">
        <v>354</v>
      </c>
      <c r="F12">
        <v>51.4116</v>
      </c>
      <c r="G12">
        <v>-0.36420000000000002</v>
      </c>
      <c r="H12" t="s">
        <v>200</v>
      </c>
      <c r="I12" t="s">
        <v>201</v>
      </c>
      <c r="J12" t="s">
        <v>202</v>
      </c>
      <c r="K12" t="s">
        <v>240</v>
      </c>
      <c r="L12" t="s">
        <v>355</v>
      </c>
      <c r="N12">
        <v>125</v>
      </c>
      <c r="O12">
        <v>175</v>
      </c>
      <c r="P12">
        <v>600</v>
      </c>
      <c r="Q12" t="s">
        <v>356</v>
      </c>
      <c r="R12">
        <v>5</v>
      </c>
      <c r="S12">
        <v>7</v>
      </c>
      <c r="T12">
        <v>24</v>
      </c>
      <c r="U12">
        <v>0.04</v>
      </c>
      <c r="V12">
        <v>408</v>
      </c>
      <c r="W12">
        <v>3786</v>
      </c>
      <c r="X12" s="4" t="s">
        <v>357</v>
      </c>
      <c r="Y12">
        <v>0.18489170628631801</v>
      </c>
      <c r="Z12" s="4" t="s">
        <v>358</v>
      </c>
      <c r="AA12" s="4" t="s">
        <v>241</v>
      </c>
      <c r="AB12" s="4" t="s">
        <v>359</v>
      </c>
      <c r="AC12">
        <v>5.8823529411764701</v>
      </c>
      <c r="AE12" s="4" t="s">
        <v>259</v>
      </c>
      <c r="AF12">
        <v>42.892156862745097</v>
      </c>
      <c r="AG12" s="4" t="s">
        <v>337</v>
      </c>
      <c r="AH12">
        <v>4100</v>
      </c>
      <c r="AI12">
        <v>3692</v>
      </c>
      <c r="AN12">
        <v>4</v>
      </c>
      <c r="AQ12">
        <v>3</v>
      </c>
      <c r="AT12">
        <v>0</v>
      </c>
      <c r="AU12">
        <v>1</v>
      </c>
      <c r="BL12" s="2">
        <v>46218.43236111111</v>
      </c>
      <c r="BN12" t="s">
        <v>323</v>
      </c>
      <c r="BQ12" t="s">
        <v>360</v>
      </c>
      <c r="BR12" t="s">
        <v>361</v>
      </c>
      <c r="BV12">
        <v>1391674</v>
      </c>
      <c r="BW12" t="s">
        <v>323</v>
      </c>
      <c r="BX12" t="s">
        <v>323</v>
      </c>
      <c r="BY12" t="s">
        <v>323</v>
      </c>
      <c r="BZ12" t="s">
        <v>362</v>
      </c>
      <c r="CB12" t="s">
        <v>289</v>
      </c>
      <c r="CC12" t="s">
        <v>363</v>
      </c>
      <c r="CD12" t="s">
        <v>364</v>
      </c>
      <c r="CE12" t="s">
        <v>108</v>
      </c>
      <c r="CF12" t="s">
        <v>269</v>
      </c>
      <c r="CG12" t="s">
        <v>353</v>
      </c>
      <c r="CH12" t="s">
        <v>237</v>
      </c>
    </row>
    <row r="13" spans="1:86" x14ac:dyDescent="0.3">
      <c r="A13" s="2">
        <v>46218.636412037034</v>
      </c>
      <c r="B13" s="2">
        <v>46218.647303240738</v>
      </c>
      <c r="C13">
        <v>100</v>
      </c>
      <c r="D13" t="b">
        <v>1</v>
      </c>
      <c r="E13" t="s">
        <v>365</v>
      </c>
      <c r="F13">
        <v>-4.33</v>
      </c>
      <c r="G13">
        <v>15.3104</v>
      </c>
      <c r="H13" t="s">
        <v>200</v>
      </c>
      <c r="I13" t="s">
        <v>201</v>
      </c>
      <c r="J13" t="s">
        <v>202</v>
      </c>
      <c r="K13" t="s">
        <v>240</v>
      </c>
      <c r="L13" t="s">
        <v>366</v>
      </c>
      <c r="N13">
        <v>0</v>
      </c>
      <c r="O13">
        <v>18</v>
      </c>
      <c r="P13">
        <v>5</v>
      </c>
      <c r="Q13" s="7">
        <v>1.4999999999999999E-2</v>
      </c>
      <c r="R13">
        <v>0</v>
      </c>
      <c r="S13">
        <v>0.27</v>
      </c>
      <c r="T13">
        <v>7.4999999999999997E-2</v>
      </c>
      <c r="U13">
        <v>1.4999999999999999E-2</v>
      </c>
      <c r="V13">
        <v>408</v>
      </c>
      <c r="W13">
        <v>3786</v>
      </c>
      <c r="X13">
        <v>0</v>
      </c>
      <c r="Y13">
        <v>7.1315372424722596E-3</v>
      </c>
      <c r="Z13">
        <v>1.9809825673534E-3</v>
      </c>
      <c r="AA13">
        <v>0</v>
      </c>
      <c r="AB13">
        <v>6.6176470588235295E-2</v>
      </c>
      <c r="AC13">
        <v>1.8382352941176398E-2</v>
      </c>
      <c r="AE13">
        <v>0</v>
      </c>
      <c r="AF13" s="4" t="s">
        <v>275</v>
      </c>
      <c r="AG13" s="4" t="s">
        <v>241</v>
      </c>
      <c r="AH13">
        <v>4100</v>
      </c>
      <c r="AI13">
        <v>3692</v>
      </c>
      <c r="AJ13" s="4" t="s">
        <v>276</v>
      </c>
      <c r="AN13">
        <v>1.5</v>
      </c>
      <c r="AQ13">
        <v>3</v>
      </c>
      <c r="AT13">
        <v>0</v>
      </c>
      <c r="AU13">
        <v>0</v>
      </c>
      <c r="AV13">
        <v>0</v>
      </c>
      <c r="AW13" s="4" t="s">
        <v>278</v>
      </c>
      <c r="AX13" s="4" t="s">
        <v>277</v>
      </c>
      <c r="BB13">
        <v>0</v>
      </c>
      <c r="BC13">
        <v>0</v>
      </c>
      <c r="BD13" s="4" t="s">
        <v>280</v>
      </c>
      <c r="BE13" s="4" t="s">
        <v>279</v>
      </c>
      <c r="BF13">
        <v>0</v>
      </c>
      <c r="BG13" s="4" t="s">
        <v>367</v>
      </c>
      <c r="BH13">
        <v>8.1397058823529406E-2</v>
      </c>
      <c r="BI13">
        <v>0</v>
      </c>
      <c r="BJ13">
        <v>7.1664957583667298E-3</v>
      </c>
      <c r="BK13">
        <v>2.1499487275100202E-3</v>
      </c>
      <c r="BL13" s="2">
        <v>46218.647303240738</v>
      </c>
      <c r="BM13" t="s">
        <v>368</v>
      </c>
      <c r="BN13" t="s">
        <v>369</v>
      </c>
      <c r="BO13" t="s">
        <v>370</v>
      </c>
      <c r="BP13" t="s">
        <v>371</v>
      </c>
      <c r="BR13" t="s">
        <v>372</v>
      </c>
      <c r="BS13">
        <v>0</v>
      </c>
      <c r="BT13">
        <v>0.1</v>
      </c>
      <c r="BU13">
        <v>0.03</v>
      </c>
      <c r="BV13">
        <v>941</v>
      </c>
      <c r="BW13" t="s">
        <v>350</v>
      </c>
      <c r="BX13" t="s">
        <v>252</v>
      </c>
      <c r="BY13" t="s">
        <v>253</v>
      </c>
      <c r="CB13" t="s">
        <v>267</v>
      </c>
      <c r="CD13" t="s">
        <v>373</v>
      </c>
      <c r="CE13" t="s">
        <v>108</v>
      </c>
      <c r="CF13" t="s">
        <v>292</v>
      </c>
      <c r="CG13" s="5">
        <v>46296</v>
      </c>
      <c r="CH13" s="6">
        <v>45931</v>
      </c>
    </row>
    <row r="14" spans="1:86" x14ac:dyDescent="0.3">
      <c r="A14" s="2">
        <v>46221.349374999998</v>
      </c>
      <c r="B14" s="2">
        <v>46221.363217592596</v>
      </c>
      <c r="C14">
        <v>100</v>
      </c>
      <c r="D14" t="b">
        <v>1</v>
      </c>
      <c r="E14" t="s">
        <v>374</v>
      </c>
      <c r="F14">
        <v>51.4435</v>
      </c>
      <c r="G14">
        <v>-0.32890000000000003</v>
      </c>
      <c r="H14" t="s">
        <v>200</v>
      </c>
      <c r="I14" t="s">
        <v>201</v>
      </c>
      <c r="J14" t="s">
        <v>202</v>
      </c>
      <c r="K14" t="s">
        <v>271</v>
      </c>
      <c r="L14" t="s">
        <v>355</v>
      </c>
      <c r="N14">
        <v>5</v>
      </c>
      <c r="O14">
        <v>75</v>
      </c>
      <c r="P14">
        <v>375</v>
      </c>
      <c r="Q14" s="7">
        <v>5.0000000000000001E-3</v>
      </c>
      <c r="R14">
        <v>2.5000000000000001E-2</v>
      </c>
      <c r="S14">
        <v>0.375</v>
      </c>
      <c r="T14">
        <v>1.875</v>
      </c>
      <c r="U14">
        <v>5.0000000000000001E-3</v>
      </c>
      <c r="V14">
        <v>408</v>
      </c>
      <c r="W14">
        <v>3786</v>
      </c>
      <c r="X14">
        <v>6.6032752245113503E-4</v>
      </c>
      <c r="Y14">
        <v>9.9049128367670308E-3</v>
      </c>
      <c r="Z14">
        <v>4.95245641838351E-2</v>
      </c>
      <c r="AA14">
        <v>6.1274509803921498E-3</v>
      </c>
      <c r="AB14">
        <v>9.1911764705882304E-2</v>
      </c>
      <c r="AC14" s="4" t="s">
        <v>375</v>
      </c>
      <c r="AE14" s="4" t="s">
        <v>241</v>
      </c>
      <c r="AF14" s="4" t="s">
        <v>212</v>
      </c>
      <c r="AG14" s="4" t="s">
        <v>298</v>
      </c>
      <c r="AH14">
        <v>4100</v>
      </c>
      <c r="AI14">
        <v>3692</v>
      </c>
      <c r="AJ14" s="4" t="s">
        <v>213</v>
      </c>
      <c r="AN14">
        <v>0.5</v>
      </c>
      <c r="AQ14">
        <v>3</v>
      </c>
      <c r="AT14">
        <v>0</v>
      </c>
      <c r="AU14">
        <v>0</v>
      </c>
      <c r="AV14">
        <v>0</v>
      </c>
      <c r="AW14">
        <v>0</v>
      </c>
      <c r="AX14" s="4" t="s">
        <v>242</v>
      </c>
      <c r="BB14">
        <v>0</v>
      </c>
      <c r="BC14">
        <v>0</v>
      </c>
      <c r="BD14">
        <v>0</v>
      </c>
      <c r="BE14">
        <v>0.55147058823529405</v>
      </c>
      <c r="BF14">
        <v>0</v>
      </c>
      <c r="BG14">
        <v>0</v>
      </c>
      <c r="BH14" s="4" t="s">
        <v>376</v>
      </c>
      <c r="BI14">
        <v>0</v>
      </c>
      <c r="BJ14">
        <v>0</v>
      </c>
      <c r="BK14">
        <v>2.9860398993194698E-3</v>
      </c>
      <c r="BL14" s="2">
        <v>46221.363217592596</v>
      </c>
      <c r="BN14" t="s">
        <v>346</v>
      </c>
      <c r="BO14" t="s">
        <v>377</v>
      </c>
      <c r="BP14" t="s">
        <v>378</v>
      </c>
      <c r="BR14" t="s">
        <v>379</v>
      </c>
      <c r="BS14">
        <v>0</v>
      </c>
      <c r="BT14">
        <v>0</v>
      </c>
      <c r="BU14">
        <v>0.03</v>
      </c>
      <c r="BV14">
        <v>1195</v>
      </c>
      <c r="BW14" t="s">
        <v>350</v>
      </c>
      <c r="BX14" t="s">
        <v>252</v>
      </c>
      <c r="BY14" t="s">
        <v>350</v>
      </c>
      <c r="CB14" t="s">
        <v>234</v>
      </c>
      <c r="CD14" t="s">
        <v>380</v>
      </c>
      <c r="CE14" t="s">
        <v>108</v>
      </c>
      <c r="CF14" s="5">
        <v>46296</v>
      </c>
      <c r="CG14" t="s">
        <v>315</v>
      </c>
      <c r="CH14" t="s">
        <v>238</v>
      </c>
    </row>
    <row r="15" spans="1:86" x14ac:dyDescent="0.3">
      <c r="A15" s="2">
        <v>46223.084537037037</v>
      </c>
      <c r="B15" s="2">
        <v>46223.540752314817</v>
      </c>
      <c r="C15">
        <v>100</v>
      </c>
      <c r="D15" t="b">
        <v>1</v>
      </c>
      <c r="E15" t="s">
        <v>381</v>
      </c>
      <c r="F15">
        <v>9.0566999999999993</v>
      </c>
      <c r="G15">
        <v>7.4969000000000001</v>
      </c>
      <c r="H15" t="s">
        <v>200</v>
      </c>
      <c r="I15" t="s">
        <v>201</v>
      </c>
      <c r="J15" t="s">
        <v>202</v>
      </c>
      <c r="K15" t="s">
        <v>240</v>
      </c>
      <c r="L15" t="s">
        <v>382</v>
      </c>
      <c r="N15">
        <v>75</v>
      </c>
      <c r="O15">
        <v>175</v>
      </c>
      <c r="P15">
        <v>125</v>
      </c>
      <c r="Q15" s="3">
        <v>0.05</v>
      </c>
      <c r="R15">
        <v>3.75</v>
      </c>
      <c r="S15">
        <v>8.75</v>
      </c>
      <c r="T15">
        <v>6.25</v>
      </c>
      <c r="U15">
        <v>0.05</v>
      </c>
      <c r="V15">
        <v>408</v>
      </c>
      <c r="W15">
        <v>3786</v>
      </c>
      <c r="X15">
        <v>9.9049128367670297E-2</v>
      </c>
      <c r="Y15" s="4" t="s">
        <v>294</v>
      </c>
      <c r="Z15" s="4" t="s">
        <v>383</v>
      </c>
      <c r="AA15" s="4" t="s">
        <v>258</v>
      </c>
      <c r="AB15" s="4" t="s">
        <v>296</v>
      </c>
      <c r="AC15" s="4" t="s">
        <v>384</v>
      </c>
      <c r="AE15" s="4" t="s">
        <v>212</v>
      </c>
      <c r="AF15">
        <v>42.892156862745097</v>
      </c>
      <c r="AG15" s="4" t="s">
        <v>259</v>
      </c>
      <c r="AH15">
        <v>4100</v>
      </c>
      <c r="AI15">
        <v>3692</v>
      </c>
      <c r="AJ15" s="4" t="s">
        <v>299</v>
      </c>
      <c r="AN15">
        <v>5</v>
      </c>
      <c r="AQ15">
        <v>3</v>
      </c>
      <c r="AT15">
        <v>0</v>
      </c>
      <c r="AU15">
        <v>0</v>
      </c>
      <c r="AV15" s="4" t="s">
        <v>300</v>
      </c>
      <c r="AW15" s="4" t="s">
        <v>385</v>
      </c>
      <c r="AX15" s="4" t="s">
        <v>301</v>
      </c>
      <c r="BB15">
        <v>0</v>
      </c>
      <c r="BC15" s="4" t="s">
        <v>302</v>
      </c>
      <c r="BD15" s="4" t="s">
        <v>386</v>
      </c>
      <c r="BE15" s="4" t="s">
        <v>303</v>
      </c>
      <c r="BF15" s="4" t="s">
        <v>304</v>
      </c>
      <c r="BG15" s="4" t="s">
        <v>387</v>
      </c>
      <c r="BH15" s="4" t="s">
        <v>305</v>
      </c>
      <c r="BI15" s="4" t="s">
        <v>307</v>
      </c>
      <c r="BJ15" s="4" t="s">
        <v>388</v>
      </c>
      <c r="BK15" s="4" t="s">
        <v>308</v>
      </c>
      <c r="BL15" s="2">
        <v>46223.540752314817</v>
      </c>
      <c r="BN15" t="s">
        <v>310</v>
      </c>
      <c r="BO15" t="s">
        <v>389</v>
      </c>
      <c r="BP15" t="s">
        <v>390</v>
      </c>
      <c r="BR15" t="s">
        <v>390</v>
      </c>
      <c r="BS15">
        <v>0.1</v>
      </c>
      <c r="BT15">
        <v>0.65</v>
      </c>
      <c r="BU15">
        <v>0.4</v>
      </c>
      <c r="BV15">
        <v>39416</v>
      </c>
      <c r="BW15" t="s">
        <v>253</v>
      </c>
      <c r="BX15" t="s">
        <v>233</v>
      </c>
      <c r="BY15" t="s">
        <v>232</v>
      </c>
      <c r="CB15" t="s">
        <v>351</v>
      </c>
      <c r="CD15" t="s">
        <v>391</v>
      </c>
      <c r="CE15" t="s">
        <v>108</v>
      </c>
      <c r="CF15" t="s">
        <v>238</v>
      </c>
      <c r="CG15" t="s">
        <v>269</v>
      </c>
      <c r="CH15" t="s">
        <v>315</v>
      </c>
    </row>
    <row r="16" spans="1:86" x14ac:dyDescent="0.3">
      <c r="A16" s="2">
        <v>46196.197916666664</v>
      </c>
      <c r="B16" s="2">
        <v>46196.200995370367</v>
      </c>
      <c r="C16">
        <v>19</v>
      </c>
      <c r="D16" t="b">
        <v>0</v>
      </c>
      <c r="E16" t="s">
        <v>392</v>
      </c>
      <c r="F16">
        <v>59.946300000000001</v>
      </c>
      <c r="G16">
        <v>10.754099999999999</v>
      </c>
      <c r="H16" t="s">
        <v>200</v>
      </c>
      <c r="I16" t="s">
        <v>201</v>
      </c>
      <c r="J16" t="s">
        <v>202</v>
      </c>
      <c r="V16">
        <v>408</v>
      </c>
      <c r="W16">
        <v>3786</v>
      </c>
      <c r="AH16">
        <v>4100</v>
      </c>
      <c r="AI16">
        <v>3692</v>
      </c>
      <c r="AQ16" s="8"/>
      <c r="BL16" s="2">
        <v>46224.201006944444</v>
      </c>
      <c r="BV16">
        <v>266</v>
      </c>
      <c r="CD16" t="s">
        <v>393</v>
      </c>
      <c r="CE16" t="s">
        <v>108</v>
      </c>
    </row>
    <row r="17" spans="1:86" ht="409.6" x14ac:dyDescent="0.3">
      <c r="A17" s="2">
        <v>46212.201956018522</v>
      </c>
      <c r="B17" s="2">
        <v>46224.393958333334</v>
      </c>
      <c r="C17">
        <v>100</v>
      </c>
      <c r="D17" t="b">
        <v>1</v>
      </c>
      <c r="E17" t="s">
        <v>394</v>
      </c>
      <c r="F17">
        <v>48.855800000000002</v>
      </c>
      <c r="G17">
        <v>2.3494000000000002</v>
      </c>
      <c r="H17" t="s">
        <v>200</v>
      </c>
      <c r="I17" t="s">
        <v>201</v>
      </c>
      <c r="J17" t="s">
        <v>202</v>
      </c>
      <c r="K17" t="s">
        <v>240</v>
      </c>
      <c r="L17" t="s">
        <v>395</v>
      </c>
      <c r="N17">
        <v>50</v>
      </c>
      <c r="O17">
        <v>50</v>
      </c>
      <c r="P17">
        <v>50</v>
      </c>
      <c r="Q17" t="s">
        <v>356</v>
      </c>
      <c r="R17">
        <v>2</v>
      </c>
      <c r="S17">
        <v>2</v>
      </c>
      <c r="T17">
        <v>2</v>
      </c>
      <c r="U17">
        <v>0.04</v>
      </c>
      <c r="V17">
        <v>408</v>
      </c>
      <c r="W17">
        <v>3786</v>
      </c>
      <c r="X17">
        <v>5.2826201796090801E-2</v>
      </c>
      <c r="Y17">
        <v>5.2826201796090801E-2</v>
      </c>
      <c r="Z17">
        <v>5.2826201796090801E-2</v>
      </c>
      <c r="AA17" s="4" t="s">
        <v>396</v>
      </c>
      <c r="AB17" s="4" t="s">
        <v>396</v>
      </c>
      <c r="AC17" s="4" t="s">
        <v>396</v>
      </c>
      <c r="AE17" s="4" t="s">
        <v>341</v>
      </c>
      <c r="AF17" s="4" t="s">
        <v>341</v>
      </c>
      <c r="AG17" s="4" t="s">
        <v>341</v>
      </c>
      <c r="AH17">
        <v>4100</v>
      </c>
      <c r="AI17">
        <v>3692</v>
      </c>
      <c r="AJ17" s="4" t="s">
        <v>339</v>
      </c>
      <c r="AN17">
        <v>4</v>
      </c>
      <c r="AQ17">
        <v>3</v>
      </c>
      <c r="AT17">
        <v>1</v>
      </c>
      <c r="AU17">
        <v>1</v>
      </c>
      <c r="AV17" s="4" t="s">
        <v>397</v>
      </c>
      <c r="AW17" s="4" t="s">
        <v>398</v>
      </c>
      <c r="AX17" s="4" t="s">
        <v>399</v>
      </c>
      <c r="BB17">
        <v>0</v>
      </c>
      <c r="BC17" s="4" t="s">
        <v>400</v>
      </c>
      <c r="BD17" s="4" t="s">
        <v>241</v>
      </c>
      <c r="BE17" s="4" t="s">
        <v>326</v>
      </c>
      <c r="BF17" s="4" t="s">
        <v>401</v>
      </c>
      <c r="BG17" s="4" t="s">
        <v>402</v>
      </c>
      <c r="BH17" s="4" t="s">
        <v>403</v>
      </c>
      <c r="BI17">
        <v>1.5925546129703799E-2</v>
      </c>
      <c r="BJ17">
        <v>5.3085153765679502E-2</v>
      </c>
      <c r="BK17" s="4" t="s">
        <v>404</v>
      </c>
      <c r="BL17" s="2">
        <v>46224.393958333334</v>
      </c>
      <c r="BN17" t="s">
        <v>323</v>
      </c>
      <c r="BO17" s="1" t="s">
        <v>405</v>
      </c>
      <c r="BQ17" t="s">
        <v>406</v>
      </c>
      <c r="BR17" s="1" t="s">
        <v>407</v>
      </c>
      <c r="BS17">
        <v>0.03</v>
      </c>
      <c r="BT17">
        <v>0.1</v>
      </c>
      <c r="BU17">
        <v>0.22500000000000001</v>
      </c>
      <c r="BV17">
        <v>1053388</v>
      </c>
      <c r="BW17" t="s">
        <v>252</v>
      </c>
      <c r="BX17" t="s">
        <v>231</v>
      </c>
      <c r="BY17" t="s">
        <v>253</v>
      </c>
      <c r="CB17" t="s">
        <v>234</v>
      </c>
      <c r="CD17" t="s">
        <v>408</v>
      </c>
      <c r="CE17" t="s">
        <v>108</v>
      </c>
      <c r="CF17" t="s">
        <v>323</v>
      </c>
      <c r="CG17" t="s">
        <v>323</v>
      </c>
      <c r="CH17" t="s">
        <v>323</v>
      </c>
    </row>
    <row r="18" spans="1:86" ht="302.39999999999998" x14ac:dyDescent="0.3">
      <c r="A18" s="2">
        <v>46224.305497685185</v>
      </c>
      <c r="B18" s="2">
        <v>46224.415300925924</v>
      </c>
      <c r="C18">
        <v>100</v>
      </c>
      <c r="D18" t="b">
        <v>1</v>
      </c>
      <c r="E18" t="s">
        <v>409</v>
      </c>
      <c r="F18">
        <v>48.153500000000001</v>
      </c>
      <c r="G18">
        <v>16.3855</v>
      </c>
      <c r="H18" t="s">
        <v>200</v>
      </c>
      <c r="I18" t="s">
        <v>201</v>
      </c>
      <c r="J18" t="s">
        <v>202</v>
      </c>
      <c r="K18" t="s">
        <v>240</v>
      </c>
      <c r="L18" t="s">
        <v>410</v>
      </c>
      <c r="N18">
        <v>175</v>
      </c>
      <c r="O18">
        <v>175</v>
      </c>
      <c r="P18">
        <v>375</v>
      </c>
      <c r="Q18" s="3">
        <v>0.03</v>
      </c>
      <c r="R18">
        <v>5.25</v>
      </c>
      <c r="S18">
        <v>5.25</v>
      </c>
      <c r="T18">
        <v>11.25</v>
      </c>
      <c r="U18">
        <v>0.03</v>
      </c>
      <c r="V18">
        <v>408</v>
      </c>
      <c r="W18">
        <v>3786</v>
      </c>
      <c r="X18" s="4" t="s">
        <v>207</v>
      </c>
      <c r="Y18" s="4" t="s">
        <v>207</v>
      </c>
      <c r="Z18" s="4" t="s">
        <v>325</v>
      </c>
      <c r="AA18" s="4" t="s">
        <v>210</v>
      </c>
      <c r="AB18" s="4" t="s">
        <v>210</v>
      </c>
      <c r="AC18" s="4" t="s">
        <v>326</v>
      </c>
      <c r="AE18">
        <v>42.892156862745097</v>
      </c>
      <c r="AF18">
        <v>42.892156862745097</v>
      </c>
      <c r="AG18" s="4" t="s">
        <v>298</v>
      </c>
      <c r="AH18">
        <v>4100</v>
      </c>
      <c r="AI18">
        <v>3692</v>
      </c>
      <c r="AJ18" s="4" t="s">
        <v>299</v>
      </c>
      <c r="AN18">
        <v>3</v>
      </c>
      <c r="AQ18">
        <v>3</v>
      </c>
      <c r="AT18">
        <v>0</v>
      </c>
      <c r="AU18">
        <v>0</v>
      </c>
      <c r="AV18">
        <v>0</v>
      </c>
      <c r="AW18" s="4" t="s">
        <v>411</v>
      </c>
      <c r="AX18" s="4" t="s">
        <v>411</v>
      </c>
      <c r="BB18">
        <v>0</v>
      </c>
      <c r="BC18">
        <v>0</v>
      </c>
      <c r="BD18" s="4" t="s">
        <v>210</v>
      </c>
      <c r="BE18" s="4" t="s">
        <v>210</v>
      </c>
      <c r="BF18">
        <v>0</v>
      </c>
      <c r="BG18" s="4" t="s">
        <v>412</v>
      </c>
      <c r="BH18" s="4" t="s">
        <v>412</v>
      </c>
      <c r="BI18">
        <v>0</v>
      </c>
      <c r="BJ18" s="4" t="s">
        <v>413</v>
      </c>
      <c r="BK18" s="4" t="s">
        <v>413</v>
      </c>
      <c r="BL18" s="2">
        <v>46224.415312500001</v>
      </c>
      <c r="BM18" s="1" t="s">
        <v>414</v>
      </c>
      <c r="BN18" t="s">
        <v>227</v>
      </c>
      <c r="BO18" t="s">
        <v>415</v>
      </c>
      <c r="BP18" t="s">
        <v>416</v>
      </c>
      <c r="BR18" t="s">
        <v>417</v>
      </c>
      <c r="BS18">
        <v>0</v>
      </c>
      <c r="BT18">
        <v>0.03</v>
      </c>
      <c r="BU18">
        <v>0.03</v>
      </c>
      <c r="BV18">
        <v>9486</v>
      </c>
      <c r="BW18" t="s">
        <v>350</v>
      </c>
      <c r="BX18" t="s">
        <v>252</v>
      </c>
      <c r="BY18" t="s">
        <v>252</v>
      </c>
      <c r="CB18" t="s">
        <v>267</v>
      </c>
      <c r="CD18" t="s">
        <v>418</v>
      </c>
      <c r="CE18" t="s">
        <v>108</v>
      </c>
      <c r="CF18" t="s">
        <v>237</v>
      </c>
      <c r="CG18" t="s">
        <v>315</v>
      </c>
      <c r="CH18" t="s">
        <v>237</v>
      </c>
    </row>
    <row r="19" spans="1:86" x14ac:dyDescent="0.3">
      <c r="A19" s="2">
        <v>46197.481828703705</v>
      </c>
      <c r="B19" s="2">
        <v>46197.484131944446</v>
      </c>
      <c r="C19">
        <v>19</v>
      </c>
      <c r="D19" t="b">
        <v>0</v>
      </c>
      <c r="E19" t="s">
        <v>419</v>
      </c>
      <c r="F19">
        <v>52.527900000000002</v>
      </c>
      <c r="G19">
        <v>-2.0705</v>
      </c>
      <c r="H19" t="s">
        <v>200</v>
      </c>
      <c r="I19" t="s">
        <v>201</v>
      </c>
      <c r="J19" t="s">
        <v>202</v>
      </c>
      <c r="V19">
        <v>408</v>
      </c>
      <c r="W19">
        <v>3786</v>
      </c>
      <c r="AH19">
        <v>4100</v>
      </c>
      <c r="AI19">
        <v>3692</v>
      </c>
      <c r="AQ19" s="8">
        <v>2</v>
      </c>
      <c r="BL19" s="2">
        <v>46225.128634259258</v>
      </c>
      <c r="BV19">
        <v>198</v>
      </c>
      <c r="CD19" t="s">
        <v>420</v>
      </c>
      <c r="CE19" t="s">
        <v>108</v>
      </c>
    </row>
    <row r="20" spans="1:86" x14ac:dyDescent="0.3">
      <c r="A20" s="2">
        <v>46218.092939814815</v>
      </c>
      <c r="B20" s="2">
        <v>46218.118622685186</v>
      </c>
      <c r="C20">
        <v>28</v>
      </c>
      <c r="D20" t="b">
        <v>0</v>
      </c>
      <c r="E20" t="s">
        <v>421</v>
      </c>
      <c r="F20">
        <v>-20.160799999999998</v>
      </c>
      <c r="G20">
        <v>57.499400000000001</v>
      </c>
      <c r="H20" t="s">
        <v>200</v>
      </c>
      <c r="I20" t="s">
        <v>201</v>
      </c>
      <c r="J20" t="s">
        <v>202</v>
      </c>
      <c r="V20">
        <v>408</v>
      </c>
      <c r="W20">
        <v>3786</v>
      </c>
      <c r="AH20">
        <v>4100</v>
      </c>
      <c r="AI20">
        <v>3692</v>
      </c>
      <c r="AQ20">
        <v>3</v>
      </c>
      <c r="BL20" s="2">
        <v>46225.128634259258</v>
      </c>
      <c r="BV20">
        <v>2218</v>
      </c>
      <c r="CD20" t="s">
        <v>422</v>
      </c>
      <c r="CE20" t="s">
        <v>108</v>
      </c>
    </row>
    <row r="21" spans="1:86" x14ac:dyDescent="0.3">
      <c r="A21" s="2">
        <v>46218.127083333333</v>
      </c>
      <c r="B21" s="2">
        <v>46218.127615740741</v>
      </c>
      <c r="C21">
        <v>14</v>
      </c>
      <c r="D21" t="b">
        <v>0</v>
      </c>
      <c r="E21" t="s">
        <v>423</v>
      </c>
      <c r="F21">
        <v>0.32100000000000001</v>
      </c>
      <c r="G21">
        <v>32.571399999999997</v>
      </c>
      <c r="H21" t="s">
        <v>200</v>
      </c>
      <c r="I21" t="s">
        <v>201</v>
      </c>
      <c r="J21" t="s">
        <v>202</v>
      </c>
      <c r="V21">
        <v>408</v>
      </c>
      <c r="W21">
        <v>3786</v>
      </c>
      <c r="AH21">
        <v>4100</v>
      </c>
      <c r="AI21">
        <v>3692</v>
      </c>
      <c r="AQ21">
        <v>3</v>
      </c>
      <c r="BL21" s="2">
        <v>46225.128634259258</v>
      </c>
      <c r="BV21">
        <v>46</v>
      </c>
      <c r="CD21" t="s">
        <v>424</v>
      </c>
      <c r="CE21" t="s">
        <v>108</v>
      </c>
    </row>
    <row r="22" spans="1:86" x14ac:dyDescent="0.3">
      <c r="A22" s="2">
        <v>46209.032627314817</v>
      </c>
      <c r="B22" s="2">
        <v>46209.032847222225</v>
      </c>
      <c r="C22">
        <v>17</v>
      </c>
      <c r="D22" t="b">
        <v>0</v>
      </c>
      <c r="E22" t="s">
        <v>425</v>
      </c>
      <c r="F22">
        <v>48.963099999999997</v>
      </c>
      <c r="G22">
        <v>10.148400000000001</v>
      </c>
      <c r="H22" t="s">
        <v>200</v>
      </c>
      <c r="I22" t="s">
        <v>201</v>
      </c>
      <c r="J22" t="s">
        <v>202</v>
      </c>
      <c r="V22">
        <v>408</v>
      </c>
      <c r="W22">
        <v>3786</v>
      </c>
      <c r="AH22">
        <v>4100</v>
      </c>
      <c r="AI22">
        <v>3692</v>
      </c>
      <c r="AQ22">
        <v>3</v>
      </c>
      <c r="BL22" s="2">
        <v>46225.128634259258</v>
      </c>
      <c r="BV22">
        <v>19</v>
      </c>
      <c r="CD22" t="s">
        <v>255</v>
      </c>
      <c r="CE22" t="s">
        <v>108</v>
      </c>
    </row>
    <row r="23" spans="1:86" x14ac:dyDescent="0.3">
      <c r="A23" s="2">
        <v>46218.106469907405</v>
      </c>
      <c r="B23" s="2">
        <v>46218.108020833337</v>
      </c>
      <c r="C23">
        <v>55</v>
      </c>
      <c r="D23" t="b">
        <v>0</v>
      </c>
      <c r="E23" t="s">
        <v>426</v>
      </c>
      <c r="F23">
        <v>50.376199999999997</v>
      </c>
      <c r="G23">
        <v>-4.1755000000000004</v>
      </c>
      <c r="H23" t="s">
        <v>200</v>
      </c>
      <c r="I23" t="s">
        <v>201</v>
      </c>
      <c r="J23" t="s">
        <v>202</v>
      </c>
      <c r="V23">
        <v>408</v>
      </c>
      <c r="W23">
        <v>3786</v>
      </c>
      <c r="AH23">
        <v>4100</v>
      </c>
      <c r="AI23">
        <v>3692</v>
      </c>
      <c r="AQ23">
        <v>3</v>
      </c>
      <c r="BL23" s="2">
        <v>46225.128634259258</v>
      </c>
      <c r="BV23">
        <v>134</v>
      </c>
      <c r="CD23" t="s">
        <v>427</v>
      </c>
      <c r="CE23" t="s">
        <v>108</v>
      </c>
    </row>
    <row r="24" spans="1:86" x14ac:dyDescent="0.3">
      <c r="A24" s="2">
        <v>46218.094097222223</v>
      </c>
      <c r="B24" s="2">
        <v>46218.096747685187</v>
      </c>
      <c r="C24">
        <v>17</v>
      </c>
      <c r="D24" t="b">
        <v>0</v>
      </c>
      <c r="E24" t="s">
        <v>428</v>
      </c>
      <c r="F24">
        <v>-18.913</v>
      </c>
      <c r="G24">
        <v>47.529600000000002</v>
      </c>
      <c r="H24" t="s">
        <v>200</v>
      </c>
      <c r="I24" t="s">
        <v>201</v>
      </c>
      <c r="J24" t="s">
        <v>202</v>
      </c>
      <c r="V24">
        <v>408</v>
      </c>
      <c r="W24">
        <v>3786</v>
      </c>
      <c r="AH24">
        <v>4100</v>
      </c>
      <c r="AI24">
        <v>3692</v>
      </c>
      <c r="AQ24">
        <v>3</v>
      </c>
      <c r="BL24" s="2">
        <v>46225.128634259258</v>
      </c>
      <c r="BV24">
        <v>229</v>
      </c>
      <c r="CD24" t="s">
        <v>429</v>
      </c>
      <c r="CE24" t="s">
        <v>108</v>
      </c>
    </row>
    <row r="25" spans="1:86" x14ac:dyDescent="0.3">
      <c r="A25" s="2">
        <v>46218.340578703705</v>
      </c>
      <c r="B25" s="2">
        <v>46218.345983796295</v>
      </c>
      <c r="C25">
        <v>41</v>
      </c>
      <c r="D25" t="b">
        <v>0</v>
      </c>
      <c r="E25" t="s">
        <v>430</v>
      </c>
      <c r="F25">
        <v>-4.33</v>
      </c>
      <c r="G25">
        <v>15.3104</v>
      </c>
      <c r="H25" t="s">
        <v>200</v>
      </c>
      <c r="I25" t="s">
        <v>201</v>
      </c>
      <c r="J25" t="s">
        <v>202</v>
      </c>
      <c r="V25">
        <v>408</v>
      </c>
      <c r="W25">
        <v>3786</v>
      </c>
      <c r="AH25">
        <v>4100</v>
      </c>
      <c r="AI25">
        <v>3692</v>
      </c>
      <c r="AQ25">
        <v>3</v>
      </c>
      <c r="BL25" s="2">
        <v>46225.128634259258</v>
      </c>
      <c r="BR25" t="s">
        <v>431</v>
      </c>
      <c r="BV25">
        <v>467</v>
      </c>
      <c r="CD25" t="s">
        <v>432</v>
      </c>
      <c r="CE25" t="s">
        <v>108</v>
      </c>
      <c r="CF25" s="6">
        <v>45931</v>
      </c>
      <c r="CG25" s="6">
        <v>45931</v>
      </c>
      <c r="CH25" s="6">
        <v>45931</v>
      </c>
    </row>
    <row r="26" spans="1:86" x14ac:dyDescent="0.3">
      <c r="A26" s="2">
        <v>46218.70107638889</v>
      </c>
      <c r="B26" s="2">
        <v>46218.71</v>
      </c>
      <c r="C26">
        <v>28</v>
      </c>
      <c r="D26" t="b">
        <v>0</v>
      </c>
      <c r="E26" t="s">
        <v>433</v>
      </c>
      <c r="F26">
        <v>51.506399999999999</v>
      </c>
      <c r="G26">
        <v>-0.02</v>
      </c>
      <c r="H26" t="s">
        <v>200</v>
      </c>
      <c r="I26" t="s">
        <v>201</v>
      </c>
      <c r="J26" t="s">
        <v>202</v>
      </c>
      <c r="V26">
        <v>408</v>
      </c>
      <c r="W26">
        <v>3786</v>
      </c>
      <c r="AH26">
        <v>4100</v>
      </c>
      <c r="AI26">
        <v>3692</v>
      </c>
      <c r="AQ26">
        <v>3</v>
      </c>
      <c r="BL26" s="2">
        <v>46225.128634259258</v>
      </c>
      <c r="BV26">
        <v>770</v>
      </c>
      <c r="CD26" t="s">
        <v>434</v>
      </c>
      <c r="CE26" t="s">
        <v>108</v>
      </c>
    </row>
    <row r="27" spans="1:86" x14ac:dyDescent="0.3">
      <c r="A27" s="2">
        <v>46198.638287037036</v>
      </c>
      <c r="B27" s="2">
        <v>46198.640729166669</v>
      </c>
      <c r="C27">
        <v>41</v>
      </c>
      <c r="D27" t="b">
        <v>0</v>
      </c>
      <c r="E27" t="s">
        <v>435</v>
      </c>
      <c r="F27">
        <v>-43.555500000000002</v>
      </c>
      <c r="G27">
        <v>172.6183</v>
      </c>
      <c r="H27" t="s">
        <v>200</v>
      </c>
      <c r="I27" t="s">
        <v>201</v>
      </c>
      <c r="J27" t="s">
        <v>202</v>
      </c>
      <c r="V27">
        <v>408</v>
      </c>
      <c r="W27">
        <v>3786</v>
      </c>
      <c r="AH27">
        <v>4100</v>
      </c>
      <c r="AI27">
        <v>3692</v>
      </c>
      <c r="AQ27">
        <v>3</v>
      </c>
      <c r="BL27" s="2">
        <v>46225.128634259258</v>
      </c>
      <c r="BV27">
        <v>210</v>
      </c>
      <c r="CD27" t="s">
        <v>436</v>
      </c>
      <c r="CE27" t="s">
        <v>108</v>
      </c>
    </row>
    <row r="28" spans="1:86" x14ac:dyDescent="0.3">
      <c r="A28" s="2">
        <v>46218.104733796295</v>
      </c>
      <c r="B28" s="2">
        <v>46218.134722222225</v>
      </c>
      <c r="C28">
        <v>86</v>
      </c>
      <c r="D28" t="b">
        <v>0</v>
      </c>
      <c r="E28" t="s">
        <v>437</v>
      </c>
      <c r="F28">
        <v>23.0276</v>
      </c>
      <c r="G28">
        <v>72.587100000000007</v>
      </c>
      <c r="H28" t="s">
        <v>200</v>
      </c>
      <c r="I28" t="s">
        <v>201</v>
      </c>
      <c r="J28" t="s">
        <v>202</v>
      </c>
      <c r="N28">
        <v>37</v>
      </c>
      <c r="O28">
        <v>125</v>
      </c>
      <c r="P28">
        <v>18</v>
      </c>
      <c r="Q28" s="3">
        <v>0.05</v>
      </c>
      <c r="R28">
        <v>1.85</v>
      </c>
      <c r="S28">
        <v>6.25</v>
      </c>
      <c r="T28">
        <v>0.9</v>
      </c>
      <c r="U28">
        <v>0.05</v>
      </c>
      <c r="V28">
        <v>408</v>
      </c>
      <c r="W28">
        <v>3786</v>
      </c>
      <c r="X28">
        <v>4.8864236661384002E-2</v>
      </c>
      <c r="Y28" s="4" t="s">
        <v>383</v>
      </c>
      <c r="Z28">
        <v>2.3771790808240802E-2</v>
      </c>
      <c r="AA28" s="4" t="s">
        <v>438</v>
      </c>
      <c r="AB28" s="4" t="s">
        <v>384</v>
      </c>
      <c r="AC28" s="4" t="s">
        <v>439</v>
      </c>
      <c r="AE28" s="4" t="s">
        <v>211</v>
      </c>
      <c r="AF28" s="4" t="s">
        <v>259</v>
      </c>
      <c r="AG28" s="4" t="s">
        <v>275</v>
      </c>
      <c r="AH28">
        <v>4100</v>
      </c>
      <c r="AI28">
        <v>3692</v>
      </c>
      <c r="AJ28" s="4" t="s">
        <v>338</v>
      </c>
      <c r="AN28">
        <v>5</v>
      </c>
      <c r="AQ28">
        <v>3</v>
      </c>
      <c r="AT28">
        <v>0</v>
      </c>
      <c r="AU28">
        <v>0</v>
      </c>
      <c r="AV28" s="4" t="s">
        <v>440</v>
      </c>
      <c r="AW28" s="4" t="s">
        <v>440</v>
      </c>
      <c r="AX28" s="4" t="s">
        <v>440</v>
      </c>
      <c r="BB28">
        <v>0</v>
      </c>
      <c r="BC28" s="4" t="s">
        <v>441</v>
      </c>
      <c r="BD28" s="4" t="s">
        <v>441</v>
      </c>
      <c r="BE28" s="4" t="s">
        <v>441</v>
      </c>
      <c r="BF28" s="4" t="s">
        <v>442</v>
      </c>
      <c r="BG28" s="4" t="s">
        <v>442</v>
      </c>
      <c r="BH28" s="4" t="s">
        <v>442</v>
      </c>
      <c r="BI28" s="4" t="s">
        <v>443</v>
      </c>
      <c r="BJ28" s="4" t="s">
        <v>443</v>
      </c>
      <c r="BK28" s="4" t="s">
        <v>443</v>
      </c>
      <c r="BL28" s="2">
        <v>46225.128645833334</v>
      </c>
      <c r="BN28" t="s">
        <v>310</v>
      </c>
      <c r="BO28" t="s">
        <v>444</v>
      </c>
      <c r="BP28" t="s">
        <v>445</v>
      </c>
      <c r="BR28">
        <v>1234</v>
      </c>
      <c r="BS28">
        <v>0.1</v>
      </c>
      <c r="BT28">
        <v>0.1</v>
      </c>
      <c r="BU28">
        <v>0.1</v>
      </c>
      <c r="BV28">
        <v>2590</v>
      </c>
      <c r="BW28" t="s">
        <v>253</v>
      </c>
      <c r="BX28" t="s">
        <v>253</v>
      </c>
      <c r="BY28" t="s">
        <v>253</v>
      </c>
      <c r="CD28" t="s">
        <v>446</v>
      </c>
      <c r="CE28" t="s">
        <v>108</v>
      </c>
      <c r="CF28" t="s">
        <v>236</v>
      </c>
      <c r="CG28" s="6">
        <v>45931</v>
      </c>
      <c r="CH28" t="s">
        <v>269</v>
      </c>
    </row>
    <row r="29" spans="1:86" x14ac:dyDescent="0.3">
      <c r="A29" s="2">
        <v>46212.173715277779</v>
      </c>
      <c r="B29" s="2">
        <v>46212.190034722225</v>
      </c>
      <c r="C29">
        <v>86</v>
      </c>
      <c r="D29" t="b">
        <v>0</v>
      </c>
      <c r="E29" t="s">
        <v>447</v>
      </c>
      <c r="F29">
        <v>1.2871999999999999</v>
      </c>
      <c r="G29">
        <v>103.8507</v>
      </c>
      <c r="H29" t="s">
        <v>200</v>
      </c>
      <c r="I29" t="s">
        <v>201</v>
      </c>
      <c r="J29" t="s">
        <v>202</v>
      </c>
      <c r="V29">
        <v>408</v>
      </c>
      <c r="W29">
        <v>3786</v>
      </c>
      <c r="AH29">
        <v>4100</v>
      </c>
      <c r="AI29">
        <v>3692</v>
      </c>
      <c r="AQ29">
        <v>3</v>
      </c>
      <c r="BL29" s="2">
        <v>46225.128645833334</v>
      </c>
      <c r="BV29">
        <v>1409</v>
      </c>
      <c r="CD29" t="s">
        <v>448</v>
      </c>
      <c r="CE29" t="s">
        <v>108</v>
      </c>
    </row>
    <row r="30" spans="1:86" x14ac:dyDescent="0.3">
      <c r="A30" s="2">
        <v>46218.337835648148</v>
      </c>
      <c r="B30" s="2">
        <v>46218.338854166665</v>
      </c>
      <c r="C30">
        <v>14</v>
      </c>
      <c r="D30" t="b">
        <v>0</v>
      </c>
      <c r="E30" t="s">
        <v>449</v>
      </c>
      <c r="F30">
        <v>28.654199999999999</v>
      </c>
      <c r="G30">
        <v>77.237300000000005</v>
      </c>
      <c r="H30" t="s">
        <v>200</v>
      </c>
      <c r="I30" t="s">
        <v>201</v>
      </c>
      <c r="J30" t="s">
        <v>202</v>
      </c>
      <c r="V30">
        <v>408</v>
      </c>
      <c r="W30">
        <v>3786</v>
      </c>
      <c r="AH30">
        <v>4100</v>
      </c>
      <c r="AI30">
        <v>3692</v>
      </c>
      <c r="AQ30">
        <v>3</v>
      </c>
      <c r="BL30" s="2">
        <v>46225.128645833334</v>
      </c>
      <c r="BV30">
        <v>87</v>
      </c>
      <c r="CD30" t="s">
        <v>450</v>
      </c>
      <c r="CE30" t="s">
        <v>108</v>
      </c>
    </row>
    <row r="31" spans="1:86" x14ac:dyDescent="0.3">
      <c r="A31" s="2">
        <v>46219.288923611108</v>
      </c>
      <c r="B31" s="2">
        <v>46219.291412037041</v>
      </c>
      <c r="C31">
        <v>28</v>
      </c>
      <c r="D31" t="b">
        <v>0</v>
      </c>
      <c r="E31" t="s">
        <v>451</v>
      </c>
      <c r="F31">
        <v>-1.2841</v>
      </c>
      <c r="G31">
        <v>36.8155</v>
      </c>
      <c r="H31" t="s">
        <v>200</v>
      </c>
      <c r="I31" t="s">
        <v>201</v>
      </c>
      <c r="J31" t="s">
        <v>202</v>
      </c>
      <c r="V31">
        <v>408</v>
      </c>
      <c r="W31">
        <v>3786</v>
      </c>
      <c r="AH31">
        <v>4100</v>
      </c>
      <c r="AI31">
        <v>3692</v>
      </c>
      <c r="AQ31">
        <v>3</v>
      </c>
      <c r="BL31" s="2">
        <v>46225.128645833334</v>
      </c>
      <c r="BV31">
        <v>215</v>
      </c>
      <c r="CD31" t="s">
        <v>452</v>
      </c>
      <c r="CE31" t="s">
        <v>108</v>
      </c>
    </row>
    <row r="32" spans="1:86" x14ac:dyDescent="0.3">
      <c r="A32" s="2">
        <v>46219.968611111108</v>
      </c>
      <c r="B32" s="2">
        <v>46219.971701388888</v>
      </c>
      <c r="C32">
        <v>28</v>
      </c>
      <c r="D32" t="b">
        <v>0</v>
      </c>
      <c r="E32" t="s">
        <v>453</v>
      </c>
      <c r="F32">
        <v>-1.2841</v>
      </c>
      <c r="G32">
        <v>36.8155</v>
      </c>
      <c r="H32" t="s">
        <v>200</v>
      </c>
      <c r="I32" t="s">
        <v>201</v>
      </c>
      <c r="J32" t="s">
        <v>202</v>
      </c>
      <c r="V32">
        <v>408</v>
      </c>
      <c r="W32">
        <v>3786</v>
      </c>
      <c r="AH32">
        <v>4100</v>
      </c>
      <c r="AI32">
        <v>3692</v>
      </c>
      <c r="AQ32">
        <v>3</v>
      </c>
      <c r="BL32" s="2">
        <v>46225.128645833334</v>
      </c>
      <c r="BV32">
        <v>267</v>
      </c>
      <c r="CD32" t="s">
        <v>454</v>
      </c>
      <c r="CE32" t="s">
        <v>108</v>
      </c>
    </row>
    <row r="33" spans="1:83" x14ac:dyDescent="0.3">
      <c r="A33" s="2">
        <v>46224.051238425927</v>
      </c>
      <c r="B33" s="2">
        <v>46224.051747685182</v>
      </c>
      <c r="C33">
        <v>14</v>
      </c>
      <c r="D33" t="b">
        <v>0</v>
      </c>
      <c r="E33" t="s">
        <v>455</v>
      </c>
      <c r="F33">
        <v>-1.2841</v>
      </c>
      <c r="G33">
        <v>36.8155</v>
      </c>
      <c r="H33" t="s">
        <v>200</v>
      </c>
      <c r="I33" t="s">
        <v>201</v>
      </c>
      <c r="J33" t="s">
        <v>202</v>
      </c>
      <c r="V33">
        <v>408</v>
      </c>
      <c r="W33">
        <v>3786</v>
      </c>
      <c r="AH33">
        <v>4100</v>
      </c>
      <c r="AI33">
        <v>3692</v>
      </c>
      <c r="AQ33">
        <v>3</v>
      </c>
      <c r="BL33" s="2">
        <v>46225.128645833334</v>
      </c>
      <c r="BV33">
        <v>44</v>
      </c>
      <c r="CD33" t="s">
        <v>456</v>
      </c>
      <c r="CE33" t="s">
        <v>108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A880F-451A-4CAB-945E-E74AE68A750A}">
  <dimension ref="A1:J2"/>
  <sheetViews>
    <sheetView workbookViewId="0"/>
  </sheetViews>
  <sheetFormatPr defaultRowHeight="14.4" x14ac:dyDescent="0.3"/>
  <sheetData>
    <row r="1" spans="1:10" x14ac:dyDescent="0.3">
      <c r="A1" t="s">
        <v>1274</v>
      </c>
      <c r="B1" s="4" t="s">
        <v>1275</v>
      </c>
      <c r="C1">
        <v>1</v>
      </c>
      <c r="D1">
        <v>1</v>
      </c>
      <c r="E1" s="2">
        <v>46246.429918981485</v>
      </c>
      <c r="F1">
        <v>15453621</v>
      </c>
      <c r="G1">
        <v>15580487</v>
      </c>
      <c r="H1">
        <v>9854512</v>
      </c>
      <c r="I1">
        <v>8421504</v>
      </c>
      <c r="J1">
        <v>0</v>
      </c>
    </row>
    <row r="2" spans="1:10" x14ac:dyDescent="0.3">
      <c r="A2" t="s">
        <v>1276</v>
      </c>
      <c r="B2" s="4" t="s">
        <v>1277</v>
      </c>
      <c r="C2">
        <v>1</v>
      </c>
      <c r="D2">
        <v>1</v>
      </c>
      <c r="E2" s="2">
        <v>46246.43072916667</v>
      </c>
      <c r="F2">
        <v>15453621</v>
      </c>
      <c r="G2">
        <v>15580487</v>
      </c>
      <c r="H2">
        <v>9854512</v>
      </c>
      <c r="I2">
        <v>8421504</v>
      </c>
      <c r="J2">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4AADC-03A1-4196-B565-C2ECD14772F4}">
  <sheetPr>
    <tabColor theme="9"/>
  </sheetPr>
  <dimension ref="A1"/>
  <sheetViews>
    <sheetView workbookViewId="0">
      <selection activeCell="Q35" sqref="Q35"/>
    </sheetView>
  </sheetViews>
  <sheetFormatPr defaultRowHeight="14.4" x14ac:dyDescent="0.3"/>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57B8-271A-476D-87E0-971795725211}">
  <sheetPr>
    <tabColor theme="9" tint="0.79998168889431442"/>
  </sheetPr>
  <dimension ref="A1:F330"/>
  <sheetViews>
    <sheetView topLeftCell="A214" zoomScaleNormal="100" workbookViewId="0">
      <selection activeCell="B244" sqref="B244"/>
    </sheetView>
  </sheetViews>
  <sheetFormatPr defaultColWidth="9.109375" defaultRowHeight="13.2" x14ac:dyDescent="0.25"/>
  <cols>
    <col min="1" max="1" width="8.88671875" style="89" customWidth="1"/>
    <col min="2" max="2" width="9.109375" style="89"/>
    <col min="3" max="3" width="4.109375" style="89" customWidth="1"/>
    <col min="4" max="4" width="29.6640625" style="89" customWidth="1"/>
    <col min="5" max="5" width="16.44140625" style="88" customWidth="1"/>
    <col min="6" max="6" width="3" style="87" customWidth="1"/>
    <col min="7" max="245" width="9.109375" style="89"/>
    <col min="246" max="246" width="8.88671875" style="89" customWidth="1"/>
    <col min="247" max="247" width="9.109375" style="89"/>
    <col min="248" max="248" width="4.109375" style="89" customWidth="1"/>
    <col min="249" max="249" width="29.6640625" style="89" customWidth="1"/>
    <col min="250" max="250" width="16.44140625" style="89" customWidth="1"/>
    <col min="251" max="251" width="3" style="89" customWidth="1"/>
    <col min="252" max="501" width="9.109375" style="89"/>
    <col min="502" max="502" width="8.88671875" style="89" customWidth="1"/>
    <col min="503" max="503" width="9.109375" style="89"/>
    <col min="504" max="504" width="4.109375" style="89" customWidth="1"/>
    <col min="505" max="505" width="29.6640625" style="89" customWidth="1"/>
    <col min="506" max="506" width="16.44140625" style="89" customWidth="1"/>
    <col min="507" max="507" width="3" style="89" customWidth="1"/>
    <col min="508" max="757" width="9.109375" style="89"/>
    <col min="758" max="758" width="8.88671875" style="89" customWidth="1"/>
    <col min="759" max="759" width="9.109375" style="89"/>
    <col min="760" max="760" width="4.109375" style="89" customWidth="1"/>
    <col min="761" max="761" width="29.6640625" style="89" customWidth="1"/>
    <col min="762" max="762" width="16.44140625" style="89" customWidth="1"/>
    <col min="763" max="763" width="3" style="89" customWidth="1"/>
    <col min="764" max="1013" width="9.109375" style="89"/>
    <col min="1014" max="1014" width="8.88671875" style="89" customWidth="1"/>
    <col min="1015" max="1015" width="9.109375" style="89"/>
    <col min="1016" max="1016" width="4.109375" style="89" customWidth="1"/>
    <col min="1017" max="1017" width="29.6640625" style="89" customWidth="1"/>
    <col min="1018" max="1018" width="16.44140625" style="89" customWidth="1"/>
    <col min="1019" max="1019" width="3" style="89" customWidth="1"/>
    <col min="1020" max="1269" width="9.109375" style="89"/>
    <col min="1270" max="1270" width="8.88671875" style="89" customWidth="1"/>
    <col min="1271" max="1271" width="9.109375" style="89"/>
    <col min="1272" max="1272" width="4.109375" style="89" customWidth="1"/>
    <col min="1273" max="1273" width="29.6640625" style="89" customWidth="1"/>
    <col min="1274" max="1274" width="16.44140625" style="89" customWidth="1"/>
    <col min="1275" max="1275" width="3" style="89" customWidth="1"/>
    <col min="1276" max="1525" width="9.109375" style="89"/>
    <col min="1526" max="1526" width="8.88671875" style="89" customWidth="1"/>
    <col min="1527" max="1527" width="9.109375" style="89"/>
    <col min="1528" max="1528" width="4.109375" style="89" customWidth="1"/>
    <col min="1529" max="1529" width="29.6640625" style="89" customWidth="1"/>
    <col min="1530" max="1530" width="16.44140625" style="89" customWidth="1"/>
    <col min="1531" max="1531" width="3" style="89" customWidth="1"/>
    <col min="1532" max="1781" width="9.109375" style="89"/>
    <col min="1782" max="1782" width="8.88671875" style="89" customWidth="1"/>
    <col min="1783" max="1783" width="9.109375" style="89"/>
    <col min="1784" max="1784" width="4.109375" style="89" customWidth="1"/>
    <col min="1785" max="1785" width="29.6640625" style="89" customWidth="1"/>
    <col min="1786" max="1786" width="16.44140625" style="89" customWidth="1"/>
    <col min="1787" max="1787" width="3" style="89" customWidth="1"/>
    <col min="1788" max="2037" width="9.109375" style="89"/>
    <col min="2038" max="2038" width="8.88671875" style="89" customWidth="1"/>
    <col min="2039" max="2039" width="9.109375" style="89"/>
    <col min="2040" max="2040" width="4.109375" style="89" customWidth="1"/>
    <col min="2041" max="2041" width="29.6640625" style="89" customWidth="1"/>
    <col min="2042" max="2042" width="16.44140625" style="89" customWidth="1"/>
    <col min="2043" max="2043" width="3" style="89" customWidth="1"/>
    <col min="2044" max="2293" width="9.109375" style="89"/>
    <col min="2294" max="2294" width="8.88671875" style="89" customWidth="1"/>
    <col min="2295" max="2295" width="9.109375" style="89"/>
    <col min="2296" max="2296" width="4.109375" style="89" customWidth="1"/>
    <col min="2297" max="2297" width="29.6640625" style="89" customWidth="1"/>
    <col min="2298" max="2298" width="16.44140625" style="89" customWidth="1"/>
    <col min="2299" max="2299" width="3" style="89" customWidth="1"/>
    <col min="2300" max="2549" width="9.109375" style="89"/>
    <col min="2550" max="2550" width="8.88671875" style="89" customWidth="1"/>
    <col min="2551" max="2551" width="9.109375" style="89"/>
    <col min="2552" max="2552" width="4.109375" style="89" customWidth="1"/>
    <col min="2553" max="2553" width="29.6640625" style="89" customWidth="1"/>
    <col min="2554" max="2554" width="16.44140625" style="89" customWidth="1"/>
    <col min="2555" max="2555" width="3" style="89" customWidth="1"/>
    <col min="2556" max="2805" width="9.109375" style="89"/>
    <col min="2806" max="2806" width="8.88671875" style="89" customWidth="1"/>
    <col min="2807" max="2807" width="9.109375" style="89"/>
    <col min="2808" max="2808" width="4.109375" style="89" customWidth="1"/>
    <col min="2809" max="2809" width="29.6640625" style="89" customWidth="1"/>
    <col min="2810" max="2810" width="16.44140625" style="89" customWidth="1"/>
    <col min="2811" max="2811" width="3" style="89" customWidth="1"/>
    <col min="2812" max="3061" width="9.109375" style="89"/>
    <col min="3062" max="3062" width="8.88671875" style="89" customWidth="1"/>
    <col min="3063" max="3063" width="9.109375" style="89"/>
    <col min="3064" max="3064" width="4.109375" style="89" customWidth="1"/>
    <col min="3065" max="3065" width="29.6640625" style="89" customWidth="1"/>
    <col min="3066" max="3066" width="16.44140625" style="89" customWidth="1"/>
    <col min="3067" max="3067" width="3" style="89" customWidth="1"/>
    <col min="3068" max="3317" width="9.109375" style="89"/>
    <col min="3318" max="3318" width="8.88671875" style="89" customWidth="1"/>
    <col min="3319" max="3319" width="9.109375" style="89"/>
    <col min="3320" max="3320" width="4.109375" style="89" customWidth="1"/>
    <col min="3321" max="3321" width="29.6640625" style="89" customWidth="1"/>
    <col min="3322" max="3322" width="16.44140625" style="89" customWidth="1"/>
    <col min="3323" max="3323" width="3" style="89" customWidth="1"/>
    <col min="3324" max="3573" width="9.109375" style="89"/>
    <col min="3574" max="3574" width="8.88671875" style="89" customWidth="1"/>
    <col min="3575" max="3575" width="9.109375" style="89"/>
    <col min="3576" max="3576" width="4.109375" style="89" customWidth="1"/>
    <col min="3577" max="3577" width="29.6640625" style="89" customWidth="1"/>
    <col min="3578" max="3578" width="16.44140625" style="89" customWidth="1"/>
    <col min="3579" max="3579" width="3" style="89" customWidth="1"/>
    <col min="3580" max="3829" width="9.109375" style="89"/>
    <col min="3830" max="3830" width="8.88671875" style="89" customWidth="1"/>
    <col min="3831" max="3831" width="9.109375" style="89"/>
    <col min="3832" max="3832" width="4.109375" style="89" customWidth="1"/>
    <col min="3833" max="3833" width="29.6640625" style="89" customWidth="1"/>
    <col min="3834" max="3834" width="16.44140625" style="89" customWidth="1"/>
    <col min="3835" max="3835" width="3" style="89" customWidth="1"/>
    <col min="3836" max="4085" width="9.109375" style="89"/>
    <col min="4086" max="4086" width="8.88671875" style="89" customWidth="1"/>
    <col min="4087" max="4087" width="9.109375" style="89"/>
    <col min="4088" max="4088" width="4.109375" style="89" customWidth="1"/>
    <col min="4089" max="4089" width="29.6640625" style="89" customWidth="1"/>
    <col min="4090" max="4090" width="16.44140625" style="89" customWidth="1"/>
    <col min="4091" max="4091" width="3" style="89" customWidth="1"/>
    <col min="4092" max="4341" width="9.109375" style="89"/>
    <col min="4342" max="4342" width="8.88671875" style="89" customWidth="1"/>
    <col min="4343" max="4343" width="9.109375" style="89"/>
    <col min="4344" max="4344" width="4.109375" style="89" customWidth="1"/>
    <col min="4345" max="4345" width="29.6640625" style="89" customWidth="1"/>
    <col min="4346" max="4346" width="16.44140625" style="89" customWidth="1"/>
    <col min="4347" max="4347" width="3" style="89" customWidth="1"/>
    <col min="4348" max="4597" width="9.109375" style="89"/>
    <col min="4598" max="4598" width="8.88671875" style="89" customWidth="1"/>
    <col min="4599" max="4599" width="9.109375" style="89"/>
    <col min="4600" max="4600" width="4.109375" style="89" customWidth="1"/>
    <col min="4601" max="4601" width="29.6640625" style="89" customWidth="1"/>
    <col min="4602" max="4602" width="16.44140625" style="89" customWidth="1"/>
    <col min="4603" max="4603" width="3" style="89" customWidth="1"/>
    <col min="4604" max="4853" width="9.109375" style="89"/>
    <col min="4854" max="4854" width="8.88671875" style="89" customWidth="1"/>
    <col min="4855" max="4855" width="9.109375" style="89"/>
    <col min="4856" max="4856" width="4.109375" style="89" customWidth="1"/>
    <col min="4857" max="4857" width="29.6640625" style="89" customWidth="1"/>
    <col min="4858" max="4858" width="16.44140625" style="89" customWidth="1"/>
    <col min="4859" max="4859" width="3" style="89" customWidth="1"/>
    <col min="4860" max="5109" width="9.109375" style="89"/>
    <col min="5110" max="5110" width="8.88671875" style="89" customWidth="1"/>
    <col min="5111" max="5111" width="9.109375" style="89"/>
    <col min="5112" max="5112" width="4.109375" style="89" customWidth="1"/>
    <col min="5113" max="5113" width="29.6640625" style="89" customWidth="1"/>
    <col min="5114" max="5114" width="16.44140625" style="89" customWidth="1"/>
    <col min="5115" max="5115" width="3" style="89" customWidth="1"/>
    <col min="5116" max="5365" width="9.109375" style="89"/>
    <col min="5366" max="5366" width="8.88671875" style="89" customWidth="1"/>
    <col min="5367" max="5367" width="9.109375" style="89"/>
    <col min="5368" max="5368" width="4.109375" style="89" customWidth="1"/>
    <col min="5369" max="5369" width="29.6640625" style="89" customWidth="1"/>
    <col min="5370" max="5370" width="16.44140625" style="89" customWidth="1"/>
    <col min="5371" max="5371" width="3" style="89" customWidth="1"/>
    <col min="5372" max="5621" width="9.109375" style="89"/>
    <col min="5622" max="5622" width="8.88671875" style="89" customWidth="1"/>
    <col min="5623" max="5623" width="9.109375" style="89"/>
    <col min="5624" max="5624" width="4.109375" style="89" customWidth="1"/>
    <col min="5625" max="5625" width="29.6640625" style="89" customWidth="1"/>
    <col min="5626" max="5626" width="16.44140625" style="89" customWidth="1"/>
    <col min="5627" max="5627" width="3" style="89" customWidth="1"/>
    <col min="5628" max="5877" width="9.109375" style="89"/>
    <col min="5878" max="5878" width="8.88671875" style="89" customWidth="1"/>
    <col min="5879" max="5879" width="9.109375" style="89"/>
    <col min="5880" max="5880" width="4.109375" style="89" customWidth="1"/>
    <col min="5881" max="5881" width="29.6640625" style="89" customWidth="1"/>
    <col min="5882" max="5882" width="16.44140625" style="89" customWidth="1"/>
    <col min="5883" max="5883" width="3" style="89" customWidth="1"/>
    <col min="5884" max="6133" width="9.109375" style="89"/>
    <col min="6134" max="6134" width="8.88671875" style="89" customWidth="1"/>
    <col min="6135" max="6135" width="9.109375" style="89"/>
    <col min="6136" max="6136" width="4.109375" style="89" customWidth="1"/>
    <col min="6137" max="6137" width="29.6640625" style="89" customWidth="1"/>
    <col min="6138" max="6138" width="16.44140625" style="89" customWidth="1"/>
    <col min="6139" max="6139" width="3" style="89" customWidth="1"/>
    <col min="6140" max="6389" width="9.109375" style="89"/>
    <col min="6390" max="6390" width="8.88671875" style="89" customWidth="1"/>
    <col min="6391" max="6391" width="9.109375" style="89"/>
    <col min="6392" max="6392" width="4.109375" style="89" customWidth="1"/>
    <col min="6393" max="6393" width="29.6640625" style="89" customWidth="1"/>
    <col min="6394" max="6394" width="16.44140625" style="89" customWidth="1"/>
    <col min="6395" max="6395" width="3" style="89" customWidth="1"/>
    <col min="6396" max="6645" width="9.109375" style="89"/>
    <col min="6646" max="6646" width="8.88671875" style="89" customWidth="1"/>
    <col min="6647" max="6647" width="9.109375" style="89"/>
    <col min="6648" max="6648" width="4.109375" style="89" customWidth="1"/>
    <col min="6649" max="6649" width="29.6640625" style="89" customWidth="1"/>
    <col min="6650" max="6650" width="16.44140625" style="89" customWidth="1"/>
    <col min="6651" max="6651" width="3" style="89" customWidth="1"/>
    <col min="6652" max="6901" width="9.109375" style="89"/>
    <col min="6902" max="6902" width="8.88671875" style="89" customWidth="1"/>
    <col min="6903" max="6903" width="9.109375" style="89"/>
    <col min="6904" max="6904" width="4.109375" style="89" customWidth="1"/>
    <col min="6905" max="6905" width="29.6640625" style="89" customWidth="1"/>
    <col min="6906" max="6906" width="16.44140625" style="89" customWidth="1"/>
    <col min="6907" max="6907" width="3" style="89" customWidth="1"/>
    <col min="6908" max="7157" width="9.109375" style="89"/>
    <col min="7158" max="7158" width="8.88671875" style="89" customWidth="1"/>
    <col min="7159" max="7159" width="9.109375" style="89"/>
    <col min="7160" max="7160" width="4.109375" style="89" customWidth="1"/>
    <col min="7161" max="7161" width="29.6640625" style="89" customWidth="1"/>
    <col min="7162" max="7162" width="16.44140625" style="89" customWidth="1"/>
    <col min="7163" max="7163" width="3" style="89" customWidth="1"/>
    <col min="7164" max="7413" width="9.109375" style="89"/>
    <col min="7414" max="7414" width="8.88671875" style="89" customWidth="1"/>
    <col min="7415" max="7415" width="9.109375" style="89"/>
    <col min="7416" max="7416" width="4.109375" style="89" customWidth="1"/>
    <col min="7417" max="7417" width="29.6640625" style="89" customWidth="1"/>
    <col min="7418" max="7418" width="16.44140625" style="89" customWidth="1"/>
    <col min="7419" max="7419" width="3" style="89" customWidth="1"/>
    <col min="7420" max="7669" width="9.109375" style="89"/>
    <col min="7670" max="7670" width="8.88671875" style="89" customWidth="1"/>
    <col min="7671" max="7671" width="9.109375" style="89"/>
    <col min="7672" max="7672" width="4.109375" style="89" customWidth="1"/>
    <col min="7673" max="7673" width="29.6640625" style="89" customWidth="1"/>
    <col min="7674" max="7674" width="16.44140625" style="89" customWidth="1"/>
    <col min="7675" max="7675" width="3" style="89" customWidth="1"/>
    <col min="7676" max="7925" width="9.109375" style="89"/>
    <col min="7926" max="7926" width="8.88671875" style="89" customWidth="1"/>
    <col min="7927" max="7927" width="9.109375" style="89"/>
    <col min="7928" max="7928" width="4.109375" style="89" customWidth="1"/>
    <col min="7929" max="7929" width="29.6640625" style="89" customWidth="1"/>
    <col min="7930" max="7930" width="16.44140625" style="89" customWidth="1"/>
    <col min="7931" max="7931" width="3" style="89" customWidth="1"/>
    <col min="7932" max="8181" width="9.109375" style="89"/>
    <col min="8182" max="8182" width="8.88671875" style="89" customWidth="1"/>
    <col min="8183" max="8183" width="9.109375" style="89"/>
    <col min="8184" max="8184" width="4.109375" style="89" customWidth="1"/>
    <col min="8185" max="8185" width="29.6640625" style="89" customWidth="1"/>
    <col min="8186" max="8186" width="16.44140625" style="89" customWidth="1"/>
    <col min="8187" max="8187" width="3" style="89" customWidth="1"/>
    <col min="8188" max="8437" width="9.109375" style="89"/>
    <col min="8438" max="8438" width="8.88671875" style="89" customWidth="1"/>
    <col min="8439" max="8439" width="9.109375" style="89"/>
    <col min="8440" max="8440" width="4.109375" style="89" customWidth="1"/>
    <col min="8441" max="8441" width="29.6640625" style="89" customWidth="1"/>
    <col min="8442" max="8442" width="16.44140625" style="89" customWidth="1"/>
    <col min="8443" max="8443" width="3" style="89" customWidth="1"/>
    <col min="8444" max="8693" width="9.109375" style="89"/>
    <col min="8694" max="8694" width="8.88671875" style="89" customWidth="1"/>
    <col min="8695" max="8695" width="9.109375" style="89"/>
    <col min="8696" max="8696" width="4.109375" style="89" customWidth="1"/>
    <col min="8697" max="8697" width="29.6640625" style="89" customWidth="1"/>
    <col min="8698" max="8698" width="16.44140625" style="89" customWidth="1"/>
    <col min="8699" max="8699" width="3" style="89" customWidth="1"/>
    <col min="8700" max="8949" width="9.109375" style="89"/>
    <col min="8950" max="8950" width="8.88671875" style="89" customWidth="1"/>
    <col min="8951" max="8951" width="9.109375" style="89"/>
    <col min="8952" max="8952" width="4.109375" style="89" customWidth="1"/>
    <col min="8953" max="8953" width="29.6640625" style="89" customWidth="1"/>
    <col min="8954" max="8954" width="16.44140625" style="89" customWidth="1"/>
    <col min="8955" max="8955" width="3" style="89" customWidth="1"/>
    <col min="8956" max="9205" width="9.109375" style="89"/>
    <col min="9206" max="9206" width="8.88671875" style="89" customWidth="1"/>
    <col min="9207" max="9207" width="9.109375" style="89"/>
    <col min="9208" max="9208" width="4.109375" style="89" customWidth="1"/>
    <col min="9209" max="9209" width="29.6640625" style="89" customWidth="1"/>
    <col min="9210" max="9210" width="16.44140625" style="89" customWidth="1"/>
    <col min="9211" max="9211" width="3" style="89" customWidth="1"/>
    <col min="9212" max="9461" width="9.109375" style="89"/>
    <col min="9462" max="9462" width="8.88671875" style="89" customWidth="1"/>
    <col min="9463" max="9463" width="9.109375" style="89"/>
    <col min="9464" max="9464" width="4.109375" style="89" customWidth="1"/>
    <col min="9465" max="9465" width="29.6640625" style="89" customWidth="1"/>
    <col min="9466" max="9466" width="16.44140625" style="89" customWidth="1"/>
    <col min="9467" max="9467" width="3" style="89" customWidth="1"/>
    <col min="9468" max="9717" width="9.109375" style="89"/>
    <col min="9718" max="9718" width="8.88671875" style="89" customWidth="1"/>
    <col min="9719" max="9719" width="9.109375" style="89"/>
    <col min="9720" max="9720" width="4.109375" style="89" customWidth="1"/>
    <col min="9721" max="9721" width="29.6640625" style="89" customWidth="1"/>
    <col min="9722" max="9722" width="16.44140625" style="89" customWidth="1"/>
    <col min="9723" max="9723" width="3" style="89" customWidth="1"/>
    <col min="9724" max="9973" width="9.109375" style="89"/>
    <col min="9974" max="9974" width="8.88671875" style="89" customWidth="1"/>
    <col min="9975" max="9975" width="9.109375" style="89"/>
    <col min="9976" max="9976" width="4.109375" style="89" customWidth="1"/>
    <col min="9977" max="9977" width="29.6640625" style="89" customWidth="1"/>
    <col min="9978" max="9978" width="16.44140625" style="89" customWidth="1"/>
    <col min="9979" max="9979" width="3" style="89" customWidth="1"/>
    <col min="9980" max="10229" width="9.109375" style="89"/>
    <col min="10230" max="10230" width="8.88671875" style="89" customWidth="1"/>
    <col min="10231" max="10231" width="9.109375" style="89"/>
    <col min="10232" max="10232" width="4.109375" style="89" customWidth="1"/>
    <col min="10233" max="10233" width="29.6640625" style="89" customWidth="1"/>
    <col min="10234" max="10234" width="16.44140625" style="89" customWidth="1"/>
    <col min="10235" max="10235" width="3" style="89" customWidth="1"/>
    <col min="10236" max="10485" width="9.109375" style="89"/>
    <col min="10486" max="10486" width="8.88671875" style="89" customWidth="1"/>
    <col min="10487" max="10487" width="9.109375" style="89"/>
    <col min="10488" max="10488" width="4.109375" style="89" customWidth="1"/>
    <col min="10489" max="10489" width="29.6640625" style="89" customWidth="1"/>
    <col min="10490" max="10490" width="16.44140625" style="89" customWidth="1"/>
    <col min="10491" max="10491" width="3" style="89" customWidth="1"/>
    <col min="10492" max="10741" width="9.109375" style="89"/>
    <col min="10742" max="10742" width="8.88671875" style="89" customWidth="1"/>
    <col min="10743" max="10743" width="9.109375" style="89"/>
    <col min="10744" max="10744" width="4.109375" style="89" customWidth="1"/>
    <col min="10745" max="10745" width="29.6640625" style="89" customWidth="1"/>
    <col min="10746" max="10746" width="16.44140625" style="89" customWidth="1"/>
    <col min="10747" max="10747" width="3" style="89" customWidth="1"/>
    <col min="10748" max="10997" width="9.109375" style="89"/>
    <col min="10998" max="10998" width="8.88671875" style="89" customWidth="1"/>
    <col min="10999" max="10999" width="9.109375" style="89"/>
    <col min="11000" max="11000" width="4.109375" style="89" customWidth="1"/>
    <col min="11001" max="11001" width="29.6640625" style="89" customWidth="1"/>
    <col min="11002" max="11002" width="16.44140625" style="89" customWidth="1"/>
    <col min="11003" max="11003" width="3" style="89" customWidth="1"/>
    <col min="11004" max="11253" width="9.109375" style="89"/>
    <col min="11254" max="11254" width="8.88671875" style="89" customWidth="1"/>
    <col min="11255" max="11255" width="9.109375" style="89"/>
    <col min="11256" max="11256" width="4.109375" style="89" customWidth="1"/>
    <col min="11257" max="11257" width="29.6640625" style="89" customWidth="1"/>
    <col min="11258" max="11258" width="16.44140625" style="89" customWidth="1"/>
    <col min="11259" max="11259" width="3" style="89" customWidth="1"/>
    <col min="11260" max="11509" width="9.109375" style="89"/>
    <col min="11510" max="11510" width="8.88671875" style="89" customWidth="1"/>
    <col min="11511" max="11511" width="9.109375" style="89"/>
    <col min="11512" max="11512" width="4.109375" style="89" customWidth="1"/>
    <col min="11513" max="11513" width="29.6640625" style="89" customWidth="1"/>
    <col min="11514" max="11514" width="16.44140625" style="89" customWidth="1"/>
    <col min="11515" max="11515" width="3" style="89" customWidth="1"/>
    <col min="11516" max="11765" width="9.109375" style="89"/>
    <col min="11766" max="11766" width="8.88671875" style="89" customWidth="1"/>
    <col min="11767" max="11767" width="9.109375" style="89"/>
    <col min="11768" max="11768" width="4.109375" style="89" customWidth="1"/>
    <col min="11769" max="11769" width="29.6640625" style="89" customWidth="1"/>
    <col min="11770" max="11770" width="16.44140625" style="89" customWidth="1"/>
    <col min="11771" max="11771" width="3" style="89" customWidth="1"/>
    <col min="11772" max="12021" width="9.109375" style="89"/>
    <col min="12022" max="12022" width="8.88671875" style="89" customWidth="1"/>
    <col min="12023" max="12023" width="9.109375" style="89"/>
    <col min="12024" max="12024" width="4.109375" style="89" customWidth="1"/>
    <col min="12025" max="12025" width="29.6640625" style="89" customWidth="1"/>
    <col min="12026" max="12026" width="16.44140625" style="89" customWidth="1"/>
    <col min="12027" max="12027" width="3" style="89" customWidth="1"/>
    <col min="12028" max="12277" width="9.109375" style="89"/>
    <col min="12278" max="12278" width="8.88671875" style="89" customWidth="1"/>
    <col min="12279" max="12279" width="9.109375" style="89"/>
    <col min="12280" max="12280" width="4.109375" style="89" customWidth="1"/>
    <col min="12281" max="12281" width="29.6640625" style="89" customWidth="1"/>
    <col min="12282" max="12282" width="16.44140625" style="89" customWidth="1"/>
    <col min="12283" max="12283" width="3" style="89" customWidth="1"/>
    <col min="12284" max="12533" width="9.109375" style="89"/>
    <col min="12534" max="12534" width="8.88671875" style="89" customWidth="1"/>
    <col min="12535" max="12535" width="9.109375" style="89"/>
    <col min="12536" max="12536" width="4.109375" style="89" customWidth="1"/>
    <col min="12537" max="12537" width="29.6640625" style="89" customWidth="1"/>
    <col min="12538" max="12538" width="16.44140625" style="89" customWidth="1"/>
    <col min="12539" max="12539" width="3" style="89" customWidth="1"/>
    <col min="12540" max="12789" width="9.109375" style="89"/>
    <col min="12790" max="12790" width="8.88671875" style="89" customWidth="1"/>
    <col min="12791" max="12791" width="9.109375" style="89"/>
    <col min="12792" max="12792" width="4.109375" style="89" customWidth="1"/>
    <col min="12793" max="12793" width="29.6640625" style="89" customWidth="1"/>
    <col min="12794" max="12794" width="16.44140625" style="89" customWidth="1"/>
    <col min="12795" max="12795" width="3" style="89" customWidth="1"/>
    <col min="12796" max="13045" width="9.109375" style="89"/>
    <col min="13046" max="13046" width="8.88671875" style="89" customWidth="1"/>
    <col min="13047" max="13047" width="9.109375" style="89"/>
    <col min="13048" max="13048" width="4.109375" style="89" customWidth="1"/>
    <col min="13049" max="13049" width="29.6640625" style="89" customWidth="1"/>
    <col min="13050" max="13050" width="16.44140625" style="89" customWidth="1"/>
    <col min="13051" max="13051" width="3" style="89" customWidth="1"/>
    <col min="13052" max="13301" width="9.109375" style="89"/>
    <col min="13302" max="13302" width="8.88671875" style="89" customWidth="1"/>
    <col min="13303" max="13303" width="9.109375" style="89"/>
    <col min="13304" max="13304" width="4.109375" style="89" customWidth="1"/>
    <col min="13305" max="13305" width="29.6640625" style="89" customWidth="1"/>
    <col min="13306" max="13306" width="16.44140625" style="89" customWidth="1"/>
    <col min="13307" max="13307" width="3" style="89" customWidth="1"/>
    <col min="13308" max="13557" width="9.109375" style="89"/>
    <col min="13558" max="13558" width="8.88671875" style="89" customWidth="1"/>
    <col min="13559" max="13559" width="9.109375" style="89"/>
    <col min="13560" max="13560" width="4.109375" style="89" customWidth="1"/>
    <col min="13561" max="13561" width="29.6640625" style="89" customWidth="1"/>
    <col min="13562" max="13562" width="16.44140625" style="89" customWidth="1"/>
    <col min="13563" max="13563" width="3" style="89" customWidth="1"/>
    <col min="13564" max="13813" width="9.109375" style="89"/>
    <col min="13814" max="13814" width="8.88671875" style="89" customWidth="1"/>
    <col min="13815" max="13815" width="9.109375" style="89"/>
    <col min="13816" max="13816" width="4.109375" style="89" customWidth="1"/>
    <col min="13817" max="13817" width="29.6640625" style="89" customWidth="1"/>
    <col min="13818" max="13818" width="16.44140625" style="89" customWidth="1"/>
    <col min="13819" max="13819" width="3" style="89" customWidth="1"/>
    <col min="13820" max="14069" width="9.109375" style="89"/>
    <col min="14070" max="14070" width="8.88671875" style="89" customWidth="1"/>
    <col min="14071" max="14071" width="9.109375" style="89"/>
    <col min="14072" max="14072" width="4.109375" style="89" customWidth="1"/>
    <col min="14073" max="14073" width="29.6640625" style="89" customWidth="1"/>
    <col min="14074" max="14074" width="16.44140625" style="89" customWidth="1"/>
    <col min="14075" max="14075" width="3" style="89" customWidth="1"/>
    <col min="14076" max="14325" width="9.109375" style="89"/>
    <col min="14326" max="14326" width="8.88671875" style="89" customWidth="1"/>
    <col min="14327" max="14327" width="9.109375" style="89"/>
    <col min="14328" max="14328" width="4.109375" style="89" customWidth="1"/>
    <col min="14329" max="14329" width="29.6640625" style="89" customWidth="1"/>
    <col min="14330" max="14330" width="16.44140625" style="89" customWidth="1"/>
    <col min="14331" max="14331" width="3" style="89" customWidth="1"/>
    <col min="14332" max="14581" width="9.109375" style="89"/>
    <col min="14582" max="14582" width="8.88671875" style="89" customWidth="1"/>
    <col min="14583" max="14583" width="9.109375" style="89"/>
    <col min="14584" max="14584" width="4.109375" style="89" customWidth="1"/>
    <col min="14585" max="14585" width="29.6640625" style="89" customWidth="1"/>
    <col min="14586" max="14586" width="16.44140625" style="89" customWidth="1"/>
    <col min="14587" max="14587" width="3" style="89" customWidth="1"/>
    <col min="14588" max="14837" width="9.109375" style="89"/>
    <col min="14838" max="14838" width="8.88671875" style="89" customWidth="1"/>
    <col min="14839" max="14839" width="9.109375" style="89"/>
    <col min="14840" max="14840" width="4.109375" style="89" customWidth="1"/>
    <col min="14841" max="14841" width="29.6640625" style="89" customWidth="1"/>
    <col min="14842" max="14842" width="16.44140625" style="89" customWidth="1"/>
    <col min="14843" max="14843" width="3" style="89" customWidth="1"/>
    <col min="14844" max="15093" width="9.109375" style="89"/>
    <col min="15094" max="15094" width="8.88671875" style="89" customWidth="1"/>
    <col min="15095" max="15095" width="9.109375" style="89"/>
    <col min="15096" max="15096" width="4.109375" style="89" customWidth="1"/>
    <col min="15097" max="15097" width="29.6640625" style="89" customWidth="1"/>
    <col min="15098" max="15098" width="16.44140625" style="89" customWidth="1"/>
    <col min="15099" max="15099" width="3" style="89" customWidth="1"/>
    <col min="15100" max="15349" width="9.109375" style="89"/>
    <col min="15350" max="15350" width="8.88671875" style="89" customWidth="1"/>
    <col min="15351" max="15351" width="9.109375" style="89"/>
    <col min="15352" max="15352" width="4.109375" style="89" customWidth="1"/>
    <col min="15353" max="15353" width="29.6640625" style="89" customWidth="1"/>
    <col min="15354" max="15354" width="16.44140625" style="89" customWidth="1"/>
    <col min="15355" max="15355" width="3" style="89" customWidth="1"/>
    <col min="15356" max="15605" width="9.109375" style="89"/>
    <col min="15606" max="15606" width="8.88671875" style="89" customWidth="1"/>
    <col min="15607" max="15607" width="9.109375" style="89"/>
    <col min="15608" max="15608" width="4.109375" style="89" customWidth="1"/>
    <col min="15609" max="15609" width="29.6640625" style="89" customWidth="1"/>
    <col min="15610" max="15610" width="16.44140625" style="89" customWidth="1"/>
    <col min="15611" max="15611" width="3" style="89" customWidth="1"/>
    <col min="15612" max="15861" width="9.109375" style="89"/>
    <col min="15862" max="15862" width="8.88671875" style="89" customWidth="1"/>
    <col min="15863" max="15863" width="9.109375" style="89"/>
    <col min="15864" max="15864" width="4.109375" style="89" customWidth="1"/>
    <col min="15865" max="15865" width="29.6640625" style="89" customWidth="1"/>
    <col min="15866" max="15866" width="16.44140625" style="89" customWidth="1"/>
    <col min="15867" max="15867" width="3" style="89" customWidth="1"/>
    <col min="15868" max="16117" width="9.109375" style="89"/>
    <col min="16118" max="16118" width="8.88671875" style="89" customWidth="1"/>
    <col min="16119" max="16119" width="9.109375" style="89"/>
    <col min="16120" max="16120" width="4.109375" style="89" customWidth="1"/>
    <col min="16121" max="16121" width="29.6640625" style="89" customWidth="1"/>
    <col min="16122" max="16122" width="16.44140625" style="89" customWidth="1"/>
    <col min="16123" max="16123" width="3" style="89" customWidth="1"/>
    <col min="16124" max="16384" width="9.109375" style="89"/>
  </cols>
  <sheetData>
    <row r="1" spans="1:6" s="48" customFormat="1" ht="15.6" customHeight="1" x14ac:dyDescent="0.3">
      <c r="B1" s="49" t="s">
        <v>568</v>
      </c>
      <c r="C1" s="49"/>
      <c r="D1" s="50"/>
      <c r="E1" s="51"/>
      <c r="F1" s="52"/>
    </row>
    <row r="2" spans="1:6" s="53" customFormat="1" ht="12" customHeight="1" x14ac:dyDescent="0.2">
      <c r="C2" s="54"/>
      <c r="D2" s="54"/>
      <c r="E2" s="55"/>
      <c r="F2" s="56"/>
    </row>
    <row r="3" spans="1:6" s="57" customFormat="1" ht="10.35" customHeight="1" x14ac:dyDescent="0.3">
      <c r="C3" s="58"/>
      <c r="D3" s="58"/>
      <c r="E3" s="59" t="s">
        <v>569</v>
      </c>
      <c r="F3" s="60"/>
    </row>
    <row r="4" spans="1:6" s="57" customFormat="1" ht="10.35" customHeight="1" x14ac:dyDescent="0.3">
      <c r="B4" s="61" t="s">
        <v>570</v>
      </c>
      <c r="C4" s="61"/>
      <c r="D4" s="61" t="s">
        <v>571</v>
      </c>
      <c r="E4" s="62" t="s">
        <v>572</v>
      </c>
      <c r="F4" s="63"/>
    </row>
    <row r="5" spans="1:6" s="57" customFormat="1" ht="5.0999999999999996" customHeight="1" x14ac:dyDescent="0.2">
      <c r="C5" s="58"/>
      <c r="D5" s="58"/>
      <c r="E5" s="64"/>
      <c r="F5" s="65"/>
    </row>
    <row r="6" spans="1:6" s="57" customFormat="1" ht="10.35" customHeight="1" x14ac:dyDescent="0.15">
      <c r="A6" s="66" t="s">
        <v>573</v>
      </c>
      <c r="B6" s="67">
        <v>1</v>
      </c>
      <c r="C6" s="68"/>
      <c r="D6" s="66" t="s">
        <v>574</v>
      </c>
      <c r="E6" s="64">
        <v>30769700</v>
      </c>
      <c r="F6" s="69" t="s">
        <v>575</v>
      </c>
    </row>
    <row r="7" spans="1:6" s="57" customFormat="1" ht="10.35" customHeight="1" x14ac:dyDescent="0.15">
      <c r="A7" s="66" t="s">
        <v>576</v>
      </c>
      <c r="B7" s="67">
        <v>2</v>
      </c>
      <c r="C7" s="68"/>
      <c r="D7" s="66" t="s">
        <v>577</v>
      </c>
      <c r="E7" s="64">
        <v>19498039.388042603</v>
      </c>
      <c r="F7" s="69" t="s">
        <v>575</v>
      </c>
    </row>
    <row r="8" spans="1:6" s="57" customFormat="1" ht="10.35" customHeight="1" x14ac:dyDescent="0.15">
      <c r="A8" s="66" t="s">
        <v>578</v>
      </c>
      <c r="B8" s="67">
        <v>3</v>
      </c>
      <c r="C8" s="68"/>
      <c r="D8" s="66" t="s">
        <v>579</v>
      </c>
      <c r="E8" s="64">
        <v>5050922.9250470502</v>
      </c>
      <c r="F8" s="69" t="s">
        <v>575</v>
      </c>
    </row>
    <row r="9" spans="1:6" s="57" customFormat="1" ht="10.35" customHeight="1" x14ac:dyDescent="0.15">
      <c r="A9" s="66" t="s">
        <v>580</v>
      </c>
      <c r="B9" s="67">
        <v>4</v>
      </c>
      <c r="C9" s="68"/>
      <c r="D9" s="66" t="s">
        <v>581</v>
      </c>
      <c r="E9" s="64">
        <v>4435162.9999769405</v>
      </c>
      <c r="F9" s="69" t="s">
        <v>575</v>
      </c>
    </row>
    <row r="10" spans="1:6" s="57" customFormat="1" ht="10.35" customHeight="1" x14ac:dyDescent="0.15">
      <c r="A10" s="66" t="s">
        <v>582</v>
      </c>
      <c r="B10" s="67">
        <v>5</v>
      </c>
      <c r="C10" s="68"/>
      <c r="D10" s="66" t="s">
        <v>317</v>
      </c>
      <c r="E10" s="64">
        <v>4002587.5418460099</v>
      </c>
      <c r="F10" s="69" t="s">
        <v>575</v>
      </c>
    </row>
    <row r="11" spans="1:6" s="57" customFormat="1" ht="10.35" customHeight="1" x14ac:dyDescent="0.15">
      <c r="A11" s="66" t="s">
        <v>583</v>
      </c>
      <c r="B11" s="67">
        <v>6</v>
      </c>
      <c r="C11" s="68"/>
      <c r="D11" s="66" t="s">
        <v>584</v>
      </c>
      <c r="E11" s="64">
        <v>3956067.1157716298</v>
      </c>
      <c r="F11" s="69" t="s">
        <v>575</v>
      </c>
    </row>
    <row r="12" spans="1:6" s="57" customFormat="1" ht="10.35" customHeight="1" x14ac:dyDescent="0.15">
      <c r="A12" s="66" t="s">
        <v>585</v>
      </c>
      <c r="B12" s="67">
        <v>7</v>
      </c>
      <c r="C12" s="68"/>
      <c r="D12" s="68" t="s">
        <v>395</v>
      </c>
      <c r="E12" s="64">
        <v>3366315.9274473302</v>
      </c>
      <c r="F12" s="69" t="s">
        <v>575</v>
      </c>
    </row>
    <row r="13" spans="1:6" s="57" customFormat="1" ht="10.35" customHeight="1" x14ac:dyDescent="0.15">
      <c r="A13" s="66" t="s">
        <v>586</v>
      </c>
      <c r="B13" s="67">
        <v>8</v>
      </c>
      <c r="C13" s="68"/>
      <c r="D13" s="66" t="s">
        <v>587</v>
      </c>
      <c r="E13" s="64">
        <v>2561310.1693587401</v>
      </c>
      <c r="F13" s="69" t="s">
        <v>588</v>
      </c>
    </row>
    <row r="14" spans="1:6" s="57" customFormat="1" ht="10.35" customHeight="1" x14ac:dyDescent="0.15">
      <c r="A14" s="66" t="s">
        <v>589</v>
      </c>
      <c r="B14" s="67">
        <v>9</v>
      </c>
      <c r="C14" s="68"/>
      <c r="D14" s="66" t="s">
        <v>590</v>
      </c>
      <c r="E14" s="64">
        <v>2551556.9541003499</v>
      </c>
      <c r="F14" s="69" t="s">
        <v>575</v>
      </c>
    </row>
    <row r="15" spans="1:6" s="57" customFormat="1" ht="10.35" customHeight="1" x14ac:dyDescent="0.15">
      <c r="A15" s="66" t="s">
        <v>591</v>
      </c>
      <c r="B15" s="67">
        <v>10</v>
      </c>
      <c r="C15" s="68"/>
      <c r="D15" s="66" t="s">
        <v>592</v>
      </c>
      <c r="E15" s="64">
        <v>2319899.7724259198</v>
      </c>
      <c r="F15" s="69" t="s">
        <v>575</v>
      </c>
    </row>
    <row r="16" spans="1:6" s="57" customFormat="1" ht="10.35" customHeight="1" x14ac:dyDescent="0.15">
      <c r="A16" s="66" t="s">
        <v>593</v>
      </c>
      <c r="B16" s="67">
        <v>11</v>
      </c>
      <c r="C16" s="68"/>
      <c r="D16" s="66" t="s">
        <v>594</v>
      </c>
      <c r="E16" s="64">
        <v>2279920.0924921297</v>
      </c>
      <c r="F16" s="69" t="s">
        <v>575</v>
      </c>
    </row>
    <row r="17" spans="1:6" s="57" customFormat="1" ht="10.35" customHeight="1" x14ac:dyDescent="0.15">
      <c r="A17" s="66" t="s">
        <v>595</v>
      </c>
      <c r="B17" s="67">
        <v>12</v>
      </c>
      <c r="C17" s="68"/>
      <c r="D17" s="66" t="s">
        <v>596</v>
      </c>
      <c r="E17" s="64">
        <v>1906453.3099858798</v>
      </c>
      <c r="F17" s="69" t="s">
        <v>575</v>
      </c>
    </row>
    <row r="18" spans="1:6" s="57" customFormat="1" ht="10.35" customHeight="1" x14ac:dyDescent="0.15">
      <c r="A18" s="66" t="s">
        <v>597</v>
      </c>
      <c r="B18" s="67">
        <v>13</v>
      </c>
      <c r="C18" s="68"/>
      <c r="D18" s="66" t="s">
        <v>598</v>
      </c>
      <c r="E18" s="64">
        <v>1872374.9615531499</v>
      </c>
      <c r="F18" s="69" t="s">
        <v>575</v>
      </c>
    </row>
    <row r="19" spans="1:6" s="57" customFormat="1" ht="10.35" customHeight="1" x14ac:dyDescent="0.15">
      <c r="A19" s="66" t="s">
        <v>599</v>
      </c>
      <c r="B19" s="67">
        <v>14</v>
      </c>
      <c r="C19" s="68"/>
      <c r="D19" s="66" t="s">
        <v>600</v>
      </c>
      <c r="E19" s="64">
        <v>1832641.3647755201</v>
      </c>
      <c r="F19" s="69" t="s">
        <v>575</v>
      </c>
    </row>
    <row r="20" spans="1:6" s="57" customFormat="1" ht="10.35" customHeight="1" x14ac:dyDescent="0.15">
      <c r="A20" s="66" t="s">
        <v>601</v>
      </c>
      <c r="B20" s="67">
        <v>15</v>
      </c>
      <c r="C20" s="68"/>
      <c r="D20" s="66" t="s">
        <v>602</v>
      </c>
      <c r="E20" s="64">
        <v>1798518.9336892099</v>
      </c>
      <c r="F20" s="69" t="s">
        <v>575</v>
      </c>
    </row>
    <row r="21" spans="1:6" s="57" customFormat="1" ht="10.35" customHeight="1" x14ac:dyDescent="0.15">
      <c r="A21" s="66" t="s">
        <v>603</v>
      </c>
      <c r="B21" s="67">
        <v>16</v>
      </c>
      <c r="C21" s="68"/>
      <c r="D21" s="66" t="s">
        <v>604</v>
      </c>
      <c r="E21" s="64">
        <v>1597293.2292869999</v>
      </c>
      <c r="F21" s="69" t="s">
        <v>575</v>
      </c>
    </row>
    <row r="22" spans="1:6" s="57" customFormat="1" ht="10.35" customHeight="1" x14ac:dyDescent="0.15">
      <c r="A22" s="66" t="s">
        <v>605</v>
      </c>
      <c r="B22" s="67">
        <v>17</v>
      </c>
      <c r="C22" s="68"/>
      <c r="D22" s="66" t="s">
        <v>606</v>
      </c>
      <c r="E22" s="64">
        <v>1445642.5841638101</v>
      </c>
      <c r="F22" s="69" t="s">
        <v>575</v>
      </c>
    </row>
    <row r="23" spans="1:6" s="57" customFormat="1" ht="10.35" customHeight="1" x14ac:dyDescent="0.15">
      <c r="A23" s="66" t="s">
        <v>607</v>
      </c>
      <c r="B23" s="67">
        <v>18</v>
      </c>
      <c r="C23" s="68"/>
      <c r="D23" s="66" t="s">
        <v>608</v>
      </c>
      <c r="E23" s="64">
        <v>1332767.6511003899</v>
      </c>
      <c r="F23" s="69" t="s">
        <v>575</v>
      </c>
    </row>
    <row r="24" spans="1:6" s="57" customFormat="1" ht="10.35" customHeight="1" x14ac:dyDescent="0.15">
      <c r="A24" s="66" t="s">
        <v>609</v>
      </c>
      <c r="B24" s="67">
        <v>19</v>
      </c>
      <c r="C24" s="68"/>
      <c r="D24" s="66" t="s">
        <v>610</v>
      </c>
      <c r="E24" s="64">
        <v>1276942.9333333301</v>
      </c>
      <c r="F24" s="69" t="s">
        <v>575</v>
      </c>
    </row>
    <row r="25" spans="1:6" s="57" customFormat="1" ht="10.35" customHeight="1" x14ac:dyDescent="0.15">
      <c r="A25" s="66" t="s">
        <v>611</v>
      </c>
      <c r="B25" s="67">
        <v>20</v>
      </c>
      <c r="C25" s="68"/>
      <c r="D25" s="66" t="s">
        <v>257</v>
      </c>
      <c r="E25" s="64">
        <v>1043529.89925092</v>
      </c>
      <c r="F25" s="69" t="s">
        <v>575</v>
      </c>
    </row>
    <row r="26" spans="1:6" s="57" customFormat="1" ht="10.35" customHeight="1" x14ac:dyDescent="0.15">
      <c r="A26" s="66" t="s">
        <v>612</v>
      </c>
      <c r="B26" s="67">
        <v>21</v>
      </c>
      <c r="C26" s="68"/>
      <c r="D26" s="66" t="s">
        <v>613</v>
      </c>
      <c r="E26" s="64">
        <v>1035491.7841974399</v>
      </c>
      <c r="F26" s="69" t="s">
        <v>575</v>
      </c>
    </row>
    <row r="27" spans="1:6" s="57" customFormat="1" ht="10.35" customHeight="1" x14ac:dyDescent="0.15">
      <c r="A27" s="66" t="s">
        <v>614</v>
      </c>
      <c r="B27" s="67">
        <v>22</v>
      </c>
      <c r="C27" s="68"/>
      <c r="D27" s="66" t="s">
        <v>615</v>
      </c>
      <c r="E27" s="64">
        <v>725466.46285964595</v>
      </c>
      <c r="F27" s="69" t="s">
        <v>575</v>
      </c>
    </row>
    <row r="28" spans="1:6" s="57" customFormat="1" ht="10.35" customHeight="1" x14ac:dyDescent="0.15">
      <c r="A28" s="66" t="s">
        <v>616</v>
      </c>
      <c r="B28" s="67">
        <v>23</v>
      </c>
      <c r="C28" s="68"/>
      <c r="D28" s="66" t="s">
        <v>617</v>
      </c>
      <c r="E28" s="64">
        <v>721701.35904631298</v>
      </c>
      <c r="F28" s="69" t="s">
        <v>575</v>
      </c>
    </row>
    <row r="29" spans="1:6" s="57" customFormat="1" ht="10.35" customHeight="1" x14ac:dyDescent="0.15">
      <c r="A29" s="66" t="s">
        <v>618</v>
      </c>
      <c r="B29" s="67">
        <v>24</v>
      </c>
      <c r="C29" s="68"/>
      <c r="D29" s="66" t="s">
        <v>619</v>
      </c>
      <c r="E29" s="64">
        <v>683097.89161859709</v>
      </c>
      <c r="F29" s="69" t="s">
        <v>575</v>
      </c>
    </row>
    <row r="30" spans="1:6" s="57" customFormat="1" ht="10.35" customHeight="1" x14ac:dyDescent="0.15">
      <c r="A30" s="66" t="s">
        <v>620</v>
      </c>
      <c r="B30" s="67">
        <v>25</v>
      </c>
      <c r="C30" s="68"/>
      <c r="D30" s="66" t="s">
        <v>621</v>
      </c>
      <c r="E30" s="64">
        <v>668998.66408208106</v>
      </c>
      <c r="F30" s="69" t="s">
        <v>575</v>
      </c>
    </row>
    <row r="31" spans="1:6" s="57" customFormat="1" ht="10.35" customHeight="1" x14ac:dyDescent="0.15">
      <c r="A31" s="66" t="s">
        <v>622</v>
      </c>
      <c r="B31" s="67">
        <v>26</v>
      </c>
      <c r="C31" s="68"/>
      <c r="D31" s="66" t="s">
        <v>623</v>
      </c>
      <c r="E31" s="64">
        <v>610777.84287359496</v>
      </c>
      <c r="F31" s="69" t="s">
        <v>575</v>
      </c>
    </row>
    <row r="32" spans="1:6" s="57" customFormat="1" ht="10.35" customHeight="1" x14ac:dyDescent="0.15">
      <c r="A32" s="66" t="s">
        <v>624</v>
      </c>
      <c r="B32" s="67">
        <v>27</v>
      </c>
      <c r="C32" s="68"/>
      <c r="D32" s="66" t="s">
        <v>625</v>
      </c>
      <c r="E32" s="64">
        <v>603869.51699873805</v>
      </c>
      <c r="F32" s="69" t="s">
        <v>575</v>
      </c>
    </row>
    <row r="33" spans="1:6" s="57" customFormat="1" ht="10.35" customHeight="1" x14ac:dyDescent="0.15">
      <c r="A33" s="66" t="s">
        <v>626</v>
      </c>
      <c r="B33" s="67">
        <v>28</v>
      </c>
      <c r="C33" s="68"/>
      <c r="D33" s="66" t="s">
        <v>627</v>
      </c>
      <c r="E33" s="64">
        <v>579470.02109541802</v>
      </c>
      <c r="F33" s="69" t="s">
        <v>575</v>
      </c>
    </row>
    <row r="34" spans="1:6" s="57" customFormat="1" ht="10.35" customHeight="1" x14ac:dyDescent="0.15">
      <c r="A34" s="66" t="s">
        <v>628</v>
      </c>
      <c r="B34" s="67">
        <v>29</v>
      </c>
      <c r="C34" s="68"/>
      <c r="D34" s="66" t="s">
        <v>629</v>
      </c>
      <c r="E34" s="64">
        <v>577009.98111201497</v>
      </c>
      <c r="F34" s="69" t="s">
        <v>575</v>
      </c>
    </row>
    <row r="35" spans="1:6" s="57" customFormat="1" ht="10.35" customHeight="1" x14ac:dyDescent="0.15">
      <c r="A35" s="66" t="s">
        <v>630</v>
      </c>
      <c r="B35" s="67">
        <v>30</v>
      </c>
      <c r="C35" s="68"/>
      <c r="D35" s="66" t="s">
        <v>631</v>
      </c>
      <c r="E35" s="70">
        <v>552324.91909587197</v>
      </c>
      <c r="F35" s="69" t="s">
        <v>575</v>
      </c>
    </row>
    <row r="36" spans="1:6" s="57" customFormat="1" ht="10.35" customHeight="1" x14ac:dyDescent="0.15">
      <c r="A36" s="66" t="s">
        <v>632</v>
      </c>
      <c r="B36" s="67">
        <v>31</v>
      </c>
      <c r="C36" s="68"/>
      <c r="D36" s="66" t="s">
        <v>633</v>
      </c>
      <c r="E36" s="64">
        <v>530755.71943887905</v>
      </c>
      <c r="F36" s="69" t="s">
        <v>575</v>
      </c>
    </row>
    <row r="37" spans="1:6" s="57" customFormat="1" ht="10.35" customHeight="1" x14ac:dyDescent="0.15">
      <c r="A37" s="66" t="s">
        <v>634</v>
      </c>
      <c r="B37" s="67">
        <v>32</v>
      </c>
      <c r="C37" s="68"/>
      <c r="D37" s="66" t="s">
        <v>635</v>
      </c>
      <c r="E37" s="64">
        <v>514697.21516506502</v>
      </c>
      <c r="F37" s="69" t="s">
        <v>575</v>
      </c>
    </row>
    <row r="38" spans="1:6" s="57" customFormat="1" ht="10.35" customHeight="1" x14ac:dyDescent="0.15">
      <c r="A38" s="66" t="s">
        <v>636</v>
      </c>
      <c r="B38" s="67">
        <v>33</v>
      </c>
      <c r="C38" s="68"/>
      <c r="D38" s="66" t="s">
        <v>637</v>
      </c>
      <c r="E38" s="64">
        <v>487086.12372041697</v>
      </c>
      <c r="F38" s="69" t="s">
        <v>575</v>
      </c>
    </row>
    <row r="39" spans="1:6" s="57" customFormat="1" ht="10.35" customHeight="1" x14ac:dyDescent="0.15">
      <c r="A39" s="66" t="s">
        <v>638</v>
      </c>
      <c r="B39" s="67">
        <v>34</v>
      </c>
      <c r="C39" s="68"/>
      <c r="D39" s="66" t="s">
        <v>639</v>
      </c>
      <c r="E39" s="64">
        <v>472193.12864459696</v>
      </c>
      <c r="F39" s="69" t="s">
        <v>575</v>
      </c>
    </row>
    <row r="40" spans="1:6" s="57" customFormat="1" ht="10.35" customHeight="1" x14ac:dyDescent="0.15">
      <c r="A40" s="66" t="s">
        <v>640</v>
      </c>
      <c r="B40" s="67">
        <v>35</v>
      </c>
      <c r="C40" s="68"/>
      <c r="D40" s="66" t="s">
        <v>641</v>
      </c>
      <c r="E40" s="64">
        <v>462526.66046839301</v>
      </c>
      <c r="F40" s="69" t="s">
        <v>575</v>
      </c>
    </row>
    <row r="41" spans="1:6" s="57" customFormat="1" ht="10.35" customHeight="1" x14ac:dyDescent="0.15">
      <c r="A41" s="66" t="s">
        <v>642</v>
      </c>
      <c r="B41" s="67">
        <v>36</v>
      </c>
      <c r="C41" s="68"/>
      <c r="D41" s="66" t="s">
        <v>643</v>
      </c>
      <c r="E41" s="64">
        <v>457410.03420252301</v>
      </c>
      <c r="F41" s="69" t="s">
        <v>575</v>
      </c>
    </row>
    <row r="42" spans="1:6" s="57" customFormat="1" ht="10.35" customHeight="1" x14ac:dyDescent="0.15">
      <c r="A42" s="66" t="s">
        <v>644</v>
      </c>
      <c r="B42" s="67">
        <v>37</v>
      </c>
      <c r="C42" s="68"/>
      <c r="D42" s="66" t="s">
        <v>645</v>
      </c>
      <c r="E42" s="64">
        <v>456319.22925557801</v>
      </c>
      <c r="F42" s="69" t="s">
        <v>575</v>
      </c>
    </row>
    <row r="43" spans="1:6" s="57" customFormat="1" ht="10.35" customHeight="1" x14ac:dyDescent="0.15">
      <c r="A43" s="66" t="s">
        <v>646</v>
      </c>
      <c r="B43" s="67">
        <v>38</v>
      </c>
      <c r="C43" s="68"/>
      <c r="D43" s="66" t="s">
        <v>647</v>
      </c>
      <c r="E43" s="64">
        <v>428677.97785482596</v>
      </c>
      <c r="F43" s="69" t="s">
        <v>575</v>
      </c>
    </row>
    <row r="44" spans="1:6" s="57" customFormat="1" ht="10.35" customHeight="1" x14ac:dyDescent="0.15">
      <c r="A44" s="66" t="s">
        <v>648</v>
      </c>
      <c r="B44" s="67">
        <v>39</v>
      </c>
      <c r="C44" s="68"/>
      <c r="D44" s="66" t="s">
        <v>649</v>
      </c>
      <c r="E44" s="64">
        <v>427310.31592199299</v>
      </c>
      <c r="F44" s="69" t="s">
        <v>575</v>
      </c>
    </row>
    <row r="45" spans="1:6" s="57" customFormat="1" ht="10.35" customHeight="1" x14ac:dyDescent="0.15">
      <c r="A45" s="66" t="s">
        <v>650</v>
      </c>
      <c r="B45" s="67">
        <v>40</v>
      </c>
      <c r="C45" s="68"/>
      <c r="D45" s="66" t="s">
        <v>651</v>
      </c>
      <c r="E45" s="64">
        <v>427184.32599730702</v>
      </c>
      <c r="F45" s="69" t="s">
        <v>575</v>
      </c>
    </row>
    <row r="46" spans="1:6" s="57" customFormat="1" ht="10.35" customHeight="1" x14ac:dyDescent="0.15">
      <c r="A46" s="66" t="s">
        <v>652</v>
      </c>
      <c r="B46" s="67">
        <v>41</v>
      </c>
      <c r="C46" s="68"/>
      <c r="D46" s="66" t="s">
        <v>653</v>
      </c>
      <c r="E46" s="64">
        <v>407307.214476222</v>
      </c>
      <c r="F46" s="69" t="s">
        <v>575</v>
      </c>
    </row>
    <row r="47" spans="1:6" s="57" customFormat="1" ht="10.35" customHeight="1" x14ac:dyDescent="0.15">
      <c r="A47" s="66" t="s">
        <v>654</v>
      </c>
      <c r="B47" s="67">
        <v>42</v>
      </c>
      <c r="C47" s="68"/>
      <c r="D47" s="66" t="s">
        <v>655</v>
      </c>
      <c r="E47" s="64">
        <v>391026.96280047495</v>
      </c>
      <c r="F47" s="69" t="s">
        <v>575</v>
      </c>
    </row>
    <row r="48" spans="1:6" s="57" customFormat="1" ht="10.35" customHeight="1" x14ac:dyDescent="0.15">
      <c r="A48" s="66" t="s">
        <v>656</v>
      </c>
      <c r="B48" s="67">
        <v>43</v>
      </c>
      <c r="C48" s="68"/>
      <c r="D48" s="66" t="s">
        <v>657</v>
      </c>
      <c r="E48" s="64">
        <v>365254.630179737</v>
      </c>
      <c r="F48" s="69" t="s">
        <v>575</v>
      </c>
    </row>
    <row r="49" spans="1:6" s="57" customFormat="1" ht="10.35" customHeight="1" x14ac:dyDescent="0.15">
      <c r="A49" s="66" t="s">
        <v>658</v>
      </c>
      <c r="B49" s="67">
        <v>44</v>
      </c>
      <c r="C49" s="68"/>
      <c r="D49" s="66" t="s">
        <v>659</v>
      </c>
      <c r="E49" s="64">
        <v>362682.115433364</v>
      </c>
      <c r="F49" s="69" t="s">
        <v>575</v>
      </c>
    </row>
    <row r="50" spans="1:6" s="57" customFormat="1" ht="10.35" customHeight="1" x14ac:dyDescent="0.15">
      <c r="A50" s="66" t="s">
        <v>660</v>
      </c>
      <c r="B50" s="67">
        <v>45</v>
      </c>
      <c r="C50" s="68"/>
      <c r="D50" s="66" t="s">
        <v>661</v>
      </c>
      <c r="E50" s="64">
        <v>357371.15957486199</v>
      </c>
      <c r="F50" s="69" t="s">
        <v>575</v>
      </c>
    </row>
    <row r="51" spans="1:6" s="57" customFormat="1" ht="10.35" customHeight="1" x14ac:dyDescent="0.15">
      <c r="A51" s="66" t="s">
        <v>662</v>
      </c>
      <c r="B51" s="67">
        <v>46</v>
      </c>
      <c r="C51" s="68"/>
      <c r="D51" s="66" t="s">
        <v>663</v>
      </c>
      <c r="E51" s="64">
        <v>346639.825141821</v>
      </c>
      <c r="F51" s="69" t="s">
        <v>575</v>
      </c>
    </row>
    <row r="52" spans="1:6" s="57" customFormat="1" ht="10.199999999999999" customHeight="1" x14ac:dyDescent="0.15">
      <c r="A52" s="66" t="s">
        <v>664</v>
      </c>
      <c r="B52" s="67">
        <v>47</v>
      </c>
      <c r="C52" s="68"/>
      <c r="D52" s="66" t="s">
        <v>665</v>
      </c>
      <c r="E52" s="64">
        <v>334854.65918189299</v>
      </c>
      <c r="F52" s="69" t="s">
        <v>575</v>
      </c>
    </row>
    <row r="53" spans="1:6" s="57" customFormat="1" ht="10.35" customHeight="1" x14ac:dyDescent="0.15">
      <c r="A53" s="66" t="s">
        <v>666</v>
      </c>
      <c r="B53" s="67">
        <v>48</v>
      </c>
      <c r="C53" s="68"/>
      <c r="D53" s="66" t="s">
        <v>667</v>
      </c>
      <c r="E53" s="64">
        <v>317039.36881960701</v>
      </c>
      <c r="F53" s="69" t="s">
        <v>575</v>
      </c>
    </row>
    <row r="54" spans="1:6" s="57" customFormat="1" ht="10.35" customHeight="1" x14ac:dyDescent="0.15">
      <c r="A54" s="66" t="s">
        <v>668</v>
      </c>
      <c r="B54" s="67">
        <v>49</v>
      </c>
      <c r="C54" s="68"/>
      <c r="D54" s="66" t="s">
        <v>669</v>
      </c>
      <c r="E54" s="64">
        <v>306239.20965002401</v>
      </c>
      <c r="F54" s="69" t="s">
        <v>575</v>
      </c>
    </row>
    <row r="55" spans="1:6" s="57" customFormat="1" ht="10.35" customHeight="1" x14ac:dyDescent="0.15">
      <c r="A55" s="66" t="s">
        <v>670</v>
      </c>
      <c r="B55" s="67">
        <v>50</v>
      </c>
      <c r="C55" s="68"/>
      <c r="D55" s="66" t="s">
        <v>382</v>
      </c>
      <c r="E55" s="64">
        <v>290794.36154211202</v>
      </c>
      <c r="F55" s="69" t="s">
        <v>575</v>
      </c>
    </row>
    <row r="56" spans="1:6" s="57" customFormat="1" ht="10.35" customHeight="1" x14ac:dyDescent="0.15">
      <c r="A56" s="66" t="s">
        <v>671</v>
      </c>
      <c r="B56" s="67">
        <v>51</v>
      </c>
      <c r="C56" s="68"/>
      <c r="D56" s="66" t="s">
        <v>672</v>
      </c>
      <c r="E56" s="64">
        <v>287031.22598773602</v>
      </c>
      <c r="F56" s="69" t="s">
        <v>575</v>
      </c>
    </row>
    <row r="57" spans="1:6" s="57" customFormat="1" ht="10.35" customHeight="1" x14ac:dyDescent="0.15">
      <c r="A57" s="66" t="s">
        <v>673</v>
      </c>
      <c r="B57" s="67">
        <v>52</v>
      </c>
      <c r="C57" s="68"/>
      <c r="D57" s="66" t="s">
        <v>674</v>
      </c>
      <c r="E57" s="64">
        <v>280635.52132444095</v>
      </c>
      <c r="F57" s="69" t="s">
        <v>575</v>
      </c>
    </row>
    <row r="58" spans="1:6" s="57" customFormat="1" ht="10.35" customHeight="1" x14ac:dyDescent="0.15">
      <c r="A58" s="66" t="s">
        <v>675</v>
      </c>
      <c r="B58" s="67">
        <v>53</v>
      </c>
      <c r="C58" s="68"/>
      <c r="D58" s="66" t="s">
        <v>272</v>
      </c>
      <c r="E58" s="64">
        <v>264057.41373996501</v>
      </c>
      <c r="F58" s="69" t="s">
        <v>575</v>
      </c>
    </row>
    <row r="59" spans="1:6" s="57" customFormat="1" ht="10.35" customHeight="1" x14ac:dyDescent="0.15">
      <c r="A59" s="66" t="s">
        <v>676</v>
      </c>
      <c r="B59" s="67">
        <v>54</v>
      </c>
      <c r="C59" s="68"/>
      <c r="D59" s="66" t="s">
        <v>677</v>
      </c>
      <c r="E59" s="64">
        <v>254367.29353846199</v>
      </c>
      <c r="F59" s="69" t="s">
        <v>575</v>
      </c>
    </row>
    <row r="60" spans="1:6" s="57" customFormat="1" ht="10.35" customHeight="1" x14ac:dyDescent="0.15">
      <c r="A60" s="66" t="s">
        <v>678</v>
      </c>
      <c r="B60" s="67">
        <v>55</v>
      </c>
      <c r="C60" s="68"/>
      <c r="D60" s="66" t="s">
        <v>679</v>
      </c>
      <c r="E60" s="64">
        <v>246490.21351305398</v>
      </c>
      <c r="F60" s="69" t="s">
        <v>575</v>
      </c>
    </row>
    <row r="61" spans="1:6" s="57" customFormat="1" ht="10.35" customHeight="1" x14ac:dyDescent="0.15">
      <c r="A61" s="66" t="s">
        <v>680</v>
      </c>
      <c r="B61" s="67">
        <v>56</v>
      </c>
      <c r="C61" s="68"/>
      <c r="D61" s="66" t="s">
        <v>681</v>
      </c>
      <c r="E61" s="64">
        <v>215559.615384615</v>
      </c>
      <c r="F61" s="69" t="s">
        <v>575</v>
      </c>
    </row>
    <row r="62" spans="1:6" s="57" customFormat="1" ht="10.35" customHeight="1" x14ac:dyDescent="0.15">
      <c r="A62" s="66" t="s">
        <v>682</v>
      </c>
      <c r="B62" s="67">
        <v>57</v>
      </c>
      <c r="C62" s="68"/>
      <c r="D62" s="66" t="s">
        <v>683</v>
      </c>
      <c r="E62" s="64">
        <v>214233.31278439701</v>
      </c>
      <c r="F62" s="69" t="s">
        <v>588</v>
      </c>
    </row>
    <row r="63" spans="1:6" s="57" customFormat="1" ht="10.35" customHeight="1" x14ac:dyDescent="0.15">
      <c r="A63" s="66" t="s">
        <v>684</v>
      </c>
      <c r="B63" s="67">
        <v>58</v>
      </c>
      <c r="C63" s="68"/>
      <c r="D63" s="66" t="s">
        <v>685</v>
      </c>
      <c r="E63" s="64">
        <v>182374.25061228001</v>
      </c>
      <c r="F63" s="69" t="s">
        <v>686</v>
      </c>
    </row>
    <row r="64" spans="1:6" s="57" customFormat="1" ht="10.35" customHeight="1" x14ac:dyDescent="0.15">
      <c r="A64" s="66" t="s">
        <v>687</v>
      </c>
      <c r="B64" s="67">
        <v>59</v>
      </c>
      <c r="C64" s="68"/>
      <c r="D64" s="66" t="s">
        <v>688</v>
      </c>
      <c r="E64" s="64">
        <v>157209.02692641801</v>
      </c>
      <c r="F64" s="69" t="s">
        <v>575</v>
      </c>
    </row>
    <row r="65" spans="1:6" s="57" customFormat="1" ht="10.35" customHeight="1" x14ac:dyDescent="0.15">
      <c r="A65" s="66" t="s">
        <v>689</v>
      </c>
      <c r="B65" s="67">
        <v>60</v>
      </c>
      <c r="C65" s="68"/>
      <c r="D65" s="66" t="s">
        <v>690</v>
      </c>
      <c r="E65" s="64">
        <v>154530.06650689497</v>
      </c>
      <c r="F65" s="69" t="s">
        <v>575</v>
      </c>
    </row>
    <row r="66" spans="1:6" s="57" customFormat="1" ht="10.35" customHeight="1" x14ac:dyDescent="0.15">
      <c r="A66" s="66" t="s">
        <v>691</v>
      </c>
      <c r="B66" s="67">
        <v>61</v>
      </c>
      <c r="C66" s="68"/>
      <c r="D66" s="66" t="s">
        <v>692</v>
      </c>
      <c r="E66" s="64">
        <v>147038.08112940501</v>
      </c>
      <c r="F66" s="69" t="s">
        <v>575</v>
      </c>
    </row>
    <row r="67" spans="1:6" s="57" customFormat="1" ht="10.35" customHeight="1" x14ac:dyDescent="0.15">
      <c r="A67" s="66" t="s">
        <v>693</v>
      </c>
      <c r="B67" s="67">
        <v>62</v>
      </c>
      <c r="C67" s="68"/>
      <c r="D67" s="66" t="s">
        <v>694</v>
      </c>
      <c r="E67" s="64">
        <v>135941.27887881501</v>
      </c>
      <c r="F67" s="69" t="s">
        <v>575</v>
      </c>
    </row>
    <row r="68" spans="1:6" s="57" customFormat="1" ht="10.35" customHeight="1" x14ac:dyDescent="0.15">
      <c r="A68" s="66" t="s">
        <v>695</v>
      </c>
      <c r="B68" s="67">
        <v>63</v>
      </c>
      <c r="C68" s="68"/>
      <c r="D68" s="66" t="s">
        <v>696</v>
      </c>
      <c r="E68" s="64">
        <v>130777.235529606</v>
      </c>
      <c r="F68" s="69" t="s">
        <v>575</v>
      </c>
    </row>
    <row r="69" spans="1:6" s="57" customFormat="1" ht="10.35" customHeight="1" x14ac:dyDescent="0.15">
      <c r="A69" s="66" t="s">
        <v>697</v>
      </c>
      <c r="B69" s="67">
        <v>64</v>
      </c>
      <c r="C69" s="68"/>
      <c r="D69" s="66" t="s">
        <v>698</v>
      </c>
      <c r="E69" s="64">
        <v>130320.5604</v>
      </c>
      <c r="F69" s="69" t="s">
        <v>575</v>
      </c>
    </row>
    <row r="70" spans="1:6" s="57" customFormat="1" ht="10.35" customHeight="1" x14ac:dyDescent="0.15">
      <c r="A70" s="66" t="s">
        <v>699</v>
      </c>
      <c r="B70" s="67">
        <v>65</v>
      </c>
      <c r="C70" s="68"/>
      <c r="D70" s="71" t="s">
        <v>700</v>
      </c>
      <c r="E70" s="64">
        <v>129368.484</v>
      </c>
      <c r="F70" s="69" t="s">
        <v>575</v>
      </c>
    </row>
    <row r="71" spans="1:6" s="57" customFormat="1" ht="10.35" customHeight="1" x14ac:dyDescent="0.15">
      <c r="A71" s="66" t="s">
        <v>701</v>
      </c>
      <c r="B71" s="67">
        <v>66</v>
      </c>
      <c r="C71" s="68"/>
      <c r="D71" s="66" t="s">
        <v>702</v>
      </c>
      <c r="E71" s="64">
        <v>127407.46375904299</v>
      </c>
      <c r="F71" s="69" t="s">
        <v>575</v>
      </c>
    </row>
    <row r="72" spans="1:6" s="57" customFormat="1" ht="10.35" customHeight="1" x14ac:dyDescent="0.15">
      <c r="A72" s="66" t="s">
        <v>703</v>
      </c>
      <c r="B72" s="67">
        <v>67</v>
      </c>
      <c r="C72" s="68"/>
      <c r="D72" s="66" t="s">
        <v>704</v>
      </c>
      <c r="E72" s="64">
        <v>126358.75844835601</v>
      </c>
      <c r="F72" s="69" t="s">
        <v>575</v>
      </c>
    </row>
    <row r="73" spans="1:6" s="57" customFormat="1" ht="10.35" customHeight="1" x14ac:dyDescent="0.15">
      <c r="A73" s="66" t="s">
        <v>705</v>
      </c>
      <c r="B73" s="67">
        <v>68</v>
      </c>
      <c r="C73" s="68"/>
      <c r="D73" s="66" t="s">
        <v>706</v>
      </c>
      <c r="E73" s="64">
        <v>123306.008821471</v>
      </c>
      <c r="F73" s="69" t="s">
        <v>575</v>
      </c>
    </row>
    <row r="74" spans="1:6" s="57" customFormat="1" ht="10.35" customHeight="1" x14ac:dyDescent="0.15">
      <c r="A74" s="66" t="s">
        <v>707</v>
      </c>
      <c r="B74" s="67">
        <v>69</v>
      </c>
      <c r="C74" s="68"/>
      <c r="D74" s="66" t="s">
        <v>708</v>
      </c>
      <c r="E74" s="64">
        <v>122174.88942363499</v>
      </c>
      <c r="F74" s="69" t="s">
        <v>575</v>
      </c>
    </row>
    <row r="75" spans="1:6" s="57" customFormat="1" ht="10.35" customHeight="1" x14ac:dyDescent="0.15">
      <c r="A75" s="66" t="s">
        <v>709</v>
      </c>
      <c r="B75" s="67">
        <v>70</v>
      </c>
      <c r="C75" s="68"/>
      <c r="D75" s="66" t="s">
        <v>710</v>
      </c>
      <c r="E75" s="64">
        <v>114209.90527871699</v>
      </c>
      <c r="F75" s="69" t="s">
        <v>575</v>
      </c>
    </row>
    <row r="76" spans="1:6" s="57" customFormat="1" ht="10.35" customHeight="1" x14ac:dyDescent="0.15">
      <c r="A76" s="66" t="s">
        <v>711</v>
      </c>
      <c r="B76" s="67">
        <v>71</v>
      </c>
      <c r="C76" s="68"/>
      <c r="D76" s="66" t="s">
        <v>712</v>
      </c>
      <c r="E76" s="64">
        <v>109604.78069622999</v>
      </c>
      <c r="F76" s="69" t="s">
        <v>575</v>
      </c>
    </row>
    <row r="77" spans="1:6" s="57" customFormat="1" ht="10.35" customHeight="1" x14ac:dyDescent="0.15">
      <c r="A77" s="66" t="s">
        <v>713</v>
      </c>
      <c r="B77" s="67">
        <v>72</v>
      </c>
      <c r="C77" s="68"/>
      <c r="D77" s="66" t="s">
        <v>714</v>
      </c>
      <c r="E77" s="64">
        <v>108825.231671196</v>
      </c>
      <c r="F77" s="69" t="s">
        <v>575</v>
      </c>
    </row>
    <row r="78" spans="1:6" s="57" customFormat="1" ht="10.35" customHeight="1" x14ac:dyDescent="0.15">
      <c r="A78" s="66" t="s">
        <v>715</v>
      </c>
      <c r="B78" s="67">
        <v>73</v>
      </c>
      <c r="C78" s="68"/>
      <c r="D78" s="66" t="s">
        <v>716</v>
      </c>
      <c r="E78" s="64">
        <v>105060.182186274</v>
      </c>
      <c r="F78" s="69" t="s">
        <v>575</v>
      </c>
    </row>
    <row r="79" spans="1:6" s="57" customFormat="1" ht="10.35" customHeight="1" x14ac:dyDescent="0.15">
      <c r="A79" s="66" t="s">
        <v>717</v>
      </c>
      <c r="B79" s="67">
        <v>74</v>
      </c>
      <c r="C79" s="68"/>
      <c r="D79" s="66" t="s">
        <v>718</v>
      </c>
      <c r="E79" s="64">
        <v>102904.92115747799</v>
      </c>
      <c r="F79" s="69" t="s">
        <v>575</v>
      </c>
    </row>
    <row r="80" spans="1:6" s="57" customFormat="1" ht="10.35" customHeight="1" x14ac:dyDescent="0.15">
      <c r="A80" s="66" t="s">
        <v>719</v>
      </c>
      <c r="B80" s="67">
        <v>75</v>
      </c>
      <c r="C80" s="68"/>
      <c r="D80" s="66" t="s">
        <v>720</v>
      </c>
      <c r="E80" s="64">
        <v>101157.829491107</v>
      </c>
      <c r="F80" s="69" t="s">
        <v>575</v>
      </c>
    </row>
    <row r="81" spans="1:6" s="57" customFormat="1" ht="10.35" customHeight="1" x14ac:dyDescent="0.15">
      <c r="A81" s="66" t="s">
        <v>721</v>
      </c>
      <c r="B81" s="67">
        <v>76</v>
      </c>
      <c r="C81" s="68"/>
      <c r="D81" s="66" t="s">
        <v>722</v>
      </c>
      <c r="E81" s="64">
        <v>99953.324472904205</v>
      </c>
      <c r="F81" s="69" t="s">
        <v>575</v>
      </c>
    </row>
    <row r="82" spans="1:6" s="57" customFormat="1" ht="10.35" customHeight="1" x14ac:dyDescent="0.15">
      <c r="A82" s="66" t="s">
        <v>723</v>
      </c>
      <c r="B82" s="67">
        <v>77</v>
      </c>
      <c r="C82" s="68"/>
      <c r="D82" s="68" t="s">
        <v>724</v>
      </c>
      <c r="E82" s="64">
        <v>99773.555666198808</v>
      </c>
      <c r="F82" s="69" t="s">
        <v>575</v>
      </c>
    </row>
    <row r="83" spans="1:6" s="57" customFormat="1" ht="10.35" customHeight="1" x14ac:dyDescent="0.15">
      <c r="A83" s="66" t="s">
        <v>725</v>
      </c>
      <c r="B83" s="67">
        <v>78</v>
      </c>
      <c r="C83" s="68"/>
      <c r="D83" s="66" t="s">
        <v>726</v>
      </c>
      <c r="E83" s="64">
        <v>99661.2441556306</v>
      </c>
      <c r="F83" s="69" t="s">
        <v>575</v>
      </c>
    </row>
    <row r="84" spans="1:6" s="57" customFormat="1" ht="10.35" customHeight="1" x14ac:dyDescent="0.15">
      <c r="A84" s="66" t="s">
        <v>727</v>
      </c>
      <c r="B84" s="67">
        <v>79</v>
      </c>
      <c r="C84" s="68"/>
      <c r="D84" s="66" t="s">
        <v>728</v>
      </c>
      <c r="E84" s="64">
        <v>95210.150818351191</v>
      </c>
      <c r="F84" s="69" t="s">
        <v>575</v>
      </c>
    </row>
    <row r="85" spans="1:6" s="57" customFormat="1" ht="10.35" customHeight="1" x14ac:dyDescent="0.15">
      <c r="A85" s="66" t="s">
        <v>729</v>
      </c>
      <c r="B85" s="67">
        <v>80</v>
      </c>
      <c r="C85" s="68"/>
      <c r="D85" s="66" t="s">
        <v>730</v>
      </c>
      <c r="E85" s="64">
        <v>93397.215864197991</v>
      </c>
      <c r="F85" s="69" t="s">
        <v>575</v>
      </c>
    </row>
    <row r="86" spans="1:6" s="57" customFormat="1" ht="10.35" customHeight="1" x14ac:dyDescent="0.15">
      <c r="A86" s="66" t="s">
        <v>731</v>
      </c>
      <c r="B86" s="67">
        <v>81</v>
      </c>
      <c r="C86" s="68"/>
      <c r="D86" s="66" t="s">
        <v>732</v>
      </c>
      <c r="E86" s="64">
        <v>91030.531316993613</v>
      </c>
      <c r="F86" s="69" t="s">
        <v>575</v>
      </c>
    </row>
    <row r="87" spans="1:6" s="57" customFormat="1" ht="10.35" customHeight="1" x14ac:dyDescent="0.15">
      <c r="A87" s="66" t="s">
        <v>733</v>
      </c>
      <c r="B87" s="67">
        <v>82</v>
      </c>
      <c r="C87" s="68"/>
      <c r="D87" s="66" t="s">
        <v>734</v>
      </c>
      <c r="E87" s="64">
        <v>90462.6</v>
      </c>
      <c r="F87" s="69" t="s">
        <v>575</v>
      </c>
    </row>
    <row r="88" spans="1:6" s="57" customFormat="1" ht="10.35" customHeight="1" x14ac:dyDescent="0.15">
      <c r="A88" s="66" t="s">
        <v>735</v>
      </c>
      <c r="B88" s="67">
        <v>83</v>
      </c>
      <c r="C88" s="68"/>
      <c r="D88" s="68" t="s">
        <v>736</v>
      </c>
      <c r="E88" s="64">
        <v>90143.496090441098</v>
      </c>
      <c r="F88" s="69" t="s">
        <v>737</v>
      </c>
    </row>
    <row r="89" spans="1:6" s="57" customFormat="1" ht="10.35" customHeight="1" x14ac:dyDescent="0.15">
      <c r="A89" s="66" t="s">
        <v>738</v>
      </c>
      <c r="B89" s="67">
        <v>84</v>
      </c>
      <c r="C89" s="68"/>
      <c r="D89" s="66" t="s">
        <v>739</v>
      </c>
      <c r="E89" s="64">
        <v>85347.6962776859</v>
      </c>
      <c r="F89" s="69" t="s">
        <v>575</v>
      </c>
    </row>
    <row r="90" spans="1:6" s="57" customFormat="1" ht="10.35" customHeight="1" x14ac:dyDescent="0.15">
      <c r="A90" s="66" t="s">
        <v>740</v>
      </c>
      <c r="B90" s="67">
        <v>85</v>
      </c>
      <c r="C90" s="68"/>
      <c r="D90" s="66" t="s">
        <v>741</v>
      </c>
      <c r="E90" s="64">
        <v>81665.773809523802</v>
      </c>
      <c r="F90" s="69" t="s">
        <v>575</v>
      </c>
    </row>
    <row r="91" spans="1:6" s="57" customFormat="1" ht="10.35" customHeight="1" x14ac:dyDescent="0.15">
      <c r="A91" s="66" t="s">
        <v>742</v>
      </c>
      <c r="B91" s="67">
        <v>86</v>
      </c>
      <c r="C91" s="68"/>
      <c r="D91" s="66" t="s">
        <v>743</v>
      </c>
      <c r="E91" s="64">
        <v>79648.204979361806</v>
      </c>
      <c r="F91" s="69" t="s">
        <v>575</v>
      </c>
    </row>
    <row r="92" spans="1:6" s="57" customFormat="1" ht="10.35" customHeight="1" x14ac:dyDescent="0.15">
      <c r="A92" s="66" t="s">
        <v>744</v>
      </c>
      <c r="B92" s="67">
        <v>87</v>
      </c>
      <c r="C92" s="68"/>
      <c r="D92" s="66" t="s">
        <v>745</v>
      </c>
      <c r="E92" s="64">
        <v>75937.647058823495</v>
      </c>
      <c r="F92" s="69" t="s">
        <v>575</v>
      </c>
    </row>
    <row r="93" spans="1:6" s="57" customFormat="1" ht="10.35" customHeight="1" x14ac:dyDescent="0.15">
      <c r="A93" s="66" t="s">
        <v>746</v>
      </c>
      <c r="B93" s="67">
        <v>88</v>
      </c>
      <c r="C93" s="68"/>
      <c r="D93" s="66" t="s">
        <v>747</v>
      </c>
      <c r="E93" s="64">
        <v>64768.947525325602</v>
      </c>
      <c r="F93" s="69" t="s">
        <v>575</v>
      </c>
    </row>
    <row r="94" spans="1:6" s="57" customFormat="1" ht="10.35" customHeight="1" x14ac:dyDescent="0.15">
      <c r="A94" s="66" t="s">
        <v>748</v>
      </c>
      <c r="B94" s="67">
        <v>89</v>
      </c>
      <c r="C94" s="68"/>
      <c r="D94" s="66" t="s">
        <v>749</v>
      </c>
      <c r="E94" s="64">
        <v>61985.829288149595</v>
      </c>
      <c r="F94" s="69" t="s">
        <v>575</v>
      </c>
    </row>
    <row r="95" spans="1:6" s="57" customFormat="1" ht="10.35" customHeight="1" x14ac:dyDescent="0.15">
      <c r="A95" s="66" t="s">
        <v>750</v>
      </c>
      <c r="B95" s="67">
        <v>90</v>
      </c>
      <c r="C95" s="68"/>
      <c r="D95" s="66" t="s">
        <v>751</v>
      </c>
      <c r="E95" s="64">
        <v>61610.052535211304</v>
      </c>
      <c r="F95" s="69" t="s">
        <v>575</v>
      </c>
    </row>
    <row r="96" spans="1:6" s="57" customFormat="1" ht="10.35" customHeight="1" x14ac:dyDescent="0.15">
      <c r="A96" s="66" t="s">
        <v>752</v>
      </c>
      <c r="B96" s="67">
        <v>91</v>
      </c>
      <c r="C96" s="68"/>
      <c r="D96" s="66" t="s">
        <v>753</v>
      </c>
      <c r="E96" s="64">
        <v>60162.634574468902</v>
      </c>
      <c r="F96" s="69" t="s">
        <v>575</v>
      </c>
    </row>
    <row r="97" spans="1:6" s="57" customFormat="1" ht="10.35" customHeight="1" x14ac:dyDescent="0.15">
      <c r="A97" s="66" t="s">
        <v>754</v>
      </c>
      <c r="B97" s="67">
        <v>92</v>
      </c>
      <c r="C97" s="68"/>
      <c r="D97" s="66" t="s">
        <v>755</v>
      </c>
      <c r="E97" s="64">
        <v>58933.453923761001</v>
      </c>
      <c r="F97" s="69" t="s">
        <v>575</v>
      </c>
    </row>
    <row r="98" spans="1:6" s="57" customFormat="1" ht="10.35" customHeight="1" x14ac:dyDescent="0.15">
      <c r="A98" s="66" t="s">
        <v>756</v>
      </c>
      <c r="B98" s="67">
        <v>93</v>
      </c>
      <c r="C98" s="68"/>
      <c r="D98" s="66" t="s">
        <v>757</v>
      </c>
      <c r="E98" s="64">
        <v>57502.836548087798</v>
      </c>
      <c r="F98" s="69" t="s">
        <v>575</v>
      </c>
    </row>
    <row r="99" spans="1:6" s="57" customFormat="1" ht="10.35" customHeight="1" x14ac:dyDescent="0.15">
      <c r="A99" s="66" t="s">
        <v>758</v>
      </c>
      <c r="B99" s="67">
        <v>94</v>
      </c>
      <c r="C99" s="68"/>
      <c r="D99" s="66" t="s">
        <v>759</v>
      </c>
      <c r="E99" s="64">
        <v>52061.007670168998</v>
      </c>
      <c r="F99" s="69" t="s">
        <v>575</v>
      </c>
    </row>
    <row r="100" spans="1:6" s="57" customFormat="1" ht="10.35" customHeight="1" x14ac:dyDescent="0.15">
      <c r="A100" s="66" t="s">
        <v>760</v>
      </c>
      <c r="B100" s="67">
        <v>95</v>
      </c>
      <c r="C100" s="68"/>
      <c r="D100" s="66" t="s">
        <v>761</v>
      </c>
      <c r="E100" s="64">
        <v>51267.065842964104</v>
      </c>
      <c r="F100" s="69" t="s">
        <v>575</v>
      </c>
    </row>
    <row r="101" spans="1:6" s="57" customFormat="1" ht="10.35" customHeight="1" x14ac:dyDescent="0.15">
      <c r="A101" s="66" t="s">
        <v>762</v>
      </c>
      <c r="B101" s="67">
        <v>96</v>
      </c>
      <c r="C101" s="68"/>
      <c r="D101" s="66" t="s">
        <v>763</v>
      </c>
      <c r="E101" s="64">
        <v>51215.6439055886</v>
      </c>
      <c r="F101" s="69" t="s">
        <v>575</v>
      </c>
    </row>
    <row r="102" spans="1:6" s="57" customFormat="1" ht="10.35" customHeight="1" x14ac:dyDescent="0.15">
      <c r="A102" s="66" t="s">
        <v>764</v>
      </c>
      <c r="B102" s="67">
        <v>97</v>
      </c>
      <c r="C102" s="68"/>
      <c r="D102" s="66" t="s">
        <v>765</v>
      </c>
      <c r="E102" s="64">
        <v>49828.621355651601</v>
      </c>
      <c r="F102" s="69" t="s">
        <v>575</v>
      </c>
    </row>
    <row r="103" spans="1:6" s="57" customFormat="1" ht="10.35" customHeight="1" x14ac:dyDescent="0.15">
      <c r="A103" s="66" t="s">
        <v>766</v>
      </c>
      <c r="B103" s="67">
        <v>98</v>
      </c>
      <c r="C103" s="68"/>
      <c r="D103" s="66" t="s">
        <v>767</v>
      </c>
      <c r="E103" s="64">
        <v>49278.227554333898</v>
      </c>
      <c r="F103" s="69" t="s">
        <v>575</v>
      </c>
    </row>
    <row r="104" spans="1:6" s="57" customFormat="1" ht="10.35" customHeight="1" x14ac:dyDescent="0.15">
      <c r="A104" s="66" t="s">
        <v>768</v>
      </c>
      <c r="B104" s="67">
        <v>99</v>
      </c>
      <c r="C104" s="68"/>
      <c r="D104" s="66" t="s">
        <v>769</v>
      </c>
      <c r="E104" s="64">
        <v>48965.725531914904</v>
      </c>
      <c r="F104" s="69" t="s">
        <v>575</v>
      </c>
    </row>
    <row r="105" spans="1:6" s="57" customFormat="1" ht="10.35" customHeight="1" x14ac:dyDescent="0.15">
      <c r="A105" s="66" t="s">
        <v>770</v>
      </c>
      <c r="B105" s="67">
        <v>100</v>
      </c>
      <c r="C105" s="68"/>
      <c r="D105" s="66" t="s">
        <v>771</v>
      </c>
      <c r="E105" s="64">
        <v>48618.869160325405</v>
      </c>
      <c r="F105" s="69" t="s">
        <v>575</v>
      </c>
    </row>
    <row r="106" spans="1:6" s="57" customFormat="1" ht="10.35" customHeight="1" x14ac:dyDescent="0.15">
      <c r="A106" s="66" t="s">
        <v>772</v>
      </c>
      <c r="B106" s="67">
        <v>101</v>
      </c>
      <c r="C106" s="68"/>
      <c r="D106" s="66" t="s">
        <v>773</v>
      </c>
      <c r="E106" s="64">
        <v>48098.9096136316</v>
      </c>
      <c r="F106" s="69" t="s">
        <v>575</v>
      </c>
    </row>
    <row r="107" spans="1:6" s="57" customFormat="1" ht="10.35" customHeight="1" x14ac:dyDescent="0.15">
      <c r="A107" s="66" t="s">
        <v>774</v>
      </c>
      <c r="B107" s="67">
        <v>102</v>
      </c>
      <c r="C107" s="68"/>
      <c r="D107" s="66" t="s">
        <v>775</v>
      </c>
      <c r="E107" s="64">
        <v>47030.833798586602</v>
      </c>
      <c r="F107" s="69" t="s">
        <v>575</v>
      </c>
    </row>
    <row r="108" spans="1:6" s="57" customFormat="1" ht="10.35" customHeight="1" x14ac:dyDescent="0.15">
      <c r="A108" s="66" t="s">
        <v>776</v>
      </c>
      <c r="B108" s="67">
        <v>103</v>
      </c>
      <c r="C108" s="68"/>
      <c r="D108" s="66" t="s">
        <v>777</v>
      </c>
      <c r="E108" s="64">
        <v>45489.810283113198</v>
      </c>
      <c r="F108" s="69" t="s">
        <v>575</v>
      </c>
    </row>
    <row r="109" spans="1:6" s="57" customFormat="1" ht="10.35" customHeight="1" x14ac:dyDescent="0.15">
      <c r="A109" s="66" t="s">
        <v>778</v>
      </c>
      <c r="B109" s="67">
        <v>104</v>
      </c>
      <c r="C109" s="68"/>
      <c r="D109" s="66" t="s">
        <v>779</v>
      </c>
      <c r="E109" s="64">
        <v>41225.787247330903</v>
      </c>
      <c r="F109" s="69" t="s">
        <v>780</v>
      </c>
    </row>
    <row r="110" spans="1:6" s="57" customFormat="1" ht="10.35" customHeight="1" x14ac:dyDescent="0.15">
      <c r="A110" s="66" t="s">
        <v>781</v>
      </c>
      <c r="B110" s="67">
        <v>105</v>
      </c>
      <c r="C110" s="68"/>
      <c r="D110" s="66" t="s">
        <v>782</v>
      </c>
      <c r="E110" s="64">
        <v>39601.409103300502</v>
      </c>
      <c r="F110" s="69" t="s">
        <v>575</v>
      </c>
    </row>
    <row r="111" spans="1:6" s="57" customFormat="1" ht="10.35" customHeight="1" x14ac:dyDescent="0.15">
      <c r="A111" s="66" t="s">
        <v>783</v>
      </c>
      <c r="B111" s="67">
        <v>106</v>
      </c>
      <c r="C111" s="68"/>
      <c r="D111" s="66" t="s">
        <v>784</v>
      </c>
      <c r="E111" s="64">
        <v>38582.528789003307</v>
      </c>
      <c r="F111" s="69" t="s">
        <v>575</v>
      </c>
    </row>
    <row r="112" spans="1:6" s="57" customFormat="1" ht="10.35" customHeight="1" x14ac:dyDescent="0.15">
      <c r="A112" s="66" t="s">
        <v>785</v>
      </c>
      <c r="B112" s="67">
        <v>107</v>
      </c>
      <c r="C112" s="68"/>
      <c r="D112" s="66" t="s">
        <v>786</v>
      </c>
      <c r="E112" s="64">
        <v>38143.6128551367</v>
      </c>
      <c r="F112" s="69" t="s">
        <v>787</v>
      </c>
    </row>
    <row r="113" spans="1:6" s="57" customFormat="1" ht="10.35" customHeight="1" x14ac:dyDescent="0.15">
      <c r="A113" s="66" t="s">
        <v>788</v>
      </c>
      <c r="B113" s="67">
        <v>108</v>
      </c>
      <c r="C113" s="68"/>
      <c r="D113" s="66" t="s">
        <v>789</v>
      </c>
      <c r="E113" s="64">
        <v>37006.536238373097</v>
      </c>
      <c r="F113" s="69" t="s">
        <v>575</v>
      </c>
    </row>
    <row r="114" spans="1:6" s="57" customFormat="1" ht="10.35" customHeight="1" x14ac:dyDescent="0.15">
      <c r="A114" s="66" t="s">
        <v>790</v>
      </c>
      <c r="B114" s="67">
        <v>109</v>
      </c>
      <c r="C114" s="68"/>
      <c r="D114" s="66" t="s">
        <v>791</v>
      </c>
      <c r="E114" s="64">
        <v>36708.11</v>
      </c>
      <c r="F114" s="69" t="s">
        <v>575</v>
      </c>
    </row>
    <row r="115" spans="1:6" s="57" customFormat="1" ht="10.35" customHeight="1" x14ac:dyDescent="0.15">
      <c r="A115" s="66" t="s">
        <v>792</v>
      </c>
      <c r="B115" s="67">
        <v>110</v>
      </c>
      <c r="C115" s="68"/>
      <c r="D115" s="66" t="s">
        <v>793</v>
      </c>
      <c r="E115" s="64">
        <v>32599.982936393102</v>
      </c>
      <c r="F115" s="69" t="s">
        <v>575</v>
      </c>
    </row>
    <row r="116" spans="1:6" s="57" customFormat="1" ht="10.35" customHeight="1" x14ac:dyDescent="0.15">
      <c r="A116" s="66" t="s">
        <v>794</v>
      </c>
      <c r="B116" s="67">
        <v>111</v>
      </c>
      <c r="C116" s="68"/>
      <c r="D116" s="66" t="s">
        <v>795</v>
      </c>
      <c r="E116" s="64">
        <v>32498.658653841499</v>
      </c>
      <c r="F116" s="69" t="s">
        <v>575</v>
      </c>
    </row>
    <row r="117" spans="1:6" s="57" customFormat="1" ht="10.35" customHeight="1" x14ac:dyDescent="0.15">
      <c r="A117" s="66" t="s">
        <v>796</v>
      </c>
      <c r="B117" s="67">
        <v>112</v>
      </c>
      <c r="C117" s="68"/>
      <c r="D117" s="66" t="s">
        <v>797</v>
      </c>
      <c r="E117" s="64">
        <v>32077.278409233899</v>
      </c>
      <c r="F117" s="69" t="s">
        <v>575</v>
      </c>
    </row>
    <row r="118" spans="1:6" s="57" customFormat="1" ht="10.35" customHeight="1" x14ac:dyDescent="0.15">
      <c r="A118" s="66" t="s">
        <v>798</v>
      </c>
      <c r="B118" s="67">
        <v>113</v>
      </c>
      <c r="C118" s="68"/>
      <c r="D118" s="66" t="s">
        <v>799</v>
      </c>
      <c r="E118" s="64">
        <v>30540.1882713421</v>
      </c>
      <c r="F118" s="69" t="s">
        <v>575</v>
      </c>
    </row>
    <row r="119" spans="1:6" s="57" customFormat="1" ht="10.35" customHeight="1" x14ac:dyDescent="0.15">
      <c r="A119" s="66" t="s">
        <v>800</v>
      </c>
      <c r="B119" s="67">
        <v>114</v>
      </c>
      <c r="C119" s="68"/>
      <c r="D119" s="66" t="s">
        <v>801</v>
      </c>
      <c r="E119" s="64">
        <v>30069.1485807688</v>
      </c>
      <c r="F119" s="69" t="s">
        <v>575</v>
      </c>
    </row>
    <row r="120" spans="1:6" s="57" customFormat="1" ht="10.35" customHeight="1" x14ac:dyDescent="0.15">
      <c r="A120" s="66" t="s">
        <v>802</v>
      </c>
      <c r="B120" s="67">
        <v>115</v>
      </c>
      <c r="C120" s="68"/>
      <c r="D120" s="66" t="s">
        <v>803</v>
      </c>
      <c r="E120" s="64">
        <v>29243.452882354501</v>
      </c>
      <c r="F120" s="69" t="s">
        <v>575</v>
      </c>
    </row>
    <row r="121" spans="1:6" s="57" customFormat="1" ht="10.35" customHeight="1" x14ac:dyDescent="0.15">
      <c r="A121" s="66" t="s">
        <v>804</v>
      </c>
      <c r="B121" s="67">
        <v>116</v>
      </c>
      <c r="C121" s="68"/>
      <c r="D121" s="66" t="s">
        <v>805</v>
      </c>
      <c r="E121" s="64">
        <v>28879.8062201264</v>
      </c>
      <c r="F121" s="69" t="s">
        <v>575</v>
      </c>
    </row>
    <row r="122" spans="1:6" s="57" customFormat="1" ht="10.35" customHeight="1" x14ac:dyDescent="0.15">
      <c r="A122" s="66" t="s">
        <v>806</v>
      </c>
      <c r="B122" s="67">
        <v>117</v>
      </c>
      <c r="C122" s="68"/>
      <c r="D122" s="66" t="s">
        <v>807</v>
      </c>
      <c r="E122" s="64">
        <v>28346.0247532924</v>
      </c>
      <c r="F122" s="69" t="s">
        <v>575</v>
      </c>
    </row>
    <row r="123" spans="1:6" s="57" customFormat="1" ht="10.35" customHeight="1" x14ac:dyDescent="0.15">
      <c r="A123" s="66" t="s">
        <v>808</v>
      </c>
      <c r="B123" s="67">
        <v>118</v>
      </c>
      <c r="C123" s="68"/>
      <c r="D123" s="66" t="s">
        <v>809</v>
      </c>
      <c r="E123" s="64">
        <v>27771.821560941102</v>
      </c>
      <c r="F123" s="69" t="s">
        <v>575</v>
      </c>
    </row>
    <row r="124" spans="1:6" s="57" customFormat="1" ht="10.35" customHeight="1" x14ac:dyDescent="0.15">
      <c r="A124" s="66" t="s">
        <v>810</v>
      </c>
      <c r="B124" s="67">
        <v>119</v>
      </c>
      <c r="C124" s="68"/>
      <c r="D124" s="66" t="s">
        <v>811</v>
      </c>
      <c r="E124" s="64">
        <v>27627.2974613181</v>
      </c>
      <c r="F124" s="69" t="s">
        <v>575</v>
      </c>
    </row>
    <row r="125" spans="1:6" s="57" customFormat="1" ht="10.35" customHeight="1" x14ac:dyDescent="0.15">
      <c r="A125" s="66" t="s">
        <v>812</v>
      </c>
      <c r="B125" s="67">
        <v>120</v>
      </c>
      <c r="C125" s="68"/>
      <c r="D125" s="66" t="s">
        <v>813</v>
      </c>
      <c r="E125" s="64">
        <v>27097.477218225398</v>
      </c>
      <c r="F125" s="69" t="s">
        <v>575</v>
      </c>
    </row>
    <row r="126" spans="1:6" s="57" customFormat="1" ht="10.35" customHeight="1" x14ac:dyDescent="0.15">
      <c r="A126" s="66" t="s">
        <v>814</v>
      </c>
      <c r="B126" s="67">
        <v>121</v>
      </c>
      <c r="C126" s="68"/>
      <c r="D126" s="66" t="s">
        <v>815</v>
      </c>
      <c r="E126" s="70">
        <v>25971.643441340802</v>
      </c>
      <c r="F126" s="69" t="s">
        <v>575</v>
      </c>
    </row>
    <row r="127" spans="1:6" s="57" customFormat="1" ht="10.35" customHeight="1" x14ac:dyDescent="0.15">
      <c r="A127" s="66" t="s">
        <v>816</v>
      </c>
      <c r="B127" s="67">
        <v>122</v>
      </c>
      <c r="C127" s="68"/>
      <c r="D127" s="66" t="s">
        <v>817</v>
      </c>
      <c r="E127" s="64">
        <v>25942.749718468498</v>
      </c>
      <c r="F127" s="69" t="s">
        <v>575</v>
      </c>
    </row>
    <row r="128" spans="1:6" s="57" customFormat="1" ht="10.35" customHeight="1" x14ac:dyDescent="0.15">
      <c r="A128" s="66" t="s">
        <v>818</v>
      </c>
      <c r="B128" s="67">
        <v>123</v>
      </c>
      <c r="C128" s="68"/>
      <c r="D128" s="66" t="s">
        <v>819</v>
      </c>
      <c r="E128" s="64">
        <v>25369.107325454897</v>
      </c>
      <c r="F128" s="69" t="s">
        <v>575</v>
      </c>
    </row>
    <row r="129" spans="1:6" s="57" customFormat="1" ht="10.35" customHeight="1" x14ac:dyDescent="0.15">
      <c r="A129" s="66" t="s">
        <v>820</v>
      </c>
      <c r="B129" s="67">
        <v>124</v>
      </c>
      <c r="C129" s="68"/>
      <c r="D129" s="66" t="s">
        <v>821</v>
      </c>
      <c r="E129" s="64">
        <v>24566.420903533701</v>
      </c>
      <c r="F129" s="69" t="s">
        <v>575</v>
      </c>
    </row>
    <row r="130" spans="1:6" s="57" customFormat="1" ht="10.35" customHeight="1" x14ac:dyDescent="0.15">
      <c r="A130" s="66" t="s">
        <v>822</v>
      </c>
      <c r="B130" s="67">
        <v>125</v>
      </c>
      <c r="C130" s="68"/>
      <c r="D130" s="66" t="s">
        <v>823</v>
      </c>
      <c r="E130" s="64">
        <v>22704.9032175631</v>
      </c>
      <c r="F130" s="69" t="s">
        <v>575</v>
      </c>
    </row>
    <row r="131" spans="1:6" s="57" customFormat="1" ht="10.35" customHeight="1" x14ac:dyDescent="0.15">
      <c r="A131" s="66" t="s">
        <v>824</v>
      </c>
      <c r="B131" s="67">
        <v>126</v>
      </c>
      <c r="C131" s="68"/>
      <c r="D131" s="66" t="s">
        <v>825</v>
      </c>
      <c r="E131" s="64">
        <v>22623.752095461299</v>
      </c>
      <c r="F131" s="69" t="s">
        <v>575</v>
      </c>
    </row>
    <row r="132" spans="1:6" s="57" customFormat="1" ht="10.35" customHeight="1" x14ac:dyDescent="0.15">
      <c r="A132" s="66" t="s">
        <v>826</v>
      </c>
      <c r="B132" s="67">
        <v>127</v>
      </c>
      <c r="C132" s="68"/>
      <c r="D132" s="66" t="s">
        <v>827</v>
      </c>
      <c r="E132" s="64">
        <v>22337.9970461913</v>
      </c>
      <c r="F132" s="69" t="s">
        <v>575</v>
      </c>
    </row>
    <row r="133" spans="1:6" s="57" customFormat="1" ht="10.35" customHeight="1" x14ac:dyDescent="0.15">
      <c r="A133" s="66" t="s">
        <v>828</v>
      </c>
      <c r="B133" s="67">
        <v>128</v>
      </c>
      <c r="C133" s="68"/>
      <c r="D133" s="66" t="s">
        <v>829</v>
      </c>
      <c r="E133" s="64">
        <v>22237.1671130916</v>
      </c>
      <c r="F133" s="69" t="s">
        <v>575</v>
      </c>
    </row>
    <row r="134" spans="1:6" s="57" customFormat="1" ht="10.35" customHeight="1" x14ac:dyDescent="0.15">
      <c r="A134" s="66" t="s">
        <v>830</v>
      </c>
      <c r="B134" s="67">
        <v>129</v>
      </c>
      <c r="C134" s="68"/>
      <c r="D134" s="66" t="s">
        <v>831</v>
      </c>
      <c r="E134" s="64">
        <v>21646.191388250703</v>
      </c>
      <c r="F134" s="69" t="s">
        <v>575</v>
      </c>
    </row>
    <row r="135" spans="1:6" s="57" customFormat="1" ht="10.35" customHeight="1" x14ac:dyDescent="0.15">
      <c r="A135" s="66" t="s">
        <v>832</v>
      </c>
      <c r="B135" s="67">
        <v>130</v>
      </c>
      <c r="C135" s="68"/>
      <c r="D135" s="66" t="s">
        <v>833</v>
      </c>
      <c r="E135" s="64">
        <v>21472.835225433799</v>
      </c>
      <c r="F135" s="69" t="s">
        <v>575</v>
      </c>
    </row>
    <row r="136" spans="1:6" s="57" customFormat="1" ht="10.35" customHeight="1" x14ac:dyDescent="0.15">
      <c r="A136" s="66" t="s">
        <v>834</v>
      </c>
      <c r="B136" s="67">
        <v>131</v>
      </c>
      <c r="C136" s="68"/>
      <c r="D136" s="66" t="s">
        <v>835</v>
      </c>
      <c r="E136" s="64">
        <v>21427.119323276402</v>
      </c>
      <c r="F136" s="69" t="s">
        <v>575</v>
      </c>
    </row>
    <row r="137" spans="1:6" s="57" customFormat="1" ht="10.35" customHeight="1" x14ac:dyDescent="0.15">
      <c r="A137" s="66" t="s">
        <v>836</v>
      </c>
      <c r="B137" s="67">
        <v>132</v>
      </c>
      <c r="C137" s="68"/>
      <c r="D137" s="66" t="s">
        <v>837</v>
      </c>
      <c r="E137" s="64">
        <v>20351.796275294299</v>
      </c>
      <c r="F137" s="69" t="s">
        <v>838</v>
      </c>
    </row>
    <row r="138" spans="1:6" s="57" customFormat="1" ht="10.35" customHeight="1" x14ac:dyDescent="0.15">
      <c r="A138" s="66" t="s">
        <v>839</v>
      </c>
      <c r="B138" s="67">
        <v>133</v>
      </c>
      <c r="C138" s="68"/>
      <c r="D138" s="66" t="s">
        <v>840</v>
      </c>
      <c r="E138" s="64">
        <v>19928.479839447602</v>
      </c>
      <c r="F138" s="69" t="s">
        <v>575</v>
      </c>
    </row>
    <row r="139" spans="1:6" s="57" customFormat="1" ht="10.35" customHeight="1" x14ac:dyDescent="0.15">
      <c r="A139" s="66" t="s">
        <v>841</v>
      </c>
      <c r="B139" s="67">
        <v>134</v>
      </c>
      <c r="C139" s="68"/>
      <c r="D139" s="66" t="s">
        <v>842</v>
      </c>
      <c r="E139" s="64">
        <v>19620.352035789903</v>
      </c>
      <c r="F139" s="69" t="s">
        <v>575</v>
      </c>
    </row>
    <row r="140" spans="1:6" s="57" customFormat="1" ht="10.35" customHeight="1" x14ac:dyDescent="0.15">
      <c r="A140" s="66" t="s">
        <v>843</v>
      </c>
      <c r="B140" s="67">
        <v>135</v>
      </c>
      <c r="C140" s="68"/>
      <c r="D140" s="66" t="s">
        <v>844</v>
      </c>
      <c r="E140" s="64">
        <v>19101.199817017397</v>
      </c>
      <c r="F140" s="69" t="s">
        <v>575</v>
      </c>
    </row>
    <row r="141" spans="1:6" s="57" customFormat="1" ht="10.35" customHeight="1" x14ac:dyDescent="0.15">
      <c r="A141" s="66" t="s">
        <v>845</v>
      </c>
      <c r="B141" s="67">
        <v>136</v>
      </c>
      <c r="C141" s="68"/>
      <c r="D141" s="66" t="s">
        <v>846</v>
      </c>
      <c r="E141" s="64">
        <v>18302.970218590199</v>
      </c>
      <c r="F141" s="69" t="s">
        <v>575</v>
      </c>
    </row>
    <row r="142" spans="1:6" s="57" customFormat="1" ht="10.35" customHeight="1" x14ac:dyDescent="0.15">
      <c r="A142" s="66" t="s">
        <v>847</v>
      </c>
      <c r="B142" s="67">
        <v>137</v>
      </c>
      <c r="C142" s="68"/>
      <c r="D142" s="66" t="s">
        <v>848</v>
      </c>
      <c r="E142" s="70">
        <v>17778.508875739601</v>
      </c>
      <c r="F142" s="69" t="s">
        <v>575</v>
      </c>
    </row>
    <row r="143" spans="1:6" s="57" customFormat="1" ht="10.35" customHeight="1" x14ac:dyDescent="0.15">
      <c r="A143" s="66" t="s">
        <v>849</v>
      </c>
      <c r="B143" s="67">
        <v>138</v>
      </c>
      <c r="C143" s="68"/>
      <c r="D143" s="66" t="s">
        <v>850</v>
      </c>
      <c r="E143" s="64">
        <v>17660.626562483201</v>
      </c>
      <c r="F143" s="69" t="s">
        <v>575</v>
      </c>
    </row>
    <row r="144" spans="1:6" s="57" customFormat="1" ht="10.35" customHeight="1" x14ac:dyDescent="0.15">
      <c r="A144" s="66" t="s">
        <v>851</v>
      </c>
      <c r="B144" s="67">
        <v>139</v>
      </c>
      <c r="C144" s="68"/>
      <c r="D144" s="66" t="s">
        <v>852</v>
      </c>
      <c r="E144" s="64">
        <v>17167.099999999999</v>
      </c>
      <c r="F144" s="69" t="s">
        <v>575</v>
      </c>
    </row>
    <row r="145" spans="1:6" s="57" customFormat="1" ht="10.35" customHeight="1" x14ac:dyDescent="0.15">
      <c r="A145" s="66" t="s">
        <v>853</v>
      </c>
      <c r="B145" s="67">
        <v>140</v>
      </c>
      <c r="C145" s="68"/>
      <c r="D145" s="66" t="s">
        <v>854</v>
      </c>
      <c r="E145" s="64">
        <v>16372.132990227101</v>
      </c>
      <c r="F145" s="69" t="s">
        <v>575</v>
      </c>
    </row>
    <row r="146" spans="1:6" s="57" customFormat="1" ht="10.35" customHeight="1" x14ac:dyDescent="0.15">
      <c r="A146" s="66" t="s">
        <v>855</v>
      </c>
      <c r="B146" s="67">
        <v>141</v>
      </c>
      <c r="C146" s="68"/>
      <c r="D146" s="66" t="s">
        <v>856</v>
      </c>
      <c r="E146" s="64">
        <v>16306.633778764999</v>
      </c>
      <c r="F146" s="69" t="s">
        <v>575</v>
      </c>
    </row>
    <row r="147" spans="1:6" s="57" customFormat="1" ht="10.35" customHeight="1" x14ac:dyDescent="0.15">
      <c r="A147" s="66" t="s">
        <v>857</v>
      </c>
      <c r="B147" s="67">
        <v>142</v>
      </c>
      <c r="C147" s="68"/>
      <c r="D147" s="66" t="s">
        <v>858</v>
      </c>
      <c r="E147" s="64">
        <v>16157.804491761401</v>
      </c>
      <c r="F147" s="69" t="s">
        <v>575</v>
      </c>
    </row>
    <row r="148" spans="1:6" s="57" customFormat="1" ht="10.35" customHeight="1" x14ac:dyDescent="0.15">
      <c r="A148" s="66" t="s">
        <v>859</v>
      </c>
      <c r="B148" s="67">
        <v>143</v>
      </c>
      <c r="C148" s="68"/>
      <c r="D148" s="66" t="s">
        <v>860</v>
      </c>
      <c r="E148" s="70">
        <v>15832.8</v>
      </c>
      <c r="F148" s="69" t="s">
        <v>575</v>
      </c>
    </row>
    <row r="149" spans="1:6" s="57" customFormat="1" ht="10.35" customHeight="1" x14ac:dyDescent="0.15">
      <c r="A149" s="66" t="s">
        <v>861</v>
      </c>
      <c r="B149" s="67">
        <v>144</v>
      </c>
      <c r="C149" s="68"/>
      <c r="D149" s="66" t="s">
        <v>862</v>
      </c>
      <c r="E149" s="64">
        <v>15080.340653527599</v>
      </c>
      <c r="F149" s="69" t="s">
        <v>575</v>
      </c>
    </row>
    <row r="150" spans="1:6" s="57" customFormat="1" ht="10.35" customHeight="1" x14ac:dyDescent="0.15">
      <c r="A150" s="66" t="s">
        <v>863</v>
      </c>
      <c r="B150" s="67">
        <v>145</v>
      </c>
      <c r="C150" s="68"/>
      <c r="D150" s="66" t="s">
        <v>864</v>
      </c>
      <c r="E150" s="64">
        <v>15031.9809941121</v>
      </c>
      <c r="F150" s="69" t="s">
        <v>575</v>
      </c>
    </row>
    <row r="151" spans="1:6" s="57" customFormat="1" ht="10.35" customHeight="1" x14ac:dyDescent="0.15">
      <c r="A151" s="66" t="s">
        <v>865</v>
      </c>
      <c r="B151" s="67">
        <v>146</v>
      </c>
      <c r="C151" s="68"/>
      <c r="D151" s="66" t="s">
        <v>866</v>
      </c>
      <c r="E151" s="64">
        <v>14918.276698303</v>
      </c>
      <c r="F151" s="69" t="s">
        <v>575</v>
      </c>
    </row>
    <row r="152" spans="1:6" s="57" customFormat="1" ht="10.35" customHeight="1" x14ac:dyDescent="0.15">
      <c r="A152" s="66" t="s">
        <v>867</v>
      </c>
      <c r="B152" s="67">
        <v>147</v>
      </c>
      <c r="C152" s="68"/>
      <c r="D152" s="66" t="s">
        <v>868</v>
      </c>
      <c r="E152" s="64">
        <v>12995.200000265801</v>
      </c>
      <c r="F152" s="69" t="s">
        <v>575</v>
      </c>
    </row>
    <row r="153" spans="1:6" s="57" customFormat="1" ht="10.35" customHeight="1" x14ac:dyDescent="0.15">
      <c r="A153" s="66" t="s">
        <v>869</v>
      </c>
      <c r="B153" s="67">
        <v>148</v>
      </c>
      <c r="C153" s="68"/>
      <c r="D153" s="66" t="s">
        <v>870</v>
      </c>
      <c r="E153" s="64">
        <v>12823.210425921699</v>
      </c>
      <c r="F153" s="69" t="s">
        <v>575</v>
      </c>
    </row>
    <row r="154" spans="1:6" s="57" customFormat="1" ht="10.35" customHeight="1" x14ac:dyDescent="0.15">
      <c r="A154" s="66" t="s">
        <v>871</v>
      </c>
      <c r="B154" s="67">
        <v>149</v>
      </c>
      <c r="C154" s="68"/>
      <c r="D154" s="66" t="s">
        <v>872</v>
      </c>
      <c r="E154" s="70">
        <v>12507.3208383932</v>
      </c>
      <c r="F154" s="69" t="s">
        <v>575</v>
      </c>
    </row>
    <row r="155" spans="1:6" s="57" customFormat="1" ht="10.35" customHeight="1" x14ac:dyDescent="0.15">
      <c r="A155" s="66" t="s">
        <v>873</v>
      </c>
      <c r="B155" s="67">
        <v>150</v>
      </c>
      <c r="C155" s="68"/>
      <c r="D155" s="66" t="s">
        <v>874</v>
      </c>
      <c r="E155" s="64">
        <v>12456.4033068191</v>
      </c>
      <c r="F155" s="69" t="s">
        <v>575</v>
      </c>
    </row>
    <row r="156" spans="1:6" s="57" customFormat="1" ht="10.35" customHeight="1" x14ac:dyDescent="0.15">
      <c r="A156" s="66" t="s">
        <v>875</v>
      </c>
      <c r="B156" s="67">
        <v>151</v>
      </c>
      <c r="C156" s="68"/>
      <c r="D156" s="66" t="s">
        <v>876</v>
      </c>
      <c r="E156" s="64">
        <v>11889.949067469699</v>
      </c>
      <c r="F156" s="69" t="s">
        <v>575</v>
      </c>
    </row>
    <row r="157" spans="1:6" s="57" customFormat="1" ht="10.35" customHeight="1" x14ac:dyDescent="0.15">
      <c r="A157" s="66" t="s">
        <v>877</v>
      </c>
      <c r="B157" s="67">
        <v>152</v>
      </c>
      <c r="C157" s="68"/>
      <c r="D157" s="66" t="s">
        <v>878</v>
      </c>
      <c r="E157" s="64">
        <v>11679.910946437099</v>
      </c>
      <c r="F157" s="69" t="s">
        <v>575</v>
      </c>
    </row>
    <row r="158" spans="1:6" s="57" customFormat="1" ht="10.35" customHeight="1" x14ac:dyDescent="0.15">
      <c r="A158" s="66" t="s">
        <v>879</v>
      </c>
      <c r="B158" s="67">
        <v>153</v>
      </c>
      <c r="C158" s="68"/>
      <c r="D158" s="66" t="s">
        <v>880</v>
      </c>
      <c r="E158" s="70">
        <v>11125.7888382812</v>
      </c>
      <c r="F158" s="69" t="s">
        <v>575</v>
      </c>
    </row>
    <row r="159" spans="1:6" s="57" customFormat="1" ht="10.35" customHeight="1" x14ac:dyDescent="0.15">
      <c r="A159" s="66" t="s">
        <v>881</v>
      </c>
      <c r="B159" s="67">
        <v>154</v>
      </c>
      <c r="C159" s="68"/>
      <c r="D159" s="66" t="s">
        <v>882</v>
      </c>
      <c r="E159" s="64">
        <v>9232.8014647925702</v>
      </c>
      <c r="F159" s="69" t="s">
        <v>575</v>
      </c>
    </row>
    <row r="160" spans="1:6" s="57" customFormat="1" ht="10.35" customHeight="1" x14ac:dyDescent="0.15">
      <c r="A160" s="66" t="s">
        <v>883</v>
      </c>
      <c r="B160" s="67">
        <v>155</v>
      </c>
      <c r="C160" s="68"/>
      <c r="D160" s="66" t="s">
        <v>884</v>
      </c>
      <c r="E160" s="70">
        <v>9194.4989999999998</v>
      </c>
      <c r="F160" s="69" t="s">
        <v>575</v>
      </c>
    </row>
    <row r="161" spans="1:6" s="57" customFormat="1" ht="10.35" customHeight="1" x14ac:dyDescent="0.15">
      <c r="A161" s="66" t="s">
        <v>885</v>
      </c>
      <c r="B161" s="67">
        <v>156</v>
      </c>
      <c r="C161" s="68"/>
      <c r="D161" s="66" t="s">
        <v>886</v>
      </c>
      <c r="E161" s="70">
        <v>8905.7642704053997</v>
      </c>
      <c r="F161" s="69" t="s">
        <v>575</v>
      </c>
    </row>
    <row r="162" spans="1:6" s="57" customFormat="1" ht="10.35" customHeight="1" x14ac:dyDescent="0.15">
      <c r="A162" s="66" t="s">
        <v>887</v>
      </c>
      <c r="B162" s="67">
        <v>157</v>
      </c>
      <c r="C162" s="68"/>
      <c r="D162" s="66" t="s">
        <v>888</v>
      </c>
      <c r="E162" s="70">
        <v>8548.9193871260704</v>
      </c>
      <c r="F162" s="69" t="s">
        <v>575</v>
      </c>
    </row>
    <row r="163" spans="1:6" s="57" customFormat="1" ht="10.35" customHeight="1" x14ac:dyDescent="0.15">
      <c r="A163" s="66" t="s">
        <v>889</v>
      </c>
      <c r="B163" s="67">
        <v>158</v>
      </c>
      <c r="C163" s="68"/>
      <c r="D163" s="66" t="s">
        <v>890</v>
      </c>
      <c r="E163" s="64">
        <v>8016.55</v>
      </c>
      <c r="F163" s="69" t="s">
        <v>575</v>
      </c>
    </row>
    <row r="164" spans="1:6" s="57" customFormat="1" ht="10.35" customHeight="1" x14ac:dyDescent="0.15">
      <c r="A164" s="66" t="s">
        <v>891</v>
      </c>
      <c r="B164" s="67">
        <v>159</v>
      </c>
      <c r="C164" s="68"/>
      <c r="D164" s="66" t="s">
        <v>892</v>
      </c>
      <c r="E164" s="70">
        <v>7765.3365053431899</v>
      </c>
      <c r="F164" s="69" t="s">
        <v>575</v>
      </c>
    </row>
    <row r="165" spans="1:6" s="57" customFormat="1" ht="10.35" customHeight="1" x14ac:dyDescent="0.15">
      <c r="A165" s="66" t="s">
        <v>893</v>
      </c>
      <c r="B165" s="67">
        <v>160</v>
      </c>
      <c r="C165" s="68"/>
      <c r="D165" s="66" t="s">
        <v>894</v>
      </c>
      <c r="E165" s="64">
        <v>7741.0668606337003</v>
      </c>
      <c r="F165" s="69" t="s">
        <v>575</v>
      </c>
    </row>
    <row r="166" spans="1:6" s="57" customFormat="1" ht="10.35" customHeight="1" x14ac:dyDescent="0.15">
      <c r="A166" s="66" t="s">
        <v>895</v>
      </c>
      <c r="B166" s="67">
        <v>161</v>
      </c>
      <c r="C166" s="68"/>
      <c r="D166" s="66" t="s">
        <v>896</v>
      </c>
      <c r="E166" s="70">
        <v>7576.1299327938095</v>
      </c>
      <c r="F166" s="69" t="s">
        <v>575</v>
      </c>
    </row>
    <row r="167" spans="1:6" s="57" customFormat="1" ht="10.35" customHeight="1" x14ac:dyDescent="0.15">
      <c r="A167" s="66" t="s">
        <v>897</v>
      </c>
      <c r="B167" s="67">
        <v>162</v>
      </c>
      <c r="C167" s="68"/>
      <c r="D167" s="66" t="s">
        <v>898</v>
      </c>
      <c r="E167" s="64">
        <v>7464.1579044350901</v>
      </c>
      <c r="F167" s="69" t="s">
        <v>575</v>
      </c>
    </row>
    <row r="168" spans="1:6" s="57" customFormat="1" ht="10.35" customHeight="1" x14ac:dyDescent="0.15">
      <c r="A168" s="66" t="s">
        <v>899</v>
      </c>
      <c r="B168" s="67">
        <v>163</v>
      </c>
      <c r="C168" s="68"/>
      <c r="D168" s="66" t="s">
        <v>900</v>
      </c>
      <c r="E168" s="70">
        <v>6323.71635505009</v>
      </c>
      <c r="F168" s="69" t="s">
        <v>575</v>
      </c>
    </row>
    <row r="169" spans="1:6" s="57" customFormat="1" ht="10.35" customHeight="1" x14ac:dyDescent="0.15">
      <c r="A169" s="66" t="s">
        <v>901</v>
      </c>
      <c r="B169" s="67">
        <v>164</v>
      </c>
      <c r="C169" s="68"/>
      <c r="D169" s="66" t="s">
        <v>902</v>
      </c>
      <c r="E169" s="64">
        <v>6198.01306206553</v>
      </c>
      <c r="F169" s="69" t="s">
        <v>575</v>
      </c>
    </row>
    <row r="170" spans="1:6" s="57" customFormat="1" ht="10.35" customHeight="1" x14ac:dyDescent="0.15">
      <c r="A170" s="66" t="s">
        <v>903</v>
      </c>
      <c r="B170" s="67">
        <v>165</v>
      </c>
      <c r="C170" s="68"/>
      <c r="D170" s="66" t="s">
        <v>904</v>
      </c>
      <c r="E170" s="64">
        <v>5245.9389000000001</v>
      </c>
      <c r="F170" s="69" t="s">
        <v>575</v>
      </c>
    </row>
    <row r="171" spans="1:6" s="57" customFormat="1" ht="10.35" customHeight="1" x14ac:dyDescent="0.15">
      <c r="A171" s="66" t="s">
        <v>905</v>
      </c>
      <c r="B171" s="67">
        <v>166</v>
      </c>
      <c r="C171" s="68"/>
      <c r="D171" s="66" t="s">
        <v>906</v>
      </c>
      <c r="E171" s="64">
        <v>5160.6796128173401</v>
      </c>
      <c r="F171" s="69" t="s">
        <v>575</v>
      </c>
    </row>
    <row r="172" spans="1:6" s="57" customFormat="1" ht="10.35" customHeight="1" x14ac:dyDescent="0.15">
      <c r="A172" s="66" t="s">
        <v>907</v>
      </c>
      <c r="B172" s="67">
        <v>167</v>
      </c>
      <c r="C172" s="68"/>
      <c r="D172" s="66" t="s">
        <v>908</v>
      </c>
      <c r="E172" s="64">
        <v>4624.5330923188603</v>
      </c>
      <c r="F172" s="69" t="s">
        <v>575</v>
      </c>
    </row>
    <row r="173" spans="1:6" s="57" customFormat="1" ht="10.35" customHeight="1" x14ac:dyDescent="0.15">
      <c r="A173" s="66" t="s">
        <v>909</v>
      </c>
      <c r="B173" s="67">
        <v>168</v>
      </c>
      <c r="C173" s="68"/>
      <c r="D173" s="66" t="s">
        <v>910</v>
      </c>
      <c r="E173" s="64">
        <v>4523.6577968642105</v>
      </c>
      <c r="F173" s="69" t="s">
        <v>575</v>
      </c>
    </row>
    <row r="174" spans="1:6" s="57" customFormat="1" ht="10.35" customHeight="1" x14ac:dyDescent="0.15">
      <c r="A174" s="66" t="s">
        <v>911</v>
      </c>
      <c r="B174" s="67">
        <v>169</v>
      </c>
      <c r="C174" s="68"/>
      <c r="D174" s="66" t="s">
        <v>912</v>
      </c>
      <c r="E174" s="64">
        <v>4500.9827318078405</v>
      </c>
      <c r="F174" s="69" t="s">
        <v>575</v>
      </c>
    </row>
    <row r="175" spans="1:6" s="57" customFormat="1" ht="10.35" customHeight="1" x14ac:dyDescent="0.15">
      <c r="A175" s="66" t="s">
        <v>913</v>
      </c>
      <c r="B175" s="67">
        <v>170</v>
      </c>
      <c r="C175" s="68"/>
      <c r="D175" s="66" t="s">
        <v>914</v>
      </c>
      <c r="E175" s="70">
        <v>4167.5880702921704</v>
      </c>
      <c r="F175" s="69" t="s">
        <v>575</v>
      </c>
    </row>
    <row r="176" spans="1:6" s="57" customFormat="1" ht="10.35" customHeight="1" x14ac:dyDescent="0.15">
      <c r="A176" s="66" t="s">
        <v>915</v>
      </c>
      <c r="B176" s="67">
        <v>171</v>
      </c>
      <c r="C176" s="68"/>
      <c r="D176" s="66" t="s">
        <v>916</v>
      </c>
      <c r="E176" s="70">
        <v>4052.9371697653601</v>
      </c>
      <c r="F176" s="69" t="s">
        <v>575</v>
      </c>
    </row>
    <row r="177" spans="1:6" s="57" customFormat="1" ht="10.35" customHeight="1" x14ac:dyDescent="0.15">
      <c r="A177" s="66" t="s">
        <v>917</v>
      </c>
      <c r="B177" s="67">
        <v>172</v>
      </c>
      <c r="C177" s="68"/>
      <c r="D177" s="66" t="s">
        <v>918</v>
      </c>
      <c r="E177" s="64">
        <v>3579.32014513077</v>
      </c>
      <c r="F177" s="69" t="s">
        <v>575</v>
      </c>
    </row>
    <row r="178" spans="1:6" s="57" customFormat="1" ht="10.35" customHeight="1" x14ac:dyDescent="0.15">
      <c r="A178" s="66" t="s">
        <v>919</v>
      </c>
      <c r="B178" s="67">
        <v>173</v>
      </c>
      <c r="C178" s="68"/>
      <c r="D178" s="66" t="s">
        <v>920</v>
      </c>
      <c r="E178" s="70">
        <v>3561.1782122905001</v>
      </c>
      <c r="F178" s="69" t="s">
        <v>575</v>
      </c>
    </row>
    <row r="179" spans="1:6" s="57" customFormat="1" ht="10.35" customHeight="1" x14ac:dyDescent="0.15">
      <c r="A179" s="66" t="s">
        <v>921</v>
      </c>
      <c r="B179" s="67">
        <v>174</v>
      </c>
      <c r="C179" s="68"/>
      <c r="D179" s="66" t="s">
        <v>922</v>
      </c>
      <c r="E179" s="64">
        <v>3364.7138640848798</v>
      </c>
      <c r="F179" s="69" t="s">
        <v>575</v>
      </c>
    </row>
    <row r="180" spans="1:6" s="57" customFormat="1" ht="10.35" customHeight="1" x14ac:dyDescent="0.15">
      <c r="A180" s="66" t="s">
        <v>923</v>
      </c>
      <c r="B180" s="67">
        <v>175</v>
      </c>
      <c r="C180" s="68"/>
      <c r="D180" s="66" t="s">
        <v>924</v>
      </c>
      <c r="E180" s="70">
        <v>3326.5439743919301</v>
      </c>
      <c r="F180" s="69" t="s">
        <v>575</v>
      </c>
    </row>
    <row r="181" spans="1:6" s="57" customFormat="1" ht="10.35" customHeight="1" x14ac:dyDescent="0.15">
      <c r="A181" s="66" t="s">
        <v>925</v>
      </c>
      <c r="B181" s="67">
        <v>176</v>
      </c>
      <c r="C181" s="68"/>
      <c r="D181" s="66" t="s">
        <v>926</v>
      </c>
      <c r="E181" s="64">
        <v>3326.5</v>
      </c>
      <c r="F181" s="69" t="s">
        <v>575</v>
      </c>
    </row>
    <row r="182" spans="1:6" s="57" customFormat="1" ht="10.35" customHeight="1" x14ac:dyDescent="0.15">
      <c r="A182" s="66" t="s">
        <v>927</v>
      </c>
      <c r="B182" s="67">
        <v>177</v>
      </c>
      <c r="C182" s="68"/>
      <c r="D182" s="66" t="s">
        <v>928</v>
      </c>
      <c r="E182" s="64">
        <v>3066.1092264016502</v>
      </c>
      <c r="F182" s="69" t="s">
        <v>575</v>
      </c>
    </row>
    <row r="183" spans="1:6" s="57" customFormat="1" ht="10.35" customHeight="1" x14ac:dyDescent="0.15">
      <c r="A183" s="66" t="s">
        <v>929</v>
      </c>
      <c r="B183" s="67">
        <v>178</v>
      </c>
      <c r="C183" s="68"/>
      <c r="D183" s="66" t="s">
        <v>930</v>
      </c>
      <c r="E183" s="64">
        <v>3056.6304353246296</v>
      </c>
      <c r="F183" s="69" t="s">
        <v>575</v>
      </c>
    </row>
    <row r="184" spans="1:6" s="57" customFormat="1" ht="10.35" customHeight="1" x14ac:dyDescent="0.15">
      <c r="A184" s="66" t="s">
        <v>931</v>
      </c>
      <c r="B184" s="67">
        <v>179</v>
      </c>
      <c r="C184" s="68"/>
      <c r="D184" s="66" t="s">
        <v>932</v>
      </c>
      <c r="E184" s="64">
        <v>2656.4444444444398</v>
      </c>
      <c r="F184" s="69" t="s">
        <v>575</v>
      </c>
    </row>
    <row r="185" spans="1:6" s="57" customFormat="1" ht="10.35" customHeight="1" x14ac:dyDescent="0.15">
      <c r="A185" s="66" t="s">
        <v>933</v>
      </c>
      <c r="B185" s="67">
        <v>180</v>
      </c>
      <c r="C185" s="68"/>
      <c r="D185" s="66" t="s">
        <v>934</v>
      </c>
      <c r="E185" s="64">
        <v>2593.67398753306</v>
      </c>
      <c r="F185" s="69" t="s">
        <v>575</v>
      </c>
    </row>
    <row r="186" spans="1:6" s="57" customFormat="1" ht="10.35" customHeight="1" x14ac:dyDescent="0.15">
      <c r="A186" s="66" t="s">
        <v>935</v>
      </c>
      <c r="B186" s="67">
        <v>181</v>
      </c>
      <c r="C186" s="68"/>
      <c r="D186" s="66" t="s">
        <v>936</v>
      </c>
      <c r="E186" s="64">
        <v>2573.5729200515898</v>
      </c>
      <c r="F186" s="69" t="s">
        <v>575</v>
      </c>
    </row>
    <row r="187" spans="1:6" s="57" customFormat="1" ht="10.35" customHeight="1" x14ac:dyDescent="0.15">
      <c r="A187" s="66" t="s">
        <v>937</v>
      </c>
      <c r="B187" s="67">
        <v>182</v>
      </c>
      <c r="C187" s="68"/>
      <c r="D187" s="66" t="s">
        <v>938</v>
      </c>
      <c r="E187" s="64">
        <v>2527.9302729298802</v>
      </c>
      <c r="F187" s="69" t="s">
        <v>575</v>
      </c>
    </row>
    <row r="188" spans="1:6" s="57" customFormat="1" ht="10.35" customHeight="1" x14ac:dyDescent="0.15">
      <c r="A188" s="66" t="s">
        <v>939</v>
      </c>
      <c r="B188" s="67">
        <v>183</v>
      </c>
      <c r="C188" s="68"/>
      <c r="D188" s="66" t="s">
        <v>940</v>
      </c>
      <c r="E188" s="64">
        <v>2387.0228534858297</v>
      </c>
      <c r="F188" s="69" t="s">
        <v>575</v>
      </c>
    </row>
    <row r="189" spans="1:6" s="57" customFormat="1" ht="10.35" customHeight="1" x14ac:dyDescent="0.15">
      <c r="A189" s="66" t="s">
        <v>941</v>
      </c>
      <c r="B189" s="67">
        <v>184</v>
      </c>
      <c r="C189" s="68"/>
      <c r="D189" s="66" t="s">
        <v>942</v>
      </c>
      <c r="E189" s="64">
        <v>2338.1962962962998</v>
      </c>
      <c r="F189" s="69" t="s">
        <v>575</v>
      </c>
    </row>
    <row r="190" spans="1:6" s="57" customFormat="1" ht="10.35" customHeight="1" x14ac:dyDescent="0.15">
      <c r="A190" s="66" t="s">
        <v>943</v>
      </c>
      <c r="B190" s="67">
        <v>185</v>
      </c>
      <c r="C190" s="68"/>
      <c r="D190" s="66" t="s">
        <v>944</v>
      </c>
      <c r="E190" s="70">
        <v>2027.2431935116001</v>
      </c>
      <c r="F190" s="69" t="s">
        <v>575</v>
      </c>
    </row>
    <row r="191" spans="1:6" s="57" customFormat="1" ht="10.35" customHeight="1" x14ac:dyDescent="0.15">
      <c r="A191" s="66" t="s">
        <v>945</v>
      </c>
      <c r="B191" s="67">
        <v>186</v>
      </c>
      <c r="C191" s="68"/>
      <c r="D191" s="66" t="s">
        <v>946</v>
      </c>
      <c r="E191" s="64">
        <v>1902.18025782737</v>
      </c>
      <c r="F191" s="69" t="s">
        <v>575</v>
      </c>
    </row>
    <row r="192" spans="1:6" s="57" customFormat="1" ht="10.35" customHeight="1" x14ac:dyDescent="0.15">
      <c r="A192" s="66" t="s">
        <v>947</v>
      </c>
      <c r="B192" s="67">
        <v>187</v>
      </c>
      <c r="C192" s="68"/>
      <c r="D192" s="66" t="s">
        <v>948</v>
      </c>
      <c r="E192" s="64">
        <v>1887.72848044693</v>
      </c>
      <c r="F192" s="69" t="s">
        <v>575</v>
      </c>
    </row>
    <row r="193" spans="1:6" s="57" customFormat="1" ht="10.35" customHeight="1" x14ac:dyDescent="0.15">
      <c r="A193" s="66" t="s">
        <v>949</v>
      </c>
      <c r="B193" s="67">
        <v>188</v>
      </c>
      <c r="C193" s="68"/>
      <c r="D193" s="66" t="s">
        <v>950</v>
      </c>
      <c r="E193" s="64">
        <v>1814.9208562702602</v>
      </c>
      <c r="F193" s="69" t="s">
        <v>575</v>
      </c>
    </row>
    <row r="194" spans="1:6" s="57" customFormat="1" ht="10.35" customHeight="1" x14ac:dyDescent="0.15">
      <c r="A194" s="66" t="s">
        <v>951</v>
      </c>
      <c r="B194" s="67">
        <v>189</v>
      </c>
      <c r="C194" s="68"/>
      <c r="D194" s="66" t="s">
        <v>952</v>
      </c>
      <c r="E194" s="64">
        <v>1749.5724429501599</v>
      </c>
      <c r="F194" s="69" t="s">
        <v>575</v>
      </c>
    </row>
    <row r="195" spans="1:6" s="57" customFormat="1" ht="10.35" customHeight="1" x14ac:dyDescent="0.15">
      <c r="A195" s="66" t="s">
        <v>953</v>
      </c>
      <c r="B195" s="67">
        <v>190</v>
      </c>
      <c r="C195" s="68"/>
      <c r="D195" s="66" t="s">
        <v>954</v>
      </c>
      <c r="E195" s="70">
        <v>1745.3779999999999</v>
      </c>
      <c r="F195" s="69" t="s">
        <v>575</v>
      </c>
    </row>
    <row r="196" spans="1:6" s="57" customFormat="1" ht="10.35" customHeight="1" x14ac:dyDescent="0.15">
      <c r="A196" s="66" t="s">
        <v>955</v>
      </c>
      <c r="B196" s="67">
        <v>191</v>
      </c>
      <c r="C196" s="68"/>
      <c r="D196" s="66" t="s">
        <v>956</v>
      </c>
      <c r="E196" s="64">
        <v>1420.17322856948</v>
      </c>
      <c r="F196" s="69" t="s">
        <v>575</v>
      </c>
    </row>
    <row r="197" spans="1:6" s="57" customFormat="1" ht="10.35" customHeight="1" x14ac:dyDescent="0.15">
      <c r="A197" s="66" t="s">
        <v>957</v>
      </c>
      <c r="B197" s="67">
        <v>192</v>
      </c>
      <c r="C197" s="68"/>
      <c r="D197" s="66" t="s">
        <v>958</v>
      </c>
      <c r="E197" s="64">
        <v>1353.6588406399301</v>
      </c>
      <c r="F197" s="69" t="s">
        <v>575</v>
      </c>
    </row>
    <row r="198" spans="1:6" s="57" customFormat="1" ht="10.35" customHeight="1" x14ac:dyDescent="0.15">
      <c r="A198" s="66" t="s">
        <v>959</v>
      </c>
      <c r="B198" s="67">
        <v>193</v>
      </c>
      <c r="C198" s="68"/>
      <c r="D198" s="66" t="s">
        <v>960</v>
      </c>
      <c r="E198" s="64">
        <v>1287.9366216461899</v>
      </c>
      <c r="F198" s="69" t="s">
        <v>575</v>
      </c>
    </row>
    <row r="199" spans="1:6" s="57" customFormat="1" ht="10.35" customHeight="1" x14ac:dyDescent="0.15">
      <c r="A199" s="66" t="s">
        <v>961</v>
      </c>
      <c r="B199" s="67">
        <v>194</v>
      </c>
      <c r="C199" s="68"/>
      <c r="D199" s="66" t="s">
        <v>962</v>
      </c>
      <c r="E199" s="64">
        <v>1255.2222222222199</v>
      </c>
      <c r="F199" s="69" t="s">
        <v>575</v>
      </c>
    </row>
    <row r="200" spans="1:6" s="57" customFormat="1" ht="10.35" customHeight="1" x14ac:dyDescent="0.15">
      <c r="A200" s="66" t="s">
        <v>963</v>
      </c>
      <c r="B200" s="67">
        <v>195</v>
      </c>
      <c r="C200" s="68"/>
      <c r="D200" s="66" t="s">
        <v>964</v>
      </c>
      <c r="E200" s="64">
        <v>1183.5148148148101</v>
      </c>
      <c r="F200" s="69" t="s">
        <v>575</v>
      </c>
    </row>
    <row r="201" spans="1:6" s="57" customFormat="1" ht="10.35" customHeight="1" x14ac:dyDescent="0.15">
      <c r="A201" s="66" t="s">
        <v>965</v>
      </c>
      <c r="B201" s="67">
        <v>196</v>
      </c>
      <c r="C201" s="68"/>
      <c r="D201" s="68" t="s">
        <v>966</v>
      </c>
      <c r="E201" s="64">
        <v>981.293586906408</v>
      </c>
      <c r="F201" s="69" t="s">
        <v>575</v>
      </c>
    </row>
    <row r="202" spans="1:6" s="57" customFormat="1" ht="10.35" customHeight="1" x14ac:dyDescent="0.15">
      <c r="A202" s="66" t="s">
        <v>967</v>
      </c>
      <c r="B202" s="67">
        <v>197</v>
      </c>
      <c r="C202" s="68"/>
      <c r="D202" s="66" t="s">
        <v>968</v>
      </c>
      <c r="E202" s="64">
        <v>723.85925925925903</v>
      </c>
      <c r="F202" s="69" t="s">
        <v>575</v>
      </c>
    </row>
    <row r="203" spans="1:6" s="57" customFormat="1" ht="10.35" customHeight="1" x14ac:dyDescent="0.15">
      <c r="A203" s="66" t="s">
        <v>969</v>
      </c>
      <c r="B203" s="67">
        <v>198</v>
      </c>
      <c r="C203" s="68"/>
      <c r="D203" s="66" t="s">
        <v>970</v>
      </c>
      <c r="E203" s="64">
        <v>679.21821857801694</v>
      </c>
      <c r="F203" s="69" t="s">
        <v>575</v>
      </c>
    </row>
    <row r="204" spans="1:6" s="57" customFormat="1" ht="10.35" customHeight="1" x14ac:dyDescent="0.15">
      <c r="A204" s="66" t="s">
        <v>971</v>
      </c>
      <c r="B204" s="67">
        <v>199</v>
      </c>
      <c r="C204" s="68"/>
      <c r="D204" s="66" t="s">
        <v>972</v>
      </c>
      <c r="E204" s="64">
        <v>501.79759999999999</v>
      </c>
      <c r="F204" s="69" t="s">
        <v>575</v>
      </c>
    </row>
    <row r="205" spans="1:6" s="57" customFormat="1" ht="10.35" customHeight="1" x14ac:dyDescent="0.15">
      <c r="A205" s="66" t="s">
        <v>973</v>
      </c>
      <c r="B205" s="67">
        <v>200</v>
      </c>
      <c r="C205" s="68"/>
      <c r="D205" s="66" t="s">
        <v>974</v>
      </c>
      <c r="E205" s="64">
        <v>349.22725415883303</v>
      </c>
      <c r="F205" s="69" t="s">
        <v>575</v>
      </c>
    </row>
    <row r="206" spans="1:6" s="57" customFormat="1" ht="10.35" customHeight="1" x14ac:dyDescent="0.15">
      <c r="A206" s="66" t="s">
        <v>975</v>
      </c>
      <c r="B206" s="67">
        <v>201</v>
      </c>
      <c r="C206" s="68"/>
      <c r="D206" s="66" t="s">
        <v>976</v>
      </c>
      <c r="E206" s="64">
        <v>345</v>
      </c>
      <c r="F206" s="69" t="s">
        <v>575</v>
      </c>
    </row>
    <row r="207" spans="1:6" s="57" customFormat="1" ht="10.35" customHeight="1" x14ac:dyDescent="0.15">
      <c r="A207" s="66" t="s">
        <v>977</v>
      </c>
      <c r="B207" s="67">
        <v>202</v>
      </c>
      <c r="C207" s="68"/>
      <c r="D207" s="66" t="s">
        <v>978</v>
      </c>
      <c r="E207" s="64">
        <v>308</v>
      </c>
      <c r="F207" s="69" t="s">
        <v>575</v>
      </c>
    </row>
    <row r="208" spans="1:6" s="57" customFormat="1" ht="10.35" customHeight="1" x14ac:dyDescent="0.15">
      <c r="A208" s="66" t="s">
        <v>979</v>
      </c>
      <c r="B208" s="67">
        <v>203</v>
      </c>
      <c r="C208" s="68"/>
      <c r="D208" s="66" t="s">
        <v>980</v>
      </c>
      <c r="E208" s="64">
        <v>176.04004393234598</v>
      </c>
      <c r="F208" s="69" t="s">
        <v>575</v>
      </c>
    </row>
    <row r="209" spans="1:6" s="57" customFormat="1" ht="10.35" customHeight="1" x14ac:dyDescent="0.15">
      <c r="A209" s="66" t="s">
        <v>981</v>
      </c>
      <c r="B209" s="67">
        <v>204</v>
      </c>
      <c r="C209" s="68"/>
      <c r="D209" s="66" t="s">
        <v>982</v>
      </c>
      <c r="E209" s="64">
        <v>57.3454347234984</v>
      </c>
      <c r="F209" s="69" t="s">
        <v>575</v>
      </c>
    </row>
    <row r="210" spans="1:6" s="57" customFormat="1" ht="10.35" customHeight="1" x14ac:dyDescent="0.15">
      <c r="A210" s="66" t="s">
        <v>983</v>
      </c>
      <c r="B210" s="67"/>
      <c r="C210" s="68"/>
      <c r="D210" s="66" t="s">
        <v>984</v>
      </c>
      <c r="E210" s="64">
        <v>0</v>
      </c>
      <c r="F210" s="69" t="s">
        <v>575</v>
      </c>
    </row>
    <row r="211" spans="1:6" s="57" customFormat="1" ht="10.35" customHeight="1" x14ac:dyDescent="0.15">
      <c r="A211" s="66" t="s">
        <v>985</v>
      </c>
      <c r="B211" s="67"/>
      <c r="C211" s="68"/>
      <c r="D211" s="66" t="s">
        <v>986</v>
      </c>
      <c r="E211" s="64">
        <v>0</v>
      </c>
      <c r="F211" s="69" t="s">
        <v>575</v>
      </c>
    </row>
    <row r="212" spans="1:6" s="57" customFormat="1" ht="10.35" customHeight="1" x14ac:dyDescent="0.15">
      <c r="A212" s="66" t="s">
        <v>987</v>
      </c>
      <c r="B212" s="67"/>
      <c r="C212" s="68"/>
      <c r="D212" s="66" t="s">
        <v>988</v>
      </c>
      <c r="E212" s="64">
        <v>0</v>
      </c>
      <c r="F212" s="69" t="s">
        <v>575</v>
      </c>
    </row>
    <row r="213" spans="1:6" s="57" customFormat="1" ht="10.35" customHeight="1" x14ac:dyDescent="0.15">
      <c r="A213" s="66" t="s">
        <v>989</v>
      </c>
      <c r="B213" s="67"/>
      <c r="C213" s="68"/>
      <c r="D213" s="66" t="s">
        <v>990</v>
      </c>
      <c r="E213" s="64">
        <v>0</v>
      </c>
      <c r="F213" s="69" t="s">
        <v>575</v>
      </c>
    </row>
    <row r="214" spans="1:6" s="57" customFormat="1" ht="10.35" customHeight="1" x14ac:dyDescent="0.15">
      <c r="A214" s="66" t="s">
        <v>991</v>
      </c>
      <c r="B214" s="67"/>
      <c r="C214" s="68"/>
      <c r="D214" s="66" t="s">
        <v>992</v>
      </c>
      <c r="E214" s="64">
        <v>0</v>
      </c>
      <c r="F214" s="69" t="s">
        <v>575</v>
      </c>
    </row>
    <row r="215" spans="1:6" s="57" customFormat="1" ht="10.35" customHeight="1" x14ac:dyDescent="0.15">
      <c r="A215" s="66" t="s">
        <v>993</v>
      </c>
      <c r="B215" s="67"/>
      <c r="C215" s="68"/>
      <c r="D215" s="66" t="s">
        <v>994</v>
      </c>
      <c r="E215" s="64">
        <v>0</v>
      </c>
      <c r="F215" s="69" t="s">
        <v>575</v>
      </c>
    </row>
    <row r="216" spans="1:6" s="57" customFormat="1" ht="10.35" customHeight="1" x14ac:dyDescent="0.15">
      <c r="A216" s="66" t="s">
        <v>995</v>
      </c>
      <c r="B216" s="67"/>
      <c r="C216" s="68"/>
      <c r="D216" s="66" t="s">
        <v>996</v>
      </c>
      <c r="E216" s="64">
        <v>0</v>
      </c>
      <c r="F216" s="69" t="s">
        <v>575</v>
      </c>
    </row>
    <row r="217" spans="1:6" s="57" customFormat="1" ht="10.35" customHeight="1" x14ac:dyDescent="0.15">
      <c r="A217" s="66" t="s">
        <v>997</v>
      </c>
      <c r="B217" s="67"/>
      <c r="C217" s="68"/>
      <c r="D217" s="66" t="s">
        <v>998</v>
      </c>
      <c r="E217" s="64">
        <v>0</v>
      </c>
      <c r="F217" s="69" t="s">
        <v>575</v>
      </c>
    </row>
    <row r="218" spans="1:6" s="57" customFormat="1" ht="10.35" customHeight="1" x14ac:dyDescent="0.15">
      <c r="A218" s="66" t="s">
        <v>999</v>
      </c>
      <c r="B218" s="67"/>
      <c r="C218" s="68"/>
      <c r="D218" s="66" t="s">
        <v>1000</v>
      </c>
      <c r="E218" s="64">
        <v>0</v>
      </c>
      <c r="F218" s="69" t="s">
        <v>575</v>
      </c>
    </row>
    <row r="219" spans="1:6" s="57" customFormat="1" ht="10.35" customHeight="1" x14ac:dyDescent="0.15">
      <c r="A219" s="66" t="s">
        <v>1001</v>
      </c>
      <c r="B219" s="67"/>
      <c r="C219" s="68"/>
      <c r="D219" s="66" t="s">
        <v>1002</v>
      </c>
      <c r="E219" s="64">
        <v>0</v>
      </c>
      <c r="F219" s="69" t="s">
        <v>575</v>
      </c>
    </row>
    <row r="220" spans="1:6" s="57" customFormat="1" ht="10.35" customHeight="1" x14ac:dyDescent="0.15">
      <c r="A220" s="66" t="s">
        <v>1003</v>
      </c>
      <c r="B220" s="67"/>
      <c r="C220" s="68"/>
      <c r="D220" s="66" t="s">
        <v>1004</v>
      </c>
      <c r="E220" s="64">
        <v>0</v>
      </c>
      <c r="F220" s="69" t="s">
        <v>575</v>
      </c>
    </row>
    <row r="221" spans="1:6" s="57" customFormat="1" ht="10.35" customHeight="1" x14ac:dyDescent="0.15">
      <c r="A221" s="66" t="s">
        <v>1005</v>
      </c>
      <c r="B221" s="67"/>
      <c r="C221" s="68"/>
      <c r="D221" s="66" t="s">
        <v>1006</v>
      </c>
      <c r="E221" s="64">
        <v>0</v>
      </c>
      <c r="F221" s="69" t="s">
        <v>575</v>
      </c>
    </row>
    <row r="222" spans="1:6" s="57" customFormat="1" ht="10.35" customHeight="1" x14ac:dyDescent="0.15">
      <c r="A222" s="66" t="s">
        <v>1007</v>
      </c>
      <c r="B222" s="67"/>
      <c r="C222" s="68"/>
      <c r="D222" s="66" t="s">
        <v>1008</v>
      </c>
      <c r="E222" s="64">
        <v>0</v>
      </c>
      <c r="F222" s="69" t="s">
        <v>575</v>
      </c>
    </row>
    <row r="223" spans="1:6" s="57" customFormat="1" ht="10.35" customHeight="1" x14ac:dyDescent="0.15">
      <c r="A223" s="66"/>
      <c r="B223" s="67"/>
      <c r="C223" s="68"/>
      <c r="D223" s="66"/>
      <c r="E223" s="64"/>
      <c r="F223" s="69"/>
    </row>
    <row r="224" spans="1:6" s="57" customFormat="1" ht="10.35" customHeight="1" x14ac:dyDescent="0.15">
      <c r="A224" s="66"/>
      <c r="B224" s="67"/>
      <c r="C224" s="68"/>
      <c r="D224" s="66"/>
      <c r="E224" s="64"/>
      <c r="F224" s="69"/>
    </row>
    <row r="225" spans="1:6" s="57" customFormat="1" ht="5.25" customHeight="1" x14ac:dyDescent="0.2">
      <c r="C225" s="71"/>
      <c r="D225" s="71"/>
      <c r="E225" s="72"/>
      <c r="F225" s="65"/>
    </row>
    <row r="226" spans="1:6" s="77" customFormat="1" ht="11.1" customHeight="1" x14ac:dyDescent="0.2">
      <c r="A226" s="66" t="s">
        <v>1009</v>
      </c>
      <c r="B226" s="73"/>
      <c r="C226" s="74"/>
      <c r="D226" s="74" t="s">
        <v>1010</v>
      </c>
      <c r="E226" s="75">
        <v>118350166.039396</v>
      </c>
      <c r="F226" s="76"/>
    </row>
    <row r="227" spans="1:6" s="57" customFormat="1" ht="0.75" customHeight="1" x14ac:dyDescent="0.2">
      <c r="C227" s="78"/>
      <c r="E227" s="72" t="e">
        <v>#N/A</v>
      </c>
      <c r="F227" s="65"/>
    </row>
    <row r="228" spans="1:6" s="57" customFormat="1" ht="5.25" customHeight="1" x14ac:dyDescent="0.2">
      <c r="C228" s="78"/>
      <c r="E228" s="72"/>
      <c r="F228" s="65"/>
    </row>
    <row r="229" spans="1:6" s="57" customFormat="1" ht="10.35" customHeight="1" x14ac:dyDescent="0.2">
      <c r="A229" s="66" t="s">
        <v>1011</v>
      </c>
      <c r="C229" s="78"/>
      <c r="D229" s="57" t="s">
        <v>1012</v>
      </c>
      <c r="E229" s="79">
        <v>33656980.597208202</v>
      </c>
      <c r="F229" s="65"/>
    </row>
    <row r="230" spans="1:6" s="57" customFormat="1" ht="10.35" customHeight="1" x14ac:dyDescent="0.2">
      <c r="A230" s="66" t="s">
        <v>1013</v>
      </c>
      <c r="C230" s="78"/>
      <c r="D230" s="57" t="s">
        <v>1014</v>
      </c>
      <c r="E230" s="79">
        <v>32268612.230366897</v>
      </c>
      <c r="F230" s="65"/>
    </row>
    <row r="231" spans="1:6" s="57" customFormat="1" ht="10.35" customHeight="1" x14ac:dyDescent="0.2">
      <c r="A231" s="66" t="s">
        <v>1015</v>
      </c>
      <c r="C231" s="78"/>
      <c r="D231" s="57" t="s">
        <v>1016</v>
      </c>
      <c r="E231" s="79">
        <v>7395989.6512420895</v>
      </c>
      <c r="F231" s="65"/>
    </row>
    <row r="232" spans="1:6" s="57" customFormat="1" ht="10.35" customHeight="1" x14ac:dyDescent="0.2">
      <c r="A232" s="66" t="s">
        <v>1017</v>
      </c>
      <c r="C232" s="78"/>
      <c r="D232" s="57" t="s">
        <v>1018</v>
      </c>
      <c r="E232" s="79">
        <v>5135569.5398856392</v>
      </c>
      <c r="F232" s="65"/>
    </row>
    <row r="233" spans="1:6" s="57" customFormat="1" ht="10.35" customHeight="1" x14ac:dyDescent="0.2">
      <c r="A233" s="66" t="s">
        <v>1019</v>
      </c>
      <c r="C233" s="78"/>
      <c r="D233" s="57" t="s">
        <v>1020</v>
      </c>
      <c r="E233" s="79">
        <v>33099237.425506201</v>
      </c>
      <c r="F233" s="65"/>
    </row>
    <row r="234" spans="1:6" s="57" customFormat="1" ht="10.35" customHeight="1" x14ac:dyDescent="0.2">
      <c r="A234" s="66" t="s">
        <v>1021</v>
      </c>
      <c r="C234" s="78"/>
      <c r="D234" s="57" t="s">
        <v>1022</v>
      </c>
      <c r="E234" s="79">
        <v>4578021.7739872802</v>
      </c>
      <c r="F234" s="65"/>
    </row>
    <row r="235" spans="1:6" s="57" customFormat="1" ht="10.35" customHeight="1" x14ac:dyDescent="0.2">
      <c r="A235" s="66" t="s">
        <v>1023</v>
      </c>
      <c r="C235" s="78"/>
      <c r="D235" s="57" t="s">
        <v>1024</v>
      </c>
      <c r="E235" s="79">
        <v>2211221.0461027999</v>
      </c>
      <c r="F235" s="65"/>
    </row>
    <row r="236" spans="1:6" s="57" customFormat="1" ht="10.35" customHeight="1" x14ac:dyDescent="0.2">
      <c r="A236" s="66" t="s">
        <v>1025</v>
      </c>
      <c r="C236" s="78"/>
      <c r="D236" s="57" t="s">
        <v>1026</v>
      </c>
      <c r="E236" s="79">
        <v>642666.05493950192</v>
      </c>
      <c r="F236" s="65"/>
    </row>
    <row r="237" spans="1:6" s="57" customFormat="1" ht="10.35" customHeight="1" x14ac:dyDescent="0.2">
      <c r="A237" s="66" t="s">
        <v>1027</v>
      </c>
      <c r="C237" s="78"/>
      <c r="D237" s="57" t="s">
        <v>1028</v>
      </c>
      <c r="E237" s="79">
        <v>7308505.3756231302</v>
      </c>
      <c r="F237" s="65"/>
    </row>
    <row r="238" spans="1:6" s="57" customFormat="1" ht="10.35" customHeight="1" x14ac:dyDescent="0.2">
      <c r="A238" s="66" t="s">
        <v>1029</v>
      </c>
      <c r="C238" s="78"/>
      <c r="D238" s="57" t="s">
        <v>1030</v>
      </c>
      <c r="E238" s="79">
        <v>33529653.8635488</v>
      </c>
      <c r="F238" s="65"/>
    </row>
    <row r="239" spans="1:6" s="57" customFormat="1" ht="10.35" customHeight="1" x14ac:dyDescent="0.3">
      <c r="A239" s="66" t="s">
        <v>1031</v>
      </c>
      <c r="B239" s="80"/>
      <c r="C239" s="80"/>
      <c r="D239" s="81" t="s">
        <v>1032</v>
      </c>
      <c r="E239" s="82">
        <v>76878050.747686803</v>
      </c>
      <c r="F239" s="83"/>
    </row>
    <row r="240" spans="1:6" s="57" customFormat="1" ht="7.5" customHeight="1" x14ac:dyDescent="0.3">
      <c r="C240" s="60"/>
      <c r="D240" s="60"/>
      <c r="F240" s="60"/>
    </row>
    <row r="241" spans="2:6" s="60" customFormat="1" ht="14.25" customHeight="1" x14ac:dyDescent="0.3">
      <c r="B241" s="287" t="s">
        <v>1033</v>
      </c>
      <c r="C241" s="287"/>
      <c r="D241" s="287"/>
      <c r="E241" s="287"/>
      <c r="F241" s="287"/>
    </row>
    <row r="242" spans="2:6" s="60" customFormat="1" ht="19.5" customHeight="1" x14ac:dyDescent="0.3">
      <c r="B242" s="287"/>
      <c r="C242" s="287"/>
      <c r="D242" s="287"/>
      <c r="E242" s="287"/>
      <c r="F242" s="287"/>
    </row>
    <row r="243" spans="2:6" s="60" customFormat="1" ht="42.45" customHeight="1" x14ac:dyDescent="0.3">
      <c r="B243" s="287"/>
      <c r="C243" s="287"/>
      <c r="D243" s="287"/>
      <c r="E243" s="287"/>
      <c r="F243" s="287"/>
    </row>
    <row r="244" spans="2:6" s="60" customFormat="1" ht="9" customHeight="1" x14ac:dyDescent="0.25">
      <c r="B244" s="84" t="s">
        <v>1034</v>
      </c>
      <c r="C244" s="85"/>
      <c r="D244" s="85"/>
      <c r="E244" s="64"/>
      <c r="F244" s="86"/>
    </row>
    <row r="245" spans="2:6" s="60" customFormat="1" ht="9" customHeight="1" x14ac:dyDescent="0.25">
      <c r="B245" s="84" t="s">
        <v>1035</v>
      </c>
      <c r="C245" s="85"/>
      <c r="E245" s="64"/>
      <c r="F245" s="87"/>
    </row>
    <row r="246" spans="2:6" s="60" customFormat="1" ht="9" customHeight="1" x14ac:dyDescent="0.25">
      <c r="C246" s="85"/>
      <c r="E246" s="64"/>
      <c r="F246" s="87"/>
    </row>
    <row r="247" spans="2:6" s="60" customFormat="1" ht="9" customHeight="1" x14ac:dyDescent="0.25">
      <c r="C247" s="85"/>
      <c r="E247" s="64"/>
      <c r="F247" s="87"/>
    </row>
    <row r="248" spans="2:6" s="60" customFormat="1" ht="9" customHeight="1" x14ac:dyDescent="0.25">
      <c r="C248" s="85"/>
      <c r="E248" s="64"/>
      <c r="F248" s="87"/>
    </row>
    <row r="249" spans="2:6" s="60" customFormat="1" ht="9" customHeight="1" x14ac:dyDescent="0.25">
      <c r="C249" s="85"/>
      <c r="E249" s="64"/>
      <c r="F249" s="87"/>
    </row>
    <row r="250" spans="2:6" s="60" customFormat="1" ht="9" customHeight="1" x14ac:dyDescent="0.25">
      <c r="E250" s="64"/>
      <c r="F250" s="87"/>
    </row>
    <row r="251" spans="2:6" s="60" customFormat="1" ht="9" customHeight="1" x14ac:dyDescent="0.25">
      <c r="E251" s="64"/>
      <c r="F251" s="87"/>
    </row>
    <row r="252" spans="2:6" s="60" customFormat="1" ht="9" customHeight="1" x14ac:dyDescent="0.25">
      <c r="E252" s="64"/>
      <c r="F252" s="87"/>
    </row>
    <row r="253" spans="2:6" s="60" customFormat="1" ht="9" customHeight="1" x14ac:dyDescent="0.25">
      <c r="E253" s="64"/>
      <c r="F253" s="87"/>
    </row>
    <row r="254" spans="2:6" s="60" customFormat="1" ht="9" customHeight="1" x14ac:dyDescent="0.25">
      <c r="E254" s="64"/>
      <c r="F254" s="87"/>
    </row>
    <row r="255" spans="2:6" s="60" customFormat="1" ht="9" customHeight="1" x14ac:dyDescent="0.25">
      <c r="E255" s="64"/>
      <c r="F255" s="87"/>
    </row>
    <row r="256" spans="2:6" s="60" customFormat="1" ht="9" customHeight="1" x14ac:dyDescent="0.25">
      <c r="E256" s="64"/>
      <c r="F256" s="87"/>
    </row>
    <row r="257" spans="5:6" s="60" customFormat="1" ht="9" customHeight="1" x14ac:dyDescent="0.25">
      <c r="E257" s="64"/>
      <c r="F257" s="87"/>
    </row>
    <row r="258" spans="5:6" s="60" customFormat="1" ht="9" customHeight="1" x14ac:dyDescent="0.25">
      <c r="E258" s="64"/>
      <c r="F258" s="87"/>
    </row>
    <row r="259" spans="5:6" s="60" customFormat="1" ht="9" customHeight="1" x14ac:dyDescent="0.25">
      <c r="E259" s="64"/>
      <c r="F259" s="87"/>
    </row>
    <row r="260" spans="5:6" s="60" customFormat="1" ht="9" customHeight="1" x14ac:dyDescent="0.25">
      <c r="E260" s="64"/>
      <c r="F260" s="87"/>
    </row>
    <row r="261" spans="5:6" s="60" customFormat="1" ht="9" customHeight="1" x14ac:dyDescent="0.25">
      <c r="E261" s="64"/>
      <c r="F261" s="87"/>
    </row>
    <row r="262" spans="5:6" s="60" customFormat="1" ht="9" customHeight="1" x14ac:dyDescent="0.25">
      <c r="E262" s="64"/>
      <c r="F262" s="87"/>
    </row>
    <row r="263" spans="5:6" s="60" customFormat="1" ht="9" customHeight="1" x14ac:dyDescent="0.25">
      <c r="E263" s="64"/>
      <c r="F263" s="87"/>
    </row>
    <row r="264" spans="5:6" s="60" customFormat="1" ht="9" customHeight="1" x14ac:dyDescent="0.25">
      <c r="E264" s="64"/>
      <c r="F264" s="87"/>
    </row>
    <row r="265" spans="5:6" s="60" customFormat="1" ht="9" customHeight="1" x14ac:dyDescent="0.25">
      <c r="E265" s="64"/>
      <c r="F265" s="87"/>
    </row>
    <row r="266" spans="5:6" s="60" customFormat="1" ht="9" customHeight="1" x14ac:dyDescent="0.25">
      <c r="E266" s="64"/>
      <c r="F266" s="87"/>
    </row>
    <row r="267" spans="5:6" s="60" customFormat="1" ht="9" customHeight="1" x14ac:dyDescent="0.25">
      <c r="E267" s="64"/>
      <c r="F267" s="87"/>
    </row>
    <row r="268" spans="5:6" s="60" customFormat="1" ht="9" customHeight="1" x14ac:dyDescent="0.25">
      <c r="E268" s="64"/>
      <c r="F268" s="87"/>
    </row>
    <row r="269" spans="5:6" s="60" customFormat="1" ht="9" customHeight="1" x14ac:dyDescent="0.25">
      <c r="E269" s="64"/>
      <c r="F269" s="87"/>
    </row>
    <row r="270" spans="5:6" s="60" customFormat="1" ht="9" customHeight="1" x14ac:dyDescent="0.25">
      <c r="E270" s="64"/>
      <c r="F270" s="87"/>
    </row>
    <row r="271" spans="5:6" s="60" customFormat="1" ht="9" customHeight="1" x14ac:dyDescent="0.25">
      <c r="E271" s="64"/>
      <c r="F271" s="87"/>
    </row>
    <row r="272" spans="5:6" s="60" customFormat="1" ht="9" customHeight="1" x14ac:dyDescent="0.25">
      <c r="E272" s="64"/>
      <c r="F272" s="87"/>
    </row>
    <row r="273" spans="5:6" s="60" customFormat="1" ht="9" customHeight="1" x14ac:dyDescent="0.25">
      <c r="E273" s="64"/>
      <c r="F273" s="87"/>
    </row>
    <row r="274" spans="5:6" s="60" customFormat="1" ht="9" customHeight="1" x14ac:dyDescent="0.25">
      <c r="E274" s="64"/>
      <c r="F274" s="87"/>
    </row>
    <row r="275" spans="5:6" s="60" customFormat="1" ht="9" customHeight="1" x14ac:dyDescent="0.25">
      <c r="E275" s="64"/>
      <c r="F275" s="87"/>
    </row>
    <row r="276" spans="5:6" s="60" customFormat="1" ht="9" customHeight="1" x14ac:dyDescent="0.25">
      <c r="E276" s="64"/>
      <c r="F276" s="87"/>
    </row>
    <row r="277" spans="5:6" s="60" customFormat="1" ht="9" customHeight="1" x14ac:dyDescent="0.25">
      <c r="E277" s="64"/>
      <c r="F277" s="87"/>
    </row>
    <row r="278" spans="5:6" s="60" customFormat="1" ht="9" customHeight="1" x14ac:dyDescent="0.25">
      <c r="E278" s="64"/>
      <c r="F278" s="87"/>
    </row>
    <row r="279" spans="5:6" s="60" customFormat="1" ht="9" customHeight="1" x14ac:dyDescent="0.25">
      <c r="E279" s="64"/>
      <c r="F279" s="87"/>
    </row>
    <row r="280" spans="5:6" s="60" customFormat="1" ht="9" customHeight="1" x14ac:dyDescent="0.25">
      <c r="E280" s="64"/>
      <c r="F280" s="87"/>
    </row>
    <row r="281" spans="5:6" s="60" customFormat="1" ht="9" customHeight="1" x14ac:dyDescent="0.25">
      <c r="E281" s="64"/>
      <c r="F281" s="87"/>
    </row>
    <row r="282" spans="5:6" s="60" customFormat="1" ht="9" customHeight="1" x14ac:dyDescent="0.25">
      <c r="E282" s="64"/>
      <c r="F282" s="87"/>
    </row>
    <row r="283" spans="5:6" s="60" customFormat="1" ht="9" customHeight="1" x14ac:dyDescent="0.25">
      <c r="E283" s="64"/>
      <c r="F283" s="87"/>
    </row>
    <row r="284" spans="5:6" s="60" customFormat="1" ht="9" customHeight="1" x14ac:dyDescent="0.25">
      <c r="E284" s="64"/>
      <c r="F284" s="87"/>
    </row>
    <row r="285" spans="5:6" s="60" customFormat="1" ht="9" customHeight="1" x14ac:dyDescent="0.25">
      <c r="E285" s="64"/>
      <c r="F285" s="87"/>
    </row>
    <row r="286" spans="5:6" s="60" customFormat="1" ht="9" customHeight="1" x14ac:dyDescent="0.25">
      <c r="E286" s="64"/>
      <c r="F286" s="87"/>
    </row>
    <row r="287" spans="5:6" s="60" customFormat="1" ht="9" customHeight="1" x14ac:dyDescent="0.25">
      <c r="E287" s="64"/>
      <c r="F287" s="87"/>
    </row>
    <row r="288" spans="5:6" s="60" customFormat="1" ht="9" customHeight="1" x14ac:dyDescent="0.25">
      <c r="E288" s="64"/>
      <c r="F288" s="87"/>
    </row>
    <row r="289" spans="5:6" s="60" customFormat="1" ht="9" customHeight="1" x14ac:dyDescent="0.25">
      <c r="E289" s="64"/>
      <c r="F289" s="87"/>
    </row>
    <row r="290" spans="5:6" s="60" customFormat="1" ht="9" customHeight="1" x14ac:dyDescent="0.25">
      <c r="E290" s="64"/>
      <c r="F290" s="87"/>
    </row>
    <row r="291" spans="5:6" s="60" customFormat="1" ht="9" customHeight="1" x14ac:dyDescent="0.25">
      <c r="E291" s="64"/>
      <c r="F291" s="87"/>
    </row>
    <row r="292" spans="5:6" s="60" customFormat="1" ht="9" customHeight="1" x14ac:dyDescent="0.25">
      <c r="E292" s="64"/>
      <c r="F292" s="87"/>
    </row>
    <row r="293" spans="5:6" s="60" customFormat="1" ht="9" customHeight="1" x14ac:dyDescent="0.25">
      <c r="E293" s="64"/>
      <c r="F293" s="87"/>
    </row>
    <row r="294" spans="5:6" ht="9" customHeight="1" x14ac:dyDescent="0.25"/>
    <row r="295" spans="5:6" ht="9" customHeight="1" x14ac:dyDescent="0.25"/>
    <row r="296" spans="5:6" ht="9" customHeight="1" x14ac:dyDescent="0.25"/>
    <row r="297" spans="5:6" ht="9" customHeight="1" x14ac:dyDescent="0.25"/>
    <row r="298" spans="5:6" ht="9" customHeight="1" x14ac:dyDescent="0.25"/>
    <row r="299" spans="5:6" ht="9" customHeight="1" x14ac:dyDescent="0.25"/>
    <row r="300" spans="5:6" ht="9" customHeight="1" x14ac:dyDescent="0.25"/>
    <row r="301" spans="5:6" ht="9" customHeight="1" x14ac:dyDescent="0.25"/>
    <row r="302" spans="5:6" ht="9" customHeight="1" x14ac:dyDescent="0.25"/>
    <row r="303" spans="5:6" ht="9" customHeight="1" x14ac:dyDescent="0.25"/>
    <row r="304" spans="5:6" ht="9" customHeight="1" x14ac:dyDescent="0.25"/>
    <row r="305" ht="9" customHeight="1" x14ac:dyDescent="0.25"/>
    <row r="306" ht="9" customHeight="1" x14ac:dyDescent="0.25"/>
    <row r="307" ht="9" customHeight="1" x14ac:dyDescent="0.25"/>
    <row r="308" ht="9" customHeight="1" x14ac:dyDescent="0.25"/>
    <row r="309" ht="9" customHeight="1" x14ac:dyDescent="0.25"/>
    <row r="310" ht="9" customHeight="1" x14ac:dyDescent="0.25"/>
    <row r="311" ht="9" customHeight="1" x14ac:dyDescent="0.25"/>
    <row r="312" ht="9" customHeight="1" x14ac:dyDescent="0.25"/>
    <row r="313" ht="9" customHeight="1" x14ac:dyDescent="0.25"/>
    <row r="314" ht="9" customHeight="1" x14ac:dyDescent="0.25"/>
    <row r="315" ht="9" customHeight="1" x14ac:dyDescent="0.25"/>
    <row r="316" ht="9" customHeight="1" x14ac:dyDescent="0.25"/>
    <row r="317" ht="9" customHeight="1" x14ac:dyDescent="0.25"/>
    <row r="318" ht="9" customHeight="1" x14ac:dyDescent="0.25"/>
    <row r="319" ht="9" customHeight="1" x14ac:dyDescent="0.25"/>
    <row r="320" ht="9" customHeight="1" x14ac:dyDescent="0.25"/>
    <row r="321" ht="9" customHeight="1" x14ac:dyDescent="0.25"/>
    <row r="322" ht="9" customHeight="1" x14ac:dyDescent="0.25"/>
    <row r="323" ht="9" customHeight="1" x14ac:dyDescent="0.25"/>
    <row r="324" ht="9" customHeight="1" x14ac:dyDescent="0.25"/>
    <row r="325" ht="9" customHeight="1" x14ac:dyDescent="0.25"/>
    <row r="326" ht="9" customHeight="1" x14ac:dyDescent="0.25"/>
    <row r="327" ht="9" customHeight="1" x14ac:dyDescent="0.25"/>
    <row r="328" ht="9" customHeight="1" x14ac:dyDescent="0.25"/>
    <row r="329" ht="9" customHeight="1" x14ac:dyDescent="0.25"/>
    <row r="330" ht="9" customHeight="1" x14ac:dyDescent="0.25"/>
  </sheetData>
  <mergeCells count="1">
    <mergeCell ref="B241:F243"/>
  </mergeCells>
  <hyperlinks>
    <hyperlink ref="B244" r:id="rId1" display="http://data.worldbank.org/data-catalog/world-development-indicators" xr:uid="{E3EE3D4B-BD86-4B74-BB48-20216EF5FB72}"/>
    <hyperlink ref="B245" r:id="rId2" display="http://data.worldbank.org/data-catalog/global-economic-prospects" xr:uid="{ACC2DE01-5226-4E5A-8970-0290BE417DE4}"/>
  </hyperlinks>
  <pageMargins left="0.7" right="0.7" top="0.75" bottom="0.75" header="0.3" footer="0.3"/>
  <pageSetup scale="81" orientation="portrait" r:id="rId3"/>
  <headerFooter alignWithMargins="0">
    <oddFooter xml:space="preserve">&amp;L&amp;8World Development Indicators database, World Bank, 15 July 2026&amp;R&amp;8&amp;P
</oddFooter>
  </headerFooter>
  <rowBreaks count="3" manualBreakCount="3">
    <brk id="70" min="1" max="5" man="1"/>
    <brk id="135" min="1" max="5" man="1"/>
    <brk id="200" min="1" max="5" man="1"/>
  </rowBreak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D08F-16C9-4FB6-BD61-45B2ED115762}">
  <sheetPr>
    <tabColor theme="9" tint="0.79998168889431442"/>
  </sheetPr>
  <dimension ref="A1:Q350"/>
  <sheetViews>
    <sheetView zoomScale="85" zoomScaleNormal="85" workbookViewId="0">
      <selection activeCell="D342" sqref="D342"/>
    </sheetView>
  </sheetViews>
  <sheetFormatPr defaultRowHeight="14.4" x14ac:dyDescent="0.3"/>
  <cols>
    <col min="2" max="2" width="25.88671875" customWidth="1"/>
  </cols>
  <sheetData>
    <row r="1" spans="1:17" x14ac:dyDescent="0.3">
      <c r="M1" s="94"/>
      <c r="N1" s="94"/>
      <c r="O1" s="94"/>
    </row>
    <row r="2" spans="1:17" ht="18" x14ac:dyDescent="0.35">
      <c r="A2" s="95"/>
      <c r="B2" s="96" t="s">
        <v>1184</v>
      </c>
      <c r="C2" s="96"/>
      <c r="D2" s="96"/>
      <c r="E2" s="96"/>
      <c r="F2" s="96"/>
      <c r="G2" s="96"/>
      <c r="H2" s="96"/>
      <c r="I2" s="96"/>
      <c r="J2" s="96"/>
      <c r="K2" s="96"/>
      <c r="L2" s="96"/>
      <c r="M2" s="97"/>
      <c r="N2" s="97"/>
      <c r="O2" s="97"/>
      <c r="P2" s="96"/>
      <c r="Q2" s="96"/>
    </row>
    <row r="3" spans="1:17" x14ac:dyDescent="0.3">
      <c r="M3" s="94"/>
      <c r="N3" s="94"/>
      <c r="O3" s="94"/>
    </row>
    <row r="4" spans="1:17" x14ac:dyDescent="0.3">
      <c r="B4" s="22" t="s">
        <v>1087</v>
      </c>
      <c r="M4" s="94"/>
      <c r="N4" s="94"/>
      <c r="O4" s="94"/>
    </row>
    <row r="5" spans="1:17" x14ac:dyDescent="0.3">
      <c r="B5" s="98" t="s">
        <v>1088</v>
      </c>
      <c r="C5" s="290">
        <v>2021</v>
      </c>
      <c r="D5" s="291"/>
      <c r="M5" s="94"/>
      <c r="N5" s="94"/>
      <c r="O5" s="94"/>
    </row>
    <row r="6" spans="1:17" x14ac:dyDescent="0.3">
      <c r="B6" s="99" t="s">
        <v>1089</v>
      </c>
      <c r="C6" s="292">
        <v>1979</v>
      </c>
      <c r="D6" s="293"/>
      <c r="M6" s="94"/>
      <c r="N6" s="94"/>
      <c r="O6" s="94"/>
    </row>
    <row r="7" spans="1:17" x14ac:dyDescent="0.3">
      <c r="B7" s="99" t="s">
        <v>1090</v>
      </c>
      <c r="C7" s="294">
        <v>0</v>
      </c>
      <c r="D7" s="295"/>
      <c r="E7" s="3"/>
      <c r="H7" s="3"/>
      <c r="L7" s="100"/>
      <c r="M7" s="101" t="s">
        <v>1091</v>
      </c>
      <c r="N7" s="102" t="s">
        <v>1185</v>
      </c>
      <c r="O7" s="94"/>
      <c r="Q7" s="3"/>
    </row>
    <row r="8" spans="1:17" x14ac:dyDescent="0.3">
      <c r="B8" s="99" t="s">
        <v>1092</v>
      </c>
      <c r="C8" s="292" t="s">
        <v>1093</v>
      </c>
      <c r="D8" s="293"/>
      <c r="E8" s="3"/>
      <c r="G8" s="103"/>
      <c r="H8" s="94"/>
      <c r="K8" s="94"/>
      <c r="M8" s="94"/>
      <c r="N8" s="94"/>
      <c r="O8" s="94"/>
      <c r="Q8" s="94"/>
    </row>
    <row r="9" spans="1:17" x14ac:dyDescent="0.3">
      <c r="B9" s="99" t="s">
        <v>1094</v>
      </c>
      <c r="C9" s="292" t="s">
        <v>1095</v>
      </c>
      <c r="D9" s="293"/>
      <c r="E9" s="3"/>
      <c r="H9" s="94"/>
      <c r="M9" s="94"/>
      <c r="N9" s="94"/>
      <c r="O9" s="94"/>
      <c r="Q9" s="94"/>
    </row>
    <row r="10" spans="1:17" x14ac:dyDescent="0.3">
      <c r="B10" s="104" t="s">
        <v>1096</v>
      </c>
      <c r="C10" s="288">
        <v>1</v>
      </c>
      <c r="D10" s="289"/>
      <c r="E10" s="94"/>
      <c r="H10" s="94"/>
      <c r="M10" s="94"/>
      <c r="N10" s="94"/>
      <c r="O10" s="94"/>
      <c r="Q10" s="94"/>
    </row>
    <row r="11" spans="1:17" x14ac:dyDescent="0.3">
      <c r="D11" s="105"/>
      <c r="E11" s="94"/>
      <c r="H11" s="94"/>
      <c r="M11" s="94"/>
      <c r="N11" s="94"/>
      <c r="O11" s="94"/>
      <c r="Q11" s="94"/>
    </row>
    <row r="12" spans="1:17" x14ac:dyDescent="0.3">
      <c r="B12" s="106" t="s">
        <v>1097</v>
      </c>
      <c r="M12" s="94"/>
      <c r="N12" s="94"/>
      <c r="O12" s="94"/>
    </row>
    <row r="13" spans="1:17" x14ac:dyDescent="0.3">
      <c r="B13" s="107"/>
      <c r="C13" s="107" t="s">
        <v>1098</v>
      </c>
      <c r="D13" s="107"/>
      <c r="E13" s="107"/>
      <c r="F13" s="107"/>
      <c r="G13" s="107" t="s">
        <v>1099</v>
      </c>
      <c r="H13" s="107"/>
      <c r="I13" s="107"/>
      <c r="J13" s="107" t="s">
        <v>1100</v>
      </c>
      <c r="K13" s="107"/>
      <c r="L13" s="107"/>
      <c r="M13" s="108"/>
      <c r="N13" s="108"/>
      <c r="O13" s="109" t="s">
        <v>1101</v>
      </c>
      <c r="P13" s="107"/>
      <c r="Q13" s="107"/>
    </row>
    <row r="14" spans="1:17" ht="57.6" x14ac:dyDescent="0.3">
      <c r="B14" s="110"/>
      <c r="C14" s="111" t="str">
        <f>+C8</f>
        <v>GHGs (MtCO2e)</v>
      </c>
      <c r="D14" s="111" t="s">
        <v>1102</v>
      </c>
      <c r="E14" s="111" t="s">
        <v>1103</v>
      </c>
      <c r="F14" s="111"/>
      <c r="G14" s="111" t="str">
        <f>+C9</f>
        <v>GNI/hd (US$/hd)</v>
      </c>
      <c r="H14" s="111" t="s">
        <v>1103</v>
      </c>
      <c r="I14" s="111"/>
      <c r="J14" s="111" t="s">
        <v>1104</v>
      </c>
      <c r="K14" s="111" t="s">
        <v>1105</v>
      </c>
      <c r="L14" s="111" t="s">
        <v>1103</v>
      </c>
      <c r="M14" s="111" t="s">
        <v>1106</v>
      </c>
      <c r="N14" s="111" t="s">
        <v>1107</v>
      </c>
      <c r="O14" s="111" t="s">
        <v>1108</v>
      </c>
      <c r="P14" s="111" t="s">
        <v>1105</v>
      </c>
      <c r="Q14" s="111" t="s">
        <v>1103</v>
      </c>
    </row>
    <row r="15" spans="1:17" x14ac:dyDescent="0.3">
      <c r="B15" s="22" t="s">
        <v>1109</v>
      </c>
      <c r="C15" s="91"/>
      <c r="G15" s="91"/>
      <c r="J15" s="91"/>
      <c r="M15" s="94"/>
      <c r="N15" s="94"/>
      <c r="O15" s="112"/>
    </row>
    <row r="16" spans="1:17" x14ac:dyDescent="0.3">
      <c r="B16" s="43" t="str">
        <f t="shared" ref="B16:E35" si="0">INDEX(B$89:B$336,MATCH($Q16,$Q$89:$Q$336,0))</f>
        <v>United States</v>
      </c>
      <c r="C16" s="91">
        <f>INDEX(C$89:C$336,MATCH($Q16,$Q$89:$Q$336,0))</f>
        <v>271578.36739999999</v>
      </c>
      <c r="D16" s="45">
        <f t="shared" si="0"/>
        <v>0.14593954165953518</v>
      </c>
      <c r="E16" s="43">
        <f t="shared" si="0"/>
        <v>2</v>
      </c>
      <c r="F16" s="43"/>
      <c r="G16" s="91">
        <f t="shared" ref="G16:H35" si="1">INDEX(G$89:G$336,MATCH($Q16,$Q$89:$Q$336,0))</f>
        <v>70930</v>
      </c>
      <c r="H16" s="43">
        <f t="shared" si="1"/>
        <v>7</v>
      </c>
      <c r="I16" s="43"/>
      <c r="J16" s="91">
        <f t="shared" ref="J16:K35" si="2">INDEX(J$89:J$336,MATCH($Q16,$Q$89:$Q$336,0))</f>
        <v>19263.053599682</v>
      </c>
      <c r="K16" s="45">
        <f t="shared" si="2"/>
        <v>0.43084018574268262</v>
      </c>
      <c r="L16" s="43">
        <f>RANK(K16,K$16:K$35)</f>
        <v>1</v>
      </c>
      <c r="M16" s="113"/>
      <c r="N16" s="113"/>
      <c r="O16" s="112">
        <f t="shared" ref="O16:P35" si="3">INDEX(O$89:O$336,MATCH($Q16,$Q$89:$Q$336,0))</f>
        <v>19263.053599682</v>
      </c>
      <c r="P16" s="45">
        <f t="shared" si="3"/>
        <v>0.44369475213561244</v>
      </c>
      <c r="Q16" s="43">
        <v>1</v>
      </c>
    </row>
    <row r="17" spans="2:17" x14ac:dyDescent="0.3">
      <c r="B17" s="43" t="str">
        <f t="shared" si="0"/>
        <v>China</v>
      </c>
      <c r="C17" s="91">
        <f t="shared" si="0"/>
        <v>308590.98480000003</v>
      </c>
      <c r="D17" s="45">
        <f t="shared" si="0"/>
        <v>0.16582921280929902</v>
      </c>
      <c r="E17" s="43">
        <f t="shared" si="0"/>
        <v>1</v>
      </c>
      <c r="F17" s="43"/>
      <c r="G17" s="91">
        <f t="shared" si="1"/>
        <v>11880</v>
      </c>
      <c r="H17" s="43">
        <f t="shared" si="1"/>
        <v>72</v>
      </c>
      <c r="I17" s="43"/>
      <c r="J17" s="91">
        <f t="shared" si="2"/>
        <v>3666.0608994240001</v>
      </c>
      <c r="K17" s="45">
        <f t="shared" si="2"/>
        <v>8.1995637435068797E-2</v>
      </c>
      <c r="L17" s="43">
        <f t="shared" ref="L17:L35" si="4">RANK(K17,K$16:K$35)</f>
        <v>2</v>
      </c>
      <c r="M17" s="113"/>
      <c r="N17" s="113"/>
      <c r="O17" s="112">
        <f t="shared" si="3"/>
        <v>3666.0608994240001</v>
      </c>
      <c r="P17" s="45">
        <f t="shared" si="3"/>
        <v>8.4442062815567556E-2</v>
      </c>
      <c r="Q17" s="43">
        <v>2</v>
      </c>
    </row>
    <row r="18" spans="2:17" x14ac:dyDescent="0.3">
      <c r="B18" s="43" t="str">
        <f t="shared" si="0"/>
        <v>Germany</v>
      </c>
      <c r="C18" s="91">
        <f t="shared" si="0"/>
        <v>44425.759900000005</v>
      </c>
      <c r="D18" s="45">
        <f t="shared" si="0"/>
        <v>2.3873311780143496E-2</v>
      </c>
      <c r="E18" s="43">
        <f t="shared" si="0"/>
        <v>8</v>
      </c>
      <c r="F18" s="43"/>
      <c r="G18" s="91">
        <f t="shared" si="1"/>
        <v>51660</v>
      </c>
      <c r="H18" s="43">
        <f t="shared" si="1"/>
        <v>18</v>
      </c>
      <c r="I18" s="43"/>
      <c r="J18" s="91">
        <f t="shared" si="2"/>
        <v>2295.034756434</v>
      </c>
      <c r="K18" s="45">
        <f t="shared" si="2"/>
        <v>5.1331072492279216E-2</v>
      </c>
      <c r="L18" s="43">
        <f t="shared" si="4"/>
        <v>3</v>
      </c>
      <c r="M18" s="113"/>
      <c r="N18" s="113"/>
      <c r="O18" s="112">
        <f t="shared" si="3"/>
        <v>2295.034756434</v>
      </c>
      <c r="P18" s="45">
        <f t="shared" si="3"/>
        <v>5.2862588588520026E-2</v>
      </c>
      <c r="Q18" s="43">
        <v>3</v>
      </c>
    </row>
    <row r="19" spans="2:17" x14ac:dyDescent="0.3">
      <c r="B19" s="43" t="str">
        <f t="shared" si="0"/>
        <v>Japan</v>
      </c>
      <c r="C19" s="91">
        <f t="shared" si="0"/>
        <v>51453.928189999999</v>
      </c>
      <c r="D19" s="45">
        <f t="shared" si="0"/>
        <v>2.7650076729311822E-2</v>
      </c>
      <c r="E19" s="43">
        <f t="shared" si="0"/>
        <v>7</v>
      </c>
      <c r="F19" s="43"/>
      <c r="G19" s="91">
        <f t="shared" si="1"/>
        <v>42650</v>
      </c>
      <c r="H19" s="43">
        <f t="shared" si="1"/>
        <v>27</v>
      </c>
      <c r="I19" s="43"/>
      <c r="J19" s="91">
        <f t="shared" si="2"/>
        <v>2194.5100373035002</v>
      </c>
      <c r="K19" s="45">
        <f t="shared" si="2"/>
        <v>4.9082722383206663E-2</v>
      </c>
      <c r="L19" s="43">
        <f t="shared" si="4"/>
        <v>4</v>
      </c>
      <c r="M19" s="113"/>
      <c r="N19" s="113"/>
      <c r="O19" s="112">
        <f t="shared" si="3"/>
        <v>2194.5100373035002</v>
      </c>
      <c r="P19" s="45">
        <f t="shared" si="3"/>
        <v>5.0547156608470638E-2</v>
      </c>
      <c r="Q19" s="43">
        <v>4</v>
      </c>
    </row>
    <row r="20" spans="2:17" x14ac:dyDescent="0.3">
      <c r="B20" s="43" t="str">
        <f t="shared" si="0"/>
        <v>Canada</v>
      </c>
      <c r="C20" s="91">
        <f t="shared" si="0"/>
        <v>33961.172960000004</v>
      </c>
      <c r="D20" s="45">
        <f t="shared" si="0"/>
        <v>1.8249899885076783E-2</v>
      </c>
      <c r="E20" s="43">
        <f t="shared" si="0"/>
        <v>9</v>
      </c>
      <c r="F20" s="43"/>
      <c r="G20" s="91">
        <f t="shared" si="1"/>
        <v>48310</v>
      </c>
      <c r="H20" s="43">
        <f t="shared" si="1"/>
        <v>21</v>
      </c>
      <c r="I20" s="43"/>
      <c r="J20" s="91">
        <f t="shared" si="2"/>
        <v>1640.6642656976001</v>
      </c>
      <c r="K20" s="45">
        <f t="shared" si="2"/>
        <v>3.6695329393996237E-2</v>
      </c>
      <c r="L20" s="43">
        <f t="shared" si="4"/>
        <v>5</v>
      </c>
      <c r="M20" s="113"/>
      <c r="N20" s="113"/>
      <c r="O20" s="112">
        <f t="shared" si="3"/>
        <v>1640.6642656976001</v>
      </c>
      <c r="P20" s="45">
        <f t="shared" si="3"/>
        <v>3.7790172826932825E-2</v>
      </c>
      <c r="Q20" s="43">
        <v>5</v>
      </c>
    </row>
    <row r="21" spans="2:17" x14ac:dyDescent="0.3">
      <c r="B21" s="43" t="str">
        <f t="shared" si="0"/>
        <v>Australia</v>
      </c>
      <c r="C21" s="91">
        <f t="shared" si="0"/>
        <v>27112.759970000003</v>
      </c>
      <c r="D21" s="45">
        <f t="shared" si="0"/>
        <v>1.4569731017341676E-2</v>
      </c>
      <c r="E21" s="43">
        <f t="shared" si="0"/>
        <v>12</v>
      </c>
      <c r="F21" s="43"/>
      <c r="G21" s="91">
        <f t="shared" si="1"/>
        <v>57170</v>
      </c>
      <c r="H21" s="43">
        <f t="shared" si="1"/>
        <v>13</v>
      </c>
      <c r="I21" s="43"/>
      <c r="J21" s="91">
        <f t="shared" si="2"/>
        <v>1550.0364874849001</v>
      </c>
      <c r="K21" s="45">
        <f t="shared" si="2"/>
        <v>3.4668335667557622E-2</v>
      </c>
      <c r="L21" s="43">
        <f t="shared" si="4"/>
        <v>6</v>
      </c>
      <c r="M21" s="113"/>
      <c r="N21" s="113"/>
      <c r="O21" s="112">
        <f t="shared" si="3"/>
        <v>1550.0364874849001</v>
      </c>
      <c r="P21" s="45">
        <f t="shared" si="3"/>
        <v>3.5702701628111629E-2</v>
      </c>
      <c r="Q21" s="43">
        <v>6</v>
      </c>
    </row>
    <row r="22" spans="2:17" x14ac:dyDescent="0.3">
      <c r="B22" s="43" t="str">
        <f t="shared" si="0"/>
        <v>United Kingdom</v>
      </c>
      <c r="C22" s="91">
        <f t="shared" si="0"/>
        <v>28720.091939999998</v>
      </c>
      <c r="D22" s="45">
        <f t="shared" si="0"/>
        <v>1.5433471724093258E-2</v>
      </c>
      <c r="E22" s="43">
        <f t="shared" si="0"/>
        <v>11</v>
      </c>
      <c r="F22" s="43"/>
      <c r="G22" s="91">
        <f t="shared" si="1"/>
        <v>44480</v>
      </c>
      <c r="H22" s="43">
        <f t="shared" si="1"/>
        <v>25</v>
      </c>
      <c r="I22" s="43"/>
      <c r="J22" s="91">
        <f t="shared" si="2"/>
        <v>1277.4696894911999</v>
      </c>
      <c r="K22" s="45">
        <f t="shared" si="2"/>
        <v>2.8572068050006443E-2</v>
      </c>
      <c r="L22" s="43">
        <f t="shared" si="4"/>
        <v>7</v>
      </c>
      <c r="M22" s="113"/>
      <c r="N22" s="113"/>
      <c r="O22" s="112">
        <f t="shared" si="3"/>
        <v>1277.4696894911999</v>
      </c>
      <c r="P22" s="45">
        <f t="shared" si="3"/>
        <v>2.9424545506581197E-2</v>
      </c>
      <c r="Q22" s="43">
        <v>7</v>
      </c>
    </row>
    <row r="23" spans="2:17" x14ac:dyDescent="0.3">
      <c r="B23" s="43" t="str">
        <f t="shared" si="0"/>
        <v>Russia</v>
      </c>
      <c r="C23" s="91">
        <f t="shared" si="0"/>
        <v>101133.1635</v>
      </c>
      <c r="D23" s="45">
        <f t="shared" si="0"/>
        <v>5.4346477111080947E-2</v>
      </c>
      <c r="E23" s="43">
        <f t="shared" si="0"/>
        <v>3</v>
      </c>
      <c r="F23" s="43"/>
      <c r="G23" s="91">
        <f t="shared" si="1"/>
        <v>11610</v>
      </c>
      <c r="H23" s="43">
        <f t="shared" si="1"/>
        <v>73</v>
      </c>
      <c r="I23" s="43"/>
      <c r="J23" s="91">
        <f t="shared" si="2"/>
        <v>1174.1560282349999</v>
      </c>
      <c r="K23" s="45">
        <f t="shared" si="2"/>
        <v>2.6261340066250395E-2</v>
      </c>
      <c r="L23" s="43">
        <f t="shared" si="4"/>
        <v>8</v>
      </c>
      <c r="M23" s="113"/>
      <c r="N23" s="113"/>
      <c r="O23" s="112">
        <f t="shared" si="3"/>
        <v>1174.1560282349999</v>
      </c>
      <c r="P23" s="45">
        <f t="shared" si="3"/>
        <v>2.7044874542884713E-2</v>
      </c>
      <c r="Q23" s="43">
        <v>8</v>
      </c>
    </row>
    <row r="24" spans="2:17" x14ac:dyDescent="0.3">
      <c r="B24" s="43" t="str">
        <f t="shared" si="0"/>
        <v>France</v>
      </c>
      <c r="C24" s="91">
        <f t="shared" si="0"/>
        <v>21739.816930000001</v>
      </c>
      <c r="D24" s="45">
        <f t="shared" si="0"/>
        <v>1.1682443446806004E-2</v>
      </c>
      <c r="E24" s="43">
        <f t="shared" si="0"/>
        <v>15</v>
      </c>
      <c r="F24" s="43"/>
      <c r="G24" s="91">
        <f t="shared" si="1"/>
        <v>44160</v>
      </c>
      <c r="H24" s="43">
        <f t="shared" si="1"/>
        <v>26</v>
      </c>
      <c r="I24" s="43"/>
      <c r="J24" s="91">
        <f t="shared" si="2"/>
        <v>960.03031562880005</v>
      </c>
      <c r="K24" s="45">
        <f t="shared" si="2"/>
        <v>2.1472174043628604E-2</v>
      </c>
      <c r="L24" s="43">
        <f t="shared" si="4"/>
        <v>9</v>
      </c>
      <c r="M24" s="113"/>
      <c r="N24" s="113"/>
      <c r="O24" s="112">
        <f t="shared" si="3"/>
        <v>960.03031562880005</v>
      </c>
      <c r="P24" s="45">
        <f t="shared" si="3"/>
        <v>2.2112818755933177E-2</v>
      </c>
      <c r="Q24" s="43">
        <v>9</v>
      </c>
    </row>
    <row r="25" spans="2:17" x14ac:dyDescent="0.3">
      <c r="B25" s="43" t="str">
        <f t="shared" si="0"/>
        <v>Brazil</v>
      </c>
      <c r="C25" s="91">
        <f t="shared" si="0"/>
        <v>93318.886699999988</v>
      </c>
      <c r="D25" s="45">
        <f t="shared" si="0"/>
        <v>5.0147276764195219E-2</v>
      </c>
      <c r="E25" s="43">
        <f t="shared" si="0"/>
        <v>5</v>
      </c>
      <c r="F25" s="43"/>
      <c r="G25" s="91">
        <f t="shared" si="1"/>
        <v>7740</v>
      </c>
      <c r="H25" s="43">
        <f t="shared" si="1"/>
        <v>92</v>
      </c>
      <c r="I25" s="43"/>
      <c r="J25" s="91">
        <f t="shared" si="2"/>
        <v>722.28818305799985</v>
      </c>
      <c r="K25" s="45">
        <f t="shared" si="2"/>
        <v>1.6154799826419555E-2</v>
      </c>
      <c r="L25" s="43">
        <f t="shared" si="4"/>
        <v>10</v>
      </c>
      <c r="M25" s="113"/>
      <c r="N25" s="113"/>
      <c r="O25" s="112">
        <f t="shared" si="3"/>
        <v>722.28818305799985</v>
      </c>
      <c r="P25" s="45">
        <f t="shared" si="3"/>
        <v>1.6636795131883535E-2</v>
      </c>
      <c r="Q25" s="43">
        <v>10</v>
      </c>
    </row>
    <row r="26" spans="2:17" x14ac:dyDescent="0.3">
      <c r="B26" s="43" t="str">
        <f t="shared" si="0"/>
        <v>Italy</v>
      </c>
      <c r="C26" s="91">
        <f t="shared" si="0"/>
        <v>20001.49404999999</v>
      </c>
      <c r="D26" s="45">
        <f t="shared" si="0"/>
        <v>1.0748311443612126E-2</v>
      </c>
      <c r="E26" s="43">
        <f t="shared" si="0"/>
        <v>17</v>
      </c>
      <c r="F26" s="43"/>
      <c r="G26" s="91">
        <f t="shared" si="1"/>
        <v>35990</v>
      </c>
      <c r="H26" s="43">
        <f t="shared" si="1"/>
        <v>29</v>
      </c>
      <c r="I26" s="43"/>
      <c r="J26" s="91">
        <f t="shared" si="2"/>
        <v>719.85377085949972</v>
      </c>
      <c r="K26" s="45">
        <f t="shared" si="2"/>
        <v>1.610035141831289E-2</v>
      </c>
      <c r="L26" s="43">
        <f t="shared" si="4"/>
        <v>11</v>
      </c>
      <c r="M26" s="113"/>
      <c r="N26" s="113"/>
      <c r="O26" s="112">
        <f t="shared" si="3"/>
        <v>719.85377085949972</v>
      </c>
      <c r="P26" s="45">
        <f t="shared" si="3"/>
        <v>1.6580722198720577E-2</v>
      </c>
      <c r="Q26" s="43">
        <v>11</v>
      </c>
    </row>
    <row r="27" spans="2:17" x14ac:dyDescent="0.3">
      <c r="B27" s="43" t="str">
        <f t="shared" si="0"/>
        <v>South Korea</v>
      </c>
      <c r="C27" s="91">
        <f t="shared" si="0"/>
        <v>19465.48691</v>
      </c>
      <c r="D27" s="45">
        <f t="shared" si="0"/>
        <v>1.0460274376865121E-2</v>
      </c>
      <c r="E27" s="43">
        <f t="shared" si="0"/>
        <v>20</v>
      </c>
      <c r="F27" s="43"/>
      <c r="G27" s="91">
        <f t="shared" si="1"/>
        <v>35110</v>
      </c>
      <c r="H27" s="43">
        <f t="shared" si="1"/>
        <v>30</v>
      </c>
      <c r="I27" s="43"/>
      <c r="J27" s="91">
        <f t="shared" si="2"/>
        <v>683.43324541009997</v>
      </c>
      <c r="K27" s="45">
        <f t="shared" si="2"/>
        <v>1.5285764786537931E-2</v>
      </c>
      <c r="L27" s="43">
        <f t="shared" si="4"/>
        <v>12</v>
      </c>
      <c r="M27" s="113"/>
      <c r="N27" s="113"/>
      <c r="O27" s="112">
        <f t="shared" si="3"/>
        <v>683.43324541009997</v>
      </c>
      <c r="P27" s="45">
        <f t="shared" si="3"/>
        <v>1.5741831525012077E-2</v>
      </c>
      <c r="Q27" s="43">
        <v>12</v>
      </c>
    </row>
    <row r="28" spans="2:17" x14ac:dyDescent="0.3">
      <c r="B28" s="43" t="str">
        <f t="shared" si="0"/>
        <v>Netherlands</v>
      </c>
      <c r="C28" s="91">
        <f t="shared" si="0"/>
        <v>9289.6114400000042</v>
      </c>
      <c r="D28" s="45">
        <f t="shared" si="0"/>
        <v>4.9920089318158823E-3</v>
      </c>
      <c r="E28" s="43">
        <f t="shared" si="0"/>
        <v>36</v>
      </c>
      <c r="F28" s="43"/>
      <c r="G28" s="91">
        <f t="shared" si="1"/>
        <v>55200</v>
      </c>
      <c r="H28" s="43">
        <f t="shared" si="1"/>
        <v>14</v>
      </c>
      <c r="I28" s="43"/>
      <c r="J28" s="91">
        <f t="shared" si="2"/>
        <v>512.78655148800021</v>
      </c>
      <c r="K28" s="45">
        <f t="shared" si="2"/>
        <v>1.1469056655331471E-2</v>
      </c>
      <c r="L28" s="43">
        <f t="shared" si="4"/>
        <v>13</v>
      </c>
      <c r="M28" s="113"/>
      <c r="N28" s="113"/>
      <c r="O28" s="112">
        <f t="shared" si="3"/>
        <v>512.78655148800021</v>
      </c>
      <c r="P28" s="45">
        <f t="shared" si="3"/>
        <v>1.1811247925131647E-2</v>
      </c>
      <c r="Q28" s="43">
        <v>13</v>
      </c>
    </row>
    <row r="29" spans="2:17" x14ac:dyDescent="0.3">
      <c r="B29" s="43" t="str">
        <f t="shared" si="0"/>
        <v>Saudi Arabia</v>
      </c>
      <c r="C29" s="91">
        <f t="shared" si="0"/>
        <v>19569.44184</v>
      </c>
      <c r="D29" s="45">
        <f t="shared" si="0"/>
        <v>1.0516137201959373E-2</v>
      </c>
      <c r="E29" s="43">
        <f t="shared" si="0"/>
        <v>19</v>
      </c>
      <c r="F29" s="43"/>
      <c r="G29" s="91">
        <f t="shared" si="1"/>
        <v>21540</v>
      </c>
      <c r="H29" s="43">
        <f t="shared" si="1"/>
        <v>47</v>
      </c>
      <c r="I29" s="43"/>
      <c r="J29" s="91">
        <f t="shared" si="2"/>
        <v>421.52577723359997</v>
      </c>
      <c r="K29" s="45">
        <f t="shared" si="2"/>
        <v>9.4279052497497559E-3</v>
      </c>
      <c r="L29" s="43">
        <f t="shared" si="4"/>
        <v>14</v>
      </c>
      <c r="M29" s="113"/>
      <c r="N29" s="113"/>
      <c r="O29" s="112">
        <f t="shared" si="3"/>
        <v>421.52577723359997</v>
      </c>
      <c r="P29" s="45">
        <f t="shared" si="3"/>
        <v>9.7091966380408682E-3</v>
      </c>
      <c r="Q29" s="43">
        <v>14</v>
      </c>
    </row>
    <row r="30" spans="2:17" x14ac:dyDescent="0.3">
      <c r="B30" s="43" t="str">
        <f t="shared" si="0"/>
        <v>Spain</v>
      </c>
      <c r="C30" s="91">
        <f t="shared" si="0"/>
        <v>13679.92016</v>
      </c>
      <c r="D30" s="45">
        <f t="shared" si="0"/>
        <v>7.3512529631969319E-3</v>
      </c>
      <c r="E30" s="43">
        <f t="shared" si="0"/>
        <v>27</v>
      </c>
      <c r="F30" s="43"/>
      <c r="G30" s="91">
        <f t="shared" si="1"/>
        <v>29690</v>
      </c>
      <c r="H30" s="43">
        <f t="shared" si="1"/>
        <v>36</v>
      </c>
      <c r="I30" s="43"/>
      <c r="J30" s="91">
        <f t="shared" si="2"/>
        <v>406.1568295504</v>
      </c>
      <c r="K30" s="45">
        <f t="shared" si="2"/>
        <v>9.0841611886000352E-3</v>
      </c>
      <c r="L30" s="43">
        <f t="shared" si="4"/>
        <v>15</v>
      </c>
      <c r="M30" s="113"/>
      <c r="N30" s="113"/>
      <c r="O30" s="112">
        <f t="shared" si="3"/>
        <v>406.1568295504</v>
      </c>
      <c r="P30" s="45">
        <f t="shared" si="3"/>
        <v>9.3551966142338856E-3</v>
      </c>
      <c r="Q30" s="43">
        <v>15</v>
      </c>
    </row>
    <row r="31" spans="2:17" x14ac:dyDescent="0.3">
      <c r="B31" s="43" t="str">
        <f t="shared" si="0"/>
        <v>Poland</v>
      </c>
      <c r="C31" s="91">
        <f t="shared" si="0"/>
        <v>19578.872440000006</v>
      </c>
      <c r="D31" s="45">
        <f t="shared" si="0"/>
        <v>1.0521204974679092E-2</v>
      </c>
      <c r="E31" s="43">
        <f t="shared" si="0"/>
        <v>18</v>
      </c>
      <c r="F31" s="43"/>
      <c r="G31" s="91">
        <f t="shared" si="1"/>
        <v>16850</v>
      </c>
      <c r="H31" s="43">
        <f t="shared" si="1"/>
        <v>60</v>
      </c>
      <c r="I31" s="43"/>
      <c r="J31" s="91">
        <f t="shared" si="2"/>
        <v>329.9040006140001</v>
      </c>
      <c r="K31" s="45">
        <f t="shared" si="2"/>
        <v>7.3786796141259913E-3</v>
      </c>
      <c r="L31" s="43">
        <f t="shared" si="4"/>
        <v>16</v>
      </c>
      <c r="M31" s="113"/>
      <c r="N31" s="113"/>
      <c r="O31" s="112">
        <f t="shared" si="3"/>
        <v>329.9040006140001</v>
      </c>
      <c r="P31" s="45">
        <f t="shared" si="3"/>
        <v>7.5988302178317214E-3</v>
      </c>
      <c r="Q31" s="43">
        <v>16</v>
      </c>
    </row>
    <row r="32" spans="2:17" x14ac:dyDescent="0.3">
      <c r="B32" s="43" t="str">
        <f t="shared" si="0"/>
        <v>Belgium</v>
      </c>
      <c r="C32" s="91">
        <f t="shared" si="0"/>
        <v>6239.3267080000023</v>
      </c>
      <c r="D32" s="45">
        <f t="shared" si="0"/>
        <v>3.3528608657127411E-3</v>
      </c>
      <c r="E32" s="43">
        <f t="shared" si="0"/>
        <v>47</v>
      </c>
      <c r="F32" s="43"/>
      <c r="G32" s="91">
        <f t="shared" si="1"/>
        <v>50490</v>
      </c>
      <c r="H32" s="43">
        <f t="shared" si="1"/>
        <v>19</v>
      </c>
      <c r="I32" s="43"/>
      <c r="J32" s="91">
        <f t="shared" si="2"/>
        <v>315.02360548692013</v>
      </c>
      <c r="K32" s="45">
        <f t="shared" si="2"/>
        <v>7.0458625886580528E-3</v>
      </c>
      <c r="L32" s="43">
        <f t="shared" si="4"/>
        <v>17</v>
      </c>
      <c r="M32" s="113"/>
      <c r="N32" s="113"/>
      <c r="O32" s="112">
        <f t="shared" si="3"/>
        <v>315.02360548692013</v>
      </c>
      <c r="P32" s="45">
        <f t="shared" si="3"/>
        <v>7.2560832492151407E-3</v>
      </c>
      <c r="Q32" s="43">
        <v>17</v>
      </c>
    </row>
    <row r="33" spans="2:17" x14ac:dyDescent="0.3">
      <c r="B33" s="43" t="str">
        <f t="shared" si="0"/>
        <v>Taiwan</v>
      </c>
      <c r="C33" s="91">
        <f t="shared" si="0"/>
        <v>9449.3302339999991</v>
      </c>
      <c r="D33" s="45">
        <f t="shared" si="0"/>
        <v>5.0778378872438435E-3</v>
      </c>
      <c r="E33" s="43">
        <f t="shared" si="0"/>
        <v>33</v>
      </c>
      <c r="F33" s="43"/>
      <c r="G33" s="91">
        <f t="shared" si="1"/>
        <v>32312.46702</v>
      </c>
      <c r="H33" s="43">
        <f t="shared" si="1"/>
        <v>33</v>
      </c>
      <c r="I33" s="43"/>
      <c r="J33" s="91">
        <f t="shared" si="2"/>
        <v>305.33117154721384</v>
      </c>
      <c r="K33" s="45">
        <f t="shared" si="2"/>
        <v>6.8290802380679737E-3</v>
      </c>
      <c r="L33" s="43">
        <f t="shared" si="4"/>
        <v>18</v>
      </c>
      <c r="M33" s="113"/>
      <c r="N33" s="113"/>
      <c r="O33" s="112">
        <f t="shared" si="3"/>
        <v>305.33117154721384</v>
      </c>
      <c r="P33" s="45">
        <f t="shared" si="3"/>
        <v>7.0328329710484553E-3</v>
      </c>
      <c r="Q33" s="43">
        <v>18</v>
      </c>
    </row>
    <row r="34" spans="2:17" x14ac:dyDescent="0.3">
      <c r="B34" s="43" t="str">
        <f t="shared" si="0"/>
        <v>Mexico</v>
      </c>
      <c r="C34" s="91">
        <f t="shared" si="0"/>
        <v>29578.199530000005</v>
      </c>
      <c r="D34" s="45">
        <f t="shared" si="0"/>
        <v>1.5894597658305532E-2</v>
      </c>
      <c r="E34" s="43">
        <f t="shared" si="0"/>
        <v>10</v>
      </c>
      <c r="F34" s="43"/>
      <c r="G34" s="91">
        <f t="shared" si="1"/>
        <v>9590</v>
      </c>
      <c r="H34" s="43">
        <f t="shared" si="1"/>
        <v>80</v>
      </c>
      <c r="I34" s="43"/>
      <c r="J34" s="91">
        <f t="shared" si="2"/>
        <v>283.65493349270002</v>
      </c>
      <c r="K34" s="45">
        <f t="shared" si="2"/>
        <v>6.3442664269407747E-3</v>
      </c>
      <c r="L34" s="43">
        <f t="shared" si="4"/>
        <v>19</v>
      </c>
      <c r="M34" s="113"/>
      <c r="N34" s="113"/>
      <c r="O34" s="112">
        <f t="shared" si="3"/>
        <v>283.65493349270002</v>
      </c>
      <c r="P34" s="45">
        <f t="shared" si="3"/>
        <v>6.5335542341098422E-3</v>
      </c>
      <c r="Q34" s="43">
        <v>19</v>
      </c>
    </row>
    <row r="35" spans="2:17" x14ac:dyDescent="0.3">
      <c r="B35" s="43" t="str">
        <f t="shared" si="0"/>
        <v>United Arab Emirates</v>
      </c>
      <c r="C35" s="91">
        <f t="shared" si="0"/>
        <v>6338.9678700000004</v>
      </c>
      <c r="D35" s="45">
        <f t="shared" si="0"/>
        <v>3.4064055778778501E-3</v>
      </c>
      <c r="E35" s="43">
        <f t="shared" si="0"/>
        <v>46</v>
      </c>
      <c r="F35" s="43"/>
      <c r="G35" s="91">
        <f t="shared" si="1"/>
        <v>41770</v>
      </c>
      <c r="H35" s="43">
        <f t="shared" si="1"/>
        <v>28</v>
      </c>
      <c r="I35" s="43"/>
      <c r="J35" s="91">
        <f t="shared" si="2"/>
        <v>264.7786879299</v>
      </c>
      <c r="K35" s="45">
        <f t="shared" si="2"/>
        <v>5.9220776445487924E-3</v>
      </c>
      <c r="L35" s="43">
        <f t="shared" si="4"/>
        <v>20</v>
      </c>
      <c r="M35" s="113"/>
      <c r="N35" s="113"/>
      <c r="O35" s="112">
        <f t="shared" si="3"/>
        <v>264.7786879299</v>
      </c>
      <c r="P35" s="45">
        <f t="shared" si="3"/>
        <v>6.0987690089690178E-3</v>
      </c>
      <c r="Q35" s="43">
        <v>20</v>
      </c>
    </row>
    <row r="36" spans="2:17" x14ac:dyDescent="0.3">
      <c r="B36" s="114" t="s">
        <v>1111</v>
      </c>
      <c r="C36" s="115">
        <f>SUM(C16:C35)</f>
        <v>1135225.5834720002</v>
      </c>
      <c r="D36" s="116">
        <f>SUM(D16:D35)</f>
        <v>0.61004233480815173</v>
      </c>
      <c r="E36" s="114"/>
      <c r="F36" s="114"/>
      <c r="G36" s="114"/>
      <c r="H36" s="114"/>
      <c r="I36" s="114"/>
      <c r="J36" s="115"/>
      <c r="K36" s="116">
        <f>SUM(K16:K35)</f>
        <v>0.87196087091196972</v>
      </c>
      <c r="L36" s="114"/>
      <c r="M36" s="117"/>
      <c r="N36" s="117"/>
      <c r="O36" s="118"/>
      <c r="P36" s="116">
        <f>SUM(P16:P35)</f>
        <v>0.89797673312281101</v>
      </c>
      <c r="Q36" s="114"/>
    </row>
    <row r="37" spans="2:17" x14ac:dyDescent="0.3">
      <c r="B37" s="43"/>
      <c r="C37" s="91"/>
      <c r="D37" s="45"/>
      <c r="E37" s="43"/>
      <c r="F37" s="43"/>
      <c r="G37" s="43"/>
      <c r="H37" s="43"/>
      <c r="I37" s="43"/>
      <c r="J37" s="91"/>
      <c r="K37" s="45"/>
      <c r="L37" s="43"/>
      <c r="M37" s="113"/>
      <c r="N37" s="113"/>
      <c r="O37" s="112"/>
      <c r="P37" s="45"/>
      <c r="Q37" s="43"/>
    </row>
    <row r="38" spans="2:17" x14ac:dyDescent="0.3">
      <c r="B38" s="119" t="s">
        <v>1112</v>
      </c>
      <c r="C38" s="91"/>
      <c r="D38" s="45"/>
      <c r="E38" s="43"/>
      <c r="F38" s="43"/>
      <c r="G38" s="43"/>
      <c r="H38" s="43"/>
      <c r="I38" s="43"/>
      <c r="J38" s="91"/>
      <c r="K38" s="45"/>
      <c r="L38" s="43"/>
      <c r="M38" s="113"/>
      <c r="N38" s="113"/>
      <c r="O38" s="112"/>
      <c r="P38" s="45"/>
      <c r="Q38" s="43"/>
    </row>
    <row r="39" spans="2:17" x14ac:dyDescent="0.3">
      <c r="B39" s="43" t="str">
        <f>[3]Countries!N6</f>
        <v>HIC</v>
      </c>
      <c r="C39" s="91" cm="1">
        <f t="array" ref="C39">SUMPRODUCT(C$88:C$336,_xlfn.XLOOKUP($B$88:$B$336,[3]Countries!$B$8:$B$254,[3]Countries!$N$8:$N$254,0))</f>
        <v>686751.39461683971</v>
      </c>
      <c r="D39" s="45" cm="1">
        <f t="array" ref="D39">SUMPRODUCT(D$88:D$336,_xlfn.XLOOKUP($B$88:$B$336,[3]Countries!$B$8:$B$254,[3]Countries!$N$8:$N$254,0))</f>
        <v>0.36904332522483591</v>
      </c>
      <c r="E39" s="43">
        <f>RANK(D39,D$39:D$42)</f>
        <v>2</v>
      </c>
      <c r="F39" s="43"/>
      <c r="G39" s="43"/>
      <c r="H39" s="43"/>
      <c r="I39" s="43"/>
      <c r="J39" s="91" cm="1">
        <f t="array" ref="J39">SUMPRODUCT(J$88:J$336,_xlfn.XLOOKUP($B$88:$B$336,[3]Countries!$B$8:$B$254,[3]Countries!$N$8:$N$254,0))</f>
        <v>36347.584933225749</v>
      </c>
      <c r="K39" s="45" cm="1">
        <f t="array" ref="K39">SUMPRODUCT(K$88:K$336,_xlfn.XLOOKUP($B$88:$B$336,[3]Countries!$B$8:$B$254,[3]Countries!$N$8:$N$254,0))</f>
        <v>0.81295523385697444</v>
      </c>
      <c r="L39" s="43">
        <f>RANK(K39,K$39:K$42)</f>
        <v>1</v>
      </c>
      <c r="M39" s="113"/>
      <c r="N39" s="113"/>
      <c r="O39" s="112" cm="1">
        <f t="array" ref="O39">SUMPRODUCT(O$88:O$336,_xlfn.XLOOKUP($B$88:$B$336,[3]Countries!$B$8:$B$254,[3]Countries!$N$8:$N$254,0))</f>
        <v>36183.145389687998</v>
      </c>
      <c r="P39" s="45" cm="1">
        <f t="array" ref="P39">SUMPRODUCT(P$88:P$336,_xlfn.XLOOKUP($B$88:$B$336,[3]Countries!$B$8:$B$254,[3]Countries!$N$8:$N$254,0))</f>
        <v>0.83342298987474495</v>
      </c>
      <c r="Q39" s="43">
        <f>RANK(P39,P$39:P$42)</f>
        <v>1</v>
      </c>
    </row>
    <row r="40" spans="2:17" x14ac:dyDescent="0.3">
      <c r="B40" s="43" t="str">
        <f>[3]Countries!M6</f>
        <v>UMIC</v>
      </c>
      <c r="C40" s="91" cm="1">
        <f t="array" ref="C40">SUMPRODUCT(C$88:C$336,_xlfn.XLOOKUP($B$88:$B$336,[3]Countries!$B$8:$B$254,[3]Countries!$M$8:$M$254,0))</f>
        <v>697726.564279438</v>
      </c>
      <c r="D40" s="45" cm="1">
        <f t="array" ref="D40">SUMPRODUCT(D$88:D$336,_xlfn.XLOOKUP($B$88:$B$336,[3]Countries!$B$8:$B$254,[3]Countries!$M$8:$M$254,0))</f>
        <v>0.374941111729444</v>
      </c>
      <c r="E40" s="43">
        <f t="shared" ref="E40:E42" si="5">RANK(D40,D$39:D$42)</f>
        <v>1</v>
      </c>
      <c r="F40" s="43"/>
      <c r="G40" s="43"/>
      <c r="H40" s="43"/>
      <c r="I40" s="43"/>
      <c r="J40" s="91" cm="1">
        <f t="array" ref="J40">SUMPRODUCT(J$88:J$336,_xlfn.XLOOKUP($B$88:$B$336,[3]Countries!$B$8:$B$254,[3]Countries!$M$8:$M$254,0))</f>
        <v>7135.8804214018837</v>
      </c>
      <c r="K40" s="45" cm="1">
        <f t="array" ref="K40">SUMPRODUCT(K$88:K$336,_xlfn.XLOOKUP($B$88:$B$336,[3]Countries!$B$8:$B$254,[3]Countries!$M$8:$M$254,0))</f>
        <v>0.15960211242132005</v>
      </c>
      <c r="L40" s="43">
        <f t="shared" ref="L40:L42" si="6">RANK(K40,K$39:K$42)</f>
        <v>2</v>
      </c>
      <c r="M40" s="113"/>
      <c r="N40" s="113"/>
      <c r="O40" s="112" cm="1">
        <f t="array" ref="O40">SUMPRODUCT(O$88:O$336,_xlfn.XLOOKUP($B$88:$B$336,[3]Countries!$B$8:$B$254,[3]Countries!$M$8:$M$254,0))</f>
        <v>7090.471303421863</v>
      </c>
      <c r="P40" s="45" cm="1">
        <f t="array" ref="P40">SUMPRODUCT(P$88:P$336,_xlfn.XLOOKUP($B$88:$B$336,[3]Countries!$B$8:$B$254,[3]Countries!$M$8:$M$254,0))</f>
        <v>0.16331807889214256</v>
      </c>
      <c r="Q40" s="43">
        <f t="shared" ref="Q40:Q42" si="7">RANK(P40,P$39:P$42)</f>
        <v>2</v>
      </c>
    </row>
    <row r="41" spans="2:17" x14ac:dyDescent="0.3">
      <c r="B41" s="43" t="str">
        <f>[3]Countries!L6</f>
        <v>LMIC</v>
      </c>
      <c r="C41" s="91" cm="1">
        <f t="array" ref="C41">SUMPRODUCT(C$88:C$336,_xlfn.XLOOKUP($B$88:$B$336,[3]Countries!$B$8:$B$254,[3]Countries!$L$8:$L$254,0))</f>
        <v>365342.04721602326</v>
      </c>
      <c r="D41" s="45" cm="1">
        <f t="array" ref="D41">SUMPRODUCT(D$88:D$336,_xlfn.XLOOKUP($B$88:$B$336,[3]Countries!$B$8:$B$254,[3]Countries!$L$8:$L$254,0))</f>
        <v>0.19632583931522196</v>
      </c>
      <c r="E41" s="43">
        <f t="shared" si="5"/>
        <v>3</v>
      </c>
      <c r="F41" s="43"/>
      <c r="G41" s="43"/>
      <c r="H41" s="43"/>
      <c r="I41" s="43"/>
      <c r="J41" s="91" cm="1">
        <f t="array" ref="J41">SUMPRODUCT(J$88:J$336,_xlfn.XLOOKUP($B$88:$B$336,[3]Countries!$B$8:$B$254,[3]Countries!$L$8:$L$254,0))</f>
        <v>1043.7357356518532</v>
      </c>
      <c r="K41" s="45" cm="1">
        <f t="array" ref="K41">SUMPRODUCT(K$88:K$336,_xlfn.XLOOKUP($B$88:$B$336,[3]Countries!$B$8:$B$254,[3]Countries!$L$8:$L$254,0))</f>
        <v>2.3344341326130325E-2</v>
      </c>
      <c r="L41" s="43">
        <f t="shared" si="6"/>
        <v>3</v>
      </c>
      <c r="M41" s="113"/>
      <c r="N41" s="113"/>
      <c r="O41" s="112" cm="1">
        <f t="array" ref="O41">SUMPRODUCT(O$88:O$336,_xlfn.XLOOKUP($B$88:$B$336,[3]Countries!$B$8:$B$254,[3]Countries!$L$8:$L$254,0))</f>
        <v>0</v>
      </c>
      <c r="P41" s="45" cm="1">
        <f t="array" ref="P41">SUMPRODUCT(P$88:P$336,_xlfn.XLOOKUP($B$88:$B$336,[3]Countries!$B$8:$B$254,[3]Countries!$L$8:$L$254,0))</f>
        <v>0</v>
      </c>
      <c r="Q41" s="43">
        <f t="shared" si="7"/>
        <v>3</v>
      </c>
    </row>
    <row r="42" spans="2:17" x14ac:dyDescent="0.3">
      <c r="B42" s="43" t="str">
        <f>[3]Countries!K6</f>
        <v>LIC</v>
      </c>
      <c r="C42" s="91" cm="1">
        <f t="array" ref="C42">SUMPRODUCT(C$88:C$336,_xlfn.XLOOKUP($B$88:$B$336,[3]Countries!$B$8:$B$254,[3]Countries!$K$8:$K$254,0))</f>
        <v>65774.674999300012</v>
      </c>
      <c r="D42" s="45" cm="1">
        <f t="array" ref="D42">SUMPRODUCT(D$88:D$336,_xlfn.XLOOKUP($B$88:$B$336,[3]Countries!$B$8:$B$254,[3]Countries!$K$8:$K$254,0))</f>
        <v>3.5345694188022164E-2</v>
      </c>
      <c r="E42" s="43">
        <f t="shared" si="5"/>
        <v>4</v>
      </c>
      <c r="F42" s="43"/>
      <c r="G42" s="43"/>
      <c r="H42" s="43"/>
      <c r="I42" s="43"/>
      <c r="J42" s="91" cm="1">
        <f t="array" ref="J42">SUMPRODUCT(J$88:J$336,_xlfn.XLOOKUP($B$88:$B$336,[3]Countries!$B$8:$B$254,[3]Countries!$K$8:$K$254,0))</f>
        <v>41.750507164312005</v>
      </c>
      <c r="K42" s="45" cm="1">
        <f t="array" ref="K42">SUMPRODUCT(K$88:K$336,_xlfn.XLOOKUP($B$88:$B$336,[3]Countries!$B$8:$B$254,[3]Countries!$K$8:$K$254,0))</f>
        <v>9.3379775789132033E-4</v>
      </c>
      <c r="L42" s="43">
        <f t="shared" si="6"/>
        <v>4</v>
      </c>
      <c r="M42" s="113"/>
      <c r="N42" s="113"/>
      <c r="O42" s="112" cm="1">
        <f t="array" ref="O42">SUMPRODUCT(O$88:O$336,_xlfn.XLOOKUP($B$88:$B$336,[3]Countries!$B$8:$B$254,[3]Countries!$K$8:$K$254,0))</f>
        <v>0</v>
      </c>
      <c r="P42" s="45" cm="1">
        <f t="array" ref="P42">SUMPRODUCT(P$88:P$336,_xlfn.XLOOKUP($B$88:$B$336,[3]Countries!$B$8:$B$254,[3]Countries!$K$8:$K$254,0))</f>
        <v>0</v>
      </c>
      <c r="Q42" s="43">
        <f t="shared" si="7"/>
        <v>3</v>
      </c>
    </row>
    <row r="43" spans="2:17" x14ac:dyDescent="0.3">
      <c r="B43" s="114" t="s">
        <v>1113</v>
      </c>
      <c r="C43" s="115">
        <f>SUM(C39:C42)</f>
        <v>1815594.6811116009</v>
      </c>
      <c r="D43" s="116">
        <f>SUM(D39:D42)</f>
        <v>0.97565597045752395</v>
      </c>
      <c r="E43" s="114"/>
      <c r="F43" s="114"/>
      <c r="G43" s="114"/>
      <c r="H43" s="114"/>
      <c r="I43" s="114"/>
      <c r="J43" s="115">
        <f>SUM(J39:J42)</f>
        <v>44568.951597443796</v>
      </c>
      <c r="K43" s="116">
        <f>SUM(K39:K42)</f>
        <v>0.99683548536231614</v>
      </c>
      <c r="L43" s="114"/>
      <c r="M43" s="117"/>
      <c r="N43" s="117"/>
      <c r="O43" s="118">
        <f>SUM(O39:O42)</f>
        <v>43273.616693109863</v>
      </c>
      <c r="P43" s="116">
        <f>SUM(P39:P42)</f>
        <v>0.99674106876688751</v>
      </c>
      <c r="Q43" s="114"/>
    </row>
    <row r="44" spans="2:17" x14ac:dyDescent="0.3">
      <c r="B44" s="43"/>
      <c r="C44" s="91"/>
      <c r="D44" s="45"/>
      <c r="E44" s="43"/>
      <c r="F44" s="43"/>
      <c r="G44" s="43"/>
      <c r="H44" s="43"/>
      <c r="I44" s="43"/>
      <c r="J44" s="91"/>
      <c r="K44" s="45"/>
      <c r="L44" s="43"/>
      <c r="M44" s="113"/>
      <c r="N44" s="113"/>
      <c r="O44" s="112"/>
      <c r="P44" s="45"/>
      <c r="Q44" s="43"/>
    </row>
    <row r="45" spans="2:17" x14ac:dyDescent="0.3">
      <c r="B45" s="119" t="s">
        <v>1114</v>
      </c>
      <c r="C45" s="91"/>
      <c r="D45" s="45"/>
      <c r="E45" s="43"/>
      <c r="F45" s="43"/>
      <c r="G45" s="43"/>
      <c r="H45" s="43"/>
      <c r="I45" s="43"/>
      <c r="J45" s="91"/>
      <c r="K45" s="45"/>
      <c r="L45" s="43"/>
      <c r="M45" s="113"/>
      <c r="N45" s="113"/>
      <c r="O45" s="112"/>
      <c r="P45" s="45"/>
      <c r="Q45" s="43"/>
    </row>
    <row r="46" spans="2:17" x14ac:dyDescent="0.3">
      <c r="B46" s="43" t="str">
        <f>[3]Countries!P6</f>
        <v>LDC</v>
      </c>
      <c r="C46" s="91" cm="1">
        <f t="array" ref="C46">SUMPRODUCT(C$88:C$336,_xlfn.XLOOKUP($B$88:$B$336,[3]Countries!$B$8:$B$254,[3]Countries!$P$8:$P$254,0))</f>
        <v>96917.93310654191</v>
      </c>
      <c r="D46" s="45" cm="1">
        <f t="array" ref="D46">SUMPRODUCT(D$88:D$336,_xlfn.XLOOKUP($B$88:$B$336,[3]Countries!$B$8:$B$254,[3]Countries!$P$8:$P$254,0))</f>
        <v>5.2081315870515149E-2</v>
      </c>
      <c r="E46" s="43">
        <f>RANK(D46,D$46:D$48)</f>
        <v>1</v>
      </c>
      <c r="F46" s="43"/>
      <c r="G46" s="43"/>
      <c r="H46" s="43"/>
      <c r="I46" s="43"/>
      <c r="J46" s="91" cm="1">
        <f t="array" ref="J46">SUMPRODUCT(J$88:J$336,_xlfn.XLOOKUP($B$88:$B$336,[3]Countries!$B$8:$B$254,[3]Countries!$P$8:$P$254,0))</f>
        <v>102.90546368994096</v>
      </c>
      <c r="K46" s="45" cm="1">
        <f t="array" ref="K46">SUMPRODUCT(K$88:K$336,_xlfn.XLOOKUP($B$88:$B$336,[3]Countries!$B$8:$B$254,[3]Countries!$P$8:$P$254,0))</f>
        <v>2.3015981791611154E-3</v>
      </c>
      <c r="L46" s="43">
        <f>RANK(K46,K$46:K$48)</f>
        <v>3</v>
      </c>
      <c r="M46" s="113"/>
      <c r="N46" s="113"/>
      <c r="O46" s="112" cm="1">
        <f t="array" ref="O46">SUMPRODUCT(O$88:O$336,_xlfn.XLOOKUP($B$88:$B$336,[3]Countries!$B$8:$B$254,[3]Countries!$P$8:$P$254,0))</f>
        <v>0</v>
      </c>
      <c r="P46" s="45" cm="1">
        <f t="array" ref="P46">SUMPRODUCT(P$88:P$336,_xlfn.XLOOKUP($B$88:$B$336,[3]Countries!$B$8:$B$254,[3]Countries!$P$8:$P$254,0))</f>
        <v>0</v>
      </c>
      <c r="Q46" s="43">
        <f>RANK(P46,P$46:P$48)</f>
        <v>2</v>
      </c>
    </row>
    <row r="47" spans="2:17" x14ac:dyDescent="0.3">
      <c r="B47" s="43" t="str">
        <f>[3]Countries!Q6</f>
        <v>LLDC</v>
      </c>
      <c r="C47" s="91" cm="1">
        <f t="array" ref="C47">SUMPRODUCT(C$88:C$336,_xlfn.XLOOKUP($B$88:$B$336,[3]Countries!$B$8:$B$254,[3]Countries!$Q$8:$Q$254,0))</f>
        <v>75631.888723300013</v>
      </c>
      <c r="D47" s="45" cm="1">
        <f t="array" ref="D47">SUMPRODUCT(D$88:D$336,_xlfn.XLOOKUP($B$88:$B$336,[3]Countries!$B$8:$B$254,[3]Countries!$Q$8:$Q$254,0))</f>
        <v>4.0642718640642991E-2</v>
      </c>
      <c r="E47" s="43">
        <f t="shared" ref="E47:E48" si="8">RANK(D47,D$46:D$48)</f>
        <v>2</v>
      </c>
      <c r="F47" s="43"/>
      <c r="G47" s="43"/>
      <c r="H47" s="43"/>
      <c r="I47" s="43"/>
      <c r="J47" s="91" cm="1">
        <f t="array" ref="J47">SUMPRODUCT(J$88:J$336,_xlfn.XLOOKUP($B$88:$B$336,[3]Countries!$B$8:$B$254,[3]Countries!$Q$8:$Q$254,0))</f>
        <v>282.22269043256392</v>
      </c>
      <c r="K47" s="45" cm="1">
        <f t="array" ref="K47">SUMPRODUCT(K$88:K$336,_xlfn.XLOOKUP($B$88:$B$336,[3]Countries!$B$8:$B$254,[3]Countries!$Q$8:$Q$254,0))</f>
        <v>6.3122326757567033E-3</v>
      </c>
      <c r="L47" s="43">
        <f t="shared" ref="L47:L48" si="9">RANK(K47,K$46:K$48)</f>
        <v>1</v>
      </c>
      <c r="M47" s="113"/>
      <c r="N47" s="113"/>
      <c r="O47" s="112" cm="1">
        <f t="array" ref="O47">SUMPRODUCT(O$88:O$336,_xlfn.XLOOKUP($B$88:$B$336,[3]Countries!$B$8:$B$254,[3]Countries!$Q$8:$Q$254,0))</f>
        <v>210.299457819655</v>
      </c>
      <c r="P47" s="45" cm="1">
        <f t="array" ref="P47">SUMPRODUCT(P$88:P$336,_xlfn.XLOOKUP($B$88:$B$336,[3]Countries!$B$8:$B$254,[3]Countries!$Q$8:$Q$254,0))</f>
        <v>4.8439239048312611E-3</v>
      </c>
      <c r="Q47" s="43">
        <f t="shared" ref="Q47:Q48" si="10">RANK(P47,P$46:P$48)</f>
        <v>1</v>
      </c>
    </row>
    <row r="48" spans="2:17" x14ac:dyDescent="0.3">
      <c r="B48" s="120" t="str">
        <f>[3]Countries!R6</f>
        <v>SIDS</v>
      </c>
      <c r="C48" s="121" cm="1">
        <f t="array" ref="C48">SUMPRODUCT(C$88:C$336,_xlfn.XLOOKUP($B$88:$B$336,[3]Countries!$B$8:$B$254,[3]Countries!$R$8:$R$254,0))</f>
        <v>12685.341969301797</v>
      </c>
      <c r="D48" s="122" cm="1">
        <f t="array" ref="D48">SUMPRODUCT(D$88:D$336,_xlfn.XLOOKUP($B$88:$B$336,[3]Countries!$B$8:$B$254,[3]Countries!$R$8:$R$254,0))</f>
        <v>6.8167910814032305E-3</v>
      </c>
      <c r="E48" s="120">
        <f t="shared" si="8"/>
        <v>3</v>
      </c>
      <c r="F48" s="120"/>
      <c r="G48" s="120"/>
      <c r="H48" s="120"/>
      <c r="I48" s="120"/>
      <c r="J48" s="121" cm="1">
        <f t="array" ref="J48">SUMPRODUCT(J$88:J$336,_xlfn.XLOOKUP($B$88:$B$336,[3]Countries!$B$8:$B$254,[3]Countries!$R$8:$R$254,0))</f>
        <v>216.0087271413006</v>
      </c>
      <c r="K48" s="122" cm="1">
        <f t="array" ref="K48">SUMPRODUCT(K$88:K$336,_xlfn.XLOOKUP($B$88:$B$336,[3]Countries!$B$8:$B$254,[3]Countries!$R$8:$R$254,0))</f>
        <v>4.8312817924742084E-3</v>
      </c>
      <c r="L48" s="120">
        <f t="shared" si="9"/>
        <v>2</v>
      </c>
      <c r="M48" s="123"/>
      <c r="N48" s="123"/>
      <c r="O48" s="124" cm="1">
        <f t="array" ref="O48">SUMPRODUCT(O$88:O$336,_xlfn.XLOOKUP($B$88:$B$336,[3]Countries!$B$8:$B$254,[3]Countries!$R$8:$R$254,0))</f>
        <v>0</v>
      </c>
      <c r="P48" s="122" cm="1">
        <f t="array" ref="P48">SUMPRODUCT(P$88:P$336,_xlfn.XLOOKUP($B$88:$B$336,[3]Countries!$B$8:$B$254,[3]Countries!$R$8:$R$254,0))</f>
        <v>0</v>
      </c>
      <c r="Q48" s="120">
        <f t="shared" si="10"/>
        <v>2</v>
      </c>
    </row>
    <row r="49" spans="2:17" x14ac:dyDescent="0.3">
      <c r="B49" s="43"/>
      <c r="C49" s="91"/>
      <c r="D49" s="45"/>
      <c r="E49" s="43"/>
      <c r="F49" s="43"/>
      <c r="G49" s="43"/>
      <c r="H49" s="43"/>
      <c r="I49" s="43"/>
      <c r="J49" s="91"/>
      <c r="K49" s="45"/>
      <c r="L49" s="43"/>
      <c r="M49" s="113"/>
      <c r="N49" s="113"/>
      <c r="O49" s="112"/>
      <c r="P49" s="45"/>
      <c r="Q49" s="43"/>
    </row>
    <row r="50" spans="2:17" x14ac:dyDescent="0.3">
      <c r="B50" s="119" t="s">
        <v>1115</v>
      </c>
      <c r="C50" s="91"/>
      <c r="D50" s="45"/>
      <c r="E50" s="43"/>
      <c r="F50" s="43"/>
      <c r="G50" s="43"/>
      <c r="H50" s="43"/>
      <c r="I50" s="43"/>
      <c r="J50" s="91"/>
      <c r="K50" s="45"/>
      <c r="L50" s="43"/>
      <c r="M50" s="113"/>
      <c r="N50" s="113"/>
      <c r="O50" s="112"/>
      <c r="P50" s="45"/>
      <c r="Q50" s="43"/>
    </row>
    <row r="51" spans="2:17" x14ac:dyDescent="0.3">
      <c r="B51" t="str">
        <f>[3]Countries!AB6</f>
        <v>OECD</v>
      </c>
      <c r="C51" s="91" cm="1">
        <f t="array" ref="C51">SUMPRODUCT(C$88:C$336,_xlfn.XLOOKUP($B$88:$B$336,[3]Countries!$B$8:$B$254,[3]Countries!$AB$8:$AB$254,0))</f>
        <v>675758.2547261999</v>
      </c>
      <c r="D51" s="45" cm="1">
        <f t="array" ref="D51">SUMPRODUCT(D$88:D$336,_xlfn.XLOOKUP($B$88:$B$336,[3]Countries!$B$8:$B$254,[3]Countries!$AB$8:$AB$254,0))</f>
        <v>0.3631358819612267</v>
      </c>
      <c r="E51" s="43">
        <f>RANK(D51,D$51:D$56)</f>
        <v>2</v>
      </c>
      <c r="F51" s="22"/>
      <c r="G51" s="22"/>
      <c r="H51" s="43"/>
      <c r="I51" s="43"/>
      <c r="J51" s="91" cm="1">
        <f t="array" ref="J51">SUMPRODUCT(J$88:J$336,_xlfn.XLOOKUP($B$88:$B$336,[3]Countries!$B$8:$B$254,[3]Countries!$AB$8:$AB$254,0))</f>
        <v>34935.30999994243</v>
      </c>
      <c r="K51" s="45" cm="1">
        <f t="array" ref="K51">SUMPRODUCT(K$88:K$336,_xlfn.XLOOKUP($B$88:$B$336,[3]Countries!$B$8:$B$254,[3]Countries!$AB$8:$AB$254,0))</f>
        <v>0.78136809262690665</v>
      </c>
      <c r="L51" s="43">
        <f>RANK(K51,K$51:K$56)</f>
        <v>2</v>
      </c>
      <c r="M51" s="113"/>
      <c r="N51" s="113"/>
      <c r="O51" s="112" cm="1">
        <f t="array" ref="O51">SUMPRODUCT(O$88:O$336,_xlfn.XLOOKUP($B$88:$B$336,[3]Countries!$B$8:$B$254,[3]Countries!$AB$8:$AB$254,0))</f>
        <v>34935.30999994243</v>
      </c>
      <c r="P51" s="45" cm="1">
        <f t="array" ref="P51">SUMPRODUCT(P$88:P$336,_xlfn.XLOOKUP($B$88:$B$336,[3]Countries!$B$8:$B$254,[3]Countries!$AB$8:$AB$254,0))</f>
        <v>0.80468102479147574</v>
      </c>
      <c r="Q51" s="43">
        <f>RANK(P51,P$51:P$56)</f>
        <v>2</v>
      </c>
    </row>
    <row r="52" spans="2:17" x14ac:dyDescent="0.3">
      <c r="B52" t="str">
        <f>[3]Countries!AC6</f>
        <v>EU</v>
      </c>
      <c r="C52" s="91" cm="1">
        <f t="array" ref="C52">SUMPRODUCT(C$88:C$336,_xlfn.XLOOKUP($B$88:$B$336,[3]Countries!$B$8:$B$254,[3]Countries!$AC$8:$AC$254,0))</f>
        <v>215215.49077939999</v>
      </c>
      <c r="D52" s="45" cm="1">
        <f t="array" ref="D52">SUMPRODUCT(D$88:D$336,_xlfn.XLOOKUP($B$88:$B$336,[3]Countries!$B$8:$B$254,[3]Countries!$AC$8:$AC$254,0))</f>
        <v>0.11565151666191789</v>
      </c>
      <c r="E52" s="43">
        <f t="shared" ref="E52:E56" si="11">RANK(D52,D$51:D$56)</f>
        <v>6</v>
      </c>
      <c r="F52" s="43"/>
      <c r="G52" s="43"/>
      <c r="H52" s="43"/>
      <c r="I52" s="43"/>
      <c r="J52" s="91" cm="1">
        <f t="array" ref="J52">SUMPRODUCT(J$88:J$336,_xlfn.XLOOKUP($B$88:$B$336,[3]Countries!$B$8:$B$254,[3]Countries!$AC$8:$AC$254,0))</f>
        <v>8507.2255221344767</v>
      </c>
      <c r="K52" s="45" cm="1">
        <f t="array" ref="K52">SUMPRODUCT(K$88:K$336,_xlfn.XLOOKUP($B$88:$B$336,[3]Countries!$B$8:$B$254,[3]Countries!$AC$8:$AC$254,0))</f>
        <v>0.19027381121816614</v>
      </c>
      <c r="L52" s="43">
        <f t="shared" ref="L52:L56" si="12">RANK(K52,K$51:K$56)</f>
        <v>5</v>
      </c>
      <c r="M52" s="113"/>
      <c r="N52" s="113"/>
      <c r="O52" s="112" cm="1">
        <f t="array" ref="O52">SUMPRODUCT(O$88:O$336,_xlfn.XLOOKUP($B$88:$B$336,[3]Countries!$B$8:$B$254,[3]Countries!$AC$8:$AC$254,0))</f>
        <v>8507.2255221344767</v>
      </c>
      <c r="P52" s="45" cm="1">
        <f t="array" ref="P52">SUMPRODUCT(P$88:P$336,_xlfn.XLOOKUP($B$88:$B$336,[3]Countries!$B$8:$B$254,[3]Countries!$AC$8:$AC$254,0))</f>
        <v>0.19595082886897666</v>
      </c>
      <c r="Q52" s="43">
        <f t="shared" ref="Q52:Q56" si="13">RANK(P52,P$51:P$56)</f>
        <v>5</v>
      </c>
    </row>
    <row r="53" spans="2:17" x14ac:dyDescent="0.3">
      <c r="B53" t="str">
        <f>[3]Countries!AD6</f>
        <v>BRICS</v>
      </c>
      <c r="C53" s="91" cm="1">
        <f t="array" ref="C53">SUMPRODUCT(C$88:C$336,_xlfn.XLOOKUP($B$88:$B$336,[3]Countries!$B$8:$B$254,[3]Countries!$AD$8:$AD$254,0))</f>
        <v>620063.33506999991</v>
      </c>
      <c r="D53" s="45" cm="1">
        <f t="array" ref="D53">SUMPRODUCT(D$88:D$336,_xlfn.XLOOKUP($B$88:$B$336,[3]Countries!$B$8:$B$254,[3]Countries!$AD$8:$AD$254,0))</f>
        <v>0.33320680062383567</v>
      </c>
      <c r="E53" s="43">
        <f t="shared" si="11"/>
        <v>3</v>
      </c>
      <c r="F53" s="43"/>
      <c r="G53" s="43"/>
      <c r="H53" s="43"/>
      <c r="I53" s="43"/>
      <c r="J53" s="91" cm="1">
        <f t="array" ref="J53">SUMPRODUCT(J$88:J$336,_xlfn.XLOOKUP($B$88:$B$336,[3]Countries!$B$8:$B$254,[3]Countries!$AD$8:$AD$254,0))</f>
        <v>5908.3955803881008</v>
      </c>
      <c r="K53" s="45" cm="1">
        <f t="array" ref="K53">SUMPRODUCT(K$88:K$336,_xlfn.XLOOKUP($B$88:$B$336,[3]Countries!$B$8:$B$254,[3]Countries!$AD$8:$AD$254,0))</f>
        <v>0.1321480125735453</v>
      </c>
      <c r="L53" s="43">
        <f t="shared" si="12"/>
        <v>6</v>
      </c>
      <c r="M53" s="113"/>
      <c r="N53" s="113"/>
      <c r="O53" s="112" cm="1">
        <f t="array" ref="O53">SUMPRODUCT(O$88:O$336,_xlfn.XLOOKUP($B$88:$B$336,[3]Countries!$B$8:$B$254,[3]Countries!$AD$8:$AD$254,0))</f>
        <v>5703.0891892831005</v>
      </c>
      <c r="P53" s="45" cm="1">
        <f t="array" ref="P53">SUMPRODUCT(P$88:P$336,_xlfn.XLOOKUP($B$88:$B$336,[3]Countries!$B$8:$B$254,[3]Countries!$AD$8:$AD$254,0))</f>
        <v>0.13136187007692429</v>
      </c>
      <c r="Q53" s="43">
        <f t="shared" si="13"/>
        <v>6</v>
      </c>
    </row>
    <row r="54" spans="2:17" x14ac:dyDescent="0.3">
      <c r="B54" t="str">
        <f>[3]Countries!AE6</f>
        <v>G7</v>
      </c>
      <c r="C54" s="91" cm="1">
        <f t="array" ref="C54">SUMPRODUCT(C$88:C$336,_xlfn.XLOOKUP($B$88:$B$336,[3]Countries!$B$8:$B$254,[3]Countries!$AE$8:$AE$254,0))</f>
        <v>471880.63136999996</v>
      </c>
      <c r="D54" s="45" cm="1">
        <f t="array" ref="D54">SUMPRODUCT(D$88:D$336,_xlfn.XLOOKUP($B$88:$B$336,[3]Countries!$B$8:$B$254,[3]Countries!$AE$8:$AE$254,0))</f>
        <v>0.25357705666857866</v>
      </c>
      <c r="E54" s="43">
        <f t="shared" si="11"/>
        <v>5</v>
      </c>
      <c r="F54" s="43"/>
      <c r="G54" s="43"/>
      <c r="H54" s="43"/>
      <c r="I54" s="43"/>
      <c r="J54" s="91" cm="1">
        <f t="array" ref="J54">SUMPRODUCT(J$88:J$336,_xlfn.XLOOKUP($B$88:$B$336,[3]Countries!$B$8:$B$254,[3]Countries!$AE$8:$AE$254,0))</f>
        <v>28350.616435096599</v>
      </c>
      <c r="K54" s="45" cm="1">
        <f t="array" ref="K54">SUMPRODUCT(K$88:K$336,_xlfn.XLOOKUP($B$88:$B$336,[3]Countries!$B$8:$B$254,[3]Countries!$AE$8:$AE$254,0))</f>
        <v>0.63409390352411266</v>
      </c>
      <c r="L54" s="43">
        <f t="shared" si="12"/>
        <v>4</v>
      </c>
      <c r="M54" s="113"/>
      <c r="N54" s="113"/>
      <c r="O54" s="112" cm="1">
        <f t="array" ref="O54">SUMPRODUCT(O$88:O$336,_xlfn.XLOOKUP($B$88:$B$336,[3]Countries!$B$8:$B$254,[3]Countries!$AE$8:$AE$254,0))</f>
        <v>28350.616435096599</v>
      </c>
      <c r="P54" s="45" cm="1">
        <f t="array" ref="P54">SUMPRODUCT(P$88:P$336,_xlfn.XLOOKUP($B$88:$B$336,[3]Countries!$B$8:$B$254,[3]Countries!$AE$8:$AE$254,0))</f>
        <v>0.65301275662077085</v>
      </c>
      <c r="Q54" s="43">
        <f t="shared" si="13"/>
        <v>4</v>
      </c>
    </row>
    <row r="55" spans="2:17" x14ac:dyDescent="0.3">
      <c r="B55" t="str">
        <f>[3]Countries!AF6</f>
        <v>G20</v>
      </c>
      <c r="C55" s="91" cm="1">
        <f t="array" ref="C55">SUMPRODUCT(C$88:C$336,_xlfn.XLOOKUP($B$88:$B$336,[3]Countries!$B$8:$B$254,[3]Countries!$AF$8:$AF$254,0))</f>
        <v>1286409.9057999998</v>
      </c>
      <c r="D55" s="45" cm="1">
        <f t="array" ref="D55">SUMPRODUCT(D$88:D$336,_xlfn.XLOOKUP($B$88:$B$336,[3]Countries!$B$8:$B$254,[3]Countries!$AF$8:$AF$254,0))</f>
        <v>0.69128507486100244</v>
      </c>
      <c r="E55" s="43">
        <f t="shared" si="11"/>
        <v>1</v>
      </c>
      <c r="F55" s="43"/>
      <c r="G55" s="43"/>
      <c r="H55" s="43"/>
      <c r="I55" s="43"/>
      <c r="J55" s="91" cm="1">
        <f t="array" ref="J55">SUMPRODUCT(J$88:J$336,_xlfn.XLOOKUP($B$88:$B$336,[3]Countries!$B$8:$B$254,[3]Countries!$AF$8:$AF$254,0))</f>
        <v>37791.471865915795</v>
      </c>
      <c r="K55" s="45" cm="1">
        <f t="array" ref="K55">SUMPRODUCT(K$88:K$336,_xlfn.XLOOKUP($B$88:$B$336,[3]Countries!$B$8:$B$254,[3]Countries!$AF$8:$AF$254,0))</f>
        <v>0.84524941354413907</v>
      </c>
      <c r="L55" s="43">
        <f t="shared" si="12"/>
        <v>1</v>
      </c>
      <c r="M55" s="113"/>
      <c r="N55" s="113"/>
      <c r="O55" s="112" cm="1">
        <f t="array" ref="O55">SUMPRODUCT(O$88:O$336,_xlfn.XLOOKUP($B$88:$B$336,[3]Countries!$B$8:$B$254,[3]Countries!$AF$8:$AF$254,0))</f>
        <v>37305.006034490798</v>
      </c>
      <c r="P55" s="45" cm="1">
        <f t="array" ref="P55">SUMPRODUCT(P$88:P$336,_xlfn.XLOOKUP($B$88:$B$336,[3]Countries!$B$8:$B$254,[3]Countries!$AF$8:$AF$254,0))</f>
        <v>0.85926332085605406</v>
      </c>
      <c r="Q55" s="43">
        <f t="shared" si="13"/>
        <v>1</v>
      </c>
    </row>
    <row r="56" spans="2:17" x14ac:dyDescent="0.3">
      <c r="B56" s="125" t="str">
        <f>[3]Countries!AG6</f>
        <v>Annex II</v>
      </c>
      <c r="C56" s="121" cm="1">
        <f t="array" ref="C56">SUMPRODUCT(C$88:C$336,_xlfn.XLOOKUP($B$88:$B$336,[3]Countries!$B$8:$B$254,[3]Countries!$AG$8:$AG$254,0))</f>
        <v>559865.53994769999</v>
      </c>
      <c r="D56" s="122" cm="1">
        <f t="array" ref="D56">SUMPRODUCT(D$88:D$336,_xlfn.XLOOKUP($B$88:$B$336,[3]Countries!$B$8:$B$254,[3]Countries!$AG$8:$AG$254,0))</f>
        <v>0.30085798465159902</v>
      </c>
      <c r="E56" s="120">
        <f t="shared" si="11"/>
        <v>4</v>
      </c>
      <c r="F56" s="120"/>
      <c r="G56" s="120"/>
      <c r="H56" s="120"/>
      <c r="I56" s="120"/>
      <c r="J56" s="121" cm="1">
        <f t="array" ref="J56">SUMPRODUCT(J$88:J$336,_xlfn.XLOOKUP($B$88:$B$336,[3]Countries!$B$8:$B$254,[3]Countries!$AG$8:$AG$254,0))</f>
        <v>32880.88936029312</v>
      </c>
      <c r="K56" s="122" cm="1">
        <f t="array" ref="K56">SUMPRODUCT(K$88:K$336,_xlfn.XLOOKUP($B$88:$B$336,[3]Countries!$B$8:$B$254,[3]Countries!$AG$8:$AG$254,0))</f>
        <v>0.73541862955762882</v>
      </c>
      <c r="L56" s="120">
        <f t="shared" si="12"/>
        <v>3</v>
      </c>
      <c r="M56" s="123"/>
      <c r="N56" s="123"/>
      <c r="O56" s="124" cm="1">
        <f t="array" ref="O56">SUMPRODUCT(O$88:O$336,_xlfn.XLOOKUP($B$88:$B$336,[3]Countries!$B$8:$B$254,[3]Countries!$AG$8:$AG$254,0))</f>
        <v>32880.88936029312</v>
      </c>
      <c r="P56" s="122" cm="1">
        <f t="array" ref="P56">SUMPRODUCT(P$88:P$336,_xlfn.XLOOKUP($B$88:$B$336,[3]Countries!$B$8:$B$254,[3]Countries!$AG$8:$AG$254,0))</f>
        <v>0.7573606115571726</v>
      </c>
      <c r="Q56" s="120">
        <f t="shared" si="13"/>
        <v>3</v>
      </c>
    </row>
    <row r="57" spans="2:17" x14ac:dyDescent="0.3">
      <c r="B57" s="43"/>
      <c r="C57" s="91"/>
      <c r="D57" s="45"/>
      <c r="E57" s="43"/>
      <c r="F57" s="43"/>
      <c r="G57" s="43"/>
      <c r="H57" s="43"/>
      <c r="I57" s="43"/>
      <c r="J57" s="91"/>
      <c r="K57" s="45"/>
      <c r="L57" s="43"/>
      <c r="M57" s="113"/>
      <c r="N57" s="113"/>
      <c r="O57" s="112"/>
      <c r="P57" s="45"/>
      <c r="Q57" s="43"/>
    </row>
    <row r="58" spans="2:17" x14ac:dyDescent="0.3">
      <c r="B58" s="119" t="s">
        <v>1116</v>
      </c>
      <c r="C58" s="91"/>
      <c r="D58" s="45"/>
      <c r="E58" s="43"/>
      <c r="F58" s="43"/>
      <c r="G58" s="43"/>
      <c r="H58" s="43"/>
      <c r="I58" s="43"/>
      <c r="J58" s="91"/>
      <c r="K58" s="45"/>
      <c r="L58" s="43"/>
      <c r="M58" s="113"/>
      <c r="N58" s="113"/>
      <c r="O58" s="112"/>
      <c r="P58" s="45"/>
      <c r="Q58" s="43"/>
    </row>
    <row r="59" spans="2:17" x14ac:dyDescent="0.3">
      <c r="B59" t="str">
        <f>[3]Countries!T6</f>
        <v>ECA</v>
      </c>
      <c r="C59" s="91" cm="1">
        <f t="array" ref="C59">SUMPRODUCT(C$88:C$336,_xlfn.XLOOKUP($B$88:$B$336,[3]Countries!$B$8:$B$254,[3]Countries!$T$8:$T$254,0))</f>
        <v>400947.12787676899</v>
      </c>
      <c r="D59" s="45" cm="1">
        <f t="array" ref="D59">SUMPRODUCT(D$88:D$336,_xlfn.XLOOKUP($B$88:$B$336,[3]Countries!$B$8:$B$254,[3]Countries!$T$8:$T$254,0))</f>
        <v>0.21545913480604686</v>
      </c>
      <c r="E59" s="43">
        <f>RANK(D59,D$59:D$65)</f>
        <v>2</v>
      </c>
      <c r="F59" s="22"/>
      <c r="G59" s="22"/>
      <c r="H59" s="22"/>
      <c r="I59" s="43"/>
      <c r="J59" s="91" cm="1">
        <f t="array" ref="J59">SUMPRODUCT(J$88:J$336,_xlfn.XLOOKUP($B$88:$B$336,[3]Countries!$B$8:$B$254,[3]Countries!$T$8:$T$254,0))</f>
        <v>10634.629526944902</v>
      </c>
      <c r="K59" s="45" cm="1">
        <f t="array" ref="K59">SUMPRODUCT(K$88:K$336,_xlfn.XLOOKUP($B$88:$B$336,[3]Countries!$B$8:$B$254,[3]Countries!$T$8:$T$254,0))</f>
        <v>0.23785563057194614</v>
      </c>
      <c r="L59" s="43">
        <f>RANK(K59,K$59:K$65)</f>
        <v>2</v>
      </c>
      <c r="M59" s="113"/>
      <c r="N59" s="113"/>
      <c r="O59" s="112" cm="1">
        <f t="array" ref="O59">SUMPRODUCT(O$88:O$336,_xlfn.XLOOKUP($B$88:$B$336,[3]Countries!$B$8:$B$254,[3]Countries!$T$8:$T$254,0))</f>
        <v>10519.579076322576</v>
      </c>
      <c r="P59" s="45" cm="1">
        <f t="array" ref="P59">SUMPRODUCT(P$88:P$336,_xlfn.XLOOKUP($B$88:$B$336,[3]Countries!$B$8:$B$254,[3]Countries!$T$8:$T$254,0))</f>
        <v>0.24230229162197689</v>
      </c>
      <c r="Q59" s="43">
        <f>RANK(P59,P$59:P$65)</f>
        <v>2</v>
      </c>
    </row>
    <row r="60" spans="2:17" x14ac:dyDescent="0.3">
      <c r="B60" t="str">
        <f>[3]Countries!U6</f>
        <v>N.Am</v>
      </c>
      <c r="C60" s="91" cm="1">
        <f t="array" ref="C60">SUMPRODUCT(C$88:C$336,_xlfn.XLOOKUP($B$88:$B$336,[3]Countries!$B$8:$B$254,[3]Countries!$U$8:$U$254,0))</f>
        <v>305539.54035999998</v>
      </c>
      <c r="D60" s="45" cm="1">
        <f t="array" ref="D60">SUMPRODUCT(D$88:D$336,_xlfn.XLOOKUP($B$88:$B$336,[3]Countries!$B$8:$B$254,[3]Countries!$U$8:$U$254,0))</f>
        <v>0.16418944154461196</v>
      </c>
      <c r="E60" s="43">
        <f t="shared" ref="E60:E65" si="14">RANK(D60,D$59:D$65)</f>
        <v>3</v>
      </c>
      <c r="F60" s="43"/>
      <c r="G60" s="43"/>
      <c r="H60" s="43"/>
      <c r="I60" s="43"/>
      <c r="J60" s="91" cm="1">
        <f t="array" ref="J60">SUMPRODUCT(J$88:J$336,_xlfn.XLOOKUP($B$88:$B$336,[3]Countries!$B$8:$B$254,[3]Countries!$U$8:$U$254,0))</f>
        <v>20903.7178653796</v>
      </c>
      <c r="K60" s="45" cm="1">
        <f t="array" ref="K60">SUMPRODUCT(K$88:K$336,_xlfn.XLOOKUP($B$88:$B$336,[3]Countries!$B$8:$B$254,[3]Countries!$U$8:$U$254,0))</f>
        <v>0.46753551513667885</v>
      </c>
      <c r="L60" s="43">
        <f t="shared" ref="L60:L65" si="15">RANK(K60,K$59:K$65)</f>
        <v>1</v>
      </c>
      <c r="M60" s="113"/>
      <c r="N60" s="113"/>
      <c r="O60" s="112" cm="1">
        <f t="array" ref="O60">SUMPRODUCT(O$88:O$336,_xlfn.XLOOKUP($B$88:$B$336,[3]Countries!$B$8:$B$254,[3]Countries!$U$8:$U$254,0))</f>
        <v>20903.7178653796</v>
      </c>
      <c r="P60" s="45" cm="1">
        <f t="array" ref="P60">SUMPRODUCT(P$88:P$336,_xlfn.XLOOKUP($B$88:$B$336,[3]Countries!$B$8:$B$254,[3]Countries!$U$8:$U$254,0))</f>
        <v>0.48148492496254525</v>
      </c>
      <c r="Q60" s="43">
        <f t="shared" ref="Q60:Q65" si="16">RANK(P60,P$59:P$65)</f>
        <v>1</v>
      </c>
    </row>
    <row r="61" spans="2:17" x14ac:dyDescent="0.3">
      <c r="B61" t="str">
        <f>[3]Countries!V6</f>
        <v>LAC</v>
      </c>
      <c r="C61" s="91" cm="1">
        <f t="array" ref="C61">SUMPRODUCT(C$88:C$336,_xlfn.XLOOKUP($B$88:$B$336,[3]Countries!$B$8:$B$254,[3]Countries!$V$8:$V$254,0))</f>
        <v>199813.45313791378</v>
      </c>
      <c r="D61" s="45" cm="1">
        <f t="array" ref="D61">SUMPRODUCT(D$88:D$336,_xlfn.XLOOKUP($B$88:$B$336,[3]Countries!$B$8:$B$254,[3]Countries!$V$8:$V$254,0))</f>
        <v>0.10737484007850381</v>
      </c>
      <c r="E61" s="43">
        <f t="shared" si="14"/>
        <v>4</v>
      </c>
      <c r="F61" s="43"/>
      <c r="G61" s="43"/>
      <c r="H61" s="43"/>
      <c r="I61" s="43"/>
      <c r="J61" s="91" cm="1">
        <f t="array" ref="J61">SUMPRODUCT(J$88:J$336,_xlfn.XLOOKUP($B$88:$B$336,[3]Countries!$B$8:$B$254,[3]Countries!$V$8:$V$254,0))</f>
        <v>1676.2168538787416</v>
      </c>
      <c r="K61" s="45" cm="1">
        <f t="array" ref="K61">SUMPRODUCT(K$88:K$336,_xlfn.XLOOKUP($B$88:$B$336,[3]Countries!$B$8:$B$254,[3]Countries!$V$8:$V$254,0))</f>
        <v>3.7490503617871561E-2</v>
      </c>
      <c r="L61" s="43">
        <f t="shared" si="15"/>
        <v>4</v>
      </c>
      <c r="M61" s="113"/>
      <c r="N61" s="113"/>
      <c r="O61" s="112" cm="1">
        <f t="array" ref="O61">SUMPRODUCT(O$88:O$336,_xlfn.XLOOKUP($B$88:$B$336,[3]Countries!$B$8:$B$254,[3]Countries!$V$8:$V$254,0))</f>
        <v>1575.6460034423249</v>
      </c>
      <c r="P61" s="45" cm="1">
        <f t="array" ref="P61">SUMPRODUCT(P$88:P$336,_xlfn.XLOOKUP($B$88:$B$336,[3]Countries!$B$8:$B$254,[3]Countries!$V$8:$V$254,0))</f>
        <v>3.6292577359715791E-2</v>
      </c>
      <c r="Q61" s="43">
        <f t="shared" si="16"/>
        <v>4</v>
      </c>
    </row>
    <row r="62" spans="2:17" x14ac:dyDescent="0.3">
      <c r="B62" t="str">
        <f>[3]Countries!W6</f>
        <v>EAP</v>
      </c>
      <c r="C62" s="91" cm="1">
        <f t="array" ref="C62">SUMPRODUCT(C$88:C$336,_xlfn.XLOOKUP($B$88:$B$336,[3]Countries!$B$8:$B$254,[3]Countries!$W$8:$W$254,0))</f>
        <v>563304.73437336041</v>
      </c>
      <c r="D62" s="45" cm="1">
        <f t="array" ref="D62">SUMPRODUCT(D$88:D$336,_xlfn.XLOOKUP($B$88:$B$336,[3]Countries!$B$8:$B$254,[3]Countries!$W$8:$W$254,0))</f>
        <v>0.30270612323113344</v>
      </c>
      <c r="E62" s="43">
        <f t="shared" si="14"/>
        <v>1</v>
      </c>
      <c r="F62" s="43"/>
      <c r="G62" s="43"/>
      <c r="H62" s="43"/>
      <c r="I62" s="43"/>
      <c r="J62" s="91" cm="1">
        <f t="array" ref="J62">SUMPRODUCT(J$88:J$336,_xlfn.XLOOKUP($B$88:$B$336,[3]Countries!$B$8:$B$254,[3]Countries!$W$8:$W$254,0))</f>
        <v>9422.4288585374343</v>
      </c>
      <c r="K62" s="45" cm="1">
        <f t="array" ref="K62">SUMPRODUCT(K$88:K$336,_xlfn.XLOOKUP($B$88:$B$336,[3]Countries!$B$8:$B$254,[3]Countries!$W$8:$W$254,0))</f>
        <v>0.21074337869394172</v>
      </c>
      <c r="L62" s="43">
        <f t="shared" si="15"/>
        <v>3</v>
      </c>
      <c r="M62" s="113"/>
      <c r="N62" s="113"/>
      <c r="O62" s="112" cm="1">
        <f t="array" ref="O62">SUMPRODUCT(O$88:O$336,_xlfn.XLOOKUP($B$88:$B$336,[3]Countries!$B$8:$B$254,[3]Countries!$W$8:$W$254,0))</f>
        <v>8901.2431928791593</v>
      </c>
      <c r="P62" s="45" cm="1">
        <f t="array" ref="P62">SUMPRODUCT(P$88:P$336,_xlfn.XLOOKUP($B$88:$B$336,[3]Countries!$B$8:$B$254,[3]Countries!$W$8:$W$254,0))</f>
        <v>0.20502641866856067</v>
      </c>
      <c r="Q62" s="43">
        <f t="shared" si="16"/>
        <v>3</v>
      </c>
    </row>
    <row r="63" spans="2:17" x14ac:dyDescent="0.3">
      <c r="B63" t="str">
        <f>[3]Countries!X6</f>
        <v>SA</v>
      </c>
      <c r="C63" s="91" cm="1">
        <f t="array" ref="C63">SUMPRODUCT(C$88:C$336,_xlfn.XLOOKUP($B$88:$B$336,[3]Countries!$B$8:$B$254,[3]Countries!$X$8:$X$254,0))</f>
        <v>119987.05614922797</v>
      </c>
      <c r="D63" s="45" cm="1">
        <f t="array" ref="D63">SUMPRODUCT(D$88:D$336,_xlfn.XLOOKUP($B$88:$B$336,[3]Countries!$B$8:$B$254,[3]Countries!$X$8:$X$254,0))</f>
        <v>6.4478095759755438E-2</v>
      </c>
      <c r="E63" s="43">
        <f t="shared" si="14"/>
        <v>6</v>
      </c>
      <c r="F63" s="43"/>
      <c r="G63" s="43"/>
      <c r="H63" s="43"/>
      <c r="I63" s="43"/>
      <c r="J63" s="91" cm="1">
        <f t="array" ref="J63">SUMPRODUCT(J$88:J$336,_xlfn.XLOOKUP($B$88:$B$336,[3]Countries!$B$8:$B$254,[3]Countries!$X$8:$X$254,0))</f>
        <v>251.79155119183872</v>
      </c>
      <c r="K63" s="45" cm="1">
        <f t="array" ref="K63">SUMPRODUCT(K$88:K$336,_xlfn.XLOOKUP($B$88:$B$336,[3]Countries!$B$8:$B$254,[3]Countries!$X$8:$X$254,0))</f>
        <v>5.631605504421211E-3</v>
      </c>
      <c r="L63" s="43">
        <f t="shared" si="15"/>
        <v>7</v>
      </c>
      <c r="M63" s="113"/>
      <c r="N63" s="113"/>
      <c r="O63" s="112" cm="1">
        <f t="array" ref="O63">SUMPRODUCT(O$88:O$336,_xlfn.XLOOKUP($B$88:$B$336,[3]Countries!$B$8:$B$254,[3]Countries!$X$8:$X$254,0))</f>
        <v>0</v>
      </c>
      <c r="P63" s="45" cm="1">
        <f t="array" ref="P63">SUMPRODUCT(P$88:P$336,_xlfn.XLOOKUP($B$88:$B$336,[3]Countries!$B$8:$B$254,[3]Countries!$X$8:$X$254,0))</f>
        <v>0</v>
      </c>
      <c r="Q63" s="43">
        <f t="shared" si="16"/>
        <v>7</v>
      </c>
    </row>
    <row r="64" spans="2:17" x14ac:dyDescent="0.3">
      <c r="B64" t="str">
        <f>[3]Countries!Y6</f>
        <v>MENA</v>
      </c>
      <c r="C64" s="91" cm="1">
        <f t="array" ref="C64">SUMPRODUCT(C$88:C$336,_xlfn.XLOOKUP($B$88:$B$336,[3]Countries!$B$8:$B$254,[3]Countries!$Y$8:$Y$254,0))</f>
        <v>105069.7152684</v>
      </c>
      <c r="D64" s="45" cm="1">
        <f t="array" ref="D64">SUMPRODUCT(D$88:D$336,_xlfn.XLOOKUP($B$88:$B$336,[3]Countries!$B$8:$B$254,[3]Countries!$Y$8:$Y$254,0))</f>
        <v>5.6461883305982945E-2</v>
      </c>
      <c r="E64" s="43">
        <f t="shared" si="14"/>
        <v>7</v>
      </c>
      <c r="F64" s="43"/>
      <c r="G64" s="43"/>
      <c r="H64" s="43"/>
      <c r="I64" s="43"/>
      <c r="J64" s="91" cm="1">
        <f t="array" ref="J64">SUMPRODUCT(J$88:J$336,_xlfn.XLOOKUP($B$88:$B$336,[3]Countries!$B$8:$B$254,[3]Countries!$Y$8:$Y$254,0))</f>
        <v>1527.1528652015948</v>
      </c>
      <c r="K64" s="45" cm="1">
        <f t="array" ref="K64">SUMPRODUCT(K$88:K$336,_xlfn.XLOOKUP($B$88:$B$336,[3]Countries!$B$8:$B$254,[3]Countries!$Y$8:$Y$254,0))</f>
        <v>3.4156517329723197E-2</v>
      </c>
      <c r="L64" s="43">
        <f t="shared" si="15"/>
        <v>5</v>
      </c>
      <c r="M64" s="113"/>
      <c r="N64" s="113"/>
      <c r="O64" s="112" cm="1">
        <f t="array" ref="O64">SUMPRODUCT(O$88:O$336,_xlfn.XLOOKUP($B$88:$B$336,[3]Countries!$B$8:$B$254,[3]Countries!$Y$8:$Y$254,0))</f>
        <v>1355.9020722141609</v>
      </c>
      <c r="P64" s="45" cm="1">
        <f t="array" ref="P64">SUMPRODUCT(P$88:P$336,_xlfn.XLOOKUP($B$88:$B$336,[3]Countries!$B$8:$B$254,[3]Countries!$Y$8:$Y$254,0))</f>
        <v>3.1231114565406025E-2</v>
      </c>
      <c r="Q64" s="43">
        <f t="shared" si="16"/>
        <v>5</v>
      </c>
    </row>
    <row r="65" spans="2:17" x14ac:dyDescent="0.3">
      <c r="B65" t="str">
        <f>[3]Countries!Z6</f>
        <v>SSA</v>
      </c>
      <c r="C65" s="91" cm="1">
        <f t="array" ref="C65">SUMPRODUCT(C$88:C$336,_xlfn.XLOOKUP($B$88:$B$336,[3]Countries!$B$8:$B$254,[3]Countries!$Z$8:$Z$254,0))</f>
        <v>131808.29121593005</v>
      </c>
      <c r="D65" s="45" cm="1">
        <f t="array" ref="D65">SUMPRODUCT(D$88:D$336,_xlfn.XLOOKUP($B$88:$B$336,[3]Countries!$B$8:$B$254,[3]Countries!$Z$8:$Z$254,0))</f>
        <v>7.0830537023765031E-2</v>
      </c>
      <c r="E65" s="43">
        <f t="shared" si="14"/>
        <v>5</v>
      </c>
      <c r="F65" s="43"/>
      <c r="G65" s="43"/>
      <c r="H65" s="43"/>
      <c r="I65" s="43"/>
      <c r="J65" s="91" cm="1">
        <f t="array" ref="J65">SUMPRODUCT(J$88:J$336,_xlfn.XLOOKUP($B$88:$B$336,[3]Countries!$B$8:$B$254,[3]Countries!$Z$8:$Z$254,0))</f>
        <v>294.50091319238231</v>
      </c>
      <c r="K65" s="45" cm="1">
        <f t="array" ref="K65">SUMPRODUCT(K$88:K$336,_xlfn.XLOOKUP($B$88:$B$336,[3]Countries!$B$8:$B$254,[3]Countries!$Z$8:$Z$254,0))</f>
        <v>6.5868491454174364E-3</v>
      </c>
      <c r="L65" s="43">
        <f t="shared" si="15"/>
        <v>6</v>
      </c>
      <c r="M65" s="113"/>
      <c r="N65" s="113"/>
      <c r="O65" s="112" cm="1">
        <f t="array" ref="O65">SUMPRODUCT(O$88:O$336,_xlfn.XLOOKUP($B$88:$B$336,[3]Countries!$B$8:$B$254,[3]Countries!$Z$8:$Z$254,0))</f>
        <v>159.01531975472955</v>
      </c>
      <c r="P65" s="45" cm="1">
        <f t="array" ref="P65">SUMPRODUCT(P$88:P$336,_xlfn.XLOOKUP($B$88:$B$336,[3]Countries!$B$8:$B$254,[3]Countries!$Z$8:$Z$254,0))</f>
        <v>3.6626728217952218E-3</v>
      </c>
      <c r="Q65" s="43">
        <f t="shared" si="16"/>
        <v>6</v>
      </c>
    </row>
    <row r="66" spans="2:17" x14ac:dyDescent="0.3">
      <c r="B66" s="114" t="s">
        <v>1113</v>
      </c>
      <c r="C66" s="115">
        <f>SUM(C59:C65)</f>
        <v>1826469.9183816013</v>
      </c>
      <c r="D66" s="116">
        <f>SUM(D59:D65)</f>
        <v>0.98150005574979959</v>
      </c>
      <c r="E66" s="114"/>
      <c r="F66" s="114"/>
      <c r="G66" s="114"/>
      <c r="H66" s="114"/>
      <c r="I66" s="114"/>
      <c r="J66" s="115">
        <f>SUM(J59:J65)</f>
        <v>44710.438434326497</v>
      </c>
      <c r="K66" s="116">
        <f>SUM(K59:K65)</f>
        <v>1.0000000000000002</v>
      </c>
      <c r="L66" s="114"/>
      <c r="M66" s="117"/>
      <c r="N66" s="117"/>
      <c r="O66" s="118">
        <f>SUM(O59:O65)</f>
        <v>43415.103529992535</v>
      </c>
      <c r="P66" s="116">
        <f>SUM(P59:P65)</f>
        <v>0.99999999999999989</v>
      </c>
      <c r="Q66" s="114"/>
    </row>
    <row r="67" spans="2:17" x14ac:dyDescent="0.3">
      <c r="B67" s="43"/>
      <c r="C67" s="43"/>
      <c r="D67" s="45"/>
      <c r="E67" s="43"/>
      <c r="F67" s="43"/>
      <c r="G67" s="43"/>
      <c r="H67" s="43"/>
      <c r="I67" s="43"/>
      <c r="J67" s="43"/>
      <c r="K67" s="45"/>
      <c r="L67" s="43"/>
      <c r="M67" s="113"/>
      <c r="N67" s="113"/>
      <c r="O67" s="113"/>
      <c r="P67" s="45"/>
      <c r="Q67" s="43"/>
    </row>
    <row r="68" spans="2:17" x14ac:dyDescent="0.3">
      <c r="B68" s="22" t="s">
        <v>1117</v>
      </c>
      <c r="M68" s="94"/>
      <c r="N68" s="94"/>
      <c r="O68" s="94"/>
    </row>
    <row r="69" spans="2:17" x14ac:dyDescent="0.3">
      <c r="B69" t="s">
        <v>574</v>
      </c>
      <c r="C69" s="43">
        <f t="shared" ref="C69:E80" si="17">INDEX(C$89:C$336,MATCH($B69,$B$89:$B$336,0))</f>
        <v>271578.36739999999</v>
      </c>
      <c r="D69" s="45">
        <f t="shared" si="17"/>
        <v>0.14593954165953518</v>
      </c>
      <c r="E69" s="43">
        <f t="shared" si="17"/>
        <v>2</v>
      </c>
      <c r="F69" s="43"/>
      <c r="G69" s="43">
        <f t="shared" ref="G69:H80" si="18">INDEX(G$89:G$336,MATCH($B69,$B$89:$B$336,0))</f>
        <v>70930</v>
      </c>
      <c r="H69" s="43">
        <f t="shared" si="18"/>
        <v>7</v>
      </c>
      <c r="I69" s="43"/>
      <c r="J69" s="43">
        <f t="shared" ref="J69:L80" si="19">INDEX(J$89:J$336,MATCH($B69,$B$89:$B$336,0))</f>
        <v>19263.053599682</v>
      </c>
      <c r="K69" s="45">
        <f t="shared" si="19"/>
        <v>0.43084018574268262</v>
      </c>
      <c r="L69" s="43">
        <f t="shared" si="19"/>
        <v>1</v>
      </c>
      <c r="M69" s="113"/>
      <c r="N69" s="113"/>
      <c r="O69" s="113">
        <f t="shared" ref="O69:Q80" si="20">INDEX(O$89:O$336,MATCH($B69,$B$89:$B$336,0))</f>
        <v>19263.053599682</v>
      </c>
      <c r="P69" s="45">
        <f t="shared" si="20"/>
        <v>0.44369475213561244</v>
      </c>
      <c r="Q69" s="43">
        <f t="shared" si="20"/>
        <v>1</v>
      </c>
    </row>
    <row r="70" spans="2:17" x14ac:dyDescent="0.3">
      <c r="B70" t="s">
        <v>317</v>
      </c>
      <c r="C70" s="43">
        <f t="shared" si="17"/>
        <v>28720.091939999998</v>
      </c>
      <c r="D70" s="45">
        <f t="shared" si="17"/>
        <v>1.5433471724093258E-2</v>
      </c>
      <c r="E70" s="43">
        <f t="shared" si="17"/>
        <v>11</v>
      </c>
      <c r="F70" s="43"/>
      <c r="G70" s="43">
        <f t="shared" si="18"/>
        <v>44480</v>
      </c>
      <c r="H70" s="43">
        <f t="shared" si="18"/>
        <v>25</v>
      </c>
      <c r="I70" s="43"/>
      <c r="J70" s="43">
        <f t="shared" si="19"/>
        <v>1277.4696894911999</v>
      </c>
      <c r="K70" s="45">
        <f t="shared" si="19"/>
        <v>2.8572068050006443E-2</v>
      </c>
      <c r="L70" s="43">
        <f t="shared" si="19"/>
        <v>7</v>
      </c>
      <c r="M70" s="113"/>
      <c r="N70" s="113"/>
      <c r="O70" s="113">
        <f t="shared" si="20"/>
        <v>1277.4696894911999</v>
      </c>
      <c r="P70" s="45">
        <f t="shared" si="20"/>
        <v>2.9424545506581197E-2</v>
      </c>
      <c r="Q70" s="43">
        <f t="shared" si="20"/>
        <v>7</v>
      </c>
    </row>
    <row r="71" spans="2:17" x14ac:dyDescent="0.3">
      <c r="B71" t="s">
        <v>395</v>
      </c>
      <c r="C71" s="43">
        <f t="shared" si="17"/>
        <v>21739.816930000001</v>
      </c>
      <c r="D71" s="45">
        <f t="shared" si="17"/>
        <v>1.1682443446806004E-2</v>
      </c>
      <c r="E71" s="43">
        <f t="shared" si="17"/>
        <v>15</v>
      </c>
      <c r="F71" s="43"/>
      <c r="G71" s="43">
        <f t="shared" si="18"/>
        <v>44160</v>
      </c>
      <c r="H71" s="43">
        <f t="shared" si="18"/>
        <v>26</v>
      </c>
      <c r="I71" s="43"/>
      <c r="J71" s="43">
        <f t="shared" si="19"/>
        <v>960.03031562880005</v>
      </c>
      <c r="K71" s="45">
        <f t="shared" si="19"/>
        <v>2.1472174043628604E-2</v>
      </c>
      <c r="L71" s="43">
        <f t="shared" si="19"/>
        <v>9</v>
      </c>
      <c r="M71" s="113"/>
      <c r="N71" s="113"/>
      <c r="O71" s="113">
        <f t="shared" si="20"/>
        <v>960.03031562880005</v>
      </c>
      <c r="P71" s="45">
        <f t="shared" si="20"/>
        <v>2.2112818755933177E-2</v>
      </c>
      <c r="Q71" s="43">
        <f t="shared" si="20"/>
        <v>9</v>
      </c>
    </row>
    <row r="72" spans="2:17" x14ac:dyDescent="0.3">
      <c r="B72" t="s">
        <v>579</v>
      </c>
      <c r="C72" s="43">
        <f t="shared" si="17"/>
        <v>44425.759900000005</v>
      </c>
      <c r="D72" s="45">
        <f t="shared" si="17"/>
        <v>2.3873311780143496E-2</v>
      </c>
      <c r="E72" s="43">
        <f t="shared" si="17"/>
        <v>8</v>
      </c>
      <c r="F72" s="43"/>
      <c r="G72" s="43">
        <f t="shared" si="18"/>
        <v>51660</v>
      </c>
      <c r="H72" s="43">
        <f t="shared" si="18"/>
        <v>18</v>
      </c>
      <c r="I72" s="43"/>
      <c r="J72" s="43">
        <f t="shared" si="19"/>
        <v>2295.034756434</v>
      </c>
      <c r="K72" s="45">
        <f t="shared" si="19"/>
        <v>5.1331072492279216E-2</v>
      </c>
      <c r="L72" s="43">
        <f t="shared" si="19"/>
        <v>3</v>
      </c>
      <c r="M72" s="113"/>
      <c r="N72" s="113"/>
      <c r="O72" s="113">
        <f t="shared" si="20"/>
        <v>2295.034756434</v>
      </c>
      <c r="P72" s="45">
        <f t="shared" si="20"/>
        <v>5.2862588588520026E-2</v>
      </c>
      <c r="Q72" s="43">
        <f t="shared" si="20"/>
        <v>3</v>
      </c>
    </row>
    <row r="73" spans="2:17" x14ac:dyDescent="0.3">
      <c r="B73" t="s">
        <v>590</v>
      </c>
      <c r="C73" s="43">
        <f t="shared" si="17"/>
        <v>20001.49404999999</v>
      </c>
      <c r="D73" s="45">
        <f t="shared" si="17"/>
        <v>1.0748311443612126E-2</v>
      </c>
      <c r="E73" s="43">
        <f t="shared" si="17"/>
        <v>17</v>
      </c>
      <c r="F73" s="43"/>
      <c r="G73" s="43">
        <f t="shared" si="18"/>
        <v>35990</v>
      </c>
      <c r="H73" s="43">
        <f t="shared" si="18"/>
        <v>29</v>
      </c>
      <c r="I73" s="43"/>
      <c r="J73" s="43">
        <f t="shared" si="19"/>
        <v>719.85377085949972</v>
      </c>
      <c r="K73" s="45">
        <f t="shared" si="19"/>
        <v>1.610035141831289E-2</v>
      </c>
      <c r="L73" s="43">
        <f t="shared" si="19"/>
        <v>11</v>
      </c>
      <c r="M73" s="113"/>
      <c r="N73" s="113"/>
      <c r="O73" s="113">
        <f t="shared" si="20"/>
        <v>719.85377085949972</v>
      </c>
      <c r="P73" s="45">
        <f t="shared" si="20"/>
        <v>1.6580722198720577E-2</v>
      </c>
      <c r="Q73" s="43">
        <f t="shared" si="20"/>
        <v>11</v>
      </c>
    </row>
    <row r="74" spans="2:17" x14ac:dyDescent="0.3">
      <c r="B74" t="s">
        <v>581</v>
      </c>
      <c r="C74" s="43">
        <f t="shared" si="17"/>
        <v>51453.928189999999</v>
      </c>
      <c r="D74" s="45">
        <f t="shared" si="17"/>
        <v>2.7650076729311822E-2</v>
      </c>
      <c r="E74" s="43">
        <f t="shared" si="17"/>
        <v>7</v>
      </c>
      <c r="F74" s="43"/>
      <c r="G74" s="43">
        <f t="shared" si="18"/>
        <v>42650</v>
      </c>
      <c r="H74" s="43">
        <f t="shared" si="18"/>
        <v>27</v>
      </c>
      <c r="I74" s="43"/>
      <c r="J74" s="43">
        <f t="shared" si="19"/>
        <v>2194.5100373035002</v>
      </c>
      <c r="K74" s="45">
        <f t="shared" si="19"/>
        <v>4.9082722383206663E-2</v>
      </c>
      <c r="L74" s="43">
        <f t="shared" si="19"/>
        <v>4</v>
      </c>
      <c r="M74" s="113"/>
      <c r="N74" s="113"/>
      <c r="O74" s="113">
        <f t="shared" si="20"/>
        <v>2194.5100373035002</v>
      </c>
      <c r="P74" s="45">
        <f t="shared" si="20"/>
        <v>5.0547156608470638E-2</v>
      </c>
      <c r="Q74" s="43">
        <f t="shared" si="20"/>
        <v>4</v>
      </c>
    </row>
    <row r="75" spans="2:17" x14ac:dyDescent="0.3">
      <c r="B75" t="s">
        <v>592</v>
      </c>
      <c r="C75" s="43">
        <f t="shared" si="17"/>
        <v>33961.172960000004</v>
      </c>
      <c r="D75" s="45">
        <f t="shared" si="17"/>
        <v>1.8249899885076783E-2</v>
      </c>
      <c r="E75" s="43">
        <f t="shared" si="17"/>
        <v>9</v>
      </c>
      <c r="F75" s="43"/>
      <c r="G75" s="43">
        <f t="shared" si="18"/>
        <v>48310</v>
      </c>
      <c r="H75" s="43">
        <f t="shared" si="18"/>
        <v>21</v>
      </c>
      <c r="I75" s="43"/>
      <c r="J75" s="43">
        <f t="shared" si="19"/>
        <v>1640.6642656976001</v>
      </c>
      <c r="K75" s="45">
        <f t="shared" si="19"/>
        <v>3.6695329393996237E-2</v>
      </c>
      <c r="L75" s="43">
        <f t="shared" si="19"/>
        <v>5</v>
      </c>
      <c r="M75" s="113"/>
      <c r="N75" s="113"/>
      <c r="O75" s="113">
        <f t="shared" si="20"/>
        <v>1640.6642656976001</v>
      </c>
      <c r="P75" s="45">
        <f t="shared" si="20"/>
        <v>3.7790172826932825E-2</v>
      </c>
      <c r="Q75" s="43">
        <f t="shared" si="20"/>
        <v>5</v>
      </c>
    </row>
    <row r="76" spans="2:17" x14ac:dyDescent="0.3">
      <c r="B76" t="s">
        <v>577</v>
      </c>
      <c r="C76" s="43">
        <f t="shared" si="17"/>
        <v>308590.98480000003</v>
      </c>
      <c r="D76" s="45">
        <f t="shared" si="17"/>
        <v>0.16582921280929902</v>
      </c>
      <c r="E76" s="43">
        <f t="shared" si="17"/>
        <v>1</v>
      </c>
      <c r="F76" s="43"/>
      <c r="G76" s="43">
        <f t="shared" si="18"/>
        <v>11880</v>
      </c>
      <c r="H76" s="43">
        <f t="shared" si="18"/>
        <v>72</v>
      </c>
      <c r="I76" s="43"/>
      <c r="J76" s="43">
        <f t="shared" si="19"/>
        <v>3666.0608994240001</v>
      </c>
      <c r="K76" s="45">
        <f t="shared" si="19"/>
        <v>8.1995637435068797E-2</v>
      </c>
      <c r="L76" s="43">
        <f t="shared" si="19"/>
        <v>2</v>
      </c>
      <c r="M76" s="113"/>
      <c r="N76" s="113"/>
      <c r="O76" s="113">
        <f t="shared" si="20"/>
        <v>3666.0608994240001</v>
      </c>
      <c r="P76" s="45">
        <f t="shared" si="20"/>
        <v>8.4442062815567556E-2</v>
      </c>
      <c r="Q76" s="43">
        <f t="shared" si="20"/>
        <v>2</v>
      </c>
    </row>
    <row r="77" spans="2:17" x14ac:dyDescent="0.3">
      <c r="B77" t="s">
        <v>584</v>
      </c>
      <c r="C77" s="43">
        <f t="shared" si="17"/>
        <v>95491.344699999972</v>
      </c>
      <c r="D77" s="45">
        <f t="shared" si="17"/>
        <v>5.1314702313696434E-2</v>
      </c>
      <c r="E77" s="43">
        <f t="shared" si="17"/>
        <v>4</v>
      </c>
      <c r="F77" s="43"/>
      <c r="G77" s="43">
        <f t="shared" si="18"/>
        <v>2150</v>
      </c>
      <c r="H77" s="43">
        <f t="shared" si="18"/>
        <v>154</v>
      </c>
      <c r="I77" s="43"/>
      <c r="J77" s="43">
        <f t="shared" si="19"/>
        <v>205.30639110499993</v>
      </c>
      <c r="K77" s="45">
        <f t="shared" si="19"/>
        <v>4.5919118285222566E-3</v>
      </c>
      <c r="L77" s="43">
        <f t="shared" si="19"/>
        <v>25</v>
      </c>
      <c r="M77" s="113"/>
      <c r="N77" s="113"/>
      <c r="O77" s="113" t="str">
        <f t="shared" si="20"/>
        <v>-</v>
      </c>
      <c r="P77" s="45" t="str">
        <f t="shared" si="20"/>
        <v/>
      </c>
      <c r="Q77" s="43" t="str">
        <f t="shared" si="20"/>
        <v/>
      </c>
    </row>
    <row r="78" spans="2:17" x14ac:dyDescent="0.3">
      <c r="B78" t="s">
        <v>594</v>
      </c>
      <c r="C78" s="43">
        <f t="shared" si="17"/>
        <v>93318.886699999988</v>
      </c>
      <c r="D78" s="45">
        <f t="shared" si="17"/>
        <v>5.0147276764195219E-2</v>
      </c>
      <c r="E78" s="43">
        <f t="shared" si="17"/>
        <v>5</v>
      </c>
      <c r="F78" s="43"/>
      <c r="G78" s="43">
        <f t="shared" si="18"/>
        <v>7740</v>
      </c>
      <c r="H78" s="43">
        <f t="shared" si="18"/>
        <v>92</v>
      </c>
      <c r="I78" s="43"/>
      <c r="J78" s="43">
        <f t="shared" si="19"/>
        <v>722.28818305799985</v>
      </c>
      <c r="K78" s="45">
        <f t="shared" si="19"/>
        <v>1.6154799826419555E-2</v>
      </c>
      <c r="L78" s="43">
        <f t="shared" si="19"/>
        <v>10</v>
      </c>
      <c r="M78" s="113"/>
      <c r="N78" s="113"/>
      <c r="O78" s="113">
        <f t="shared" si="20"/>
        <v>722.28818305799985</v>
      </c>
      <c r="P78" s="45">
        <f t="shared" si="20"/>
        <v>1.6636795131883535E-2</v>
      </c>
      <c r="Q78" s="43">
        <f t="shared" si="20"/>
        <v>10</v>
      </c>
    </row>
    <row r="79" spans="2:17" x14ac:dyDescent="0.3">
      <c r="B79" t="s">
        <v>1110</v>
      </c>
      <c r="C79" s="43">
        <f t="shared" si="17"/>
        <v>101133.1635</v>
      </c>
      <c r="D79" s="45">
        <f t="shared" si="17"/>
        <v>5.4346477111080947E-2</v>
      </c>
      <c r="E79" s="43">
        <f t="shared" si="17"/>
        <v>3</v>
      </c>
      <c r="F79" s="43"/>
      <c r="G79" s="43">
        <f t="shared" si="18"/>
        <v>11610</v>
      </c>
      <c r="H79" s="43">
        <f t="shared" si="18"/>
        <v>73</v>
      </c>
      <c r="I79" s="43"/>
      <c r="J79" s="43">
        <f t="shared" si="19"/>
        <v>1174.1560282349999</v>
      </c>
      <c r="K79" s="45">
        <f t="shared" si="19"/>
        <v>2.6261340066250395E-2</v>
      </c>
      <c r="L79" s="43">
        <f t="shared" si="19"/>
        <v>8</v>
      </c>
      <c r="M79" s="113"/>
      <c r="N79" s="113"/>
      <c r="O79" s="113">
        <f t="shared" si="20"/>
        <v>1174.1560282349999</v>
      </c>
      <c r="P79" s="45">
        <f t="shared" si="20"/>
        <v>2.7044874542884713E-2</v>
      </c>
      <c r="Q79" s="43">
        <f t="shared" si="20"/>
        <v>8</v>
      </c>
    </row>
    <row r="80" spans="2:17" x14ac:dyDescent="0.3">
      <c r="B80" s="125" t="s">
        <v>651</v>
      </c>
      <c r="C80" s="120">
        <f t="shared" si="17"/>
        <v>21528.955370000003</v>
      </c>
      <c r="D80" s="122">
        <f t="shared" si="17"/>
        <v>1.1569131625564036E-2</v>
      </c>
      <c r="E80" s="120">
        <f t="shared" si="17"/>
        <v>16</v>
      </c>
      <c r="F80" s="120"/>
      <c r="G80" s="120">
        <f t="shared" si="18"/>
        <v>6530</v>
      </c>
      <c r="H80" s="120">
        <f t="shared" si="18"/>
        <v>99</v>
      </c>
      <c r="I80" s="120"/>
      <c r="J80" s="120">
        <f t="shared" si="19"/>
        <v>140.58407856610003</v>
      </c>
      <c r="K80" s="122">
        <f t="shared" si="19"/>
        <v>3.1443234172842832E-3</v>
      </c>
      <c r="L80" s="120">
        <f t="shared" si="19"/>
        <v>37</v>
      </c>
      <c r="M80" s="123"/>
      <c r="N80" s="123"/>
      <c r="O80" s="123">
        <f t="shared" si="20"/>
        <v>140.58407856610003</v>
      </c>
      <c r="P80" s="122">
        <f t="shared" si="20"/>
        <v>3.2381375865885016E-3</v>
      </c>
      <c r="Q80" s="120">
        <f t="shared" si="20"/>
        <v>35</v>
      </c>
    </row>
    <row r="81" spans="2:17" x14ac:dyDescent="0.3">
      <c r="B81" s="126" t="s">
        <v>1118</v>
      </c>
      <c r="M81" s="94"/>
      <c r="N81" s="94"/>
      <c r="O81" s="127" t="s">
        <v>1119</v>
      </c>
      <c r="Q81" s="128" t="str">
        <f>+N7</f>
        <v>LIC/LMIC/LDC/SIDS</v>
      </c>
    </row>
    <row r="82" spans="2:17" x14ac:dyDescent="0.3">
      <c r="B82" s="126" t="s">
        <v>1120</v>
      </c>
      <c r="M82" s="94"/>
      <c r="N82" s="94"/>
      <c r="O82" s="127" t="s">
        <v>1121</v>
      </c>
      <c r="P82" s="126"/>
      <c r="Q82" s="129">
        <f>+($J$88-$O$88)/$J$88</f>
        <v>2.8971643976084076E-2</v>
      </c>
    </row>
    <row r="83" spans="2:17" x14ac:dyDescent="0.3">
      <c r="B83" s="126"/>
      <c r="M83" s="94"/>
      <c r="N83" s="94"/>
      <c r="O83" s="127"/>
      <c r="P83" s="126"/>
      <c r="Q83" s="129"/>
    </row>
    <row r="84" spans="2:17" x14ac:dyDescent="0.3">
      <c r="B84" s="126"/>
      <c r="M84" s="94"/>
      <c r="N84" s="94"/>
      <c r="O84" s="127"/>
      <c r="P84" s="126"/>
      <c r="Q84" s="129"/>
    </row>
    <row r="85" spans="2:17" x14ac:dyDescent="0.3">
      <c r="B85" s="106" t="s">
        <v>1122</v>
      </c>
      <c r="M85" s="94"/>
      <c r="N85" s="94"/>
      <c r="O85" s="94"/>
    </row>
    <row r="86" spans="2:17" x14ac:dyDescent="0.3">
      <c r="B86" s="107" t="s">
        <v>1123</v>
      </c>
      <c r="C86" s="107" t="str">
        <f>+C13</f>
        <v>Cumulative Emissions</v>
      </c>
      <c r="D86" s="107"/>
      <c r="E86" s="107"/>
      <c r="F86" s="107"/>
      <c r="G86" s="107" t="str">
        <f>+G13</f>
        <v>Income</v>
      </c>
      <c r="H86" s="107"/>
      <c r="I86" s="107"/>
      <c r="J86" s="107" t="str">
        <f>+J13</f>
        <v>Overall Fair Share</v>
      </c>
      <c r="K86" s="107"/>
      <c r="L86" s="107"/>
      <c r="M86" s="108"/>
      <c r="N86" s="108"/>
      <c r="O86" s="109" t="str">
        <f>+O13</f>
        <v>Overall Fair Share ^</v>
      </c>
      <c r="P86" s="107"/>
      <c r="Q86" s="108" t="s">
        <v>1124</v>
      </c>
    </row>
    <row r="87" spans="2:17" ht="43.2" x14ac:dyDescent="0.3">
      <c r="B87" s="110"/>
      <c r="C87" s="111" t="str">
        <f>+C14</f>
        <v>GHGs (MtCO2e)</v>
      </c>
      <c r="D87" s="111" t="str">
        <f>+D14</f>
        <v>% share</v>
      </c>
      <c r="E87" s="111" t="str">
        <f>+E14</f>
        <v>Rank</v>
      </c>
      <c r="F87" s="111"/>
      <c r="G87" s="111" t="str">
        <f>+G14</f>
        <v>GNI/hd (US$/hd)</v>
      </c>
      <c r="H87" s="111" t="str">
        <f>+H14</f>
        <v>Rank</v>
      </c>
      <c r="I87" s="111"/>
      <c r="J87" s="111" t="str">
        <f>+J14</f>
        <v>Score (pre- exclusions)</v>
      </c>
      <c r="K87" s="111" t="str">
        <f t="shared" ref="K87:O87" si="21">+K14</f>
        <v>Share</v>
      </c>
      <c r="L87" s="111" t="str">
        <f t="shared" si="21"/>
        <v>Rank</v>
      </c>
      <c r="M87" s="111" t="str">
        <f t="shared" si="21"/>
        <v>Group exclusions</v>
      </c>
      <c r="N87" s="130" t="str">
        <f t="shared" si="21"/>
        <v>Country exclusions</v>
      </c>
      <c r="O87" s="111" t="str">
        <f t="shared" si="21"/>
        <v>Score</v>
      </c>
      <c r="P87" s="111" t="str">
        <f>+P14</f>
        <v>Share</v>
      </c>
      <c r="Q87" s="111" t="str">
        <f>+Q14</f>
        <v>Rank</v>
      </c>
    </row>
    <row r="88" spans="2:17" x14ac:dyDescent="0.3">
      <c r="B88" s="8" t="s">
        <v>1125</v>
      </c>
      <c r="C88" s="33">
        <f>SUM(C90:C336)</f>
        <v>1826473.4431019593</v>
      </c>
      <c r="D88" s="131">
        <f>SUM(D90:D336)</f>
        <v>0.98150194984791284</v>
      </c>
      <c r="E88" s="131"/>
      <c r="F88" s="8"/>
      <c r="G88" s="8"/>
      <c r="H88" s="131"/>
      <c r="I88" s="8"/>
      <c r="J88" s="132">
        <f>SUMIF($G90:$G336,"&gt;0",J90:J336)</f>
        <v>44710.43843432649</v>
      </c>
      <c r="K88" s="131">
        <f>SUMIF($G90:$G336,"&gt;0",K90:K336)</f>
        <v>0.99999999999999989</v>
      </c>
      <c r="L88" s="131"/>
      <c r="M88" s="133"/>
      <c r="N88" s="133"/>
      <c r="O88" s="133">
        <f>SUMIF($G90:$G336,"&gt;0",O90:O336)</f>
        <v>43415.103529992557</v>
      </c>
      <c r="P88" s="131">
        <f>SUMIF($G90:$G336,"&gt;0",P90:P336)</f>
        <v>0.99999999999999989</v>
      </c>
      <c r="Q88" s="131"/>
    </row>
    <row r="89" spans="2:17" x14ac:dyDescent="0.3">
      <c r="B89" t="str">
        <f>+'[3]Country Results'!B7</f>
        <v>World</v>
      </c>
      <c r="C89" s="91">
        <f>INDEX('[3]Country Results'!$C$7:$AK$254,MATCH([3]Dashboard!$B89,'[3]Country Results'!$B$7:$B$254,0),MATCH([3]Dashboard!$C$8,'[3]Country Results'!$C$6:$AE$6,0))</f>
        <v>1860896.3980000003</v>
      </c>
      <c r="D89" s="45" cm="1">
        <f t="array" ref="D89">INDEX('[3]Country Results'!$L$7:$AE$254,MATCH([3]Dashboard!B89,'[3]Country Results'!$B$7:$B$254,0),MATCH($C$8,'[3]Country Results'!$L$6:$AE$6,0)+1)</f>
        <v>1</v>
      </c>
      <c r="E89" s="45"/>
      <c r="F89" s="43"/>
      <c r="G89" s="91" t="str">
        <f>IFERROR(INDEX('[3]Country Results'!$C$7:$AK$254,MATCH([3]Dashboard!$B89,'[3]Country Results'!$B$7:$B$254,0),MATCH([3]Dashboard!$C$9,'[3]Country Results'!$C$6:$AK$6,0)),"")</f>
        <v/>
      </c>
      <c r="H89" s="45"/>
      <c r="I89" s="43"/>
      <c r="J89" s="44" t="str">
        <f>IFERROR(C89*G89/1000000,"")</f>
        <v/>
      </c>
      <c r="K89" s="45" t="str">
        <f>IFERROR(E89/E$88,"")</f>
        <v/>
      </c>
      <c r="L89" s="45"/>
      <c r="M89" s="134"/>
      <c r="N89" s="134"/>
      <c r="O89" s="135" t="str">
        <f>IF(OR(M89="x",N89="x"),$Q$86,J89)</f>
        <v/>
      </c>
      <c r="P89" s="45" t="str">
        <f>IFERROR(J89/J$88,"")</f>
        <v/>
      </c>
      <c r="Q89" s="45"/>
    </row>
    <row r="90" spans="2:17" x14ac:dyDescent="0.3">
      <c r="B90" t="str">
        <f>+'[3]Country Results'!B8</f>
        <v>Afghanistan</v>
      </c>
      <c r="C90" s="91">
        <f>INDEX('[3]Country Results'!$C$7:$AK$254,MATCH([3]Dashboard!$B90,'[3]Country Results'!$B$7:$B$254,0),MATCH([3]Dashboard!$C$8,'[3]Country Results'!$C$6:$AE$6,0))</f>
        <v>985.30625899999995</v>
      </c>
      <c r="D90" s="45" cm="1">
        <f t="array" ref="D90">INDEX('[3]Country Results'!$L$7:$AE$254,MATCH([3]Dashboard!B90,'[3]Country Results'!$B$7:$B$254,0),MATCH($C$8,'[3]Country Results'!$L$6:$AE$6,0)+1)</f>
        <v>5.2947937352071752E-4</v>
      </c>
      <c r="E90" s="43">
        <f>IFERROR(RANK(D90,D$90:D$336),"")</f>
        <v>121</v>
      </c>
      <c r="F90" s="43"/>
      <c r="G90" s="91">
        <f>IFERROR(INDEX('[3]Country Results'!$C$7:$AK$254,MATCH([3]Dashboard!$B90,'[3]Country Results'!$B$7:$B$254,0),MATCH([3]Dashboard!$C$9,'[3]Country Results'!$C$6:$AK$6,0)),"")</f>
        <v>390</v>
      </c>
      <c r="H90" s="43">
        <f>IFERROR(RANK(G90,G$90:G$336),"")</f>
        <v>202</v>
      </c>
      <c r="I90" s="43"/>
      <c r="J90" s="44">
        <f>IFERROR(C90*G90^$C$10/1000000,"")</f>
        <v>0.38426944100999999</v>
      </c>
      <c r="K90" s="45">
        <f>IFERROR(J90/J$88,"")</f>
        <v>8.5946247557925246E-6</v>
      </c>
      <c r="L90" s="43">
        <f>IFERROR(RANK(K90,K$90:K$336),"")</f>
        <v>164</v>
      </c>
      <c r="M90" s="136" t="str">
        <f>IF(G90="","",INDEX([3]Countries!$C$7:$AO$254,MATCH([3]Dashboard!$B90,[3]Countries!$B$7:$B$254,0),MATCH([3]Dashboard!$N$7,[3]Countries!$C$6:$AO$6,0)))</f>
        <v>x</v>
      </c>
      <c r="N90" s="137"/>
      <c r="O90" s="135" t="str">
        <f>IF(OR(M90="x",N90="x"),$Q$86,J90)</f>
        <v>-</v>
      </c>
      <c r="P90" s="45" t="str">
        <f>IFERROR(O90/O$88,"")</f>
        <v/>
      </c>
      <c r="Q90" s="43" t="str">
        <f>IFERROR(RANK(P90,P$90:P$336),"")</f>
        <v/>
      </c>
    </row>
    <row r="91" spans="2:17" x14ac:dyDescent="0.3">
      <c r="B91" t="str">
        <f>+'[3]Country Results'!B9</f>
        <v>Africa</v>
      </c>
      <c r="C91" s="91" t="str">
        <f>INDEX('[3]Country Results'!$C$7:$AK$254,MATCH([3]Dashboard!$B91,'[3]Country Results'!$B$7:$B$254,0),MATCH([3]Dashboard!$C$8,'[3]Country Results'!$C$6:$AE$6,0))</f>
        <v/>
      </c>
      <c r="D91" s="45" t="str" cm="1">
        <f t="array" ref="D91">INDEX('[3]Country Results'!$L$7:$AE$254,MATCH([3]Dashboard!B91,'[3]Country Results'!$B$7:$B$254,0),MATCH($C$8,'[3]Country Results'!$L$6:$AE$6,0)+1)</f>
        <v/>
      </c>
      <c r="E91" s="43" t="str">
        <f t="shared" ref="E91:E154" si="22">IFERROR(RANK(D91,D$90:D$336),"")</f>
        <v/>
      </c>
      <c r="F91" s="43"/>
      <c r="G91" s="91" t="str">
        <f>IFERROR(INDEX('[3]Country Results'!$C$7:$AK$254,MATCH([3]Dashboard!$B91,'[3]Country Results'!$B$7:$B$254,0),MATCH([3]Dashboard!$C$9,'[3]Country Results'!$C$6:$AK$6,0)),"")</f>
        <v/>
      </c>
      <c r="H91" s="43" t="str">
        <f t="shared" ref="H91:H154" si="23">IFERROR(RANK(G91,G$90:G$336),"")</f>
        <v/>
      </c>
      <c r="I91" s="43"/>
      <c r="J91" s="44" t="str">
        <f t="shared" ref="J91:J154" si="24">IFERROR(C91*G91^$C$10/1000000,"")</f>
        <v/>
      </c>
      <c r="K91" s="45" t="str">
        <f t="shared" ref="K91:K154" si="25">IFERROR(J91/J$88,"")</f>
        <v/>
      </c>
      <c r="L91" s="43" t="str">
        <f t="shared" ref="L91:L154" si="26">IFERROR(RANK(K91,K$90:K$336),"")</f>
        <v/>
      </c>
      <c r="M91" s="136" t="str">
        <f>IF(G91="","",INDEX([3]Countries!$C$7:$AO$254,MATCH([3]Dashboard!$B91,[3]Countries!$B$7:$B$254,0),MATCH([3]Dashboard!$N$7,[3]Countries!$C$6:$AO$6,0)))</f>
        <v/>
      </c>
      <c r="N91" s="137"/>
      <c r="O91" s="135" t="str">
        <f t="shared" ref="O91:O154" si="27">IF(OR(M91="x",N91="x"),$Q$86,J91)</f>
        <v/>
      </c>
      <c r="P91" s="45" t="str">
        <f t="shared" ref="P91:P154" si="28">IFERROR(O91/O$88,"")</f>
        <v/>
      </c>
      <c r="Q91" s="43" t="str">
        <f t="shared" ref="Q91:Q154" si="29">IFERROR(RANK(P91,P$90:P$336),"")</f>
        <v/>
      </c>
    </row>
    <row r="92" spans="2:17" x14ac:dyDescent="0.3">
      <c r="B92" t="str">
        <f>+'[3]Country Results'!B10</f>
        <v>Africa (GCP)</v>
      </c>
      <c r="C92" s="91" t="str">
        <f>INDEX('[3]Country Results'!$C$7:$AK$254,MATCH([3]Dashboard!$B92,'[3]Country Results'!$B$7:$B$254,0),MATCH([3]Dashboard!$C$8,'[3]Country Results'!$C$6:$AE$6,0))</f>
        <v/>
      </c>
      <c r="D92" s="45" t="str" cm="1">
        <f t="array" ref="D92">INDEX('[3]Country Results'!$L$7:$AE$254,MATCH([3]Dashboard!B92,'[3]Country Results'!$B$7:$B$254,0),MATCH($C$8,'[3]Country Results'!$L$6:$AE$6,0)+1)</f>
        <v/>
      </c>
      <c r="E92" s="43" t="str">
        <f t="shared" si="22"/>
        <v/>
      </c>
      <c r="F92" s="43"/>
      <c r="G92" s="91" t="str">
        <f>IFERROR(INDEX('[3]Country Results'!$C$7:$AK$254,MATCH([3]Dashboard!$B92,'[3]Country Results'!$B$7:$B$254,0),MATCH([3]Dashboard!$C$9,'[3]Country Results'!$C$6:$AK$6,0)),"")</f>
        <v/>
      </c>
      <c r="H92" s="43" t="str">
        <f t="shared" si="23"/>
        <v/>
      </c>
      <c r="I92" s="43"/>
      <c r="J92" s="44" t="str">
        <f t="shared" si="24"/>
        <v/>
      </c>
      <c r="K92" s="45" t="str">
        <f t="shared" si="25"/>
        <v/>
      </c>
      <c r="L92" s="43" t="str">
        <f t="shared" si="26"/>
        <v/>
      </c>
      <c r="M92" s="136" t="str">
        <f>IF(G92="","",INDEX([3]Countries!$C$7:$AO$254,MATCH([3]Dashboard!$B92,[3]Countries!$B$7:$B$254,0),MATCH([3]Dashboard!$N$7,[3]Countries!$C$6:$AO$6,0)))</f>
        <v/>
      </c>
      <c r="N92" s="137"/>
      <c r="O92" s="135" t="str">
        <f t="shared" si="27"/>
        <v/>
      </c>
      <c r="P92" s="45" t="str">
        <f t="shared" si="28"/>
        <v/>
      </c>
      <c r="Q92" s="43" t="str">
        <f t="shared" si="29"/>
        <v/>
      </c>
    </row>
    <row r="93" spans="2:17" x14ac:dyDescent="0.3">
      <c r="B93" t="str">
        <f>+'[3]Country Results'!B11</f>
        <v>Albania</v>
      </c>
      <c r="C93" s="91">
        <f>INDEX('[3]Country Results'!$C$7:$AK$254,MATCH([3]Dashboard!$B93,'[3]Country Results'!$B$7:$B$254,0),MATCH([3]Dashboard!$C$8,'[3]Country Results'!$C$6:$AE$6,0))</f>
        <v>414.48587150000003</v>
      </c>
      <c r="D93" s="45" cm="1">
        <f t="array" ref="D93">INDEX('[3]Country Results'!$L$7:$AE$254,MATCH([3]Dashboard!B93,'[3]Country Results'!$B$7:$B$254,0),MATCH($C$8,'[3]Country Results'!$L$6:$AE$6,0)+1)</f>
        <v>2.2273452296724794E-4</v>
      </c>
      <c r="E93" s="43">
        <f t="shared" si="22"/>
        <v>150</v>
      </c>
      <c r="F93" s="43"/>
      <c r="G93" s="91">
        <f>IFERROR(INDEX('[3]Country Results'!$C$7:$AK$254,MATCH([3]Dashboard!$B93,'[3]Country Results'!$B$7:$B$254,0),MATCH([3]Dashboard!$C$9,'[3]Country Results'!$C$6:$AK$6,0)),"")</f>
        <v>6110</v>
      </c>
      <c r="H93" s="43">
        <f t="shared" si="23"/>
        <v>105</v>
      </c>
      <c r="I93" s="43"/>
      <c r="J93" s="44">
        <f t="shared" si="24"/>
        <v>2.5325086748650003</v>
      </c>
      <c r="K93" s="45">
        <f t="shared" si="25"/>
        <v>5.6642447794040506E-5</v>
      </c>
      <c r="L93" s="43">
        <f t="shared" si="26"/>
        <v>124</v>
      </c>
      <c r="M93" s="136" t="str">
        <f>IF(G93="","",INDEX([3]Countries!$C$7:$AO$254,MATCH([3]Dashboard!$B93,[3]Countries!$B$7:$B$254,0),MATCH([3]Dashboard!$N$7,[3]Countries!$C$6:$AO$6,0)))</f>
        <v/>
      </c>
      <c r="N93" s="137"/>
      <c r="O93" s="135">
        <f t="shared" si="27"/>
        <v>2.5325086748650003</v>
      </c>
      <c r="P93" s="45">
        <f t="shared" si="28"/>
        <v>5.8332434313221465E-5</v>
      </c>
      <c r="Q93" s="43">
        <f t="shared" si="29"/>
        <v>83</v>
      </c>
    </row>
    <row r="94" spans="2:17" x14ac:dyDescent="0.3">
      <c r="B94" t="str">
        <f>+'[3]Country Results'!B12</f>
        <v>Algeria</v>
      </c>
      <c r="C94" s="91">
        <f>INDEX('[3]Country Results'!$C$7:$AK$254,MATCH([3]Dashboard!$B94,'[3]Country Results'!$B$7:$B$254,0),MATCH([3]Dashboard!$C$8,'[3]Country Results'!$C$6:$AE$6,0))</f>
        <v>8219.7539800000013</v>
      </c>
      <c r="D94" s="45" cm="1">
        <f t="array" ref="D94">INDEX('[3]Country Results'!$L$7:$AE$254,MATCH([3]Dashboard!B94,'[3]Country Results'!$B$7:$B$254,0),MATCH($C$8,'[3]Country Results'!$L$6:$AE$6,0)+1)</f>
        <v>4.4170938203944013E-3</v>
      </c>
      <c r="E94" s="43">
        <f t="shared" si="22"/>
        <v>39</v>
      </c>
      <c r="F94" s="43"/>
      <c r="G94" s="91">
        <f>IFERROR(INDEX('[3]Country Results'!$C$7:$AK$254,MATCH([3]Dashboard!$B94,'[3]Country Results'!$B$7:$B$254,0),MATCH([3]Dashboard!$C$9,'[3]Country Results'!$C$6:$AK$6,0)),"")</f>
        <v>3660</v>
      </c>
      <c r="H94" s="43">
        <f t="shared" si="23"/>
        <v>132</v>
      </c>
      <c r="I94" s="43"/>
      <c r="J94" s="44">
        <f t="shared" si="24"/>
        <v>30.084299566800006</v>
      </c>
      <c r="K94" s="45">
        <f t="shared" si="25"/>
        <v>6.7286970605286546E-4</v>
      </c>
      <c r="L94" s="43">
        <f t="shared" si="26"/>
        <v>66</v>
      </c>
      <c r="M94" s="136" t="str">
        <f>IF(G94="","",INDEX([3]Countries!$C$7:$AO$254,MATCH([3]Dashboard!$B94,[3]Countries!$B$7:$B$254,0),MATCH([3]Dashboard!$N$7,[3]Countries!$C$6:$AO$6,0)))</f>
        <v>x</v>
      </c>
      <c r="N94" s="137"/>
      <c r="O94" s="135" t="str">
        <f t="shared" si="27"/>
        <v>-</v>
      </c>
      <c r="P94" s="45" t="str">
        <f t="shared" si="28"/>
        <v/>
      </c>
      <c r="Q94" s="43" t="str">
        <f t="shared" si="29"/>
        <v/>
      </c>
    </row>
    <row r="95" spans="2:17" x14ac:dyDescent="0.3">
      <c r="B95" t="str">
        <f>+'[3]Country Results'!B13</f>
        <v>Andorra</v>
      </c>
      <c r="C95" s="91">
        <f>INDEX('[3]Country Results'!$C$7:$AK$254,MATCH([3]Dashboard!$B95,'[3]Country Results'!$B$7:$B$254,0),MATCH([3]Dashboard!$C$8,'[3]Country Results'!$C$6:$AE$6,0))</f>
        <v>22.204697990000003</v>
      </c>
      <c r="D95" s="45" cm="1">
        <f t="array" ref="D95">INDEX('[3]Country Results'!$L$7:$AE$254,MATCH([3]Dashboard!B95,'[3]Country Results'!$B$7:$B$254,0),MATCH($C$8,'[3]Country Results'!$L$6:$AE$6,0)+1)</f>
        <v>1.1932259105807565E-5</v>
      </c>
      <c r="E95" s="43">
        <f t="shared" si="22"/>
        <v>178</v>
      </c>
      <c r="F95" s="43"/>
      <c r="G95" s="91">
        <f>IFERROR(INDEX('[3]Country Results'!$C$7:$AK$254,MATCH([3]Dashboard!$B95,'[3]Country Results'!$B$7:$B$254,0),MATCH([3]Dashboard!$C$9,'[3]Country Results'!$C$6:$AK$6,0)),"")</f>
        <v>46530</v>
      </c>
      <c r="H95" s="43">
        <f t="shared" si="23"/>
        <v>22</v>
      </c>
      <c r="I95" s="43"/>
      <c r="J95" s="44">
        <f t="shared" si="24"/>
        <v>1.0331845974747003</v>
      </c>
      <c r="K95" s="45">
        <f t="shared" si="25"/>
        <v>2.310835307491576E-5</v>
      </c>
      <c r="L95" s="43">
        <f t="shared" si="26"/>
        <v>148</v>
      </c>
      <c r="M95" s="136" t="str">
        <f>IF(G95="","",INDEX([3]Countries!$C$7:$AO$254,MATCH([3]Dashboard!$B95,[3]Countries!$B$7:$B$254,0),MATCH([3]Dashboard!$N$7,[3]Countries!$C$6:$AO$6,0)))</f>
        <v/>
      </c>
      <c r="N95" s="137"/>
      <c r="O95" s="135">
        <f t="shared" si="27"/>
        <v>1.0331845974747003</v>
      </c>
      <c r="P95" s="45">
        <f t="shared" si="28"/>
        <v>2.3797814895476248E-5</v>
      </c>
      <c r="Q95" s="43">
        <f t="shared" si="29"/>
        <v>86</v>
      </c>
    </row>
    <row r="96" spans="2:17" x14ac:dyDescent="0.3">
      <c r="B96" t="str">
        <f>+'[3]Country Results'!B14</f>
        <v>Angola</v>
      </c>
      <c r="C96" s="91">
        <f>INDEX('[3]Country Results'!$C$7:$AK$254,MATCH([3]Dashboard!$B96,'[3]Country Results'!$B$7:$B$254,0),MATCH([3]Dashboard!$C$8,'[3]Country Results'!$C$6:$AE$6,0))</f>
        <v>5997.2018079999998</v>
      </c>
      <c r="D96" s="45" cm="1">
        <f t="array" ref="D96">INDEX('[3]Country Results'!$L$7:$AE$254,MATCH([3]Dashboard!B96,'[3]Country Results'!$B$7:$B$254,0),MATCH($C$8,'[3]Country Results'!$L$6:$AE$6,0)+1)</f>
        <v>3.2227488937296546E-3</v>
      </c>
      <c r="E96" s="43">
        <f t="shared" si="22"/>
        <v>48</v>
      </c>
      <c r="F96" s="43"/>
      <c r="G96" s="91">
        <f>IFERROR(INDEX('[3]Country Results'!$C$7:$AK$254,MATCH([3]Dashboard!$B96,'[3]Country Results'!$B$7:$B$254,0),MATCH([3]Dashboard!$C$9,'[3]Country Results'!$C$6:$AK$6,0)),"")</f>
        <v>1710</v>
      </c>
      <c r="H96" s="43">
        <f t="shared" si="23"/>
        <v>161</v>
      </c>
      <c r="I96" s="43"/>
      <c r="J96" s="44">
        <f t="shared" si="24"/>
        <v>10.25521509168</v>
      </c>
      <c r="K96" s="45">
        <f t="shared" si="25"/>
        <v>2.2936959356244084E-4</v>
      </c>
      <c r="L96" s="43">
        <f t="shared" si="26"/>
        <v>89</v>
      </c>
      <c r="M96" s="136" t="str">
        <f>IF(G96="","",INDEX([3]Countries!$C$7:$AO$254,MATCH([3]Dashboard!$B96,[3]Countries!$B$7:$B$254,0),MATCH([3]Dashboard!$N$7,[3]Countries!$C$6:$AO$6,0)))</f>
        <v>x</v>
      </c>
      <c r="N96" s="137"/>
      <c r="O96" s="135" t="str">
        <f t="shared" si="27"/>
        <v>-</v>
      </c>
      <c r="P96" s="45" t="str">
        <f t="shared" si="28"/>
        <v/>
      </c>
      <c r="Q96" s="43" t="str">
        <f t="shared" si="29"/>
        <v/>
      </c>
    </row>
    <row r="97" spans="2:17" x14ac:dyDescent="0.3">
      <c r="B97" t="str">
        <f>+'[3]Country Results'!B15</f>
        <v>Anguilla</v>
      </c>
      <c r="C97" s="91">
        <f>INDEX('[3]Country Results'!$C$7:$AK$254,MATCH([3]Dashboard!$B97,'[3]Country Results'!$B$7:$B$254,0),MATCH([3]Dashboard!$C$8,'[3]Country Results'!$C$6:$AE$6,0))</f>
        <v>0</v>
      </c>
      <c r="D97" s="45" cm="1">
        <f t="array" ref="D97">INDEX('[3]Country Results'!$L$7:$AE$254,MATCH([3]Dashboard!B97,'[3]Country Results'!$B$7:$B$254,0),MATCH($C$8,'[3]Country Results'!$L$6:$AE$6,0)+1)</f>
        <v>0</v>
      </c>
      <c r="E97" s="43">
        <f t="shared" si="22"/>
        <v>200</v>
      </c>
      <c r="F97" s="43"/>
      <c r="G97" s="91" t="str">
        <f>IFERROR(INDEX('[3]Country Results'!$C$7:$AK$254,MATCH([3]Dashboard!$B97,'[3]Country Results'!$B$7:$B$254,0),MATCH([3]Dashboard!$C$9,'[3]Country Results'!$C$6:$AK$6,0)),"")</f>
        <v/>
      </c>
      <c r="H97" s="43" t="str">
        <f t="shared" si="23"/>
        <v/>
      </c>
      <c r="I97" s="43"/>
      <c r="J97" s="44" t="str">
        <f t="shared" si="24"/>
        <v/>
      </c>
      <c r="K97" s="45" t="str">
        <f t="shared" si="25"/>
        <v/>
      </c>
      <c r="L97" s="43" t="str">
        <f t="shared" si="26"/>
        <v/>
      </c>
      <c r="M97" s="136" t="str">
        <f>IF(G97="","",INDEX([3]Countries!$C$7:$AO$254,MATCH([3]Dashboard!$B97,[3]Countries!$B$7:$B$254,0),MATCH([3]Dashboard!$N$7,[3]Countries!$C$6:$AO$6,0)))</f>
        <v/>
      </c>
      <c r="N97" s="137"/>
      <c r="O97" s="135" t="str">
        <f t="shared" si="27"/>
        <v/>
      </c>
      <c r="P97" s="45" t="str">
        <f t="shared" si="28"/>
        <v/>
      </c>
      <c r="Q97" s="43" t="str">
        <f t="shared" si="29"/>
        <v/>
      </c>
    </row>
    <row r="98" spans="2:17" x14ac:dyDescent="0.3">
      <c r="B98" t="str">
        <f>+'[3]Country Results'!B16</f>
        <v>Antigua and Barbuda</v>
      </c>
      <c r="C98" s="91">
        <f>INDEX('[3]Country Results'!$C$7:$AK$254,MATCH([3]Dashboard!$B98,'[3]Country Results'!$B$7:$B$254,0),MATCH([3]Dashboard!$C$8,'[3]Country Results'!$C$6:$AE$6,0))</f>
        <v>18.085222890000008</v>
      </c>
      <c r="D98" s="45" cm="1">
        <f t="array" ref="D98">INDEX('[3]Country Results'!$L$7:$AE$254,MATCH([3]Dashboard!B98,'[3]Country Results'!$B$7:$B$254,0),MATCH($C$8,'[3]Country Results'!$L$6:$AE$6,0)+1)</f>
        <v>9.7185544071325589E-6</v>
      </c>
      <c r="E98" s="43">
        <f t="shared" si="22"/>
        <v>179</v>
      </c>
      <c r="F98" s="43"/>
      <c r="G98" s="91">
        <f>IFERROR(INDEX('[3]Country Results'!$C$7:$AK$254,MATCH([3]Dashboard!$B98,'[3]Country Results'!$B$7:$B$254,0),MATCH([3]Dashboard!$C$9,'[3]Country Results'!$C$6:$AK$6,0)),"")</f>
        <v>15780</v>
      </c>
      <c r="H98" s="43">
        <f t="shared" si="23"/>
        <v>62</v>
      </c>
      <c r="I98" s="43"/>
      <c r="J98" s="44">
        <f t="shared" si="24"/>
        <v>0.28538481720420011</v>
      </c>
      <c r="K98" s="45">
        <f t="shared" si="25"/>
        <v>6.3829572510990094E-6</v>
      </c>
      <c r="L98" s="43">
        <f t="shared" si="26"/>
        <v>169</v>
      </c>
      <c r="M98" s="136" t="str">
        <f>IF(G98="","",INDEX([3]Countries!$C$7:$AO$254,MATCH([3]Dashboard!$B98,[3]Countries!$B$7:$B$254,0),MATCH([3]Dashboard!$N$7,[3]Countries!$C$6:$AO$6,0)))</f>
        <v>x</v>
      </c>
      <c r="N98" s="137"/>
      <c r="O98" s="135" t="str">
        <f t="shared" si="27"/>
        <v>-</v>
      </c>
      <c r="P98" s="45" t="str">
        <f t="shared" si="28"/>
        <v/>
      </c>
      <c r="Q98" s="43" t="str">
        <f t="shared" si="29"/>
        <v/>
      </c>
    </row>
    <row r="99" spans="2:17" x14ac:dyDescent="0.3">
      <c r="B99" t="str">
        <f>+'[3]Country Results'!B17</f>
        <v>Argentina</v>
      </c>
      <c r="C99" s="91">
        <f>INDEX('[3]Country Results'!$C$7:$AK$254,MATCH([3]Dashboard!$B99,'[3]Country Results'!$B$7:$B$254,0),MATCH([3]Dashboard!$C$8,'[3]Country Results'!$C$6:$AE$6,0))</f>
        <v>17123.30168</v>
      </c>
      <c r="D99" s="45" cm="1">
        <f t="array" ref="D99">INDEX('[3]Country Results'!$L$7:$AE$254,MATCH([3]Dashboard!B99,'[3]Country Results'!$B$7:$B$254,0),MATCH($C$8,'[3]Country Results'!$L$6:$AE$6,0)+1)</f>
        <v>9.2016415843478878E-3</v>
      </c>
      <c r="E99" s="43">
        <f t="shared" si="22"/>
        <v>22</v>
      </c>
      <c r="F99" s="43"/>
      <c r="G99" s="91">
        <f>IFERROR(INDEX('[3]Country Results'!$C$7:$AK$254,MATCH([3]Dashboard!$B99,'[3]Country Results'!$B$7:$B$254,0),MATCH([3]Dashboard!$C$9,'[3]Country Results'!$C$6:$AK$6,0)),"")</f>
        <v>9960</v>
      </c>
      <c r="H99" s="43">
        <f t="shared" si="23"/>
        <v>76</v>
      </c>
      <c r="I99" s="43"/>
      <c r="J99" s="44">
        <f t="shared" si="24"/>
        <v>170.54808473280002</v>
      </c>
      <c r="K99" s="45">
        <f t="shared" si="25"/>
        <v>3.8145026241089494E-3</v>
      </c>
      <c r="L99" s="43">
        <f t="shared" si="26"/>
        <v>31</v>
      </c>
      <c r="M99" s="136" t="str">
        <f>IF(G99="","",INDEX([3]Countries!$C$7:$AO$254,MATCH([3]Dashboard!$B99,[3]Countries!$B$7:$B$254,0),MATCH([3]Dashboard!$N$7,[3]Countries!$C$6:$AO$6,0)))</f>
        <v/>
      </c>
      <c r="N99" s="137"/>
      <c r="O99" s="135">
        <f t="shared" si="27"/>
        <v>170.54808473280002</v>
      </c>
      <c r="P99" s="45">
        <f t="shared" si="28"/>
        <v>3.9283122891778871E-3</v>
      </c>
      <c r="Q99" s="43">
        <f t="shared" si="29"/>
        <v>29</v>
      </c>
    </row>
    <row r="100" spans="2:17" x14ac:dyDescent="0.3">
      <c r="B100" t="str">
        <f>+'[3]Country Results'!B18</f>
        <v>Armenia</v>
      </c>
      <c r="C100" s="91">
        <f>INDEX('[3]Country Results'!$C$7:$AK$254,MATCH([3]Dashboard!$B100,'[3]Country Results'!$B$7:$B$254,0),MATCH([3]Dashboard!$C$8,'[3]Country Results'!$C$6:$AE$6,0))</f>
        <v>413.29346050000009</v>
      </c>
      <c r="D100" s="45" cm="1">
        <f t="array" ref="D100">INDEX('[3]Country Results'!$L$7:$AE$254,MATCH([3]Dashboard!B100,'[3]Country Results'!$B$7:$B$254,0),MATCH($C$8,'[3]Country Results'!$L$6:$AE$6,0)+1)</f>
        <v>2.220937505947067E-4</v>
      </c>
      <c r="E100" s="43">
        <f t="shared" si="22"/>
        <v>151</v>
      </c>
      <c r="F100" s="43"/>
      <c r="G100" s="91">
        <f>IFERROR(INDEX('[3]Country Results'!$C$7:$AK$254,MATCH([3]Dashboard!$B100,'[3]Country Results'!$B$7:$B$254,0),MATCH([3]Dashboard!$C$9,'[3]Country Results'!$C$6:$AK$6,0)),"")</f>
        <v>4850</v>
      </c>
      <c r="H100" s="43">
        <f t="shared" si="23"/>
        <v>117</v>
      </c>
      <c r="I100" s="43"/>
      <c r="J100" s="44">
        <f t="shared" si="24"/>
        <v>2.0044732834250003</v>
      </c>
      <c r="K100" s="45">
        <f t="shared" si="25"/>
        <v>4.4832333424090597E-5</v>
      </c>
      <c r="L100" s="43">
        <f t="shared" si="26"/>
        <v>132</v>
      </c>
      <c r="M100" s="136" t="str">
        <f>IF(G100="","",INDEX([3]Countries!$C$7:$AO$254,MATCH([3]Dashboard!$B100,[3]Countries!$B$7:$B$254,0),MATCH([3]Dashboard!$N$7,[3]Countries!$C$6:$AO$6,0)))</f>
        <v/>
      </c>
      <c r="N100" s="137"/>
      <c r="O100" s="135">
        <f t="shared" si="27"/>
        <v>2.0044732834250003</v>
      </c>
      <c r="P100" s="45">
        <f t="shared" si="28"/>
        <v>4.6169952860765271E-5</v>
      </c>
      <c r="Q100" s="43">
        <f t="shared" si="29"/>
        <v>85</v>
      </c>
    </row>
    <row r="101" spans="2:17" x14ac:dyDescent="0.3">
      <c r="B101" t="str">
        <f>+'[3]Country Results'!B19</f>
        <v>Aruba</v>
      </c>
      <c r="C101" s="91">
        <f>INDEX('[3]Country Results'!$C$7:$AK$254,MATCH([3]Dashboard!$B101,'[3]Country Results'!$B$7:$B$254,0),MATCH([3]Dashboard!$C$8,'[3]Country Results'!$C$6:$AE$6,0))</f>
        <v>55.536872150000001</v>
      </c>
      <c r="D101" s="45" cm="1">
        <f t="array" ref="D101">INDEX('[3]Country Results'!$L$7:$AE$254,MATCH([3]Dashboard!B101,'[3]Country Results'!$B$7:$B$254,0),MATCH($C$8,'[3]Country Results'!$L$6:$AE$6,0)+1)</f>
        <v>2.9844150490961395E-5</v>
      </c>
      <c r="E101" s="43">
        <f t="shared" si="22"/>
        <v>174</v>
      </c>
      <c r="F101" s="43"/>
      <c r="G101" s="91">
        <f>IFERROR(INDEX('[3]Country Results'!$C$7:$AK$254,MATCH([3]Dashboard!$B101,'[3]Country Results'!$B$7:$B$254,0),MATCH([3]Dashboard!$C$9,'[3]Country Results'!$C$6:$AK$6,0)),"")</f>
        <v>29390</v>
      </c>
      <c r="H101" s="43">
        <f t="shared" si="23"/>
        <v>37</v>
      </c>
      <c r="I101" s="43"/>
      <c r="J101" s="44">
        <f t="shared" si="24"/>
        <v>1.6322286724885002</v>
      </c>
      <c r="K101" s="45">
        <f t="shared" si="25"/>
        <v>3.6506657721239315E-5</v>
      </c>
      <c r="L101" s="43">
        <f t="shared" si="26"/>
        <v>135</v>
      </c>
      <c r="M101" s="136" t="str">
        <f>IF(G101="","",INDEX([3]Countries!$C$7:$AO$254,MATCH([3]Dashboard!$B101,[3]Countries!$B$7:$B$254,0),MATCH([3]Dashboard!$N$7,[3]Countries!$C$6:$AO$6,0)))</f>
        <v>x</v>
      </c>
      <c r="N101" s="137"/>
      <c r="O101" s="135" t="str">
        <f t="shared" si="27"/>
        <v>-</v>
      </c>
      <c r="P101" s="45" t="str">
        <f t="shared" si="28"/>
        <v/>
      </c>
      <c r="Q101" s="43" t="str">
        <f t="shared" si="29"/>
        <v/>
      </c>
    </row>
    <row r="102" spans="2:17" x14ac:dyDescent="0.3">
      <c r="B102" t="str">
        <f>+'[3]Country Results'!B20</f>
        <v>Asia</v>
      </c>
      <c r="C102" s="91" t="str">
        <f>INDEX('[3]Country Results'!$C$7:$AK$254,MATCH([3]Dashboard!$B102,'[3]Country Results'!$B$7:$B$254,0),MATCH([3]Dashboard!$C$8,'[3]Country Results'!$C$6:$AE$6,0))</f>
        <v/>
      </c>
      <c r="D102" s="45" t="str" cm="1">
        <f t="array" ref="D102">INDEX('[3]Country Results'!$L$7:$AE$254,MATCH([3]Dashboard!B102,'[3]Country Results'!$B$7:$B$254,0),MATCH($C$8,'[3]Country Results'!$L$6:$AE$6,0)+1)</f>
        <v/>
      </c>
      <c r="E102" s="43" t="str">
        <f t="shared" si="22"/>
        <v/>
      </c>
      <c r="F102" s="43"/>
      <c r="G102" s="91" t="str">
        <f>IFERROR(INDEX('[3]Country Results'!$C$7:$AK$254,MATCH([3]Dashboard!$B102,'[3]Country Results'!$B$7:$B$254,0),MATCH([3]Dashboard!$C$9,'[3]Country Results'!$C$6:$AK$6,0)),"")</f>
        <v/>
      </c>
      <c r="H102" s="43" t="str">
        <f t="shared" si="23"/>
        <v/>
      </c>
      <c r="I102" s="43"/>
      <c r="J102" s="44" t="str">
        <f t="shared" si="24"/>
        <v/>
      </c>
      <c r="K102" s="45" t="str">
        <f t="shared" si="25"/>
        <v/>
      </c>
      <c r="L102" s="43" t="str">
        <f t="shared" si="26"/>
        <v/>
      </c>
      <c r="M102" s="136" t="str">
        <f>IF(G102="","",INDEX([3]Countries!$C$7:$AO$254,MATCH([3]Dashboard!$B102,[3]Countries!$B$7:$B$254,0),MATCH([3]Dashboard!$N$7,[3]Countries!$C$6:$AO$6,0)))</f>
        <v/>
      </c>
      <c r="N102" s="137"/>
      <c r="O102" s="135" t="str">
        <f t="shared" si="27"/>
        <v/>
      </c>
      <c r="P102" s="45" t="str">
        <f t="shared" si="28"/>
        <v/>
      </c>
      <c r="Q102" s="43" t="str">
        <f t="shared" si="29"/>
        <v/>
      </c>
    </row>
    <row r="103" spans="2:17" x14ac:dyDescent="0.3">
      <c r="B103" t="str">
        <f>+'[3]Country Results'!B21</f>
        <v>Asia (GCP)</v>
      </c>
      <c r="C103" s="91" t="str">
        <f>INDEX('[3]Country Results'!$C$7:$AK$254,MATCH([3]Dashboard!$B103,'[3]Country Results'!$B$7:$B$254,0),MATCH([3]Dashboard!$C$8,'[3]Country Results'!$C$6:$AE$6,0))</f>
        <v/>
      </c>
      <c r="D103" s="45" t="str" cm="1">
        <f t="array" ref="D103">INDEX('[3]Country Results'!$L$7:$AE$254,MATCH([3]Dashboard!B103,'[3]Country Results'!$B$7:$B$254,0),MATCH($C$8,'[3]Country Results'!$L$6:$AE$6,0)+1)</f>
        <v/>
      </c>
      <c r="E103" s="43" t="str">
        <f t="shared" si="22"/>
        <v/>
      </c>
      <c r="F103" s="43"/>
      <c r="G103" s="91" t="str">
        <f>IFERROR(INDEX('[3]Country Results'!$C$7:$AK$254,MATCH([3]Dashboard!$B103,'[3]Country Results'!$B$7:$B$254,0),MATCH([3]Dashboard!$C$9,'[3]Country Results'!$C$6:$AK$6,0)),"")</f>
        <v/>
      </c>
      <c r="H103" s="43" t="str">
        <f t="shared" si="23"/>
        <v/>
      </c>
      <c r="I103" s="43"/>
      <c r="J103" s="44" t="str">
        <f t="shared" si="24"/>
        <v/>
      </c>
      <c r="K103" s="45" t="str">
        <f t="shared" si="25"/>
        <v/>
      </c>
      <c r="L103" s="43" t="str">
        <f t="shared" si="26"/>
        <v/>
      </c>
      <c r="M103" s="136" t="str">
        <f>IF(G103="","",INDEX([3]Countries!$C$7:$AO$254,MATCH([3]Dashboard!$B103,[3]Countries!$B$7:$B$254,0),MATCH([3]Dashboard!$N$7,[3]Countries!$C$6:$AO$6,0)))</f>
        <v/>
      </c>
      <c r="N103" s="137"/>
      <c r="O103" s="135" t="str">
        <f t="shared" si="27"/>
        <v/>
      </c>
      <c r="P103" s="45" t="str">
        <f t="shared" si="28"/>
        <v/>
      </c>
      <c r="Q103" s="43" t="str">
        <f t="shared" si="29"/>
        <v/>
      </c>
    </row>
    <row r="104" spans="2:17" x14ac:dyDescent="0.3">
      <c r="B104" t="str">
        <f>+'[3]Country Results'!B22</f>
        <v>Asia (excl. China and India)</v>
      </c>
      <c r="C104" s="91" t="str">
        <f>INDEX('[3]Country Results'!$C$7:$AK$254,MATCH([3]Dashboard!$B104,'[3]Country Results'!$B$7:$B$254,0),MATCH([3]Dashboard!$C$8,'[3]Country Results'!$C$6:$AE$6,0))</f>
        <v/>
      </c>
      <c r="D104" s="45" t="str" cm="1">
        <f t="array" ref="D104">INDEX('[3]Country Results'!$L$7:$AE$254,MATCH([3]Dashboard!B104,'[3]Country Results'!$B$7:$B$254,0),MATCH($C$8,'[3]Country Results'!$L$6:$AE$6,0)+1)</f>
        <v/>
      </c>
      <c r="E104" s="43" t="str">
        <f t="shared" si="22"/>
        <v/>
      </c>
      <c r="F104" s="43"/>
      <c r="G104" s="91" t="str">
        <f>IFERROR(INDEX('[3]Country Results'!$C$7:$AK$254,MATCH([3]Dashboard!$B104,'[3]Country Results'!$B$7:$B$254,0),MATCH([3]Dashboard!$C$9,'[3]Country Results'!$C$6:$AK$6,0)),"")</f>
        <v/>
      </c>
      <c r="H104" s="43" t="str">
        <f t="shared" si="23"/>
        <v/>
      </c>
      <c r="I104" s="43"/>
      <c r="J104" s="44" t="str">
        <f t="shared" si="24"/>
        <v/>
      </c>
      <c r="K104" s="45" t="str">
        <f t="shared" si="25"/>
        <v/>
      </c>
      <c r="L104" s="43" t="str">
        <f t="shared" si="26"/>
        <v/>
      </c>
      <c r="M104" s="136" t="str">
        <f>IF(G104="","",INDEX([3]Countries!$C$7:$AO$254,MATCH([3]Dashboard!$B104,[3]Countries!$B$7:$B$254,0),MATCH([3]Dashboard!$N$7,[3]Countries!$C$6:$AO$6,0)))</f>
        <v/>
      </c>
      <c r="N104" s="137"/>
      <c r="O104" s="135" t="str">
        <f t="shared" si="27"/>
        <v/>
      </c>
      <c r="P104" s="45" t="str">
        <f t="shared" si="28"/>
        <v/>
      </c>
      <c r="Q104" s="43" t="str">
        <f t="shared" si="29"/>
        <v/>
      </c>
    </row>
    <row r="105" spans="2:17" x14ac:dyDescent="0.3">
      <c r="B105" t="str">
        <f>+'[3]Country Results'!B23</f>
        <v>Australia</v>
      </c>
      <c r="C105" s="91">
        <f>INDEX('[3]Country Results'!$C$7:$AK$254,MATCH([3]Dashboard!$B105,'[3]Country Results'!$B$7:$B$254,0),MATCH([3]Dashboard!$C$8,'[3]Country Results'!$C$6:$AE$6,0))</f>
        <v>27112.759970000003</v>
      </c>
      <c r="D105" s="45" cm="1">
        <f t="array" ref="D105">INDEX('[3]Country Results'!$L$7:$AE$254,MATCH([3]Dashboard!B105,'[3]Country Results'!$B$7:$B$254,0),MATCH($C$8,'[3]Country Results'!$L$6:$AE$6,0)+1)</f>
        <v>1.4569731017341676E-2</v>
      </c>
      <c r="E105" s="43">
        <f t="shared" si="22"/>
        <v>12</v>
      </c>
      <c r="F105" s="43"/>
      <c r="G105" s="91">
        <f>IFERROR(INDEX('[3]Country Results'!$C$7:$AK$254,MATCH([3]Dashboard!$B105,'[3]Country Results'!$B$7:$B$254,0),MATCH([3]Dashboard!$C$9,'[3]Country Results'!$C$6:$AK$6,0)),"")</f>
        <v>57170</v>
      </c>
      <c r="H105" s="43">
        <f t="shared" si="23"/>
        <v>13</v>
      </c>
      <c r="I105" s="43"/>
      <c r="J105" s="44">
        <f t="shared" si="24"/>
        <v>1550.0364874849001</v>
      </c>
      <c r="K105" s="45">
        <f t="shared" si="25"/>
        <v>3.4668335667557622E-2</v>
      </c>
      <c r="L105" s="43">
        <f t="shared" si="26"/>
        <v>6</v>
      </c>
      <c r="M105" s="136" t="str">
        <f>IF(G105="","",INDEX([3]Countries!$C$7:$AO$254,MATCH([3]Dashboard!$B105,[3]Countries!$B$7:$B$254,0),MATCH([3]Dashboard!$N$7,[3]Countries!$C$6:$AO$6,0)))</f>
        <v/>
      </c>
      <c r="N105" s="137"/>
      <c r="O105" s="135">
        <f t="shared" si="27"/>
        <v>1550.0364874849001</v>
      </c>
      <c r="P105" s="45">
        <f t="shared" si="28"/>
        <v>3.5702701628111629E-2</v>
      </c>
      <c r="Q105" s="43">
        <f t="shared" si="29"/>
        <v>6</v>
      </c>
    </row>
    <row r="106" spans="2:17" x14ac:dyDescent="0.3">
      <c r="B106" t="str">
        <f>+'[3]Country Results'!B24</f>
        <v>Austria</v>
      </c>
      <c r="C106" s="91">
        <f>INDEX('[3]Country Results'!$C$7:$AK$254,MATCH([3]Dashboard!$B106,'[3]Country Results'!$B$7:$B$254,0),MATCH([3]Dashboard!$C$8,'[3]Country Results'!$C$6:$AE$6,0))</f>
        <v>3240.0871220000004</v>
      </c>
      <c r="D106" s="45" cm="1">
        <f t="array" ref="D106">INDEX('[3]Country Results'!$L$7:$AE$254,MATCH([3]Dashboard!B106,'[3]Country Results'!$B$7:$B$254,0),MATCH($C$8,'[3]Country Results'!$L$6:$AE$6,0)+1)</f>
        <v>1.7411432068342367E-3</v>
      </c>
      <c r="E106" s="43">
        <f t="shared" si="22"/>
        <v>69</v>
      </c>
      <c r="F106" s="43"/>
      <c r="G106" s="91">
        <f>IFERROR(INDEX('[3]Country Results'!$C$7:$AK$254,MATCH([3]Dashboard!$B106,'[3]Country Results'!$B$7:$B$254,0),MATCH([3]Dashboard!$C$9,'[3]Country Results'!$C$6:$AK$6,0)),"")</f>
        <v>52760</v>
      </c>
      <c r="H106" s="43">
        <f t="shared" si="23"/>
        <v>17</v>
      </c>
      <c r="I106" s="43"/>
      <c r="J106" s="44">
        <f t="shared" si="24"/>
        <v>170.94699655672002</v>
      </c>
      <c r="K106" s="45">
        <f t="shared" si="25"/>
        <v>3.8234247424752442E-3</v>
      </c>
      <c r="L106" s="43">
        <f t="shared" si="26"/>
        <v>30</v>
      </c>
      <c r="M106" s="136" t="str">
        <f>IF(G106="","",INDEX([3]Countries!$C$7:$AO$254,MATCH([3]Dashboard!$B106,[3]Countries!$B$7:$B$254,0),MATCH([3]Dashboard!$N$7,[3]Countries!$C$6:$AO$6,0)))</f>
        <v/>
      </c>
      <c r="N106" s="137"/>
      <c r="O106" s="135">
        <f t="shared" si="27"/>
        <v>170.94699655672002</v>
      </c>
      <c r="P106" s="45">
        <f t="shared" si="28"/>
        <v>3.9375006082531692E-3</v>
      </c>
      <c r="Q106" s="43">
        <f t="shared" si="29"/>
        <v>28</v>
      </c>
    </row>
    <row r="107" spans="2:17" x14ac:dyDescent="0.3">
      <c r="B107" t="str">
        <f>+'[3]Country Results'!B25</f>
        <v>Azerbaijan</v>
      </c>
      <c r="C107" s="91">
        <f>INDEX('[3]Country Results'!$C$7:$AK$254,MATCH([3]Dashboard!$B107,'[3]Country Results'!$B$7:$B$254,0),MATCH([3]Dashboard!$C$8,'[3]Country Results'!$C$6:$AE$6,0))</f>
        <v>2472.9593220000006</v>
      </c>
      <c r="D107" s="45" cm="1">
        <f t="array" ref="D107">INDEX('[3]Country Results'!$L$7:$AE$254,MATCH([3]Dashboard!B107,'[3]Country Results'!$B$7:$B$254,0),MATCH($C$8,'[3]Country Results'!$L$6:$AE$6,0)+1)</f>
        <v>1.3289075762937773E-3</v>
      </c>
      <c r="E107" s="43">
        <f t="shared" si="22"/>
        <v>83</v>
      </c>
      <c r="F107" s="43"/>
      <c r="G107" s="91">
        <f>IFERROR(INDEX('[3]Country Results'!$C$7:$AK$254,MATCH([3]Dashboard!$B107,'[3]Country Results'!$B$7:$B$254,0),MATCH([3]Dashboard!$C$9,'[3]Country Results'!$C$6:$AK$6,0)),"")</f>
        <v>4900</v>
      </c>
      <c r="H107" s="43">
        <f t="shared" si="23"/>
        <v>116</v>
      </c>
      <c r="I107" s="43"/>
      <c r="J107" s="44">
        <f t="shared" si="24"/>
        <v>12.117500677800004</v>
      </c>
      <c r="K107" s="45">
        <f t="shared" si="25"/>
        <v>2.7102173680535369E-4</v>
      </c>
      <c r="L107" s="43">
        <f t="shared" si="26"/>
        <v>85</v>
      </c>
      <c r="M107" s="136" t="str">
        <f>IF(G107="","",INDEX([3]Countries!$C$7:$AO$254,MATCH([3]Dashboard!$B107,[3]Countries!$B$7:$B$254,0),MATCH([3]Dashboard!$N$7,[3]Countries!$C$6:$AO$6,0)))</f>
        <v/>
      </c>
      <c r="N107" s="137"/>
      <c r="O107" s="135">
        <f t="shared" si="27"/>
        <v>12.117500677800004</v>
      </c>
      <c r="P107" s="45">
        <f t="shared" si="28"/>
        <v>2.791079530520719E-4</v>
      </c>
      <c r="Q107" s="43">
        <f t="shared" si="29"/>
        <v>68</v>
      </c>
    </row>
    <row r="108" spans="2:17" x14ac:dyDescent="0.3">
      <c r="B108" t="str">
        <f>+'[3]Country Results'!B26</f>
        <v>Bahamas</v>
      </c>
      <c r="C108" s="91">
        <f>INDEX('[3]Country Results'!$C$7:$AK$254,MATCH([3]Dashboard!$B108,'[3]Country Results'!$B$7:$B$254,0),MATCH([3]Dashboard!$C$8,'[3]Country Results'!$C$6:$AE$6,0))</f>
        <v>111.8495492</v>
      </c>
      <c r="D108" s="45" cm="1">
        <f t="array" ref="D108">INDEX('[3]Country Results'!$L$7:$AE$254,MATCH([3]Dashboard!B108,'[3]Country Results'!$B$7:$B$254,0),MATCH($C$8,'[3]Country Results'!$L$6:$AE$6,0)+1)</f>
        <v>6.010519947279729E-5</v>
      </c>
      <c r="E108" s="43">
        <f t="shared" si="22"/>
        <v>166</v>
      </c>
      <c r="F108" s="43"/>
      <c r="G108" s="91">
        <f>IFERROR(INDEX('[3]Country Results'!$C$7:$AK$254,MATCH([3]Dashboard!$B108,'[3]Country Results'!$B$7:$B$254,0),MATCH([3]Dashboard!$C$9,'[3]Country Results'!$C$6:$AK$6,0)),"")</f>
        <v>26490</v>
      </c>
      <c r="H108" s="43">
        <f t="shared" si="23"/>
        <v>41</v>
      </c>
      <c r="I108" s="43"/>
      <c r="J108" s="44">
        <f t="shared" si="24"/>
        <v>2.9628945583079997</v>
      </c>
      <c r="K108" s="45">
        <f t="shared" si="25"/>
        <v>6.6268519434451218E-5</v>
      </c>
      <c r="L108" s="43">
        <f t="shared" si="26"/>
        <v>119</v>
      </c>
      <c r="M108" s="136" t="str">
        <f>IF(G108="","",INDEX([3]Countries!$C$7:$AO$254,MATCH([3]Dashboard!$B108,[3]Countries!$B$7:$B$254,0),MATCH([3]Dashboard!$N$7,[3]Countries!$C$6:$AO$6,0)))</f>
        <v>x</v>
      </c>
      <c r="N108" s="137"/>
      <c r="O108" s="135" t="str">
        <f t="shared" si="27"/>
        <v>-</v>
      </c>
      <c r="P108" s="45" t="str">
        <f t="shared" si="28"/>
        <v/>
      </c>
      <c r="Q108" s="43" t="str">
        <f t="shared" si="29"/>
        <v/>
      </c>
    </row>
    <row r="109" spans="2:17" x14ac:dyDescent="0.3">
      <c r="B109" t="str">
        <f>+'[3]Country Results'!B27</f>
        <v>Bahrain</v>
      </c>
      <c r="C109" s="91">
        <f>INDEX('[3]Country Results'!$C$7:$AK$254,MATCH([3]Dashboard!$B109,'[3]Country Results'!$B$7:$B$254,0),MATCH([3]Dashboard!$C$8,'[3]Country Results'!$C$6:$AE$6,0))</f>
        <v>1744.4021060000002</v>
      </c>
      <c r="D109" s="45" cm="1">
        <f t="array" ref="D109">INDEX('[3]Country Results'!$L$7:$AE$254,MATCH([3]Dashboard!B109,'[3]Country Results'!$B$7:$B$254,0),MATCH($C$8,'[3]Country Results'!$L$6:$AE$6,0)+1)</f>
        <v>9.3739882987295669E-4</v>
      </c>
      <c r="E109" s="43">
        <f t="shared" si="22"/>
        <v>99</v>
      </c>
      <c r="F109" s="43"/>
      <c r="G109" s="91">
        <f>IFERROR(INDEX('[3]Country Results'!$C$7:$AK$254,MATCH([3]Dashboard!$B109,'[3]Country Results'!$B$7:$B$254,0),MATCH([3]Dashboard!$C$9,'[3]Country Results'!$C$6:$AK$6,0)),"")</f>
        <v>22950</v>
      </c>
      <c r="H109" s="43">
        <f t="shared" si="23"/>
        <v>45</v>
      </c>
      <c r="I109" s="43"/>
      <c r="J109" s="44">
        <f t="shared" si="24"/>
        <v>40.034028332700004</v>
      </c>
      <c r="K109" s="45">
        <f t="shared" si="25"/>
        <v>8.9540674917568759E-4</v>
      </c>
      <c r="L109" s="43">
        <f t="shared" si="26"/>
        <v>56</v>
      </c>
      <c r="M109" s="136" t="str">
        <f>IF(G109="","",INDEX([3]Countries!$C$7:$AO$254,MATCH([3]Dashboard!$B109,[3]Countries!$B$7:$B$254,0),MATCH([3]Dashboard!$N$7,[3]Countries!$C$6:$AO$6,0)))</f>
        <v/>
      </c>
      <c r="N109" s="137"/>
      <c r="O109" s="135">
        <f t="shared" si="27"/>
        <v>40.034028332700004</v>
      </c>
      <c r="P109" s="45">
        <f t="shared" si="28"/>
        <v>9.2212214362320257E-4</v>
      </c>
      <c r="Q109" s="43">
        <f t="shared" si="29"/>
        <v>50</v>
      </c>
    </row>
    <row r="110" spans="2:17" x14ac:dyDescent="0.3">
      <c r="B110" t="str">
        <f>+'[3]Country Results'!B28</f>
        <v>Bangladesh</v>
      </c>
      <c r="C110" s="91">
        <f>INDEX('[3]Country Results'!$C$7:$AK$254,MATCH([3]Dashboard!$B110,'[3]Country Results'!$B$7:$B$254,0),MATCH([3]Dashboard!$C$8,'[3]Country Results'!$C$6:$AE$6,0))</f>
        <v>6838.735326</v>
      </c>
      <c r="D110" s="45" cm="1">
        <f t="array" ref="D110">INDEX('[3]Country Results'!$L$7:$AE$254,MATCH([3]Dashboard!B110,'[3]Country Results'!$B$7:$B$254,0),MATCH($C$8,'[3]Country Results'!$L$6:$AE$6,0)+1)</f>
        <v>3.6749683288924283E-3</v>
      </c>
      <c r="E110" s="43">
        <f t="shared" si="22"/>
        <v>43</v>
      </c>
      <c r="F110" s="43"/>
      <c r="G110" s="91">
        <f>IFERROR(INDEX('[3]Country Results'!$C$7:$AK$254,MATCH([3]Dashboard!$B110,'[3]Country Results'!$B$7:$B$254,0),MATCH([3]Dashboard!$C$9,'[3]Country Results'!$C$6:$AK$6,0)),"")</f>
        <v>2570</v>
      </c>
      <c r="H110" s="43">
        <f t="shared" si="23"/>
        <v>146</v>
      </c>
      <c r="I110" s="43"/>
      <c r="J110" s="44">
        <f t="shared" si="24"/>
        <v>17.575549787820002</v>
      </c>
      <c r="K110" s="45">
        <f t="shared" si="25"/>
        <v>3.9309723642357204E-4</v>
      </c>
      <c r="L110" s="43">
        <f t="shared" si="26"/>
        <v>78</v>
      </c>
      <c r="M110" s="136" t="str">
        <f>IF(G110="","",INDEX([3]Countries!$C$7:$AO$254,MATCH([3]Dashboard!$B110,[3]Countries!$B$7:$B$254,0),MATCH([3]Dashboard!$N$7,[3]Countries!$C$6:$AO$6,0)))</f>
        <v>x</v>
      </c>
      <c r="N110" s="137"/>
      <c r="O110" s="135" t="str">
        <f t="shared" si="27"/>
        <v>-</v>
      </c>
      <c r="P110" s="45" t="str">
        <f t="shared" si="28"/>
        <v/>
      </c>
      <c r="Q110" s="43" t="str">
        <f t="shared" si="29"/>
        <v/>
      </c>
    </row>
    <row r="111" spans="2:17" x14ac:dyDescent="0.3">
      <c r="B111" t="str">
        <f>+'[3]Country Results'!B29</f>
        <v>Barbados</v>
      </c>
      <c r="C111" s="91">
        <f>INDEX('[3]Country Results'!$C$7:$AK$254,MATCH([3]Dashboard!$B111,'[3]Country Results'!$B$7:$B$254,0),MATCH([3]Dashboard!$C$8,'[3]Country Results'!$C$6:$AE$6,0))</f>
        <v>59.662252260000002</v>
      </c>
      <c r="D111" s="45" cm="1">
        <f t="array" ref="D111">INDEX('[3]Country Results'!$L$7:$AE$254,MATCH([3]Dashboard!B111,'[3]Country Results'!$B$7:$B$254,0),MATCH($C$8,'[3]Country Results'!$L$6:$AE$6,0)+1)</f>
        <v>3.2061028396917769E-5</v>
      </c>
      <c r="E111" s="43">
        <f t="shared" si="22"/>
        <v>172</v>
      </c>
      <c r="F111" s="43"/>
      <c r="G111" s="91">
        <f>IFERROR(INDEX('[3]Country Results'!$C$7:$AK$254,MATCH([3]Dashboard!$B111,'[3]Country Results'!$B$7:$B$254,0),MATCH([3]Dashboard!$C$9,'[3]Country Results'!$C$6:$AK$6,0)),"")</f>
        <v>16900</v>
      </c>
      <c r="H111" s="43">
        <f t="shared" si="23"/>
        <v>59</v>
      </c>
      <c r="I111" s="43"/>
      <c r="J111" s="44">
        <f t="shared" si="24"/>
        <v>1.008292063194</v>
      </c>
      <c r="K111" s="45">
        <f t="shared" si="25"/>
        <v>2.2551603126751776E-5</v>
      </c>
      <c r="L111" s="43">
        <f t="shared" si="26"/>
        <v>149</v>
      </c>
      <c r="M111" s="136" t="str">
        <f>IF(G111="","",INDEX([3]Countries!$C$7:$AO$254,MATCH([3]Dashboard!$B111,[3]Countries!$B$7:$B$254,0),MATCH([3]Dashboard!$N$7,[3]Countries!$C$6:$AO$6,0)))</f>
        <v>x</v>
      </c>
      <c r="N111" s="137"/>
      <c r="O111" s="135" t="str">
        <f t="shared" si="27"/>
        <v>-</v>
      </c>
      <c r="P111" s="45" t="str">
        <f t="shared" si="28"/>
        <v/>
      </c>
      <c r="Q111" s="43" t="str">
        <f t="shared" si="29"/>
        <v/>
      </c>
    </row>
    <row r="112" spans="2:17" x14ac:dyDescent="0.3">
      <c r="B112" t="str">
        <f>+'[3]Country Results'!B30</f>
        <v>Belarus</v>
      </c>
      <c r="C112" s="91">
        <f>INDEX('[3]Country Results'!$C$7:$AK$254,MATCH([3]Dashboard!$B112,'[3]Country Results'!$B$7:$B$254,0),MATCH([3]Dashboard!$C$8,'[3]Country Results'!$C$6:$AE$6,0))</f>
        <v>4750.0235719999991</v>
      </c>
      <c r="D112" s="45" cm="1">
        <f t="array" ref="D112">INDEX('[3]Country Results'!$L$7:$AE$254,MATCH([3]Dashboard!B112,'[3]Country Results'!$B$7:$B$254,0),MATCH($C$8,'[3]Country Results'!$L$6:$AE$6,0)+1)</f>
        <v>2.5525459542536009E-3</v>
      </c>
      <c r="E112" s="43">
        <f t="shared" si="22"/>
        <v>54</v>
      </c>
      <c r="F112" s="43"/>
      <c r="G112" s="91">
        <f>IFERROR(INDEX('[3]Country Results'!$C$7:$AK$254,MATCH([3]Dashboard!$B112,'[3]Country Results'!$B$7:$B$254,0),MATCH([3]Dashboard!$C$9,'[3]Country Results'!$C$6:$AK$6,0)),"")</f>
        <v>6940</v>
      </c>
      <c r="H112" s="43">
        <f t="shared" si="23"/>
        <v>96</v>
      </c>
      <c r="I112" s="43"/>
      <c r="J112" s="44">
        <f t="shared" si="24"/>
        <v>32.965163589679996</v>
      </c>
      <c r="K112" s="45">
        <f t="shared" si="25"/>
        <v>7.3730351891094299E-4</v>
      </c>
      <c r="L112" s="43">
        <f t="shared" si="26"/>
        <v>62</v>
      </c>
      <c r="M112" s="136" t="str">
        <f>IF(G112="","",INDEX([3]Countries!$C$7:$AO$254,MATCH([3]Dashboard!$B112,[3]Countries!$B$7:$B$254,0),MATCH([3]Dashboard!$N$7,[3]Countries!$C$6:$AO$6,0)))</f>
        <v/>
      </c>
      <c r="N112" s="137"/>
      <c r="O112" s="135">
        <f t="shared" si="27"/>
        <v>32.965163589679996</v>
      </c>
      <c r="P112" s="45">
        <f t="shared" si="28"/>
        <v>7.5930173855065432E-4</v>
      </c>
      <c r="Q112" s="43">
        <f t="shared" si="29"/>
        <v>54</v>
      </c>
    </row>
    <row r="113" spans="2:17" x14ac:dyDescent="0.3">
      <c r="B113" t="str">
        <f>+'[3]Country Results'!B31</f>
        <v>Belgium</v>
      </c>
      <c r="C113" s="91">
        <f>INDEX('[3]Country Results'!$C$7:$AK$254,MATCH([3]Dashboard!$B113,'[3]Country Results'!$B$7:$B$254,0),MATCH([3]Dashboard!$C$8,'[3]Country Results'!$C$6:$AE$6,0))</f>
        <v>6239.3267080000023</v>
      </c>
      <c r="D113" s="45" cm="1">
        <f t="array" ref="D113">INDEX('[3]Country Results'!$L$7:$AE$254,MATCH([3]Dashboard!B113,'[3]Country Results'!$B$7:$B$254,0),MATCH($C$8,'[3]Country Results'!$L$6:$AE$6,0)+1)</f>
        <v>3.3528608657127411E-3</v>
      </c>
      <c r="E113" s="43">
        <f t="shared" si="22"/>
        <v>47</v>
      </c>
      <c r="F113" s="43"/>
      <c r="G113" s="91">
        <f>IFERROR(INDEX('[3]Country Results'!$C$7:$AK$254,MATCH([3]Dashboard!$B113,'[3]Country Results'!$B$7:$B$254,0),MATCH([3]Dashboard!$C$9,'[3]Country Results'!$C$6:$AK$6,0)),"")</f>
        <v>50490</v>
      </c>
      <c r="H113" s="43">
        <f t="shared" si="23"/>
        <v>19</v>
      </c>
      <c r="I113" s="43"/>
      <c r="J113" s="44">
        <f t="shared" si="24"/>
        <v>315.02360548692013</v>
      </c>
      <c r="K113" s="45">
        <f t="shared" si="25"/>
        <v>7.0458625886580528E-3</v>
      </c>
      <c r="L113" s="43">
        <f t="shared" si="26"/>
        <v>17</v>
      </c>
      <c r="M113" s="136" t="str">
        <f>IF(G113="","",INDEX([3]Countries!$C$7:$AO$254,MATCH([3]Dashboard!$B113,[3]Countries!$B$7:$B$254,0),MATCH([3]Dashboard!$N$7,[3]Countries!$C$6:$AO$6,0)))</f>
        <v/>
      </c>
      <c r="N113" s="137"/>
      <c r="O113" s="135">
        <f t="shared" si="27"/>
        <v>315.02360548692013</v>
      </c>
      <c r="P113" s="45">
        <f t="shared" si="28"/>
        <v>7.2560832492151407E-3</v>
      </c>
      <c r="Q113" s="43">
        <f t="shared" si="29"/>
        <v>17</v>
      </c>
    </row>
    <row r="114" spans="2:17" x14ac:dyDescent="0.3">
      <c r="B114" t="str">
        <f>+'[3]Country Results'!B32</f>
        <v>Belize</v>
      </c>
      <c r="C114" s="91">
        <f>INDEX('[3]Country Results'!$C$7:$AK$254,MATCH([3]Dashboard!$B114,'[3]Country Results'!$B$7:$B$254,0),MATCH([3]Dashboard!$C$8,'[3]Country Results'!$C$6:$AE$6,0))</f>
        <v>216.47339780000004</v>
      </c>
      <c r="D114" s="45" cm="1">
        <f t="array" ref="D114">INDEX('[3]Country Results'!$L$7:$AE$254,MATCH([3]Dashboard!B114,'[3]Country Results'!$B$7:$B$254,0),MATCH($C$8,'[3]Country Results'!$L$6:$AE$6,0)+1)</f>
        <v>1.1632748498661987E-4</v>
      </c>
      <c r="E114" s="43">
        <f t="shared" si="22"/>
        <v>158</v>
      </c>
      <c r="F114" s="43"/>
      <c r="G114" s="91">
        <f>IFERROR(INDEX('[3]Country Results'!$C$7:$AK$254,MATCH([3]Dashboard!$B114,'[3]Country Results'!$B$7:$B$254,0),MATCH([3]Dashboard!$C$9,'[3]Country Results'!$C$6:$AK$6,0)),"")</f>
        <v>6070</v>
      </c>
      <c r="H114" s="43">
        <f t="shared" si="23"/>
        <v>106</v>
      </c>
      <c r="I114" s="43"/>
      <c r="J114" s="44">
        <f t="shared" si="24"/>
        <v>1.3139935246460002</v>
      </c>
      <c r="K114" s="45">
        <f t="shared" si="25"/>
        <v>2.9388965321287929E-5</v>
      </c>
      <c r="L114" s="43">
        <f t="shared" si="26"/>
        <v>143</v>
      </c>
      <c r="M114" s="136" t="str">
        <f>IF(G114="","",INDEX([3]Countries!$C$7:$AO$254,MATCH([3]Dashboard!$B114,[3]Countries!$B$7:$B$254,0),MATCH([3]Dashboard!$N$7,[3]Countries!$C$6:$AO$6,0)))</f>
        <v>x</v>
      </c>
      <c r="N114" s="137"/>
      <c r="O114" s="135" t="str">
        <f t="shared" si="27"/>
        <v>-</v>
      </c>
      <c r="P114" s="45" t="str">
        <f t="shared" si="28"/>
        <v/>
      </c>
      <c r="Q114" s="43" t="str">
        <f t="shared" si="29"/>
        <v/>
      </c>
    </row>
    <row r="115" spans="2:17" x14ac:dyDescent="0.3">
      <c r="B115" t="str">
        <f>+'[3]Country Results'!B33</f>
        <v>Benin</v>
      </c>
      <c r="C115" s="91">
        <f>INDEX('[3]Country Results'!$C$7:$AK$254,MATCH([3]Dashboard!$B115,'[3]Country Results'!$B$7:$B$254,0),MATCH([3]Dashboard!$C$8,'[3]Country Results'!$C$6:$AE$6,0))</f>
        <v>1192.1312329999998</v>
      </c>
      <c r="D115" s="45" cm="1">
        <f t="array" ref="D115">INDEX('[3]Country Results'!$L$7:$AE$254,MATCH([3]Dashboard!B115,'[3]Country Results'!$B$7:$B$254,0),MATCH($C$8,'[3]Country Results'!$L$6:$AE$6,0)+1)</f>
        <v>6.4062203262967444E-4</v>
      </c>
      <c r="E115" s="43">
        <f t="shared" si="22"/>
        <v>114</v>
      </c>
      <c r="F115" s="43"/>
      <c r="G115" s="91">
        <f>IFERROR(INDEX('[3]Country Results'!$C$7:$AK$254,MATCH([3]Dashboard!$B115,'[3]Country Results'!$B$7:$B$254,0),MATCH([3]Dashboard!$C$9,'[3]Country Results'!$C$6:$AK$6,0)),"")</f>
        <v>1350</v>
      </c>
      <c r="H115" s="43">
        <f t="shared" si="23"/>
        <v>169</v>
      </c>
      <c r="I115" s="43"/>
      <c r="J115" s="44">
        <f t="shared" si="24"/>
        <v>1.6093771645499999</v>
      </c>
      <c r="K115" s="45">
        <f t="shared" si="25"/>
        <v>3.5995557657390335E-5</v>
      </c>
      <c r="L115" s="43">
        <f t="shared" si="26"/>
        <v>136</v>
      </c>
      <c r="M115" s="136" t="str">
        <f>IF(G115="","",INDEX([3]Countries!$C$7:$AO$254,MATCH([3]Dashboard!$B115,[3]Countries!$B$7:$B$254,0),MATCH([3]Dashboard!$N$7,[3]Countries!$C$6:$AO$6,0)))</f>
        <v>x</v>
      </c>
      <c r="N115" s="137"/>
      <c r="O115" s="135" t="str">
        <f t="shared" si="27"/>
        <v>-</v>
      </c>
      <c r="P115" s="45" t="str">
        <f t="shared" si="28"/>
        <v/>
      </c>
      <c r="Q115" s="43" t="str">
        <f t="shared" si="29"/>
        <v/>
      </c>
    </row>
    <row r="116" spans="2:17" x14ac:dyDescent="0.3">
      <c r="B116" t="str">
        <f>+'[3]Country Results'!B34</f>
        <v>Bermuda</v>
      </c>
      <c r="C116" s="91">
        <f>INDEX('[3]Country Results'!$C$7:$AK$254,MATCH([3]Dashboard!$B116,'[3]Country Results'!$B$7:$B$254,0),MATCH([3]Dashboard!$C$8,'[3]Country Results'!$C$6:$AE$6,0))</f>
        <v>0</v>
      </c>
      <c r="D116" s="45" cm="1">
        <f t="array" ref="D116">INDEX('[3]Country Results'!$L$7:$AE$254,MATCH([3]Dashboard!B116,'[3]Country Results'!$B$7:$B$254,0),MATCH($C$8,'[3]Country Results'!$L$6:$AE$6,0)+1)</f>
        <v>0</v>
      </c>
      <c r="E116" s="43">
        <f t="shared" si="22"/>
        <v>200</v>
      </c>
      <c r="F116" s="43"/>
      <c r="G116" s="91">
        <f>IFERROR(INDEX('[3]Country Results'!$C$7:$AK$254,MATCH([3]Dashboard!$B116,'[3]Country Results'!$B$7:$B$254,0),MATCH([3]Dashboard!$C$9,'[3]Country Results'!$C$6:$AK$6,0)),"")</f>
        <v>122470</v>
      </c>
      <c r="H116" s="43">
        <f t="shared" si="23"/>
        <v>1</v>
      </c>
      <c r="I116" s="43"/>
      <c r="J116" s="44">
        <f t="shared" si="24"/>
        <v>0</v>
      </c>
      <c r="K116" s="45">
        <f t="shared" si="25"/>
        <v>0</v>
      </c>
      <c r="L116" s="43">
        <f t="shared" si="26"/>
        <v>195</v>
      </c>
      <c r="M116" s="136" t="str">
        <f>IF(G116="","",INDEX([3]Countries!$C$7:$AO$254,MATCH([3]Dashboard!$B116,[3]Countries!$B$7:$B$254,0),MATCH([3]Dashboard!$N$7,[3]Countries!$C$6:$AO$6,0)))</f>
        <v/>
      </c>
      <c r="N116" s="137"/>
      <c r="O116" s="135">
        <f t="shared" si="27"/>
        <v>0</v>
      </c>
      <c r="P116" s="45">
        <f t="shared" si="28"/>
        <v>0</v>
      </c>
      <c r="Q116" s="43">
        <f t="shared" si="29"/>
        <v>90</v>
      </c>
    </row>
    <row r="117" spans="2:17" x14ac:dyDescent="0.3">
      <c r="B117" t="str">
        <f>+'[3]Country Results'!B35</f>
        <v>Bhutan</v>
      </c>
      <c r="C117" s="91">
        <f>INDEX('[3]Country Results'!$C$7:$AK$254,MATCH([3]Dashboard!$B117,'[3]Country Results'!$B$7:$B$254,0),MATCH([3]Dashboard!$C$8,'[3]Country Results'!$C$6:$AE$6,0))</f>
        <v>287.8130175</v>
      </c>
      <c r="D117" s="45" cm="1">
        <f t="array" ref="D117">INDEX('[3]Country Results'!$L$7:$AE$254,MATCH([3]Dashboard!B117,'[3]Country Results'!$B$7:$B$254,0),MATCH($C$8,'[3]Country Results'!$L$6:$AE$6,0)+1)</f>
        <v>1.5466364371994446E-4</v>
      </c>
      <c r="E117" s="43">
        <f t="shared" si="22"/>
        <v>153</v>
      </c>
      <c r="F117" s="43"/>
      <c r="G117" s="91">
        <f>IFERROR(INDEX('[3]Country Results'!$C$7:$AK$254,MATCH([3]Dashboard!$B117,'[3]Country Results'!$B$7:$B$254,0),MATCH([3]Dashboard!$C$9,'[3]Country Results'!$C$6:$AK$6,0)),"")</f>
        <v>3040</v>
      </c>
      <c r="H117" s="43">
        <f t="shared" si="23"/>
        <v>144</v>
      </c>
      <c r="I117" s="43"/>
      <c r="J117" s="44">
        <f t="shared" si="24"/>
        <v>0.87495157319999994</v>
      </c>
      <c r="K117" s="45">
        <f t="shared" si="25"/>
        <v>1.9569290837645977E-5</v>
      </c>
      <c r="L117" s="43">
        <f t="shared" si="26"/>
        <v>153</v>
      </c>
      <c r="M117" s="136" t="str">
        <f>IF(G117="","",INDEX([3]Countries!$C$7:$AO$254,MATCH([3]Dashboard!$B117,[3]Countries!$B$7:$B$254,0),MATCH([3]Dashboard!$N$7,[3]Countries!$C$6:$AO$6,0)))</f>
        <v>x</v>
      </c>
      <c r="N117" s="137"/>
      <c r="O117" s="135" t="str">
        <f t="shared" si="27"/>
        <v>-</v>
      </c>
      <c r="P117" s="45" t="str">
        <f t="shared" si="28"/>
        <v/>
      </c>
      <c r="Q117" s="43" t="str">
        <f t="shared" si="29"/>
        <v/>
      </c>
    </row>
    <row r="118" spans="2:17" x14ac:dyDescent="0.3">
      <c r="B118" t="str">
        <f>+'[3]Country Results'!B36</f>
        <v>Bolivia</v>
      </c>
      <c r="C118" s="91">
        <f>INDEX('[3]Country Results'!$C$7:$AK$254,MATCH([3]Dashboard!$B118,'[3]Country Results'!$B$7:$B$254,0),MATCH([3]Dashboard!$C$8,'[3]Country Results'!$C$6:$AE$6,0))</f>
        <v>4853.3084140000001</v>
      </c>
      <c r="D118" s="45" cm="1">
        <f t="array" ref="D118">INDEX('[3]Country Results'!$L$7:$AE$254,MATCH([3]Dashboard!B118,'[3]Country Results'!$B$7:$B$254,0),MATCH($C$8,'[3]Country Results'!$L$6:$AE$6,0)+1)</f>
        <v>2.6080486905214586E-3</v>
      </c>
      <c r="E118" s="43">
        <f t="shared" si="22"/>
        <v>53</v>
      </c>
      <c r="F118" s="43"/>
      <c r="G118" s="91">
        <f>IFERROR(INDEX('[3]Country Results'!$C$7:$AK$254,MATCH([3]Dashboard!$B118,'[3]Country Results'!$B$7:$B$254,0),MATCH([3]Dashboard!$C$9,'[3]Country Results'!$C$6:$AK$6,0)),"")</f>
        <v>3290</v>
      </c>
      <c r="H118" s="43">
        <f t="shared" si="23"/>
        <v>140</v>
      </c>
      <c r="I118" s="43"/>
      <c r="J118" s="44">
        <f t="shared" si="24"/>
        <v>15.967384682059999</v>
      </c>
      <c r="K118" s="45">
        <f t="shared" si="25"/>
        <v>3.5712878784478709E-4</v>
      </c>
      <c r="L118" s="43">
        <f t="shared" si="26"/>
        <v>80</v>
      </c>
      <c r="M118" s="136" t="str">
        <f>IF(G118="","",INDEX([3]Countries!$C$7:$AO$254,MATCH([3]Dashboard!$B118,[3]Countries!$B$7:$B$254,0),MATCH([3]Dashboard!$N$7,[3]Countries!$C$6:$AO$6,0)))</f>
        <v>x</v>
      </c>
      <c r="N118" s="137"/>
      <c r="O118" s="135" t="str">
        <f t="shared" si="27"/>
        <v>-</v>
      </c>
      <c r="P118" s="45" t="str">
        <f t="shared" si="28"/>
        <v/>
      </c>
      <c r="Q118" s="43" t="str">
        <f t="shared" si="29"/>
        <v/>
      </c>
    </row>
    <row r="119" spans="2:17" x14ac:dyDescent="0.3">
      <c r="B119" t="str">
        <f>+'[3]Country Results'!B37</f>
        <v>Bonaire Sint Eustatius and Saba</v>
      </c>
      <c r="C119" s="91">
        <f>INDEX('[3]Country Results'!$C$7:$AK$254,MATCH([3]Dashboard!$B119,'[3]Country Results'!$B$7:$B$254,0),MATCH([3]Dashboard!$C$8,'[3]Country Results'!$C$6:$AE$6,0))</f>
        <v>0</v>
      </c>
      <c r="D119" s="45" cm="1">
        <f t="array" ref="D119">INDEX('[3]Country Results'!$L$7:$AE$254,MATCH([3]Dashboard!B119,'[3]Country Results'!$B$7:$B$254,0),MATCH($C$8,'[3]Country Results'!$L$6:$AE$6,0)+1)</f>
        <v>0</v>
      </c>
      <c r="E119" s="43">
        <f t="shared" si="22"/>
        <v>200</v>
      </c>
      <c r="F119" s="43"/>
      <c r="G119" s="91" t="str">
        <f>IFERROR(INDEX('[3]Country Results'!$C$7:$AK$254,MATCH([3]Dashboard!$B119,'[3]Country Results'!$B$7:$B$254,0),MATCH([3]Dashboard!$C$9,'[3]Country Results'!$C$6:$AK$6,0)),"")</f>
        <v/>
      </c>
      <c r="H119" s="43" t="str">
        <f t="shared" si="23"/>
        <v/>
      </c>
      <c r="I119" s="43"/>
      <c r="J119" s="44" t="str">
        <f t="shared" si="24"/>
        <v/>
      </c>
      <c r="K119" s="45" t="str">
        <f t="shared" si="25"/>
        <v/>
      </c>
      <c r="L119" s="43" t="str">
        <f t="shared" si="26"/>
        <v/>
      </c>
      <c r="M119" s="136" t="str">
        <f>IF(G119="","",INDEX([3]Countries!$C$7:$AO$254,MATCH([3]Dashboard!$B119,[3]Countries!$B$7:$B$254,0),MATCH([3]Dashboard!$N$7,[3]Countries!$C$6:$AO$6,0)))</f>
        <v/>
      </c>
      <c r="N119" s="137"/>
      <c r="O119" s="135" t="str">
        <f t="shared" si="27"/>
        <v/>
      </c>
      <c r="P119" s="45" t="str">
        <f t="shared" si="28"/>
        <v/>
      </c>
      <c r="Q119" s="43" t="str">
        <f t="shared" si="29"/>
        <v/>
      </c>
    </row>
    <row r="120" spans="2:17" x14ac:dyDescent="0.3">
      <c r="B120" t="str">
        <f>+'[3]Country Results'!B38</f>
        <v>Bosnia and Herzegovina</v>
      </c>
      <c r="C120" s="91">
        <f>INDEX('[3]Country Results'!$C$7:$AK$254,MATCH([3]Dashboard!$B120,'[3]Country Results'!$B$7:$B$254,0),MATCH([3]Dashboard!$C$8,'[3]Country Results'!$C$6:$AE$6,0))</f>
        <v>939.77469249999979</v>
      </c>
      <c r="D120" s="45" cm="1">
        <f t="array" ref="D120">INDEX('[3]Country Results'!$L$7:$AE$254,MATCH([3]Dashboard!B120,'[3]Country Results'!$B$7:$B$254,0),MATCH($C$8,'[3]Country Results'!$L$6:$AE$6,0)+1)</f>
        <v>5.0501182844462668E-4</v>
      </c>
      <c r="E120" s="43">
        <f t="shared" si="22"/>
        <v>122</v>
      </c>
      <c r="F120" s="43"/>
      <c r="G120" s="91">
        <f>IFERROR(INDEX('[3]Country Results'!$C$7:$AK$254,MATCH([3]Dashboard!$B120,'[3]Country Results'!$B$7:$B$254,0),MATCH([3]Dashboard!$C$9,'[3]Country Results'!$C$6:$AK$6,0)),"")</f>
        <v>6810</v>
      </c>
      <c r="H120" s="43">
        <f t="shared" si="23"/>
        <v>97</v>
      </c>
      <c r="I120" s="43"/>
      <c r="J120" s="44">
        <f t="shared" si="24"/>
        <v>6.399865655924998</v>
      </c>
      <c r="K120" s="45">
        <f t="shared" si="25"/>
        <v>1.4314030190792077E-4</v>
      </c>
      <c r="L120" s="43">
        <f t="shared" si="26"/>
        <v>99</v>
      </c>
      <c r="M120" s="136" t="str">
        <f>IF(G120="","",INDEX([3]Countries!$C$7:$AO$254,MATCH([3]Dashboard!$B120,[3]Countries!$B$7:$B$254,0),MATCH([3]Dashboard!$N$7,[3]Countries!$C$6:$AO$6,0)))</f>
        <v/>
      </c>
      <c r="N120" s="137"/>
      <c r="O120" s="135">
        <f t="shared" si="27"/>
        <v>6.399865655924998</v>
      </c>
      <c r="P120" s="45">
        <f t="shared" si="28"/>
        <v>1.4741104213891287E-4</v>
      </c>
      <c r="Q120" s="43">
        <f t="shared" si="29"/>
        <v>74</v>
      </c>
    </row>
    <row r="121" spans="2:17" x14ac:dyDescent="0.3">
      <c r="B121" t="str">
        <f>+'[3]Country Results'!B39</f>
        <v>Botswana</v>
      </c>
      <c r="C121" s="91">
        <f>INDEX('[3]Country Results'!$C$7:$AK$254,MATCH([3]Dashboard!$B121,'[3]Country Results'!$B$7:$B$254,0),MATCH([3]Dashboard!$C$8,'[3]Country Results'!$C$6:$AE$6,0))</f>
        <v>844.26984899999979</v>
      </c>
      <c r="D121" s="45" cm="1">
        <f t="array" ref="D121">INDEX('[3]Country Results'!$L$7:$AE$254,MATCH([3]Dashboard!B121,'[3]Country Results'!$B$7:$B$254,0),MATCH($C$8,'[3]Country Results'!$L$6:$AE$6,0)+1)</f>
        <v>4.5368987220749065E-4</v>
      </c>
      <c r="E121" s="43">
        <f t="shared" si="22"/>
        <v>131</v>
      </c>
      <c r="F121" s="43"/>
      <c r="G121" s="91">
        <f>IFERROR(INDEX('[3]Country Results'!$C$7:$AK$254,MATCH([3]Dashboard!$B121,'[3]Country Results'!$B$7:$B$254,0),MATCH([3]Dashboard!$C$9,'[3]Country Results'!$C$6:$AK$6,0)),"")</f>
        <v>6430</v>
      </c>
      <c r="H121" s="43">
        <f t="shared" si="23"/>
        <v>102</v>
      </c>
      <c r="I121" s="43"/>
      <c r="J121" s="44">
        <f t="shared" si="24"/>
        <v>5.4286551290699991</v>
      </c>
      <c r="K121" s="45">
        <f t="shared" si="25"/>
        <v>1.2141806967614397E-4</v>
      </c>
      <c r="L121" s="43">
        <f t="shared" si="26"/>
        <v>102</v>
      </c>
      <c r="M121" s="136" t="str">
        <f>IF(G121="","",INDEX([3]Countries!$C$7:$AO$254,MATCH([3]Dashboard!$B121,[3]Countries!$B$7:$B$254,0),MATCH([3]Dashboard!$N$7,[3]Countries!$C$6:$AO$6,0)))</f>
        <v/>
      </c>
      <c r="N121" s="137"/>
      <c r="O121" s="135">
        <f t="shared" si="27"/>
        <v>5.4286551290699991</v>
      </c>
      <c r="P121" s="45">
        <f t="shared" si="28"/>
        <v>1.2504070444792809E-4</v>
      </c>
      <c r="Q121" s="43">
        <f t="shared" si="29"/>
        <v>75</v>
      </c>
    </row>
    <row r="122" spans="2:17" x14ac:dyDescent="0.3">
      <c r="B122" t="str">
        <f>+'[3]Country Results'!B40</f>
        <v>Brazil</v>
      </c>
      <c r="C122" s="91">
        <f>INDEX('[3]Country Results'!$C$7:$AK$254,MATCH([3]Dashboard!$B122,'[3]Country Results'!$B$7:$B$254,0),MATCH([3]Dashboard!$C$8,'[3]Country Results'!$C$6:$AE$6,0))</f>
        <v>93318.886699999988</v>
      </c>
      <c r="D122" s="45" cm="1">
        <f t="array" ref="D122">INDEX('[3]Country Results'!$L$7:$AE$254,MATCH([3]Dashboard!B122,'[3]Country Results'!$B$7:$B$254,0),MATCH($C$8,'[3]Country Results'!$L$6:$AE$6,0)+1)</f>
        <v>5.0147276764195219E-2</v>
      </c>
      <c r="E122" s="43">
        <f t="shared" si="22"/>
        <v>5</v>
      </c>
      <c r="F122" s="43"/>
      <c r="G122" s="91">
        <f>IFERROR(INDEX('[3]Country Results'!$C$7:$AK$254,MATCH([3]Dashboard!$B122,'[3]Country Results'!$B$7:$B$254,0),MATCH([3]Dashboard!$C$9,'[3]Country Results'!$C$6:$AK$6,0)),"")</f>
        <v>7740</v>
      </c>
      <c r="H122" s="43">
        <f t="shared" si="23"/>
        <v>92</v>
      </c>
      <c r="I122" s="43"/>
      <c r="J122" s="44">
        <f t="shared" si="24"/>
        <v>722.28818305799985</v>
      </c>
      <c r="K122" s="45">
        <f t="shared" si="25"/>
        <v>1.6154799826419555E-2</v>
      </c>
      <c r="L122" s="43">
        <f t="shared" si="26"/>
        <v>10</v>
      </c>
      <c r="M122" s="136" t="str">
        <f>IF(G122="","",INDEX([3]Countries!$C$7:$AO$254,MATCH([3]Dashboard!$B122,[3]Countries!$B$7:$B$254,0),MATCH([3]Dashboard!$N$7,[3]Countries!$C$6:$AO$6,0)))</f>
        <v/>
      </c>
      <c r="N122" s="137"/>
      <c r="O122" s="135">
        <f t="shared" si="27"/>
        <v>722.28818305799985</v>
      </c>
      <c r="P122" s="45">
        <f t="shared" si="28"/>
        <v>1.6636795131883535E-2</v>
      </c>
      <c r="Q122" s="43">
        <f t="shared" si="29"/>
        <v>10</v>
      </c>
    </row>
    <row r="123" spans="2:17" x14ac:dyDescent="0.3">
      <c r="B123" t="str">
        <f>+'[3]Country Results'!B41</f>
        <v>British Virgin Islands</v>
      </c>
      <c r="C123" s="91">
        <f>INDEX('[3]Country Results'!$C$7:$AK$254,MATCH([3]Dashboard!$B123,'[3]Country Results'!$B$7:$B$254,0),MATCH([3]Dashboard!$C$8,'[3]Country Results'!$C$6:$AE$6,0))</f>
        <v>6.4467036479999988</v>
      </c>
      <c r="D123" s="45" cm="1">
        <f t="array" ref="D123">INDEX('[3]Country Results'!$L$7:$AE$254,MATCH([3]Dashboard!B123,'[3]Country Results'!$B$7:$B$254,0),MATCH($C$8,'[3]Country Results'!$L$6:$AE$6,0)+1)</f>
        <v>3.4643001377876801E-6</v>
      </c>
      <c r="E123" s="43">
        <f t="shared" si="22"/>
        <v>191</v>
      </c>
      <c r="F123" s="43"/>
      <c r="G123" s="91" t="str">
        <f>IFERROR(INDEX('[3]Country Results'!$C$7:$AK$254,MATCH([3]Dashboard!$B123,'[3]Country Results'!$B$7:$B$254,0),MATCH([3]Dashboard!$C$9,'[3]Country Results'!$C$6:$AK$6,0)),"")</f>
        <v/>
      </c>
      <c r="H123" s="43" t="str">
        <f t="shared" si="23"/>
        <v/>
      </c>
      <c r="I123" s="43"/>
      <c r="J123" s="44" t="str">
        <f t="shared" si="24"/>
        <v/>
      </c>
      <c r="K123" s="45" t="str">
        <f t="shared" si="25"/>
        <v/>
      </c>
      <c r="L123" s="43" t="str">
        <f t="shared" si="26"/>
        <v/>
      </c>
      <c r="M123" s="136" t="str">
        <f>IF(G123="","",INDEX([3]Countries!$C$7:$AO$254,MATCH([3]Dashboard!$B123,[3]Countries!$B$7:$B$254,0),MATCH([3]Dashboard!$N$7,[3]Countries!$C$6:$AO$6,0)))</f>
        <v/>
      </c>
      <c r="N123" s="137"/>
      <c r="O123" s="135" t="str">
        <f t="shared" si="27"/>
        <v/>
      </c>
      <c r="P123" s="45" t="str">
        <f t="shared" si="28"/>
        <v/>
      </c>
      <c r="Q123" s="43" t="str">
        <f t="shared" si="29"/>
        <v/>
      </c>
    </row>
    <row r="124" spans="2:17" x14ac:dyDescent="0.3">
      <c r="B124" t="str">
        <f>+'[3]Country Results'!B42</f>
        <v>Brunei</v>
      </c>
      <c r="C124" s="91">
        <f>INDEX('[3]Country Results'!$C$7:$AK$254,MATCH([3]Dashboard!$B124,'[3]Country Results'!$B$7:$B$254,0),MATCH([3]Dashboard!$C$8,'[3]Country Results'!$C$6:$AE$6,0))</f>
        <v>550.37965750000001</v>
      </c>
      <c r="D124" s="45" cm="1">
        <f t="array" ref="D124">INDEX('[3]Country Results'!$L$7:$AE$254,MATCH([3]Dashboard!B124,'[3]Country Results'!$B$7:$B$254,0),MATCH($C$8,'[3]Country Results'!$L$6:$AE$6,0)+1)</f>
        <v>2.957605045028412E-4</v>
      </c>
      <c r="E124" s="43">
        <f t="shared" si="22"/>
        <v>139</v>
      </c>
      <c r="F124" s="43"/>
      <c r="G124" s="91">
        <f>IFERROR(INDEX('[3]Country Results'!$C$7:$AK$254,MATCH([3]Dashboard!$B124,'[3]Country Results'!$B$7:$B$254,0),MATCH([3]Dashboard!$C$9,'[3]Country Results'!$C$6:$AK$6,0)),"")</f>
        <v>30320</v>
      </c>
      <c r="H124" s="43">
        <f t="shared" si="23"/>
        <v>35</v>
      </c>
      <c r="I124" s="43"/>
      <c r="J124" s="44">
        <f t="shared" si="24"/>
        <v>16.687511215400001</v>
      </c>
      <c r="K124" s="45">
        <f t="shared" si="25"/>
        <v>3.7323523990738023E-4</v>
      </c>
      <c r="L124" s="43">
        <f t="shared" si="26"/>
        <v>79</v>
      </c>
      <c r="M124" s="136" t="str">
        <f>IF(G124="","",INDEX([3]Countries!$C$7:$AO$254,MATCH([3]Dashboard!$B124,[3]Countries!$B$7:$B$254,0),MATCH([3]Dashboard!$N$7,[3]Countries!$C$6:$AO$6,0)))</f>
        <v/>
      </c>
      <c r="N124" s="137"/>
      <c r="O124" s="135">
        <f t="shared" si="27"/>
        <v>16.687511215400001</v>
      </c>
      <c r="P124" s="45">
        <f t="shared" si="28"/>
        <v>3.8437110264799275E-4</v>
      </c>
      <c r="Q124" s="43">
        <f t="shared" si="29"/>
        <v>65</v>
      </c>
    </row>
    <row r="125" spans="2:17" x14ac:dyDescent="0.3">
      <c r="B125" t="str">
        <f>+'[3]Country Results'!B43</f>
        <v>Bulgaria</v>
      </c>
      <c r="C125" s="91">
        <f>INDEX('[3]Country Results'!$C$7:$AK$254,MATCH([3]Dashboard!$B125,'[3]Country Results'!$B$7:$B$254,0),MATCH([3]Dashboard!$C$8,'[3]Country Results'!$C$6:$AE$6,0))</f>
        <v>3271.0180659999996</v>
      </c>
      <c r="D125" s="45" cm="1">
        <f t="array" ref="D125">INDEX('[3]Country Results'!$L$7:$AE$254,MATCH([3]Dashboard!B125,'[3]Country Results'!$B$7:$B$254,0),MATCH($C$8,'[3]Country Results'!$L$6:$AE$6,0)+1)</f>
        <v>1.7577647361322901E-3</v>
      </c>
      <c r="E125" s="43">
        <f t="shared" si="22"/>
        <v>68</v>
      </c>
      <c r="F125" s="43"/>
      <c r="G125" s="91">
        <f>IFERROR(INDEX('[3]Country Results'!$C$7:$AK$254,MATCH([3]Dashboard!$B125,'[3]Country Results'!$B$7:$B$254,0),MATCH([3]Dashboard!$C$9,'[3]Country Results'!$C$6:$AK$6,0)),"")</f>
        <v>11200</v>
      </c>
      <c r="H125" s="43">
        <f t="shared" si="23"/>
        <v>74</v>
      </c>
      <c r="I125" s="43"/>
      <c r="J125" s="44">
        <f t="shared" si="24"/>
        <v>36.635402339199999</v>
      </c>
      <c r="K125" s="45">
        <f t="shared" si="25"/>
        <v>8.1939259873312108E-4</v>
      </c>
      <c r="L125" s="43">
        <f t="shared" si="26"/>
        <v>59</v>
      </c>
      <c r="M125" s="136" t="str">
        <f>IF(G125="","",INDEX([3]Countries!$C$7:$AO$254,MATCH([3]Dashboard!$B125,[3]Countries!$B$7:$B$254,0),MATCH([3]Dashboard!$N$7,[3]Countries!$C$6:$AO$6,0)))</f>
        <v/>
      </c>
      <c r="N125" s="137"/>
      <c r="O125" s="135">
        <f t="shared" si="27"/>
        <v>36.635402339199999</v>
      </c>
      <c r="P125" s="45">
        <f t="shared" si="28"/>
        <v>8.4384003170442923E-4</v>
      </c>
      <c r="Q125" s="43">
        <f t="shared" si="29"/>
        <v>52</v>
      </c>
    </row>
    <row r="126" spans="2:17" x14ac:dyDescent="0.3">
      <c r="B126" t="str">
        <f>+'[3]Country Results'!B44</f>
        <v>Burkina Faso</v>
      </c>
      <c r="C126" s="91">
        <f>INDEX('[3]Country Results'!$C$7:$AK$254,MATCH([3]Dashboard!$B126,'[3]Country Results'!$B$7:$B$254,0),MATCH([3]Dashboard!$C$8,'[3]Country Results'!$C$6:$AE$6,0))</f>
        <v>1610.5483479999998</v>
      </c>
      <c r="D126" s="45" cm="1">
        <f t="array" ref="D126">INDEX('[3]Country Results'!$L$7:$AE$254,MATCH([3]Dashboard!B126,'[3]Country Results'!$B$7:$B$254,0),MATCH($C$8,'[3]Country Results'!$L$6:$AE$6,0)+1)</f>
        <v>8.6546910925881619E-4</v>
      </c>
      <c r="E126" s="43">
        <f t="shared" si="22"/>
        <v>104</v>
      </c>
      <c r="F126" s="43"/>
      <c r="G126" s="91">
        <f>IFERROR(INDEX('[3]Country Results'!$C$7:$AK$254,MATCH([3]Dashboard!$B126,'[3]Country Results'!$B$7:$B$254,0),MATCH([3]Dashboard!$C$9,'[3]Country Results'!$C$6:$AK$6,0)),"")</f>
        <v>830</v>
      </c>
      <c r="H126" s="43">
        <f t="shared" si="23"/>
        <v>184</v>
      </c>
      <c r="I126" s="43"/>
      <c r="J126" s="44">
        <f t="shared" si="24"/>
        <v>1.3367551288399999</v>
      </c>
      <c r="K126" s="45">
        <f t="shared" si="25"/>
        <v>2.989805458525105E-5</v>
      </c>
      <c r="L126" s="43">
        <f t="shared" si="26"/>
        <v>140</v>
      </c>
      <c r="M126" s="136" t="str">
        <f>IF(G126="","",INDEX([3]Countries!$C$7:$AO$254,MATCH([3]Dashboard!$B126,[3]Countries!$B$7:$B$254,0),MATCH([3]Dashboard!$N$7,[3]Countries!$C$6:$AO$6,0)))</f>
        <v>x</v>
      </c>
      <c r="N126" s="137"/>
      <c r="O126" s="135" t="str">
        <f t="shared" si="27"/>
        <v>-</v>
      </c>
      <c r="P126" s="45" t="str">
        <f t="shared" si="28"/>
        <v/>
      </c>
      <c r="Q126" s="43" t="str">
        <f t="shared" si="29"/>
        <v/>
      </c>
    </row>
    <row r="127" spans="2:17" x14ac:dyDescent="0.3">
      <c r="B127" t="str">
        <f>+'[3]Country Results'!B45</f>
        <v>Burundi</v>
      </c>
      <c r="C127" s="91">
        <f>INDEX('[3]Country Results'!$C$7:$AK$254,MATCH([3]Dashboard!$B127,'[3]Country Results'!$B$7:$B$254,0),MATCH([3]Dashboard!$C$8,'[3]Country Results'!$C$6:$AE$6,0))</f>
        <v>344.11533650000001</v>
      </c>
      <c r="D127" s="45" cm="1">
        <f t="array" ref="D127">INDEX('[3]Country Results'!$L$7:$AE$254,MATCH([3]Dashboard!B127,'[3]Country Results'!$B$7:$B$254,0),MATCH($C$8,'[3]Country Results'!$L$6:$AE$6,0)+1)</f>
        <v>1.8491912654021911E-4</v>
      </c>
      <c r="E127" s="43">
        <f t="shared" si="22"/>
        <v>152</v>
      </c>
      <c r="F127" s="43"/>
      <c r="G127" s="91">
        <f>IFERROR(INDEX('[3]Country Results'!$C$7:$AK$254,MATCH([3]Dashboard!$B127,'[3]Country Results'!$B$7:$B$254,0),MATCH([3]Dashboard!$C$9,'[3]Country Results'!$C$6:$AK$6,0)),"")</f>
        <v>220</v>
      </c>
      <c r="H127" s="43">
        <f t="shared" si="23"/>
        <v>203</v>
      </c>
      <c r="I127" s="43"/>
      <c r="J127" s="44">
        <f t="shared" si="24"/>
        <v>7.5705374030000008E-2</v>
      </c>
      <c r="K127" s="45">
        <f t="shared" si="25"/>
        <v>1.6932371204814024E-6</v>
      </c>
      <c r="L127" s="43">
        <f t="shared" si="26"/>
        <v>184</v>
      </c>
      <c r="M127" s="136" t="str">
        <f>IF(G127="","",INDEX([3]Countries!$C$7:$AO$254,MATCH([3]Dashboard!$B127,[3]Countries!$B$7:$B$254,0),MATCH([3]Dashboard!$N$7,[3]Countries!$C$6:$AO$6,0)))</f>
        <v>x</v>
      </c>
      <c r="N127" s="137"/>
      <c r="O127" s="135" t="str">
        <f t="shared" si="27"/>
        <v>-</v>
      </c>
      <c r="P127" s="45" t="str">
        <f t="shared" si="28"/>
        <v/>
      </c>
      <c r="Q127" s="43" t="str">
        <f t="shared" si="29"/>
        <v/>
      </c>
    </row>
    <row r="128" spans="2:17" x14ac:dyDescent="0.3">
      <c r="B128" t="str">
        <f>+'[3]Country Results'!B46</f>
        <v>Cambodia</v>
      </c>
      <c r="C128" s="91">
        <f>INDEX('[3]Country Results'!$C$7:$AK$254,MATCH([3]Dashboard!$B128,'[3]Country Results'!$B$7:$B$254,0),MATCH([3]Dashboard!$C$8,'[3]Country Results'!$C$6:$AE$6,0))</f>
        <v>2427.9872569999998</v>
      </c>
      <c r="D128" s="45" cm="1">
        <f t="array" ref="D128">INDEX('[3]Country Results'!$L$7:$AE$254,MATCH([3]Dashboard!B128,'[3]Country Results'!$B$7:$B$254,0),MATCH($C$8,'[3]Country Results'!$L$6:$AE$6,0)+1)</f>
        <v>1.3047406935762145E-3</v>
      </c>
      <c r="E128" s="43">
        <f t="shared" si="22"/>
        <v>86</v>
      </c>
      <c r="F128" s="43"/>
      <c r="G128" s="91">
        <f>IFERROR(INDEX('[3]Country Results'!$C$7:$AK$254,MATCH([3]Dashboard!$B128,'[3]Country Results'!$B$7:$B$254,0),MATCH([3]Dashboard!$C$9,'[3]Country Results'!$C$6:$AK$6,0)),"")</f>
        <v>1580</v>
      </c>
      <c r="H128" s="43">
        <f t="shared" si="23"/>
        <v>163</v>
      </c>
      <c r="I128" s="43"/>
      <c r="J128" s="44">
        <f t="shared" si="24"/>
        <v>3.8362198660599995</v>
      </c>
      <c r="K128" s="45">
        <f t="shared" si="25"/>
        <v>8.5801436988699648E-5</v>
      </c>
      <c r="L128" s="43">
        <f t="shared" si="26"/>
        <v>112</v>
      </c>
      <c r="M128" s="136" t="str">
        <f>IF(G128="","",INDEX([3]Countries!$C$7:$AO$254,MATCH([3]Dashboard!$B128,[3]Countries!$B$7:$B$254,0),MATCH([3]Dashboard!$N$7,[3]Countries!$C$6:$AO$6,0)))</f>
        <v>x</v>
      </c>
      <c r="N128" s="137"/>
      <c r="O128" s="135" t="str">
        <f t="shared" si="27"/>
        <v>-</v>
      </c>
      <c r="P128" s="45" t="str">
        <f t="shared" si="28"/>
        <v/>
      </c>
      <c r="Q128" s="43" t="str">
        <f t="shared" si="29"/>
        <v/>
      </c>
    </row>
    <row r="129" spans="2:17" x14ac:dyDescent="0.3">
      <c r="B129" t="str">
        <f>+'[3]Country Results'!B47</f>
        <v>Cameroon</v>
      </c>
      <c r="C129" s="91">
        <f>INDEX('[3]Country Results'!$C$7:$AK$254,MATCH([3]Dashboard!$B129,'[3]Country Results'!$B$7:$B$254,0),MATCH([3]Dashboard!$C$8,'[3]Country Results'!$C$6:$AE$6,0))</f>
        <v>2654.7076460000003</v>
      </c>
      <c r="D129" s="45" cm="1">
        <f t="array" ref="D129">INDEX('[3]Country Results'!$L$7:$AE$254,MATCH([3]Dashboard!B129,'[3]Country Results'!$B$7:$B$254,0),MATCH($C$8,'[3]Country Results'!$L$6:$AE$6,0)+1)</f>
        <v>1.4265746598537937E-3</v>
      </c>
      <c r="E129" s="43">
        <f t="shared" si="22"/>
        <v>78</v>
      </c>
      <c r="F129" s="43"/>
      <c r="G129" s="91">
        <f>IFERROR(INDEX('[3]Country Results'!$C$7:$AK$254,MATCH([3]Dashboard!$B129,'[3]Country Results'!$B$7:$B$254,0),MATCH([3]Dashboard!$C$9,'[3]Country Results'!$C$6:$AK$6,0)),"")</f>
        <v>1590</v>
      </c>
      <c r="H129" s="43">
        <f t="shared" si="23"/>
        <v>162</v>
      </c>
      <c r="I129" s="43"/>
      <c r="J129" s="44">
        <f t="shared" si="24"/>
        <v>4.2209851571400003</v>
      </c>
      <c r="K129" s="45">
        <f t="shared" si="25"/>
        <v>9.4407151997403236E-5</v>
      </c>
      <c r="L129" s="43">
        <f t="shared" si="26"/>
        <v>109</v>
      </c>
      <c r="M129" s="136" t="str">
        <f>IF(G129="","",INDEX([3]Countries!$C$7:$AO$254,MATCH([3]Dashboard!$B129,[3]Countries!$B$7:$B$254,0),MATCH([3]Dashboard!$N$7,[3]Countries!$C$6:$AO$6,0)))</f>
        <v>x</v>
      </c>
      <c r="N129" s="137"/>
      <c r="O129" s="135" t="str">
        <f t="shared" si="27"/>
        <v>-</v>
      </c>
      <c r="P129" s="45" t="str">
        <f t="shared" si="28"/>
        <v/>
      </c>
      <c r="Q129" s="43" t="str">
        <f t="shared" si="29"/>
        <v/>
      </c>
    </row>
    <row r="130" spans="2:17" x14ac:dyDescent="0.3">
      <c r="B130" t="str">
        <f>+'[3]Country Results'!B48</f>
        <v>Canada</v>
      </c>
      <c r="C130" s="91">
        <f>INDEX('[3]Country Results'!$C$7:$AK$254,MATCH([3]Dashboard!$B130,'[3]Country Results'!$B$7:$B$254,0),MATCH([3]Dashboard!$C$8,'[3]Country Results'!$C$6:$AE$6,0))</f>
        <v>33961.172960000004</v>
      </c>
      <c r="D130" s="45" cm="1">
        <f t="array" ref="D130">INDEX('[3]Country Results'!$L$7:$AE$254,MATCH([3]Dashboard!B130,'[3]Country Results'!$B$7:$B$254,0),MATCH($C$8,'[3]Country Results'!$L$6:$AE$6,0)+1)</f>
        <v>1.8249899885076783E-2</v>
      </c>
      <c r="E130" s="43">
        <f t="shared" si="22"/>
        <v>9</v>
      </c>
      <c r="F130" s="43"/>
      <c r="G130" s="91">
        <f>IFERROR(INDEX('[3]Country Results'!$C$7:$AK$254,MATCH([3]Dashboard!$B130,'[3]Country Results'!$B$7:$B$254,0),MATCH([3]Dashboard!$C$9,'[3]Country Results'!$C$6:$AK$6,0)),"")</f>
        <v>48310</v>
      </c>
      <c r="H130" s="43">
        <f t="shared" si="23"/>
        <v>21</v>
      </c>
      <c r="I130" s="43"/>
      <c r="J130" s="44">
        <f t="shared" si="24"/>
        <v>1640.6642656976001</v>
      </c>
      <c r="K130" s="45">
        <f t="shared" si="25"/>
        <v>3.6695329393996237E-2</v>
      </c>
      <c r="L130" s="43">
        <f t="shared" si="26"/>
        <v>5</v>
      </c>
      <c r="M130" s="136" t="str">
        <f>IF(G130="","",INDEX([3]Countries!$C$7:$AO$254,MATCH([3]Dashboard!$B130,[3]Countries!$B$7:$B$254,0),MATCH([3]Dashboard!$N$7,[3]Countries!$C$6:$AO$6,0)))</f>
        <v/>
      </c>
      <c r="N130" s="137"/>
      <c r="O130" s="135">
        <f t="shared" si="27"/>
        <v>1640.6642656976001</v>
      </c>
      <c r="P130" s="45">
        <f t="shared" si="28"/>
        <v>3.7790172826932825E-2</v>
      </c>
      <c r="Q130" s="43">
        <f t="shared" si="29"/>
        <v>5</v>
      </c>
    </row>
    <row r="131" spans="2:17" x14ac:dyDescent="0.3">
      <c r="B131" t="str">
        <f>+'[3]Country Results'!B49</f>
        <v>Cape Verde</v>
      </c>
      <c r="C131" s="91">
        <f>INDEX('[3]Country Results'!$C$7:$AK$254,MATCH([3]Dashboard!$B131,'[3]Country Results'!$B$7:$B$254,0),MATCH([3]Dashboard!$C$8,'[3]Country Results'!$C$6:$AE$6,0))</f>
        <v>26.486966020000001</v>
      </c>
      <c r="D131" s="45" cm="1">
        <f t="array" ref="D131">INDEX('[3]Country Results'!$L$7:$AE$254,MATCH([3]Dashboard!B131,'[3]Country Results'!$B$7:$B$254,0),MATCH($C$8,'[3]Country Results'!$L$6:$AE$6,0)+1)</f>
        <v>1.4233444725062011E-5</v>
      </c>
      <c r="E131" s="43">
        <f t="shared" si="22"/>
        <v>177</v>
      </c>
      <c r="F131" s="43"/>
      <c r="G131" s="91">
        <f>IFERROR(INDEX('[3]Country Results'!$C$7:$AK$254,MATCH([3]Dashboard!$B131,'[3]Country Results'!$B$7:$B$254,0),MATCH([3]Dashboard!$C$9,'[3]Country Results'!$C$6:$AK$6,0)),"")</f>
        <v>3190</v>
      </c>
      <c r="H131" s="43">
        <f t="shared" si="23"/>
        <v>142</v>
      </c>
      <c r="I131" s="43"/>
      <c r="J131" s="44">
        <f t="shared" si="24"/>
        <v>8.4493421603799995E-2</v>
      </c>
      <c r="K131" s="45">
        <f t="shared" si="25"/>
        <v>1.8897918374902375E-6</v>
      </c>
      <c r="L131" s="43">
        <f t="shared" si="26"/>
        <v>182</v>
      </c>
      <c r="M131" s="136" t="str">
        <f>IF(G131="","",INDEX([3]Countries!$C$7:$AO$254,MATCH([3]Dashboard!$B131,[3]Countries!$B$7:$B$254,0),MATCH([3]Dashboard!$N$7,[3]Countries!$C$6:$AO$6,0)))</f>
        <v>x</v>
      </c>
      <c r="N131" s="137"/>
      <c r="O131" s="135" t="str">
        <f t="shared" si="27"/>
        <v>-</v>
      </c>
      <c r="P131" s="45" t="str">
        <f t="shared" si="28"/>
        <v/>
      </c>
      <c r="Q131" s="43" t="str">
        <f t="shared" si="29"/>
        <v/>
      </c>
    </row>
    <row r="132" spans="2:17" x14ac:dyDescent="0.3">
      <c r="B132" t="str">
        <f>+'[3]Country Results'!B50</f>
        <v>Central African Republic</v>
      </c>
      <c r="C132" s="91">
        <f>INDEX('[3]Country Results'!$C$7:$AK$254,MATCH([3]Dashboard!$B132,'[3]Country Results'!$B$7:$B$254,0),MATCH([3]Dashboard!$C$8,'[3]Country Results'!$C$6:$AE$6,0))</f>
        <v>1169.8380819999998</v>
      </c>
      <c r="D132" s="45" cm="1">
        <f t="array" ref="D132">INDEX('[3]Country Results'!$L$7:$AE$254,MATCH([3]Dashboard!B132,'[3]Country Results'!$B$7:$B$254,0),MATCH($C$8,'[3]Country Results'!$L$6:$AE$6,0)+1)</f>
        <v>6.286422410496813E-4</v>
      </c>
      <c r="E132" s="43">
        <f t="shared" si="22"/>
        <v>115</v>
      </c>
      <c r="F132" s="43"/>
      <c r="G132" s="91">
        <f>IFERROR(INDEX('[3]Country Results'!$C$7:$AK$254,MATCH([3]Dashboard!$B132,'[3]Country Results'!$B$7:$B$254,0),MATCH([3]Dashboard!$C$9,'[3]Country Results'!$C$6:$AK$6,0)),"")</f>
        <v>480</v>
      </c>
      <c r="H132" s="43">
        <f t="shared" si="23"/>
        <v>199</v>
      </c>
      <c r="I132" s="43"/>
      <c r="J132" s="44">
        <f t="shared" si="24"/>
        <v>0.56152227935999988</v>
      </c>
      <c r="K132" s="45">
        <f t="shared" si="25"/>
        <v>1.2559086849143723E-5</v>
      </c>
      <c r="L132" s="43">
        <f t="shared" si="26"/>
        <v>160</v>
      </c>
      <c r="M132" s="136" t="str">
        <f>IF(G132="","",INDEX([3]Countries!$C$7:$AO$254,MATCH([3]Dashboard!$B132,[3]Countries!$B$7:$B$254,0),MATCH([3]Dashboard!$N$7,[3]Countries!$C$6:$AO$6,0)))</f>
        <v>x</v>
      </c>
      <c r="N132" s="137"/>
      <c r="O132" s="135" t="str">
        <f t="shared" si="27"/>
        <v>-</v>
      </c>
      <c r="P132" s="45" t="str">
        <f t="shared" si="28"/>
        <v/>
      </c>
      <c r="Q132" s="43" t="str">
        <f t="shared" si="29"/>
        <v/>
      </c>
    </row>
    <row r="133" spans="2:17" x14ac:dyDescent="0.3">
      <c r="B133" t="str">
        <f>+'[3]Country Results'!B51</f>
        <v>Central America (GCP)</v>
      </c>
      <c r="C133" s="91" t="str">
        <f>INDEX('[3]Country Results'!$C$7:$AK$254,MATCH([3]Dashboard!$B133,'[3]Country Results'!$B$7:$B$254,0),MATCH([3]Dashboard!$C$8,'[3]Country Results'!$C$6:$AE$6,0))</f>
        <v/>
      </c>
      <c r="D133" s="45" t="str" cm="1">
        <f t="array" ref="D133">INDEX('[3]Country Results'!$L$7:$AE$254,MATCH([3]Dashboard!B133,'[3]Country Results'!$B$7:$B$254,0),MATCH($C$8,'[3]Country Results'!$L$6:$AE$6,0)+1)</f>
        <v/>
      </c>
      <c r="E133" s="43" t="str">
        <f t="shared" si="22"/>
        <v/>
      </c>
      <c r="F133" s="43"/>
      <c r="G133" s="91" t="str">
        <f>IFERROR(INDEX('[3]Country Results'!$C$7:$AK$254,MATCH([3]Dashboard!$B133,'[3]Country Results'!$B$7:$B$254,0),MATCH([3]Dashboard!$C$9,'[3]Country Results'!$C$6:$AK$6,0)),"")</f>
        <v/>
      </c>
      <c r="H133" s="43" t="str">
        <f t="shared" si="23"/>
        <v/>
      </c>
      <c r="I133" s="43"/>
      <c r="J133" s="44" t="str">
        <f t="shared" si="24"/>
        <v/>
      </c>
      <c r="K133" s="45" t="str">
        <f t="shared" si="25"/>
        <v/>
      </c>
      <c r="L133" s="43" t="str">
        <f t="shared" si="26"/>
        <v/>
      </c>
      <c r="M133" s="136" t="str">
        <f>IF(G133="","",INDEX([3]Countries!$C$7:$AO$254,MATCH([3]Dashboard!$B133,[3]Countries!$B$7:$B$254,0),MATCH([3]Dashboard!$N$7,[3]Countries!$C$6:$AO$6,0)))</f>
        <v/>
      </c>
      <c r="N133" s="137"/>
      <c r="O133" s="135" t="str">
        <f t="shared" si="27"/>
        <v/>
      </c>
      <c r="P133" s="45" t="str">
        <f t="shared" si="28"/>
        <v/>
      </c>
      <c r="Q133" s="43" t="str">
        <f t="shared" si="29"/>
        <v/>
      </c>
    </row>
    <row r="134" spans="2:17" x14ac:dyDescent="0.3">
      <c r="B134" t="str">
        <f>+'[3]Country Results'!B52</f>
        <v>Chad</v>
      </c>
      <c r="C134" s="91">
        <f>INDEX('[3]Country Results'!$C$7:$AK$254,MATCH([3]Dashboard!$B134,'[3]Country Results'!$B$7:$B$254,0),MATCH([3]Dashboard!$C$8,'[3]Country Results'!$C$6:$AE$6,0))</f>
        <v>2367.8929730000004</v>
      </c>
      <c r="D134" s="45" cm="1">
        <f t="array" ref="D134">INDEX('[3]Country Results'!$L$7:$AE$254,MATCH([3]Dashboard!B134,'[3]Country Results'!$B$7:$B$254,0),MATCH($C$8,'[3]Country Results'!$L$6:$AE$6,0)+1)</f>
        <v>1.2724475019377194E-3</v>
      </c>
      <c r="E134" s="43">
        <f t="shared" si="22"/>
        <v>89</v>
      </c>
      <c r="F134" s="43"/>
      <c r="G134" s="91">
        <f>IFERROR(INDEX('[3]Country Results'!$C$7:$AK$254,MATCH([3]Dashboard!$B134,'[3]Country Results'!$B$7:$B$254,0),MATCH([3]Dashboard!$C$9,'[3]Country Results'!$C$6:$AK$6,0)),"")</f>
        <v>640</v>
      </c>
      <c r="H134" s="43">
        <f t="shared" si="23"/>
        <v>191</v>
      </c>
      <c r="I134" s="43"/>
      <c r="J134" s="44">
        <f t="shared" si="24"/>
        <v>1.5154515027200002</v>
      </c>
      <c r="K134" s="45">
        <f t="shared" si="25"/>
        <v>3.3894802998767073E-5</v>
      </c>
      <c r="L134" s="43">
        <f t="shared" si="26"/>
        <v>137</v>
      </c>
      <c r="M134" s="136" t="str">
        <f>IF(G134="","",INDEX([3]Countries!$C$7:$AO$254,MATCH([3]Dashboard!$B134,[3]Countries!$B$7:$B$254,0),MATCH([3]Dashboard!$N$7,[3]Countries!$C$6:$AO$6,0)))</f>
        <v>x</v>
      </c>
      <c r="N134" s="137"/>
      <c r="O134" s="135" t="str">
        <f t="shared" si="27"/>
        <v>-</v>
      </c>
      <c r="P134" s="45" t="str">
        <f t="shared" si="28"/>
        <v/>
      </c>
      <c r="Q134" s="43" t="str">
        <f t="shared" si="29"/>
        <v/>
      </c>
    </row>
    <row r="135" spans="2:17" x14ac:dyDescent="0.3">
      <c r="B135" t="str">
        <f>+'[3]Country Results'!B53</f>
        <v>Chile</v>
      </c>
      <c r="C135" s="91">
        <f>INDEX('[3]Country Results'!$C$7:$AK$254,MATCH([3]Dashboard!$B135,'[3]Country Results'!$B$7:$B$254,0),MATCH([3]Dashboard!$C$8,'[3]Country Results'!$C$6:$AE$6,0))</f>
        <v>3995.8672499999993</v>
      </c>
      <c r="D135" s="45" cm="1">
        <f t="array" ref="D135">INDEX('[3]Country Results'!$L$7:$AE$254,MATCH([3]Dashboard!B135,'[3]Country Results'!$B$7:$B$254,0),MATCH($C$8,'[3]Country Results'!$L$6:$AE$6,0)+1)</f>
        <v>2.1472808772667628E-3</v>
      </c>
      <c r="E135" s="43">
        <f t="shared" si="22"/>
        <v>58</v>
      </c>
      <c r="F135" s="43"/>
      <c r="G135" s="91">
        <f>IFERROR(INDEX('[3]Country Results'!$C$7:$AK$254,MATCH([3]Dashboard!$B135,'[3]Country Results'!$B$7:$B$254,0),MATCH([3]Dashboard!$C$9,'[3]Country Results'!$C$6:$AK$6,0)),"")</f>
        <v>14780</v>
      </c>
      <c r="H135" s="43">
        <f t="shared" si="23"/>
        <v>64</v>
      </c>
      <c r="I135" s="43"/>
      <c r="J135" s="44">
        <f t="shared" si="24"/>
        <v>59.058917954999991</v>
      </c>
      <c r="K135" s="45">
        <f t="shared" si="25"/>
        <v>1.3209201256603523E-3</v>
      </c>
      <c r="L135" s="43">
        <f t="shared" si="26"/>
        <v>50</v>
      </c>
      <c r="M135" s="136" t="str">
        <f>IF(G135="","",INDEX([3]Countries!$C$7:$AO$254,MATCH([3]Dashboard!$B135,[3]Countries!$B$7:$B$254,0),MATCH([3]Dashboard!$N$7,[3]Countries!$C$6:$AO$6,0)))</f>
        <v/>
      </c>
      <c r="N135" s="137"/>
      <c r="O135" s="135">
        <f t="shared" si="27"/>
        <v>59.058917954999991</v>
      </c>
      <c r="P135" s="45">
        <f t="shared" si="28"/>
        <v>1.3603311555896714E-3</v>
      </c>
      <c r="Q135" s="43">
        <f t="shared" si="29"/>
        <v>45</v>
      </c>
    </row>
    <row r="136" spans="2:17" x14ac:dyDescent="0.3">
      <c r="B136" t="str">
        <f>+'[3]Country Results'!B54</f>
        <v>China</v>
      </c>
      <c r="C136" s="91">
        <f>INDEX('[3]Country Results'!$C$7:$AK$254,MATCH([3]Dashboard!$B136,'[3]Country Results'!$B$7:$B$254,0),MATCH([3]Dashboard!$C$8,'[3]Country Results'!$C$6:$AE$6,0))</f>
        <v>308590.98480000003</v>
      </c>
      <c r="D136" s="45" cm="1">
        <f t="array" ref="D136">INDEX('[3]Country Results'!$L$7:$AE$254,MATCH([3]Dashboard!B136,'[3]Country Results'!$B$7:$B$254,0),MATCH($C$8,'[3]Country Results'!$L$6:$AE$6,0)+1)</f>
        <v>0.16582921280929902</v>
      </c>
      <c r="E136" s="43">
        <f t="shared" si="22"/>
        <v>1</v>
      </c>
      <c r="F136" s="43"/>
      <c r="G136" s="91">
        <f>IFERROR(INDEX('[3]Country Results'!$C$7:$AK$254,MATCH([3]Dashboard!$B136,'[3]Country Results'!$B$7:$B$254,0),MATCH([3]Dashboard!$C$9,'[3]Country Results'!$C$6:$AK$6,0)),"")</f>
        <v>11880</v>
      </c>
      <c r="H136" s="43">
        <f t="shared" si="23"/>
        <v>72</v>
      </c>
      <c r="I136" s="43"/>
      <c r="J136" s="44">
        <f t="shared" si="24"/>
        <v>3666.0608994240001</v>
      </c>
      <c r="K136" s="45">
        <f t="shared" si="25"/>
        <v>8.1995637435068797E-2</v>
      </c>
      <c r="L136" s="43">
        <f t="shared" si="26"/>
        <v>2</v>
      </c>
      <c r="M136" s="136" t="str">
        <f>IF(G136="","",INDEX([3]Countries!$C$7:$AO$254,MATCH([3]Dashboard!$B136,[3]Countries!$B$7:$B$254,0),MATCH([3]Dashboard!$N$7,[3]Countries!$C$6:$AO$6,0)))</f>
        <v/>
      </c>
      <c r="N136" s="137"/>
      <c r="O136" s="135">
        <f t="shared" si="27"/>
        <v>3666.0608994240001</v>
      </c>
      <c r="P136" s="45">
        <f t="shared" si="28"/>
        <v>8.4442062815567556E-2</v>
      </c>
      <c r="Q136" s="43">
        <f t="shared" si="29"/>
        <v>2</v>
      </c>
    </row>
    <row r="137" spans="2:17" x14ac:dyDescent="0.3">
      <c r="B137" t="str">
        <f>+'[3]Country Results'!B55</f>
        <v>Colombia</v>
      </c>
      <c r="C137" s="91">
        <f>INDEX('[3]Country Results'!$C$7:$AK$254,MATCH([3]Dashboard!$B137,'[3]Country Results'!$B$7:$B$254,0),MATCH([3]Dashboard!$C$8,'[3]Country Results'!$C$6:$AE$6,0))</f>
        <v>9367.6508799999992</v>
      </c>
      <c r="D137" s="45" cm="1">
        <f t="array" ref="D137">INDEX('[3]Country Results'!$L$7:$AE$254,MATCH([3]Dashboard!B137,'[3]Country Results'!$B$7:$B$254,0),MATCH($C$8,'[3]Country Results'!$L$6:$AE$6,0)+1)</f>
        <v>5.03394540935642E-3</v>
      </c>
      <c r="E137" s="43">
        <f t="shared" si="22"/>
        <v>35</v>
      </c>
      <c r="F137" s="43"/>
      <c r="G137" s="91">
        <f>IFERROR(INDEX('[3]Country Results'!$C$7:$AK$254,MATCH([3]Dashboard!$B137,'[3]Country Results'!$B$7:$B$254,0),MATCH([3]Dashboard!$C$9,'[3]Country Results'!$C$6:$AK$6,0)),"")</f>
        <v>6190</v>
      </c>
      <c r="H137" s="43">
        <f t="shared" si="23"/>
        <v>103</v>
      </c>
      <c r="I137" s="43"/>
      <c r="J137" s="44">
        <f t="shared" si="24"/>
        <v>57.98575894719999</v>
      </c>
      <c r="K137" s="45">
        <f t="shared" si="25"/>
        <v>1.2969176992610602E-3</v>
      </c>
      <c r="L137" s="43">
        <f t="shared" si="26"/>
        <v>51</v>
      </c>
      <c r="M137" s="136" t="str">
        <f>IF(G137="","",INDEX([3]Countries!$C$7:$AO$254,MATCH([3]Dashboard!$B137,[3]Countries!$B$7:$B$254,0),MATCH([3]Dashboard!$N$7,[3]Countries!$C$6:$AO$6,0)))</f>
        <v/>
      </c>
      <c r="N137" s="137"/>
      <c r="O137" s="135">
        <f t="shared" si="27"/>
        <v>57.98575894719999</v>
      </c>
      <c r="P137" s="45">
        <f t="shared" si="28"/>
        <v>1.3356125917594911E-3</v>
      </c>
      <c r="Q137" s="43">
        <f t="shared" si="29"/>
        <v>46</v>
      </c>
    </row>
    <row r="138" spans="2:17" x14ac:dyDescent="0.3">
      <c r="B138" t="str">
        <f>+'[3]Country Results'!B56</f>
        <v>Comoros</v>
      </c>
      <c r="C138" s="91">
        <f>INDEX('[3]Country Results'!$C$7:$AK$254,MATCH([3]Dashboard!$B138,'[3]Country Results'!$B$7:$B$254,0),MATCH([3]Dashboard!$C$8,'[3]Country Results'!$C$6:$AE$6,0))</f>
        <v>31.366447859999994</v>
      </c>
      <c r="D138" s="45" cm="1">
        <f t="array" ref="D138">INDEX('[3]Country Results'!$L$7:$AE$254,MATCH([3]Dashboard!B138,'[3]Country Results'!$B$7:$B$254,0),MATCH($C$8,'[3]Country Results'!$L$6:$AE$6,0)+1)</f>
        <v>1.6855558371605805E-5</v>
      </c>
      <c r="E138" s="43">
        <f t="shared" si="22"/>
        <v>176</v>
      </c>
      <c r="F138" s="43"/>
      <c r="G138" s="91">
        <f>IFERROR(INDEX('[3]Country Results'!$C$7:$AK$254,MATCH([3]Dashboard!$B138,'[3]Country Results'!$B$7:$B$254,0),MATCH([3]Dashboard!$C$9,'[3]Country Results'!$C$6:$AK$6,0)),"")</f>
        <v>1580</v>
      </c>
      <c r="H138" s="43">
        <f t="shared" si="23"/>
        <v>163</v>
      </c>
      <c r="I138" s="43"/>
      <c r="J138" s="44">
        <f t="shared" si="24"/>
        <v>4.9558987618799989E-2</v>
      </c>
      <c r="K138" s="45">
        <f t="shared" si="25"/>
        <v>1.1084433379376352E-6</v>
      </c>
      <c r="L138" s="43">
        <f t="shared" si="26"/>
        <v>190</v>
      </c>
      <c r="M138" s="136" t="str">
        <f>IF(G138="","",INDEX([3]Countries!$C$7:$AO$254,MATCH([3]Dashboard!$B138,[3]Countries!$B$7:$B$254,0),MATCH([3]Dashboard!$N$7,[3]Countries!$C$6:$AO$6,0)))</f>
        <v>x</v>
      </c>
      <c r="N138" s="137"/>
      <c r="O138" s="135" t="str">
        <f t="shared" si="27"/>
        <v>-</v>
      </c>
      <c r="P138" s="45" t="str">
        <f t="shared" si="28"/>
        <v/>
      </c>
      <c r="Q138" s="43" t="str">
        <f t="shared" si="29"/>
        <v/>
      </c>
    </row>
    <row r="139" spans="2:17" x14ac:dyDescent="0.3">
      <c r="B139" t="str">
        <f>+'[3]Country Results'!B57</f>
        <v>Congo</v>
      </c>
      <c r="C139" s="91">
        <f>INDEX('[3]Country Results'!$C$7:$AK$254,MATCH([3]Dashboard!$B139,'[3]Country Results'!$B$7:$B$254,0),MATCH([3]Dashboard!$C$8,'[3]Country Results'!$C$6:$AE$6,0))</f>
        <v>1236.5204000000001</v>
      </c>
      <c r="D139" s="45" cm="1">
        <f t="array" ref="D139">INDEX('[3]Country Results'!$L$7:$AE$254,MATCH([3]Dashboard!B139,'[3]Country Results'!$B$7:$B$254,0),MATCH($C$8,'[3]Country Results'!$L$6:$AE$6,0)+1)</f>
        <v>6.6447568028448617E-4</v>
      </c>
      <c r="E139" s="43">
        <f t="shared" si="22"/>
        <v>113</v>
      </c>
      <c r="F139" s="43"/>
      <c r="G139" s="91">
        <f>IFERROR(INDEX('[3]Country Results'!$C$7:$AK$254,MATCH([3]Dashboard!$B139,'[3]Country Results'!$B$7:$B$254,0),MATCH([3]Dashboard!$C$9,'[3]Country Results'!$C$6:$AK$6,0)),"")</f>
        <v>1970</v>
      </c>
      <c r="H139" s="43">
        <f t="shared" si="23"/>
        <v>157</v>
      </c>
      <c r="I139" s="43"/>
      <c r="J139" s="44">
        <f t="shared" si="24"/>
        <v>2.4359451880000003</v>
      </c>
      <c r="K139" s="45">
        <f t="shared" si="25"/>
        <v>5.4482695166992605E-5</v>
      </c>
      <c r="L139" s="43">
        <f t="shared" si="26"/>
        <v>127</v>
      </c>
      <c r="M139" s="136" t="str">
        <f>IF(G139="","",INDEX([3]Countries!$C$7:$AO$254,MATCH([3]Dashboard!$B139,[3]Countries!$B$7:$B$254,0),MATCH([3]Dashboard!$N$7,[3]Countries!$C$6:$AO$6,0)))</f>
        <v>x</v>
      </c>
      <c r="N139" s="137"/>
      <c r="O139" s="135" t="str">
        <f t="shared" si="27"/>
        <v>-</v>
      </c>
      <c r="P139" s="45" t="str">
        <f t="shared" si="28"/>
        <v/>
      </c>
      <c r="Q139" s="43" t="str">
        <f t="shared" si="29"/>
        <v/>
      </c>
    </row>
    <row r="140" spans="2:17" x14ac:dyDescent="0.3">
      <c r="B140" t="str">
        <f>+'[3]Country Results'!B58</f>
        <v>Cook Islands</v>
      </c>
      <c r="C140" s="91">
        <f>INDEX('[3]Country Results'!$C$7:$AK$254,MATCH([3]Dashboard!$B140,'[3]Country Results'!$B$7:$B$254,0),MATCH([3]Dashboard!$C$8,'[3]Country Results'!$C$6:$AE$6,0))</f>
        <v>2.5334573530000002</v>
      </c>
      <c r="D140" s="45" cm="1">
        <f t="array" ref="D140">INDEX('[3]Country Results'!$L$7:$AE$254,MATCH([3]Dashboard!B140,'[3]Country Results'!$B$7:$B$254,0),MATCH($C$8,'[3]Country Results'!$L$6:$AE$6,0)+1)</f>
        <v>1.3614177316495617E-6</v>
      </c>
      <c r="E140" s="43">
        <f t="shared" si="22"/>
        <v>195</v>
      </c>
      <c r="F140" s="43"/>
      <c r="G140" s="91" t="str">
        <f>IFERROR(INDEX('[3]Country Results'!$C$7:$AK$254,MATCH([3]Dashboard!$B140,'[3]Country Results'!$B$7:$B$254,0),MATCH([3]Dashboard!$C$9,'[3]Country Results'!$C$6:$AK$6,0)),"")</f>
        <v/>
      </c>
      <c r="H140" s="43" t="str">
        <f t="shared" si="23"/>
        <v/>
      </c>
      <c r="I140" s="43"/>
      <c r="J140" s="44" t="str">
        <f t="shared" si="24"/>
        <v/>
      </c>
      <c r="K140" s="45" t="str">
        <f t="shared" si="25"/>
        <v/>
      </c>
      <c r="L140" s="43" t="str">
        <f t="shared" si="26"/>
        <v/>
      </c>
      <c r="M140" s="136" t="str">
        <f>IF(G140="","",INDEX([3]Countries!$C$7:$AO$254,MATCH([3]Dashboard!$B140,[3]Countries!$B$7:$B$254,0),MATCH([3]Dashboard!$N$7,[3]Countries!$C$6:$AO$6,0)))</f>
        <v/>
      </c>
      <c r="N140" s="137"/>
      <c r="O140" s="135" t="str">
        <f t="shared" si="27"/>
        <v/>
      </c>
      <c r="P140" s="45" t="str">
        <f t="shared" si="28"/>
        <v/>
      </c>
      <c r="Q140" s="43" t="str">
        <f t="shared" si="29"/>
        <v/>
      </c>
    </row>
    <row r="141" spans="2:17" x14ac:dyDescent="0.3">
      <c r="B141" t="str">
        <f>+'[3]Country Results'!B59</f>
        <v>Costa Rica</v>
      </c>
      <c r="C141" s="91">
        <f>INDEX('[3]Country Results'!$C$7:$AK$254,MATCH([3]Dashboard!$B141,'[3]Country Results'!$B$7:$B$254,0),MATCH([3]Dashboard!$C$8,'[3]Country Results'!$C$6:$AE$6,0))</f>
        <v>727.89785299999994</v>
      </c>
      <c r="D141" s="45" cm="1">
        <f t="array" ref="D141">INDEX('[3]Country Results'!$L$7:$AE$254,MATCH([3]Dashboard!B141,'[3]Country Results'!$B$7:$B$254,0),MATCH($C$8,'[3]Country Results'!$L$6:$AE$6,0)+1)</f>
        <v>3.9115442094589934E-4</v>
      </c>
      <c r="E141" s="43">
        <f t="shared" si="22"/>
        <v>134</v>
      </c>
      <c r="F141" s="43"/>
      <c r="G141" s="91">
        <f>IFERROR(INDEX('[3]Country Results'!$C$7:$AK$254,MATCH([3]Dashboard!$B141,'[3]Country Results'!$B$7:$B$254,0),MATCH([3]Dashboard!$C$9,'[3]Country Results'!$C$6:$AK$6,0)),"")</f>
        <v>12310</v>
      </c>
      <c r="H141" s="43">
        <f t="shared" si="23"/>
        <v>71</v>
      </c>
      <c r="I141" s="43"/>
      <c r="J141" s="44">
        <f t="shared" si="24"/>
        <v>8.9604225704299996</v>
      </c>
      <c r="K141" s="45">
        <f t="shared" si="25"/>
        <v>2.0041008060324957E-4</v>
      </c>
      <c r="L141" s="43">
        <f t="shared" si="26"/>
        <v>92</v>
      </c>
      <c r="M141" s="136" t="str">
        <f>IF(G141="","",INDEX([3]Countries!$C$7:$AO$254,MATCH([3]Dashboard!$B141,[3]Countries!$B$7:$B$254,0),MATCH([3]Dashboard!$N$7,[3]Countries!$C$6:$AO$6,0)))</f>
        <v/>
      </c>
      <c r="N141" s="137"/>
      <c r="O141" s="135">
        <f t="shared" si="27"/>
        <v>8.9604225704299996</v>
      </c>
      <c r="P141" s="45">
        <f t="shared" si="28"/>
        <v>2.0638952442529246E-4</v>
      </c>
      <c r="Q141" s="43">
        <f t="shared" si="29"/>
        <v>71</v>
      </c>
    </row>
    <row r="142" spans="2:17" x14ac:dyDescent="0.3">
      <c r="B142" t="str">
        <f>+'[3]Country Results'!B60</f>
        <v>Cote d'Ivoire</v>
      </c>
      <c r="C142" s="91">
        <f>INDEX('[3]Country Results'!$C$7:$AK$254,MATCH([3]Dashboard!$B142,'[3]Country Results'!$B$7:$B$254,0),MATCH([3]Dashboard!$C$8,'[3]Country Results'!$C$6:$AE$6,0))</f>
        <v>5049.5254339999992</v>
      </c>
      <c r="D142" s="45" cm="1">
        <f t="array" ref="D142">INDEX('[3]Country Results'!$L$7:$AE$254,MATCH([3]Dashboard!B142,'[3]Country Results'!$B$7:$B$254,0),MATCH($C$8,'[3]Country Results'!$L$6:$AE$6,0)+1)</f>
        <v>2.7134908957999922E-3</v>
      </c>
      <c r="E142" s="43">
        <f t="shared" si="22"/>
        <v>51</v>
      </c>
      <c r="F142" s="43"/>
      <c r="G142" s="91">
        <f>IFERROR(INDEX('[3]Country Results'!$C$7:$AK$254,MATCH([3]Dashboard!$B142,'[3]Country Results'!$B$7:$B$254,0),MATCH([3]Dashboard!$C$9,'[3]Country Results'!$C$6:$AK$6,0)),"")</f>
        <v>2420</v>
      </c>
      <c r="H142" s="43">
        <f t="shared" si="23"/>
        <v>150</v>
      </c>
      <c r="I142" s="43"/>
      <c r="J142" s="44">
        <f t="shared" si="24"/>
        <v>12.219851550279998</v>
      </c>
      <c r="K142" s="45">
        <f t="shared" si="25"/>
        <v>2.7331093091894607E-4</v>
      </c>
      <c r="L142" s="43">
        <f t="shared" si="26"/>
        <v>84</v>
      </c>
      <c r="M142" s="136" t="str">
        <f>IF(G142="","",INDEX([3]Countries!$C$7:$AO$254,MATCH([3]Dashboard!$B142,[3]Countries!$B$7:$B$254,0),MATCH([3]Dashboard!$N$7,[3]Countries!$C$6:$AO$6,0)))</f>
        <v>x</v>
      </c>
      <c r="N142" s="137"/>
      <c r="O142" s="135" t="str">
        <f t="shared" si="27"/>
        <v>-</v>
      </c>
      <c r="P142" s="45" t="str">
        <f t="shared" si="28"/>
        <v/>
      </c>
      <c r="Q142" s="43" t="str">
        <f t="shared" si="29"/>
        <v/>
      </c>
    </row>
    <row r="143" spans="2:17" x14ac:dyDescent="0.3">
      <c r="B143" t="str">
        <f>+'[3]Country Results'!B61</f>
        <v>Croatia</v>
      </c>
      <c r="C143" s="91">
        <f>INDEX('[3]Country Results'!$C$7:$AK$254,MATCH([3]Dashboard!$B143,'[3]Country Results'!$B$7:$B$254,0),MATCH([3]Dashboard!$C$8,'[3]Country Results'!$C$6:$AE$6,0))</f>
        <v>1058.4196320000001</v>
      </c>
      <c r="D143" s="45" cm="1">
        <f t="array" ref="D143">INDEX('[3]Country Results'!$L$7:$AE$254,MATCH([3]Dashboard!B143,'[3]Country Results'!$B$7:$B$254,0),MATCH($C$8,'[3]Country Results'!$L$6:$AE$6,0)+1)</f>
        <v>5.6876870369437945E-4</v>
      </c>
      <c r="E143" s="43">
        <f t="shared" si="22"/>
        <v>120</v>
      </c>
      <c r="F143" s="43"/>
      <c r="G143" s="91">
        <f>IFERROR(INDEX('[3]Country Results'!$C$7:$AK$254,MATCH([3]Dashboard!$B143,'[3]Country Results'!$B$7:$B$254,0),MATCH([3]Dashboard!$C$9,'[3]Country Results'!$C$6:$AK$6,0)),"")</f>
        <v>17630</v>
      </c>
      <c r="H143" s="43">
        <f t="shared" si="23"/>
        <v>57</v>
      </c>
      <c r="I143" s="43"/>
      <c r="J143" s="44">
        <f t="shared" si="24"/>
        <v>18.659938112160003</v>
      </c>
      <c r="K143" s="45">
        <f t="shared" si="25"/>
        <v>4.1735081930741735E-4</v>
      </c>
      <c r="L143" s="43">
        <f t="shared" si="26"/>
        <v>77</v>
      </c>
      <c r="M143" s="136" t="str">
        <f>IF(G143="","",INDEX([3]Countries!$C$7:$AO$254,MATCH([3]Dashboard!$B143,[3]Countries!$B$7:$B$254,0),MATCH([3]Dashboard!$N$7,[3]Countries!$C$6:$AO$6,0)))</f>
        <v/>
      </c>
      <c r="N143" s="137"/>
      <c r="O143" s="135">
        <f t="shared" si="27"/>
        <v>18.659938112160003</v>
      </c>
      <c r="P143" s="45">
        <f t="shared" si="28"/>
        <v>4.2980291638068104E-4</v>
      </c>
      <c r="Q143" s="43">
        <f t="shared" si="29"/>
        <v>64</v>
      </c>
    </row>
    <row r="144" spans="2:17" x14ac:dyDescent="0.3">
      <c r="B144" t="str">
        <f>+'[3]Country Results'!B62</f>
        <v>Cuba</v>
      </c>
      <c r="C144" s="91">
        <f>INDEX('[3]Country Results'!$C$7:$AK$254,MATCH([3]Dashboard!$B144,'[3]Country Results'!$B$7:$B$254,0),MATCH([3]Dashboard!$C$8,'[3]Country Results'!$C$6:$AE$6,0))</f>
        <v>2533.0027059999993</v>
      </c>
      <c r="D144" s="45" cm="1">
        <f t="array" ref="D144">INDEX('[3]Country Results'!$L$7:$AE$254,MATCH([3]Dashboard!B144,'[3]Country Results'!$B$7:$B$254,0),MATCH($C$8,'[3]Country Results'!$L$6:$AE$6,0)+1)</f>
        <v>1.3611734155229414E-3</v>
      </c>
      <c r="E144" s="43">
        <f t="shared" si="22"/>
        <v>79</v>
      </c>
      <c r="F144" s="43"/>
      <c r="G144" s="91">
        <f>IFERROR(INDEX('[3]Country Results'!$C$7:$AK$254,MATCH([3]Dashboard!$B144,'[3]Country Results'!$B$7:$B$254,0),MATCH([3]Dashboard!$C$9,'[3]Country Results'!$C$6:$AK$6,0)),"")</f>
        <v>8920</v>
      </c>
      <c r="H144" s="43">
        <f t="shared" si="23"/>
        <v>84</v>
      </c>
      <c r="I144" s="43"/>
      <c r="J144" s="44">
        <f t="shared" si="24"/>
        <v>22.594384137519992</v>
      </c>
      <c r="K144" s="45">
        <f t="shared" si="25"/>
        <v>5.0534919649039111E-4</v>
      </c>
      <c r="L144" s="43">
        <f t="shared" si="26"/>
        <v>74</v>
      </c>
      <c r="M144" s="136" t="str">
        <f>IF(G144="","",INDEX([3]Countries!$C$7:$AO$254,MATCH([3]Dashboard!$B144,[3]Countries!$B$7:$B$254,0),MATCH([3]Dashboard!$N$7,[3]Countries!$C$6:$AO$6,0)))</f>
        <v>x</v>
      </c>
      <c r="N144" s="137"/>
      <c r="O144" s="135" t="str">
        <f t="shared" si="27"/>
        <v>-</v>
      </c>
      <c r="P144" s="45" t="str">
        <f t="shared" si="28"/>
        <v/>
      </c>
      <c r="Q144" s="43" t="str">
        <f t="shared" si="29"/>
        <v/>
      </c>
    </row>
    <row r="145" spans="2:17" x14ac:dyDescent="0.3">
      <c r="B145" t="str">
        <f>+'[3]Country Results'!B63</f>
        <v>Curacao</v>
      </c>
      <c r="C145" s="91">
        <f>INDEX('[3]Country Results'!$C$7:$AK$254,MATCH([3]Dashboard!$B145,'[3]Country Results'!$B$7:$B$254,0),MATCH([3]Dashboard!$C$8,'[3]Country Results'!$C$6:$AE$6,0))</f>
        <v>0</v>
      </c>
      <c r="D145" s="45" cm="1">
        <f t="array" ref="D145">INDEX('[3]Country Results'!$L$7:$AE$254,MATCH([3]Dashboard!B145,'[3]Country Results'!$B$7:$B$254,0),MATCH($C$8,'[3]Country Results'!$L$6:$AE$6,0)+1)</f>
        <v>0</v>
      </c>
      <c r="E145" s="43">
        <f t="shared" si="22"/>
        <v>200</v>
      </c>
      <c r="F145" s="43"/>
      <c r="G145" s="91">
        <f>IFERROR(INDEX('[3]Country Results'!$C$7:$AK$254,MATCH([3]Dashboard!$B145,'[3]Country Results'!$B$7:$B$254,0),MATCH([3]Dashboard!$C$9,'[3]Country Results'!$C$6:$AK$6,0)),"")</f>
        <v>18430</v>
      </c>
      <c r="H145" s="43">
        <f t="shared" si="23"/>
        <v>54</v>
      </c>
      <c r="I145" s="43"/>
      <c r="J145" s="44">
        <f t="shared" si="24"/>
        <v>0</v>
      </c>
      <c r="K145" s="45">
        <f t="shared" si="25"/>
        <v>0</v>
      </c>
      <c r="L145" s="43">
        <f t="shared" si="26"/>
        <v>195</v>
      </c>
      <c r="M145" s="136" t="str">
        <f>IF(G145="","",INDEX([3]Countries!$C$7:$AO$254,MATCH([3]Dashboard!$B145,[3]Countries!$B$7:$B$254,0),MATCH([3]Dashboard!$N$7,[3]Countries!$C$6:$AO$6,0)))</f>
        <v>x</v>
      </c>
      <c r="N145" s="137"/>
      <c r="O145" s="135" t="str">
        <f t="shared" si="27"/>
        <v>-</v>
      </c>
      <c r="P145" s="45" t="str">
        <f t="shared" si="28"/>
        <v/>
      </c>
      <c r="Q145" s="43" t="str">
        <f t="shared" si="29"/>
        <v/>
      </c>
    </row>
    <row r="146" spans="2:17" x14ac:dyDescent="0.3">
      <c r="B146" t="str">
        <f>+'[3]Country Results'!B64</f>
        <v>Cyprus</v>
      </c>
      <c r="C146" s="91">
        <f>INDEX('[3]Country Results'!$C$7:$AK$254,MATCH([3]Dashboard!$B146,'[3]Country Results'!$B$7:$B$254,0),MATCH([3]Dashboard!$C$8,'[3]Country Results'!$C$6:$AE$6,0))</f>
        <v>260.01686179999996</v>
      </c>
      <c r="D146" s="45" cm="1">
        <f t="array" ref="D146">INDEX('[3]Country Results'!$L$7:$AE$254,MATCH([3]Dashboard!B146,'[3]Country Results'!$B$7:$B$254,0),MATCH($C$8,'[3]Country Results'!$L$6:$AE$6,0)+1)</f>
        <v>1.3972667262909062E-4</v>
      </c>
      <c r="E146" s="43">
        <f t="shared" si="22"/>
        <v>155</v>
      </c>
      <c r="F146" s="43"/>
      <c r="G146" s="91">
        <f>IFERROR(INDEX('[3]Country Results'!$C$7:$AK$254,MATCH([3]Dashboard!$B146,'[3]Country Results'!$B$7:$B$254,0),MATCH([3]Dashboard!$C$9,'[3]Country Results'!$C$6:$AK$6,0)),"")</f>
        <v>28470</v>
      </c>
      <c r="H146" s="43">
        <f t="shared" si="23"/>
        <v>38</v>
      </c>
      <c r="I146" s="43"/>
      <c r="J146" s="44">
        <f t="shared" si="24"/>
        <v>7.4026800554459991</v>
      </c>
      <c r="K146" s="45">
        <f t="shared" si="25"/>
        <v>1.6556939083296E-4</v>
      </c>
      <c r="L146" s="43">
        <f t="shared" si="26"/>
        <v>97</v>
      </c>
      <c r="M146" s="136" t="str">
        <f>IF(G146="","",INDEX([3]Countries!$C$7:$AO$254,MATCH([3]Dashboard!$B146,[3]Countries!$B$7:$B$254,0),MATCH([3]Dashboard!$N$7,[3]Countries!$C$6:$AO$6,0)))</f>
        <v/>
      </c>
      <c r="N146" s="137"/>
      <c r="O146" s="135">
        <f t="shared" si="27"/>
        <v>7.4026800554459991</v>
      </c>
      <c r="P146" s="45">
        <f t="shared" si="28"/>
        <v>1.7050932632999455E-4</v>
      </c>
      <c r="Q146" s="43">
        <f t="shared" si="29"/>
        <v>72</v>
      </c>
    </row>
    <row r="147" spans="2:17" x14ac:dyDescent="0.3">
      <c r="B147" t="str">
        <f>+'[3]Country Results'!B65</f>
        <v>Czechia</v>
      </c>
      <c r="C147" s="91">
        <f>INDEX('[3]Country Results'!$C$7:$AK$254,MATCH([3]Dashboard!$B147,'[3]Country Results'!$B$7:$B$254,0),MATCH([3]Dashboard!$C$8,'[3]Country Results'!$C$6:$AE$6,0))</f>
        <v>6366.996392</v>
      </c>
      <c r="D147" s="45" cm="1">
        <f t="array" ref="D147">INDEX('[3]Country Results'!$L$7:$AE$254,MATCH([3]Dashboard!B147,'[3]Country Results'!$B$7:$B$254,0),MATCH($C$8,'[3]Country Results'!$L$6:$AE$6,0)+1)</f>
        <v>3.4214674169088261E-3</v>
      </c>
      <c r="E147" s="43">
        <f t="shared" si="22"/>
        <v>45</v>
      </c>
      <c r="F147" s="43"/>
      <c r="G147" s="91">
        <f>IFERROR(INDEX('[3]Country Results'!$C$7:$AK$254,MATCH([3]Dashboard!$B147,'[3]Country Results'!$B$7:$B$254,0),MATCH([3]Dashboard!$C$9,'[3]Country Results'!$C$6:$AK$6,0)),"")</f>
        <v>24430</v>
      </c>
      <c r="H147" s="43">
        <f t="shared" si="23"/>
        <v>43</v>
      </c>
      <c r="I147" s="43"/>
      <c r="J147" s="44">
        <f t="shared" si="24"/>
        <v>155.54572185655999</v>
      </c>
      <c r="K147" s="45">
        <f t="shared" si="25"/>
        <v>3.4789576506845344E-3</v>
      </c>
      <c r="L147" s="43">
        <f t="shared" si="26"/>
        <v>32</v>
      </c>
      <c r="M147" s="136" t="str">
        <f>IF(G147="","",INDEX([3]Countries!$C$7:$AO$254,MATCH([3]Dashboard!$B147,[3]Countries!$B$7:$B$254,0),MATCH([3]Dashboard!$N$7,[3]Countries!$C$6:$AO$6,0)))</f>
        <v/>
      </c>
      <c r="N147" s="137"/>
      <c r="O147" s="135">
        <f t="shared" si="27"/>
        <v>155.54572185655999</v>
      </c>
      <c r="P147" s="45">
        <f t="shared" si="28"/>
        <v>3.5827559814317609E-3</v>
      </c>
      <c r="Q147" s="43">
        <f t="shared" si="29"/>
        <v>30</v>
      </c>
    </row>
    <row r="148" spans="2:17" x14ac:dyDescent="0.3">
      <c r="B148" t="str">
        <f>+'[3]Country Results'!B66</f>
        <v>Democratic Republic of Congo</v>
      </c>
      <c r="C148" s="91">
        <f>INDEX('[3]Country Results'!$C$7:$AK$254,MATCH([3]Dashboard!$B148,'[3]Country Results'!$B$7:$B$254,0),MATCH([3]Dashboard!$C$8,'[3]Country Results'!$C$6:$AE$6,0))</f>
        <v>14666.859530000002</v>
      </c>
      <c r="D148" s="45" cm="1">
        <f t="array" ref="D148">INDEX('[3]Country Results'!$L$7:$AE$254,MATCH([3]Dashboard!B148,'[3]Country Results'!$B$7:$B$254,0),MATCH($C$8,'[3]Country Results'!$L$6:$AE$6,0)+1)</f>
        <v>7.8816099304417058E-3</v>
      </c>
      <c r="E148" s="43">
        <f t="shared" si="22"/>
        <v>25</v>
      </c>
      <c r="F148" s="43"/>
      <c r="G148" s="91">
        <f>IFERROR(INDEX('[3]Country Results'!$C$7:$AK$254,MATCH([3]Dashboard!$B148,'[3]Country Results'!$B$7:$B$254,0),MATCH([3]Dashboard!$C$9,'[3]Country Results'!$C$6:$AK$6,0)),"")</f>
        <v>550</v>
      </c>
      <c r="H148" s="43">
        <f t="shared" si="23"/>
        <v>196</v>
      </c>
      <c r="I148" s="43"/>
      <c r="J148" s="44">
        <f t="shared" si="24"/>
        <v>8.0667727415000012</v>
      </c>
      <c r="K148" s="45">
        <f t="shared" si="25"/>
        <v>1.8042258192902728E-4</v>
      </c>
      <c r="L148" s="43">
        <f t="shared" si="26"/>
        <v>94</v>
      </c>
      <c r="M148" s="136" t="str">
        <f>IF(G148="","",INDEX([3]Countries!$C$7:$AO$254,MATCH([3]Dashboard!$B148,[3]Countries!$B$7:$B$254,0),MATCH([3]Dashboard!$N$7,[3]Countries!$C$6:$AO$6,0)))</f>
        <v>x</v>
      </c>
      <c r="N148" s="137"/>
      <c r="O148" s="135" t="str">
        <f t="shared" si="27"/>
        <v>-</v>
      </c>
      <c r="P148" s="45" t="str">
        <f t="shared" si="28"/>
        <v/>
      </c>
      <c r="Q148" s="43" t="str">
        <f t="shared" si="29"/>
        <v/>
      </c>
    </row>
    <row r="149" spans="2:17" x14ac:dyDescent="0.3">
      <c r="B149" t="str">
        <f>+'[3]Country Results'!B67</f>
        <v>Denmark</v>
      </c>
      <c r="C149" s="91">
        <f>INDEX('[3]Country Results'!$C$7:$AK$254,MATCH([3]Dashboard!$B149,'[3]Country Results'!$B$7:$B$254,0),MATCH([3]Dashboard!$C$8,'[3]Country Results'!$C$6:$AE$6,0))</f>
        <v>2919.9197520000002</v>
      </c>
      <c r="D149" s="45" cm="1">
        <f t="array" ref="D149">INDEX('[3]Country Results'!$L$7:$AE$254,MATCH([3]Dashboard!B149,'[3]Country Results'!$B$7:$B$254,0),MATCH($C$8,'[3]Country Results'!$L$6:$AE$6,0)+1)</f>
        <v>1.5690931290630612E-3</v>
      </c>
      <c r="E149" s="43">
        <f t="shared" si="22"/>
        <v>74</v>
      </c>
      <c r="F149" s="43"/>
      <c r="G149" s="91">
        <f>IFERROR(INDEX('[3]Country Results'!$C$7:$AK$254,MATCH([3]Dashboard!$B149,'[3]Country Results'!$B$7:$B$254,0),MATCH([3]Dashboard!$C$9,'[3]Country Results'!$C$6:$AK$6,0)),"")</f>
        <v>68300</v>
      </c>
      <c r="H149" s="43">
        <f t="shared" si="23"/>
        <v>8</v>
      </c>
      <c r="I149" s="43"/>
      <c r="J149" s="44">
        <f t="shared" si="24"/>
        <v>199.43051906160002</v>
      </c>
      <c r="K149" s="45">
        <f t="shared" si="25"/>
        <v>4.4604912419844893E-3</v>
      </c>
      <c r="L149" s="43">
        <f t="shared" si="26"/>
        <v>27</v>
      </c>
      <c r="M149" s="136" t="str">
        <f>IF(G149="","",INDEX([3]Countries!$C$7:$AO$254,MATCH([3]Dashboard!$B149,[3]Countries!$B$7:$B$254,0),MATCH([3]Dashboard!$N$7,[3]Countries!$C$6:$AO$6,0)))</f>
        <v/>
      </c>
      <c r="N149" s="137"/>
      <c r="O149" s="135">
        <f t="shared" si="27"/>
        <v>199.43051906160002</v>
      </c>
      <c r="P149" s="45">
        <f t="shared" si="28"/>
        <v>4.5935746513612935E-3</v>
      </c>
      <c r="Q149" s="43">
        <f t="shared" si="29"/>
        <v>25</v>
      </c>
    </row>
    <row r="150" spans="2:17" x14ac:dyDescent="0.3">
      <c r="B150" t="str">
        <f>+'[3]Country Results'!B68</f>
        <v>Djibouti</v>
      </c>
      <c r="C150" s="91">
        <f>INDEX('[3]Country Results'!$C$7:$AK$254,MATCH([3]Dashboard!$B150,'[3]Country Results'!$B$7:$B$254,0),MATCH([3]Dashboard!$C$8,'[3]Country Results'!$C$6:$AE$6,0))</f>
        <v>63.729803799999999</v>
      </c>
      <c r="D150" s="45" cm="1">
        <f t="array" ref="D150">INDEX('[3]Country Results'!$L$7:$AE$254,MATCH([3]Dashboard!B150,'[3]Country Results'!$B$7:$B$254,0),MATCH($C$8,'[3]Country Results'!$L$6:$AE$6,0)+1)</f>
        <v>3.4246830650268143E-5</v>
      </c>
      <c r="E150" s="43">
        <f t="shared" si="22"/>
        <v>170</v>
      </c>
      <c r="F150" s="43"/>
      <c r="G150" s="91">
        <f>IFERROR(INDEX('[3]Country Results'!$C$7:$AK$254,MATCH([3]Dashboard!$B150,'[3]Country Results'!$B$7:$B$254,0),MATCH([3]Dashboard!$C$9,'[3]Country Results'!$C$6:$AK$6,0)),"")</f>
        <v>3080</v>
      </c>
      <c r="H150" s="43">
        <f t="shared" si="23"/>
        <v>143</v>
      </c>
      <c r="I150" s="43"/>
      <c r="J150" s="44">
        <f t="shared" si="24"/>
        <v>0.19628779570399998</v>
      </c>
      <c r="K150" s="45">
        <f t="shared" si="25"/>
        <v>4.3902006461493301E-6</v>
      </c>
      <c r="L150" s="43">
        <f t="shared" si="26"/>
        <v>174</v>
      </c>
      <c r="M150" s="136" t="str">
        <f>IF(G150="","",INDEX([3]Countries!$C$7:$AO$254,MATCH([3]Dashboard!$B150,[3]Countries!$B$7:$B$254,0),MATCH([3]Dashboard!$N$7,[3]Countries!$C$6:$AO$6,0)))</f>
        <v>x</v>
      </c>
      <c r="N150" s="137"/>
      <c r="O150" s="135" t="str">
        <f t="shared" si="27"/>
        <v>-</v>
      </c>
      <c r="P150" s="45" t="str">
        <f t="shared" si="28"/>
        <v/>
      </c>
      <c r="Q150" s="43" t="str">
        <f t="shared" si="29"/>
        <v/>
      </c>
    </row>
    <row r="151" spans="2:17" x14ac:dyDescent="0.3">
      <c r="B151" t="str">
        <f>+'[3]Country Results'!B69</f>
        <v>Dominica</v>
      </c>
      <c r="C151" s="91">
        <f>INDEX('[3]Country Results'!$C$7:$AK$254,MATCH([3]Dashboard!$B151,'[3]Country Results'!$B$7:$B$254,0),MATCH([3]Dashboard!$C$8,'[3]Country Results'!$C$6:$AE$6,0))</f>
        <v>8.1198617550000005</v>
      </c>
      <c r="D151" s="45" cm="1">
        <f t="array" ref="D151">INDEX('[3]Country Results'!$L$7:$AE$254,MATCH([3]Dashboard!B151,'[3]Country Results'!$B$7:$B$254,0),MATCH($C$8,'[3]Country Results'!$L$6:$AE$6,0)+1)</f>
        <v>4.363414193141987E-6</v>
      </c>
      <c r="E151" s="43">
        <f t="shared" si="22"/>
        <v>187</v>
      </c>
      <c r="F151" s="43"/>
      <c r="G151" s="91">
        <f>IFERROR(INDEX('[3]Country Results'!$C$7:$AK$254,MATCH([3]Dashboard!$B151,'[3]Country Results'!$B$7:$B$254,0),MATCH([3]Dashboard!$C$9,'[3]Country Results'!$C$6:$AK$6,0)),"")</f>
        <v>7790</v>
      </c>
      <c r="H151" s="43">
        <f t="shared" si="23"/>
        <v>91</v>
      </c>
      <c r="I151" s="43"/>
      <c r="J151" s="44">
        <f t="shared" si="24"/>
        <v>6.325372307145001E-2</v>
      </c>
      <c r="K151" s="45">
        <f t="shared" si="25"/>
        <v>1.4147417311588448E-6</v>
      </c>
      <c r="L151" s="43">
        <f t="shared" si="26"/>
        <v>187</v>
      </c>
      <c r="M151" s="136" t="str">
        <f>IF(G151="","",INDEX([3]Countries!$C$7:$AO$254,MATCH([3]Dashboard!$B151,[3]Countries!$B$7:$B$254,0),MATCH([3]Dashboard!$N$7,[3]Countries!$C$6:$AO$6,0)))</f>
        <v>x</v>
      </c>
      <c r="N151" s="137"/>
      <c r="O151" s="135" t="str">
        <f t="shared" si="27"/>
        <v>-</v>
      </c>
      <c r="P151" s="45" t="str">
        <f t="shared" si="28"/>
        <v/>
      </c>
      <c r="Q151" s="43" t="str">
        <f t="shared" si="29"/>
        <v/>
      </c>
    </row>
    <row r="152" spans="2:17" x14ac:dyDescent="0.3">
      <c r="B152" t="str">
        <f>+'[3]Country Results'!B70</f>
        <v>Dominican Republic</v>
      </c>
      <c r="C152" s="91">
        <f>INDEX('[3]Country Results'!$C$7:$AK$254,MATCH([3]Dashboard!$B152,'[3]Country Results'!$B$7:$B$254,0),MATCH([3]Dashboard!$C$8,'[3]Country Results'!$C$6:$AE$6,0))</f>
        <v>1244.8475819999999</v>
      </c>
      <c r="D152" s="45" cm="1">
        <f t="array" ref="D152">INDEX('[3]Country Results'!$L$7:$AE$254,MATCH([3]Dashboard!B152,'[3]Country Results'!$B$7:$B$254,0),MATCH($C$8,'[3]Country Results'!$L$6:$AE$6,0)+1)</f>
        <v>6.6895050328320306E-4</v>
      </c>
      <c r="E152" s="43">
        <f t="shared" si="22"/>
        <v>112</v>
      </c>
      <c r="F152" s="43"/>
      <c r="G152" s="91">
        <f>IFERROR(INDEX('[3]Country Results'!$C$7:$AK$254,MATCH([3]Dashboard!$B152,'[3]Country Results'!$B$7:$B$254,0),MATCH([3]Dashboard!$C$9,'[3]Country Results'!$C$6:$AK$6,0)),"")</f>
        <v>8100</v>
      </c>
      <c r="H152" s="43">
        <f t="shared" si="23"/>
        <v>90</v>
      </c>
      <c r="I152" s="43"/>
      <c r="J152" s="44">
        <f t="shared" si="24"/>
        <v>10.083265414199998</v>
      </c>
      <c r="K152" s="45">
        <f t="shared" si="25"/>
        <v>2.25523742716389E-4</v>
      </c>
      <c r="L152" s="43">
        <f t="shared" si="26"/>
        <v>91</v>
      </c>
      <c r="M152" s="136" t="str">
        <f>IF(G152="","",INDEX([3]Countries!$C$7:$AO$254,MATCH([3]Dashboard!$B152,[3]Countries!$B$7:$B$254,0),MATCH([3]Dashboard!$N$7,[3]Countries!$C$6:$AO$6,0)))</f>
        <v>x</v>
      </c>
      <c r="N152" s="137"/>
      <c r="O152" s="135" t="str">
        <f t="shared" si="27"/>
        <v>-</v>
      </c>
      <c r="P152" s="45" t="str">
        <f t="shared" si="28"/>
        <v/>
      </c>
      <c r="Q152" s="43" t="str">
        <f t="shared" si="29"/>
        <v/>
      </c>
    </row>
    <row r="153" spans="2:17" x14ac:dyDescent="0.3">
      <c r="B153" t="str">
        <f>+'[3]Country Results'!B71</f>
        <v>East Timor</v>
      </c>
      <c r="C153" s="91">
        <f>INDEX('[3]Country Results'!$C$7:$AK$254,MATCH([3]Dashboard!$B153,'[3]Country Results'!$B$7:$B$254,0),MATCH([3]Dashboard!$C$8,'[3]Country Results'!$C$6:$AE$6,0))</f>
        <v>250.85757890000005</v>
      </c>
      <c r="D153" s="45" cm="1">
        <f t="array" ref="D153">INDEX('[3]Country Results'!$L$7:$AE$254,MATCH([3]Dashboard!B153,'[3]Country Results'!$B$7:$B$254,0),MATCH($C$8,'[3]Country Results'!$L$6:$AE$6,0)+1)</f>
        <v>1.3480469905235423E-4</v>
      </c>
      <c r="E153" s="43">
        <f t="shared" si="22"/>
        <v>156</v>
      </c>
      <c r="F153" s="43"/>
      <c r="G153" s="91">
        <f>IFERROR(INDEX('[3]Country Results'!$C$7:$AK$254,MATCH([3]Dashboard!$B153,'[3]Country Results'!$B$7:$B$254,0),MATCH([3]Dashboard!$C$9,'[3]Country Results'!$C$6:$AK$6,0)),"")</f>
        <v>1140</v>
      </c>
      <c r="H153" s="43">
        <f t="shared" si="23"/>
        <v>175</v>
      </c>
      <c r="I153" s="43"/>
      <c r="J153" s="44">
        <f t="shared" si="24"/>
        <v>0.28597763994600006</v>
      </c>
      <c r="K153" s="45">
        <f t="shared" si="25"/>
        <v>6.3962164085253164E-6</v>
      </c>
      <c r="L153" s="43">
        <f t="shared" si="26"/>
        <v>168</v>
      </c>
      <c r="M153" s="136" t="str">
        <f>IF(G153="","",INDEX([3]Countries!$C$7:$AO$254,MATCH([3]Dashboard!$B153,[3]Countries!$B$7:$B$254,0),MATCH([3]Dashboard!$N$7,[3]Countries!$C$6:$AO$6,0)))</f>
        <v>x</v>
      </c>
      <c r="N153" s="137"/>
      <c r="O153" s="135" t="str">
        <f t="shared" si="27"/>
        <v>-</v>
      </c>
      <c r="P153" s="45" t="str">
        <f t="shared" si="28"/>
        <v/>
      </c>
      <c r="Q153" s="43" t="str">
        <f t="shared" si="29"/>
        <v/>
      </c>
    </row>
    <row r="154" spans="2:17" x14ac:dyDescent="0.3">
      <c r="B154" t="str">
        <f>+'[3]Country Results'!B72</f>
        <v>Ecuador</v>
      </c>
      <c r="C154" s="91">
        <f>INDEX('[3]Country Results'!$C$7:$AK$254,MATCH([3]Dashboard!$B154,'[3]Country Results'!$B$7:$B$254,0),MATCH([3]Dashboard!$C$8,'[3]Country Results'!$C$6:$AE$6,0))</f>
        <v>3850.6955900000007</v>
      </c>
      <c r="D154" s="45" cm="1">
        <f t="array" ref="D154">INDEX('[3]Country Results'!$L$7:$AE$254,MATCH([3]Dashboard!B154,'[3]Country Results'!$B$7:$B$254,0),MATCH($C$8,'[3]Country Results'!$L$6:$AE$6,0)+1)</f>
        <v>2.0692691942112082E-3</v>
      </c>
      <c r="E154" s="43">
        <f t="shared" si="22"/>
        <v>61</v>
      </c>
      <c r="F154" s="43"/>
      <c r="G154" s="91">
        <f>IFERROR(INDEX('[3]Country Results'!$C$7:$AK$254,MATCH([3]Dashboard!$B154,'[3]Country Results'!$B$7:$B$254,0),MATCH([3]Dashboard!$C$9,'[3]Country Results'!$C$6:$AK$6,0)),"")</f>
        <v>5960</v>
      </c>
      <c r="H154" s="43">
        <f t="shared" si="23"/>
        <v>107</v>
      </c>
      <c r="I154" s="43"/>
      <c r="J154" s="44">
        <f t="shared" si="24"/>
        <v>22.950145716400005</v>
      </c>
      <c r="K154" s="45">
        <f t="shared" si="25"/>
        <v>5.1330621036317116E-4</v>
      </c>
      <c r="L154" s="43">
        <f t="shared" si="26"/>
        <v>73</v>
      </c>
      <c r="M154" s="136" t="str">
        <f>IF(G154="","",INDEX([3]Countries!$C$7:$AO$254,MATCH([3]Dashboard!$B154,[3]Countries!$B$7:$B$254,0),MATCH([3]Dashboard!$N$7,[3]Countries!$C$6:$AO$6,0)))</f>
        <v/>
      </c>
      <c r="N154" s="137"/>
      <c r="O154" s="135">
        <f t="shared" si="27"/>
        <v>22.950145716400005</v>
      </c>
      <c r="P154" s="45">
        <f t="shared" si="28"/>
        <v>5.2862123662898329E-4</v>
      </c>
      <c r="Q154" s="43">
        <f t="shared" si="29"/>
        <v>62</v>
      </c>
    </row>
    <row r="155" spans="2:17" x14ac:dyDescent="0.3">
      <c r="B155" t="str">
        <f>+'[3]Country Results'!B73</f>
        <v>Egypt</v>
      </c>
      <c r="C155" s="91">
        <f>INDEX('[3]Country Results'!$C$7:$AK$254,MATCH([3]Dashboard!$B155,'[3]Country Results'!$B$7:$B$254,0),MATCH([3]Dashboard!$C$8,'[3]Country Results'!$C$6:$AE$6,0))</f>
        <v>9387.610475999998</v>
      </c>
      <c r="D155" s="45" cm="1">
        <f t="array" ref="D155">INDEX('[3]Country Results'!$L$7:$AE$254,MATCH([3]Dashboard!B155,'[3]Country Results'!$B$7:$B$254,0),MATCH($C$8,'[3]Country Results'!$L$6:$AE$6,0)+1)</f>
        <v>5.0446712058174435E-3</v>
      </c>
      <c r="E155" s="43">
        <f t="shared" ref="E155:E218" si="30">IFERROR(RANK(D155,D$90:D$336),"")</f>
        <v>34</v>
      </c>
      <c r="F155" s="43"/>
      <c r="G155" s="91">
        <f>IFERROR(INDEX('[3]Country Results'!$C$7:$AK$254,MATCH([3]Dashboard!$B155,'[3]Country Results'!$B$7:$B$254,0),MATCH([3]Dashboard!$C$9,'[3]Country Results'!$C$6:$AK$6,0)),"")</f>
        <v>3350</v>
      </c>
      <c r="H155" s="43">
        <f t="shared" ref="H155:H218" si="31">IFERROR(RANK(G155,G$90:G$336),"")</f>
        <v>139</v>
      </c>
      <c r="I155" s="43"/>
      <c r="J155" s="44">
        <f t="shared" ref="J155:J218" si="32">IFERROR(C155*G155^$C$10/1000000,"")</f>
        <v>31.448495094599991</v>
      </c>
      <c r="K155" s="45">
        <f t="shared" ref="K155:K218" si="33">IFERROR(J155/J$88,"")</f>
        <v>7.0338149648864489E-4</v>
      </c>
      <c r="L155" s="43">
        <f t="shared" ref="L155:L218" si="34">IFERROR(RANK(K155,K$90:K$336),"")</f>
        <v>65</v>
      </c>
      <c r="M155" s="136" t="str">
        <f>IF(G155="","",INDEX([3]Countries!$C$7:$AO$254,MATCH([3]Dashboard!$B155,[3]Countries!$B$7:$B$254,0),MATCH([3]Dashboard!$N$7,[3]Countries!$C$6:$AO$6,0)))</f>
        <v>x</v>
      </c>
      <c r="N155" s="137"/>
      <c r="O155" s="135" t="str">
        <f t="shared" ref="O155:O218" si="35">IF(OR(M155="x",N155="x"),$Q$86,J155)</f>
        <v>-</v>
      </c>
      <c r="P155" s="45" t="str">
        <f t="shared" ref="P155:P218" si="36">IFERROR(O155/O$88,"")</f>
        <v/>
      </c>
      <c r="Q155" s="43" t="str">
        <f t="shared" ref="Q155:Q218" si="37">IFERROR(RANK(P155,P$90:P$336),"")</f>
        <v/>
      </c>
    </row>
    <row r="156" spans="2:17" x14ac:dyDescent="0.3">
      <c r="B156" t="str">
        <f>+'[3]Country Results'!B74</f>
        <v>El Salvador</v>
      </c>
      <c r="C156" s="91">
        <f>INDEX('[3]Country Results'!$C$7:$AK$254,MATCH([3]Dashboard!$B156,'[3]Country Results'!$B$7:$B$254,0),MATCH([3]Dashboard!$C$8,'[3]Country Results'!$C$6:$AE$6,0))</f>
        <v>532.45018400000004</v>
      </c>
      <c r="D156" s="45" cm="1">
        <f t="array" ref="D156">INDEX('[3]Country Results'!$L$7:$AE$254,MATCH([3]Dashboard!B156,'[3]Country Results'!$B$7:$B$254,0),MATCH($C$8,'[3]Country Results'!$L$6:$AE$6,0)+1)</f>
        <v>2.8612564599095965E-4</v>
      </c>
      <c r="E156" s="43">
        <f t="shared" si="30"/>
        <v>142</v>
      </c>
      <c r="F156" s="43"/>
      <c r="G156" s="91">
        <f>IFERROR(INDEX('[3]Country Results'!$C$7:$AK$254,MATCH([3]Dashboard!$B156,'[3]Country Results'!$B$7:$B$254,0),MATCH([3]Dashboard!$C$9,'[3]Country Results'!$C$6:$AK$6,0)),"")</f>
        <v>4260</v>
      </c>
      <c r="H156" s="43">
        <f t="shared" si="31"/>
        <v>123</v>
      </c>
      <c r="I156" s="43"/>
      <c r="J156" s="44">
        <f t="shared" si="32"/>
        <v>2.2682377838400001</v>
      </c>
      <c r="K156" s="45">
        <f t="shared" si="33"/>
        <v>5.0731727607004587E-5</v>
      </c>
      <c r="L156" s="43">
        <f t="shared" si="34"/>
        <v>129</v>
      </c>
      <c r="M156" s="136" t="str">
        <f>IF(G156="","",INDEX([3]Countries!$C$7:$AO$254,MATCH([3]Dashboard!$B156,[3]Countries!$B$7:$B$254,0),MATCH([3]Dashboard!$N$7,[3]Countries!$C$6:$AO$6,0)))</f>
        <v>x</v>
      </c>
      <c r="N156" s="137"/>
      <c r="O156" s="135" t="str">
        <f t="shared" si="35"/>
        <v>-</v>
      </c>
      <c r="P156" s="45" t="str">
        <f t="shared" si="36"/>
        <v/>
      </c>
      <c r="Q156" s="43" t="str">
        <f t="shared" si="37"/>
        <v/>
      </c>
    </row>
    <row r="157" spans="2:17" x14ac:dyDescent="0.3">
      <c r="B157" t="str">
        <f>+'[3]Country Results'!B75</f>
        <v>Equatorial Guinea</v>
      </c>
      <c r="C157" s="91">
        <f>INDEX('[3]Country Results'!$C$7:$AK$254,MATCH([3]Dashboard!$B157,'[3]Country Results'!$B$7:$B$254,0),MATCH([3]Dashboard!$C$8,'[3]Country Results'!$C$6:$AE$6,0))</f>
        <v>565.98702073000004</v>
      </c>
      <c r="D157" s="45" cm="1">
        <f t="array" ref="D157">INDEX('[3]Country Results'!$L$7:$AE$254,MATCH([3]Dashboard!B157,'[3]Country Results'!$B$7:$B$254,0),MATCH($C$8,'[3]Country Results'!$L$6:$AE$6,0)+1)</f>
        <v>3.0414751801244549E-4</v>
      </c>
      <c r="E157" s="43">
        <f t="shared" si="30"/>
        <v>138</v>
      </c>
      <c r="F157" s="43"/>
      <c r="G157" s="91">
        <f>IFERROR(INDEX('[3]Country Results'!$C$7:$AK$254,MATCH([3]Dashboard!$B157,'[3]Country Results'!$B$7:$B$254,0),MATCH([3]Dashboard!$C$9,'[3]Country Results'!$C$6:$AK$6,0)),"")</f>
        <v>5150</v>
      </c>
      <c r="H157" s="43">
        <f t="shared" si="31"/>
        <v>111</v>
      </c>
      <c r="I157" s="43"/>
      <c r="J157" s="44">
        <f t="shared" si="32"/>
        <v>2.9148331567594998</v>
      </c>
      <c r="K157" s="45">
        <f t="shared" si="33"/>
        <v>6.519357131871991E-5</v>
      </c>
      <c r="L157" s="43">
        <f t="shared" si="34"/>
        <v>120</v>
      </c>
      <c r="M157" s="136" t="str">
        <f>IF(G157="","",INDEX([3]Countries!$C$7:$AO$254,MATCH([3]Dashboard!$B157,[3]Countries!$B$7:$B$254,0),MATCH([3]Dashboard!$N$7,[3]Countries!$C$6:$AO$6,0)))</f>
        <v/>
      </c>
      <c r="N157" s="137"/>
      <c r="O157" s="135">
        <f t="shared" si="35"/>
        <v>2.9148331567594998</v>
      </c>
      <c r="P157" s="45">
        <f t="shared" si="36"/>
        <v>6.7138689528768223E-5</v>
      </c>
      <c r="Q157" s="43">
        <f t="shared" si="37"/>
        <v>80</v>
      </c>
    </row>
    <row r="158" spans="2:17" x14ac:dyDescent="0.3">
      <c r="B158" t="str">
        <f>+'[3]Country Results'!B76</f>
        <v>Eritrea</v>
      </c>
      <c r="C158" s="91">
        <f>INDEX('[3]Country Results'!$C$7:$AK$254,MATCH([3]Dashboard!$B158,'[3]Country Results'!$B$7:$B$254,0),MATCH([3]Dashboard!$C$8,'[3]Country Results'!$C$6:$AE$6,0))</f>
        <v>284.26642220000008</v>
      </c>
      <c r="D158" s="45" cm="1">
        <f t="array" ref="D158">INDEX('[3]Country Results'!$L$7:$AE$254,MATCH([3]Dashboard!B158,'[3]Country Results'!$B$7:$B$254,0),MATCH($C$8,'[3]Country Results'!$L$6:$AE$6,0)+1)</f>
        <v>1.5275779054949842E-4</v>
      </c>
      <c r="E158" s="43">
        <f t="shared" si="30"/>
        <v>154</v>
      </c>
      <c r="F158" s="43"/>
      <c r="G158" s="91">
        <f>IFERROR(INDEX('[3]Country Results'!$C$7:$AK$254,MATCH([3]Dashboard!$B158,'[3]Country Results'!$B$7:$B$254,0),MATCH([3]Dashboard!$C$9,'[3]Country Results'!$C$6:$AK$6,0)),"")</f>
        <v>610</v>
      </c>
      <c r="H158" s="43">
        <f t="shared" si="31"/>
        <v>194</v>
      </c>
      <c r="I158" s="43"/>
      <c r="J158" s="44">
        <f t="shared" si="32"/>
        <v>0.17340251754200003</v>
      </c>
      <c r="K158" s="45">
        <f t="shared" si="33"/>
        <v>3.878345272697439E-6</v>
      </c>
      <c r="L158" s="43">
        <f t="shared" si="34"/>
        <v>175</v>
      </c>
      <c r="M158" s="136" t="str">
        <f>IF(G158="","",INDEX([3]Countries!$C$7:$AO$254,MATCH([3]Dashboard!$B158,[3]Countries!$B$7:$B$254,0),MATCH([3]Dashboard!$N$7,[3]Countries!$C$6:$AO$6,0)))</f>
        <v>x</v>
      </c>
      <c r="N158" s="137"/>
      <c r="O158" s="135" t="str">
        <f t="shared" si="35"/>
        <v>-</v>
      </c>
      <c r="P158" s="45" t="str">
        <f t="shared" si="36"/>
        <v/>
      </c>
      <c r="Q158" s="43" t="str">
        <f t="shared" si="37"/>
        <v/>
      </c>
    </row>
    <row r="159" spans="2:17" x14ac:dyDescent="0.3">
      <c r="B159" t="str">
        <f>+'[3]Country Results'!B77</f>
        <v>Estonia</v>
      </c>
      <c r="C159" s="91">
        <f>INDEX('[3]Country Results'!$C$7:$AK$254,MATCH([3]Dashboard!$B159,'[3]Country Results'!$B$7:$B$254,0),MATCH([3]Dashboard!$C$8,'[3]Country Results'!$C$6:$AE$6,0))</f>
        <v>1123.558477</v>
      </c>
      <c r="D159" s="45" cm="1">
        <f t="array" ref="D159">INDEX('[3]Country Results'!$L$7:$AE$254,MATCH([3]Dashboard!B159,'[3]Country Results'!$B$7:$B$254,0),MATCH($C$8,'[3]Country Results'!$L$6:$AE$6,0)+1)</f>
        <v>6.0377271846382492E-4</v>
      </c>
      <c r="E159" s="43">
        <f t="shared" si="30"/>
        <v>118</v>
      </c>
      <c r="F159" s="43"/>
      <c r="G159" s="91">
        <f>IFERROR(INDEX('[3]Country Results'!$C$7:$AK$254,MATCH([3]Dashboard!$B159,'[3]Country Results'!$B$7:$B$254,0),MATCH([3]Dashboard!$C$9,'[3]Country Results'!$C$6:$AK$6,0)),"")</f>
        <v>26460</v>
      </c>
      <c r="H159" s="43">
        <f t="shared" si="31"/>
        <v>42</v>
      </c>
      <c r="I159" s="43"/>
      <c r="J159" s="44">
        <f t="shared" si="32"/>
        <v>29.729357301419999</v>
      </c>
      <c r="K159" s="45">
        <f t="shared" si="33"/>
        <v>6.6493101706189596E-4</v>
      </c>
      <c r="L159" s="43">
        <f t="shared" si="34"/>
        <v>67</v>
      </c>
      <c r="M159" s="136" t="str">
        <f>IF(G159="","",INDEX([3]Countries!$C$7:$AO$254,MATCH([3]Dashboard!$B159,[3]Countries!$B$7:$B$254,0),MATCH([3]Dashboard!$N$7,[3]Countries!$C$6:$AO$6,0)))</f>
        <v/>
      </c>
      <c r="N159" s="137"/>
      <c r="O159" s="135">
        <f t="shared" si="35"/>
        <v>29.729357301419999</v>
      </c>
      <c r="P159" s="45">
        <f t="shared" si="36"/>
        <v>6.8476992761014603E-4</v>
      </c>
      <c r="Q159" s="43">
        <f t="shared" si="37"/>
        <v>57</v>
      </c>
    </row>
    <row r="160" spans="2:17" x14ac:dyDescent="0.3">
      <c r="B160" t="str">
        <f>+'[3]Country Results'!B78</f>
        <v>Eswatini</v>
      </c>
      <c r="C160" s="91">
        <f>INDEX('[3]Country Results'!$C$7:$AK$254,MATCH([3]Dashboard!$B160,'[3]Country Results'!$B$7:$B$254,0),MATCH([3]Dashboard!$C$8,'[3]Country Results'!$C$6:$AE$6,0))</f>
        <v>125.40595539999998</v>
      </c>
      <c r="D160" s="45" cm="1">
        <f t="array" ref="D160">INDEX('[3]Country Results'!$L$7:$AE$254,MATCH([3]Dashboard!B160,'[3]Country Results'!$B$7:$B$254,0),MATCH($C$8,'[3]Country Results'!$L$6:$AE$6,0)+1)</f>
        <v>6.7390079068764994E-5</v>
      </c>
      <c r="E160" s="43">
        <f t="shared" si="30"/>
        <v>164</v>
      </c>
      <c r="F160" s="43"/>
      <c r="G160" s="91">
        <f>IFERROR(INDEX('[3]Country Results'!$C$7:$AK$254,MATCH([3]Dashboard!$B160,'[3]Country Results'!$B$7:$B$254,0),MATCH([3]Dashboard!$C$9,'[3]Country Results'!$C$6:$AK$6,0)),"")</f>
        <v>3650</v>
      </c>
      <c r="H160" s="43">
        <f t="shared" si="31"/>
        <v>133</v>
      </c>
      <c r="I160" s="43"/>
      <c r="J160" s="44">
        <f t="shared" si="32"/>
        <v>0.45773173720999993</v>
      </c>
      <c r="K160" s="45">
        <f t="shared" si="33"/>
        <v>1.0237692879758833E-5</v>
      </c>
      <c r="L160" s="43">
        <f t="shared" si="34"/>
        <v>161</v>
      </c>
      <c r="M160" s="136" t="str">
        <f>IF(G160="","",INDEX([3]Countries!$C$7:$AO$254,MATCH([3]Dashboard!$B160,[3]Countries!$B$7:$B$254,0),MATCH([3]Dashboard!$N$7,[3]Countries!$C$6:$AO$6,0)))</f>
        <v>x</v>
      </c>
      <c r="N160" s="137"/>
      <c r="O160" s="135" t="str">
        <f t="shared" si="35"/>
        <v>-</v>
      </c>
      <c r="P160" s="45" t="str">
        <f t="shared" si="36"/>
        <v/>
      </c>
      <c r="Q160" s="43" t="str">
        <f t="shared" si="37"/>
        <v/>
      </c>
    </row>
    <row r="161" spans="2:17" x14ac:dyDescent="0.3">
      <c r="B161" t="str">
        <f>+'[3]Country Results'!B79</f>
        <v>Ethiopia</v>
      </c>
      <c r="C161" s="91">
        <f>INDEX('[3]Country Results'!$C$7:$AK$254,MATCH([3]Dashboard!$B161,'[3]Country Results'!$B$7:$B$254,0),MATCH([3]Dashboard!$C$8,'[3]Country Results'!$C$6:$AE$6,0))</f>
        <v>6621.1540559999994</v>
      </c>
      <c r="D161" s="45" cm="1">
        <f t="array" ref="D161">INDEX('[3]Country Results'!$L$7:$AE$254,MATCH([3]Dashboard!B161,'[3]Country Results'!$B$7:$B$254,0),MATCH($C$8,'[3]Country Results'!$L$6:$AE$6,0)+1)</f>
        <v>3.5580455006071748E-3</v>
      </c>
      <c r="E161" s="43">
        <f t="shared" si="30"/>
        <v>44</v>
      </c>
      <c r="F161" s="43"/>
      <c r="G161" s="91">
        <f>IFERROR(INDEX('[3]Country Results'!$C$7:$AK$254,MATCH([3]Dashboard!$B161,'[3]Country Results'!$B$7:$B$254,0),MATCH([3]Dashboard!$C$9,'[3]Country Results'!$C$6:$AK$6,0)),"")</f>
        <v>940</v>
      </c>
      <c r="H161" s="43">
        <f t="shared" si="31"/>
        <v>181</v>
      </c>
      <c r="I161" s="43"/>
      <c r="J161" s="44">
        <f t="shared" si="32"/>
        <v>6.2238848126399988</v>
      </c>
      <c r="K161" s="45">
        <f t="shared" si="33"/>
        <v>1.3920428943639264E-4</v>
      </c>
      <c r="L161" s="43">
        <f t="shared" si="34"/>
        <v>100</v>
      </c>
      <c r="M161" s="136" t="str">
        <f>IF(G161="","",INDEX([3]Countries!$C$7:$AO$254,MATCH([3]Dashboard!$B161,[3]Countries!$B$7:$B$254,0),MATCH([3]Dashboard!$N$7,[3]Countries!$C$6:$AO$6,0)))</f>
        <v>x</v>
      </c>
      <c r="N161" s="137"/>
      <c r="O161" s="135" t="str">
        <f t="shared" si="35"/>
        <v>-</v>
      </c>
      <c r="P161" s="45" t="str">
        <f t="shared" si="36"/>
        <v/>
      </c>
      <c r="Q161" s="43" t="str">
        <f t="shared" si="37"/>
        <v/>
      </c>
    </row>
    <row r="162" spans="2:17" x14ac:dyDescent="0.3">
      <c r="B162" t="str">
        <f>+'[3]Country Results'!B80</f>
        <v>Europe</v>
      </c>
      <c r="C162" s="91" t="str">
        <f>INDEX('[3]Country Results'!$C$7:$AK$254,MATCH([3]Dashboard!$B162,'[3]Country Results'!$B$7:$B$254,0),MATCH([3]Dashboard!$C$8,'[3]Country Results'!$C$6:$AE$6,0))</f>
        <v/>
      </c>
      <c r="D162" s="45" t="str" cm="1">
        <f t="array" ref="D162">INDEX('[3]Country Results'!$L$7:$AE$254,MATCH([3]Dashboard!B162,'[3]Country Results'!$B$7:$B$254,0),MATCH($C$8,'[3]Country Results'!$L$6:$AE$6,0)+1)</f>
        <v/>
      </c>
      <c r="E162" s="43" t="str">
        <f t="shared" si="30"/>
        <v/>
      </c>
      <c r="F162" s="43"/>
      <c r="G162" s="91" t="str">
        <f>IFERROR(INDEX('[3]Country Results'!$C$7:$AK$254,MATCH([3]Dashboard!$B162,'[3]Country Results'!$B$7:$B$254,0),MATCH([3]Dashboard!$C$9,'[3]Country Results'!$C$6:$AK$6,0)),"")</f>
        <v/>
      </c>
      <c r="H162" s="43" t="str">
        <f t="shared" si="31"/>
        <v/>
      </c>
      <c r="I162" s="43"/>
      <c r="J162" s="44" t="str">
        <f t="shared" si="32"/>
        <v/>
      </c>
      <c r="K162" s="45" t="str">
        <f t="shared" si="33"/>
        <v/>
      </c>
      <c r="L162" s="43" t="str">
        <f t="shared" si="34"/>
        <v/>
      </c>
      <c r="M162" s="136" t="str">
        <f>IF(G162="","",INDEX([3]Countries!$C$7:$AO$254,MATCH([3]Dashboard!$B162,[3]Countries!$B$7:$B$254,0),MATCH([3]Dashboard!$N$7,[3]Countries!$C$6:$AO$6,0)))</f>
        <v/>
      </c>
      <c r="N162" s="137"/>
      <c r="O162" s="135" t="str">
        <f t="shared" si="35"/>
        <v/>
      </c>
      <c r="P162" s="45" t="str">
        <f t="shared" si="36"/>
        <v/>
      </c>
      <c r="Q162" s="43" t="str">
        <f t="shared" si="37"/>
        <v/>
      </c>
    </row>
    <row r="163" spans="2:17" x14ac:dyDescent="0.3">
      <c r="B163" t="str">
        <f>+'[3]Country Results'!B81</f>
        <v>Europe (GCP)</v>
      </c>
      <c r="C163" s="91" t="str">
        <f>INDEX('[3]Country Results'!$C$7:$AK$254,MATCH([3]Dashboard!$B163,'[3]Country Results'!$B$7:$B$254,0),MATCH([3]Dashboard!$C$8,'[3]Country Results'!$C$6:$AE$6,0))</f>
        <v/>
      </c>
      <c r="D163" s="45" t="str" cm="1">
        <f t="array" ref="D163">INDEX('[3]Country Results'!$L$7:$AE$254,MATCH([3]Dashboard!B163,'[3]Country Results'!$B$7:$B$254,0),MATCH($C$8,'[3]Country Results'!$L$6:$AE$6,0)+1)</f>
        <v/>
      </c>
      <c r="E163" s="43" t="str">
        <f t="shared" si="30"/>
        <v/>
      </c>
      <c r="F163" s="43"/>
      <c r="G163" s="91" t="str">
        <f>IFERROR(INDEX('[3]Country Results'!$C$7:$AK$254,MATCH([3]Dashboard!$B163,'[3]Country Results'!$B$7:$B$254,0),MATCH([3]Dashboard!$C$9,'[3]Country Results'!$C$6:$AK$6,0)),"")</f>
        <v/>
      </c>
      <c r="H163" s="43" t="str">
        <f t="shared" si="31"/>
        <v/>
      </c>
      <c r="I163" s="43"/>
      <c r="J163" s="44" t="str">
        <f t="shared" si="32"/>
        <v/>
      </c>
      <c r="K163" s="45" t="str">
        <f t="shared" si="33"/>
        <v/>
      </c>
      <c r="L163" s="43" t="str">
        <f t="shared" si="34"/>
        <v/>
      </c>
      <c r="M163" s="136" t="str">
        <f>IF(G163="","",INDEX([3]Countries!$C$7:$AO$254,MATCH([3]Dashboard!$B163,[3]Countries!$B$7:$B$254,0),MATCH([3]Dashboard!$N$7,[3]Countries!$C$6:$AO$6,0)))</f>
        <v/>
      </c>
      <c r="N163" s="137"/>
      <c r="O163" s="135" t="str">
        <f t="shared" si="35"/>
        <v/>
      </c>
      <c r="P163" s="45" t="str">
        <f t="shared" si="36"/>
        <v/>
      </c>
      <c r="Q163" s="43" t="str">
        <f t="shared" si="37"/>
        <v/>
      </c>
    </row>
    <row r="164" spans="2:17" x14ac:dyDescent="0.3">
      <c r="B164" t="str">
        <f>+'[3]Country Results'!B82</f>
        <v>Europe (excl. EU-27)</v>
      </c>
      <c r="C164" s="91" t="str">
        <f>INDEX('[3]Country Results'!$C$7:$AK$254,MATCH([3]Dashboard!$B164,'[3]Country Results'!$B$7:$B$254,0),MATCH([3]Dashboard!$C$8,'[3]Country Results'!$C$6:$AE$6,0))</f>
        <v/>
      </c>
      <c r="D164" s="45" t="str" cm="1">
        <f t="array" ref="D164">INDEX('[3]Country Results'!$L$7:$AE$254,MATCH([3]Dashboard!B164,'[3]Country Results'!$B$7:$B$254,0),MATCH($C$8,'[3]Country Results'!$L$6:$AE$6,0)+1)</f>
        <v/>
      </c>
      <c r="E164" s="43" t="str">
        <f t="shared" si="30"/>
        <v/>
      </c>
      <c r="F164" s="43"/>
      <c r="G164" s="91" t="str">
        <f>IFERROR(INDEX('[3]Country Results'!$C$7:$AK$254,MATCH([3]Dashboard!$B164,'[3]Country Results'!$B$7:$B$254,0),MATCH([3]Dashboard!$C$9,'[3]Country Results'!$C$6:$AK$6,0)),"")</f>
        <v/>
      </c>
      <c r="H164" s="43" t="str">
        <f t="shared" si="31"/>
        <v/>
      </c>
      <c r="I164" s="43"/>
      <c r="J164" s="44" t="str">
        <f t="shared" si="32"/>
        <v/>
      </c>
      <c r="K164" s="45" t="str">
        <f t="shared" si="33"/>
        <v/>
      </c>
      <c r="L164" s="43" t="str">
        <f t="shared" si="34"/>
        <v/>
      </c>
      <c r="M164" s="136" t="str">
        <f>IF(G164="","",INDEX([3]Countries!$C$7:$AO$254,MATCH([3]Dashboard!$B164,[3]Countries!$B$7:$B$254,0),MATCH([3]Dashboard!$N$7,[3]Countries!$C$6:$AO$6,0)))</f>
        <v/>
      </c>
      <c r="N164" s="137"/>
      <c r="O164" s="135" t="str">
        <f t="shared" si="35"/>
        <v/>
      </c>
      <c r="P164" s="45" t="str">
        <f t="shared" si="36"/>
        <v/>
      </c>
      <c r="Q164" s="43" t="str">
        <f t="shared" si="37"/>
        <v/>
      </c>
    </row>
    <row r="165" spans="2:17" x14ac:dyDescent="0.3">
      <c r="B165" t="str">
        <f>+'[3]Country Results'!B83</f>
        <v>Europe (excl. EU-28)</v>
      </c>
      <c r="C165" s="91" t="str">
        <f>INDEX('[3]Country Results'!$C$7:$AK$254,MATCH([3]Dashboard!$B165,'[3]Country Results'!$B$7:$B$254,0),MATCH([3]Dashboard!$C$8,'[3]Country Results'!$C$6:$AE$6,0))</f>
        <v/>
      </c>
      <c r="D165" s="45" t="str" cm="1">
        <f t="array" ref="D165">INDEX('[3]Country Results'!$L$7:$AE$254,MATCH([3]Dashboard!B165,'[3]Country Results'!$B$7:$B$254,0),MATCH($C$8,'[3]Country Results'!$L$6:$AE$6,0)+1)</f>
        <v/>
      </c>
      <c r="E165" s="43" t="str">
        <f t="shared" si="30"/>
        <v/>
      </c>
      <c r="F165" s="43"/>
      <c r="G165" s="91" t="str">
        <f>IFERROR(INDEX('[3]Country Results'!$C$7:$AK$254,MATCH([3]Dashboard!$B165,'[3]Country Results'!$B$7:$B$254,0),MATCH([3]Dashboard!$C$9,'[3]Country Results'!$C$6:$AK$6,0)),"")</f>
        <v/>
      </c>
      <c r="H165" s="43" t="str">
        <f t="shared" si="31"/>
        <v/>
      </c>
      <c r="I165" s="43"/>
      <c r="J165" s="44" t="str">
        <f t="shared" si="32"/>
        <v/>
      </c>
      <c r="K165" s="45" t="str">
        <f t="shared" si="33"/>
        <v/>
      </c>
      <c r="L165" s="43" t="str">
        <f t="shared" si="34"/>
        <v/>
      </c>
      <c r="M165" s="136" t="str">
        <f>IF(G165="","",INDEX([3]Countries!$C$7:$AO$254,MATCH([3]Dashboard!$B165,[3]Countries!$B$7:$B$254,0),MATCH([3]Dashboard!$N$7,[3]Countries!$C$6:$AO$6,0)))</f>
        <v/>
      </c>
      <c r="N165" s="137"/>
      <c r="O165" s="135" t="str">
        <f t="shared" si="35"/>
        <v/>
      </c>
      <c r="P165" s="45" t="str">
        <f t="shared" si="36"/>
        <v/>
      </c>
      <c r="Q165" s="43" t="str">
        <f t="shared" si="37"/>
        <v/>
      </c>
    </row>
    <row r="166" spans="2:17" x14ac:dyDescent="0.3">
      <c r="B166" t="str">
        <f>+'[3]Country Results'!B84</f>
        <v>European Union (27)</v>
      </c>
      <c r="C166" s="91" t="str">
        <f>INDEX('[3]Country Results'!$C$7:$AK$254,MATCH([3]Dashboard!$B166,'[3]Country Results'!$B$7:$B$254,0),MATCH([3]Dashboard!$C$8,'[3]Country Results'!$C$6:$AE$6,0))</f>
        <v/>
      </c>
      <c r="D166" s="45" t="str" cm="1">
        <f t="array" ref="D166">INDEX('[3]Country Results'!$L$7:$AE$254,MATCH([3]Dashboard!B166,'[3]Country Results'!$B$7:$B$254,0),MATCH($C$8,'[3]Country Results'!$L$6:$AE$6,0)+1)</f>
        <v/>
      </c>
      <c r="E166" s="43" t="str">
        <f t="shared" si="30"/>
        <v/>
      </c>
      <c r="F166" s="43"/>
      <c r="G166" s="91" t="str">
        <f>IFERROR(INDEX('[3]Country Results'!$C$7:$AK$254,MATCH([3]Dashboard!$B166,'[3]Country Results'!$B$7:$B$254,0),MATCH([3]Dashboard!$C$9,'[3]Country Results'!$C$6:$AK$6,0)),"")</f>
        <v/>
      </c>
      <c r="H166" s="43" t="str">
        <f t="shared" si="31"/>
        <v/>
      </c>
      <c r="I166" s="43"/>
      <c r="J166" s="44" t="str">
        <f t="shared" si="32"/>
        <v/>
      </c>
      <c r="K166" s="45" t="str">
        <f t="shared" si="33"/>
        <v/>
      </c>
      <c r="L166" s="43" t="str">
        <f t="shared" si="34"/>
        <v/>
      </c>
      <c r="M166" s="136" t="str">
        <f>IF(G166="","",INDEX([3]Countries!$C$7:$AO$254,MATCH([3]Dashboard!$B166,[3]Countries!$B$7:$B$254,0),MATCH([3]Dashboard!$N$7,[3]Countries!$C$6:$AO$6,0)))</f>
        <v/>
      </c>
      <c r="N166" s="137"/>
      <c r="O166" s="135" t="str">
        <f t="shared" si="35"/>
        <v/>
      </c>
      <c r="P166" s="45" t="str">
        <f t="shared" si="36"/>
        <v/>
      </c>
      <c r="Q166" s="43" t="str">
        <f t="shared" si="37"/>
        <v/>
      </c>
    </row>
    <row r="167" spans="2:17" x14ac:dyDescent="0.3">
      <c r="B167" t="str">
        <f>+'[3]Country Results'!B85</f>
        <v>European Union (27) (GCP)</v>
      </c>
      <c r="C167" s="91" t="str">
        <f>INDEX('[3]Country Results'!$C$7:$AK$254,MATCH([3]Dashboard!$B167,'[3]Country Results'!$B$7:$B$254,0),MATCH([3]Dashboard!$C$8,'[3]Country Results'!$C$6:$AE$6,0))</f>
        <v/>
      </c>
      <c r="D167" s="45" t="str" cm="1">
        <f t="array" ref="D167">INDEX('[3]Country Results'!$L$7:$AE$254,MATCH([3]Dashboard!B167,'[3]Country Results'!$B$7:$B$254,0),MATCH($C$8,'[3]Country Results'!$L$6:$AE$6,0)+1)</f>
        <v/>
      </c>
      <c r="E167" s="43" t="str">
        <f t="shared" si="30"/>
        <v/>
      </c>
      <c r="F167" s="43"/>
      <c r="G167" s="91" t="str">
        <f>IFERROR(INDEX('[3]Country Results'!$C$7:$AK$254,MATCH([3]Dashboard!$B167,'[3]Country Results'!$B$7:$B$254,0),MATCH([3]Dashboard!$C$9,'[3]Country Results'!$C$6:$AK$6,0)),"")</f>
        <v/>
      </c>
      <c r="H167" s="43" t="str">
        <f t="shared" si="31"/>
        <v/>
      </c>
      <c r="I167" s="43"/>
      <c r="J167" s="44" t="str">
        <f t="shared" si="32"/>
        <v/>
      </c>
      <c r="K167" s="45" t="str">
        <f t="shared" si="33"/>
        <v/>
      </c>
      <c r="L167" s="43" t="str">
        <f t="shared" si="34"/>
        <v/>
      </c>
      <c r="M167" s="136" t="str">
        <f>IF(G167="","",INDEX([3]Countries!$C$7:$AO$254,MATCH([3]Dashboard!$B167,[3]Countries!$B$7:$B$254,0),MATCH([3]Dashboard!$N$7,[3]Countries!$C$6:$AO$6,0)))</f>
        <v/>
      </c>
      <c r="N167" s="137"/>
      <c r="O167" s="135" t="str">
        <f t="shared" si="35"/>
        <v/>
      </c>
      <c r="P167" s="45" t="str">
        <f t="shared" si="36"/>
        <v/>
      </c>
      <c r="Q167" s="43" t="str">
        <f t="shared" si="37"/>
        <v/>
      </c>
    </row>
    <row r="168" spans="2:17" x14ac:dyDescent="0.3">
      <c r="B168" t="str">
        <f>+'[3]Country Results'!B86</f>
        <v>European Union (28)</v>
      </c>
      <c r="C168" s="91" t="str">
        <f>INDEX('[3]Country Results'!$C$7:$AK$254,MATCH([3]Dashboard!$B168,'[3]Country Results'!$B$7:$B$254,0),MATCH([3]Dashboard!$C$8,'[3]Country Results'!$C$6:$AE$6,0))</f>
        <v/>
      </c>
      <c r="D168" s="45" t="str" cm="1">
        <f t="array" ref="D168">INDEX('[3]Country Results'!$L$7:$AE$254,MATCH([3]Dashboard!B168,'[3]Country Results'!$B$7:$B$254,0),MATCH($C$8,'[3]Country Results'!$L$6:$AE$6,0)+1)</f>
        <v/>
      </c>
      <c r="E168" s="43" t="str">
        <f t="shared" si="30"/>
        <v/>
      </c>
      <c r="F168" s="43"/>
      <c r="G168" s="91" t="str">
        <f>IFERROR(INDEX('[3]Country Results'!$C$7:$AK$254,MATCH([3]Dashboard!$B168,'[3]Country Results'!$B$7:$B$254,0),MATCH([3]Dashboard!$C$9,'[3]Country Results'!$C$6:$AK$6,0)),"")</f>
        <v/>
      </c>
      <c r="H168" s="43" t="str">
        <f t="shared" si="31"/>
        <v/>
      </c>
      <c r="I168" s="43"/>
      <c r="J168" s="44" t="str">
        <f t="shared" si="32"/>
        <v/>
      </c>
      <c r="K168" s="45" t="str">
        <f t="shared" si="33"/>
        <v/>
      </c>
      <c r="L168" s="43" t="str">
        <f t="shared" si="34"/>
        <v/>
      </c>
      <c r="M168" s="136" t="str">
        <f>IF(G168="","",INDEX([3]Countries!$C$7:$AO$254,MATCH([3]Dashboard!$B168,[3]Countries!$B$7:$B$254,0),MATCH([3]Dashboard!$N$7,[3]Countries!$C$6:$AO$6,0)))</f>
        <v/>
      </c>
      <c r="N168" s="137"/>
      <c r="O168" s="135" t="str">
        <f t="shared" si="35"/>
        <v/>
      </c>
      <c r="P168" s="45" t="str">
        <f t="shared" si="36"/>
        <v/>
      </c>
      <c r="Q168" s="43" t="str">
        <f t="shared" si="37"/>
        <v/>
      </c>
    </row>
    <row r="169" spans="2:17" x14ac:dyDescent="0.3">
      <c r="B169" t="str">
        <f>+'[3]Country Results'!B87</f>
        <v>Faroe Islands</v>
      </c>
      <c r="C169" s="91">
        <f>INDEX('[3]Country Results'!$C$7:$AK$254,MATCH([3]Dashboard!$B169,'[3]Country Results'!$B$7:$B$254,0),MATCH([3]Dashboard!$C$8,'[3]Country Results'!$C$6:$AE$6,0))</f>
        <v>0</v>
      </c>
      <c r="D169" s="45" cm="1">
        <f t="array" ref="D169">INDEX('[3]Country Results'!$L$7:$AE$254,MATCH([3]Dashboard!B169,'[3]Country Results'!$B$7:$B$254,0),MATCH($C$8,'[3]Country Results'!$L$6:$AE$6,0)+1)</f>
        <v>0</v>
      </c>
      <c r="E169" s="43">
        <f t="shared" si="30"/>
        <v>200</v>
      </c>
      <c r="F169" s="43"/>
      <c r="G169" s="91" t="str">
        <f>IFERROR(INDEX('[3]Country Results'!$C$7:$AK$254,MATCH([3]Dashboard!$B169,'[3]Country Results'!$B$7:$B$254,0),MATCH([3]Dashboard!$C$9,'[3]Country Results'!$C$6:$AK$6,0)),"")</f>
        <v/>
      </c>
      <c r="H169" s="43" t="str">
        <f t="shared" si="31"/>
        <v/>
      </c>
      <c r="I169" s="43"/>
      <c r="J169" s="44" t="str">
        <f t="shared" si="32"/>
        <v/>
      </c>
      <c r="K169" s="45" t="str">
        <f t="shared" si="33"/>
        <v/>
      </c>
      <c r="L169" s="43" t="str">
        <f t="shared" si="34"/>
        <v/>
      </c>
      <c r="M169" s="136" t="str">
        <f>IF(G169="","",INDEX([3]Countries!$C$7:$AO$254,MATCH([3]Dashboard!$B169,[3]Countries!$B$7:$B$254,0),MATCH([3]Dashboard!$N$7,[3]Countries!$C$6:$AO$6,0)))</f>
        <v/>
      </c>
      <c r="N169" s="137"/>
      <c r="O169" s="135" t="str">
        <f t="shared" si="35"/>
        <v/>
      </c>
      <c r="P169" s="45" t="str">
        <f t="shared" si="36"/>
        <v/>
      </c>
      <c r="Q169" s="43" t="str">
        <f t="shared" si="37"/>
        <v/>
      </c>
    </row>
    <row r="170" spans="2:17" x14ac:dyDescent="0.3">
      <c r="B170" t="str">
        <f>+'[3]Country Results'!B88</f>
        <v>Fiji</v>
      </c>
      <c r="C170" s="91">
        <f>INDEX('[3]Country Results'!$C$7:$AK$254,MATCH([3]Dashboard!$B170,'[3]Country Results'!$B$7:$B$254,0),MATCH([3]Dashboard!$C$8,'[3]Country Results'!$C$6:$AE$6,0))</f>
        <v>155.25227129999996</v>
      </c>
      <c r="D170" s="45" cm="1">
        <f t="array" ref="D170">INDEX('[3]Country Results'!$L$7:$AE$254,MATCH([3]Dashboard!B170,'[3]Country Results'!$B$7:$B$254,0),MATCH($C$8,'[3]Country Results'!$L$6:$AE$6,0)+1)</f>
        <v>8.342875587639239E-5</v>
      </c>
      <c r="E170" s="43">
        <f t="shared" si="30"/>
        <v>162</v>
      </c>
      <c r="F170" s="43"/>
      <c r="G170" s="91">
        <f>IFERROR(INDEX('[3]Country Results'!$C$7:$AK$254,MATCH([3]Dashboard!$B170,'[3]Country Results'!$B$7:$B$254,0),MATCH([3]Dashboard!$C$9,'[3]Country Results'!$C$6:$AK$6,0)),"")</f>
        <v>4500</v>
      </c>
      <c r="H170" s="43">
        <f t="shared" si="31"/>
        <v>121</v>
      </c>
      <c r="I170" s="43"/>
      <c r="J170" s="44">
        <f t="shared" si="32"/>
        <v>0.69863522084999985</v>
      </c>
      <c r="K170" s="45">
        <f t="shared" si="33"/>
        <v>1.5625774322839606E-5</v>
      </c>
      <c r="L170" s="43">
        <f t="shared" si="34"/>
        <v>158</v>
      </c>
      <c r="M170" s="136" t="str">
        <f>IF(G170="","",INDEX([3]Countries!$C$7:$AO$254,MATCH([3]Dashboard!$B170,[3]Countries!$B$7:$B$254,0),MATCH([3]Dashboard!$N$7,[3]Countries!$C$6:$AO$6,0)))</f>
        <v>x</v>
      </c>
      <c r="N170" s="137"/>
      <c r="O170" s="135" t="str">
        <f t="shared" si="35"/>
        <v>-</v>
      </c>
      <c r="P170" s="45" t="str">
        <f t="shared" si="36"/>
        <v/>
      </c>
      <c r="Q170" s="43" t="str">
        <f t="shared" si="37"/>
        <v/>
      </c>
    </row>
    <row r="171" spans="2:17" x14ac:dyDescent="0.3">
      <c r="B171" t="str">
        <f>+'[3]Country Results'!B89</f>
        <v>Finland</v>
      </c>
      <c r="C171" s="91">
        <f>INDEX('[3]Country Results'!$C$7:$AK$254,MATCH([3]Dashboard!$B171,'[3]Country Results'!$B$7:$B$254,0),MATCH([3]Dashboard!$C$8,'[3]Country Results'!$C$6:$AE$6,0))</f>
        <v>3870.9483260000006</v>
      </c>
      <c r="D171" s="45" cm="1">
        <f t="array" ref="D171">INDEX('[3]Country Results'!$L$7:$AE$254,MATCH([3]Dashboard!B171,'[3]Country Results'!$B$7:$B$254,0),MATCH($C$8,'[3]Country Results'!$L$6:$AE$6,0)+1)</f>
        <v>2.0801525169054577E-3</v>
      </c>
      <c r="E171" s="43">
        <f t="shared" si="30"/>
        <v>60</v>
      </c>
      <c r="F171" s="43"/>
      <c r="G171" s="91">
        <f>IFERROR(INDEX('[3]Country Results'!$C$7:$AK$254,MATCH([3]Dashboard!$B171,'[3]Country Results'!$B$7:$B$254,0),MATCH([3]Dashboard!$C$9,'[3]Country Results'!$C$6:$AK$6,0)),"")</f>
        <v>53510</v>
      </c>
      <c r="H171" s="43">
        <f t="shared" si="31"/>
        <v>16</v>
      </c>
      <c r="I171" s="43"/>
      <c r="J171" s="44">
        <f t="shared" si="32"/>
        <v>207.13444492426001</v>
      </c>
      <c r="K171" s="45">
        <f t="shared" si="33"/>
        <v>4.6327983392180803E-3</v>
      </c>
      <c r="L171" s="43">
        <f t="shared" si="34"/>
        <v>24</v>
      </c>
      <c r="M171" s="136" t="str">
        <f>IF(G171="","",INDEX([3]Countries!$C$7:$AO$254,MATCH([3]Dashboard!$B171,[3]Countries!$B$7:$B$254,0),MATCH([3]Dashboard!$N$7,[3]Countries!$C$6:$AO$6,0)))</f>
        <v/>
      </c>
      <c r="N171" s="137"/>
      <c r="O171" s="135">
        <f t="shared" si="35"/>
        <v>207.13444492426001</v>
      </c>
      <c r="P171" s="45">
        <f t="shared" si="36"/>
        <v>4.7710227105911386E-3</v>
      </c>
      <c r="Q171" s="43">
        <f t="shared" si="37"/>
        <v>23</v>
      </c>
    </row>
    <row r="172" spans="2:17" x14ac:dyDescent="0.3">
      <c r="B172" t="str">
        <f>+'[3]Country Results'!B90</f>
        <v>France</v>
      </c>
      <c r="C172" s="91">
        <f>INDEX('[3]Country Results'!$C$7:$AK$254,MATCH([3]Dashboard!$B172,'[3]Country Results'!$B$7:$B$254,0),MATCH([3]Dashboard!$C$8,'[3]Country Results'!$C$6:$AE$6,0))</f>
        <v>21739.816930000001</v>
      </c>
      <c r="D172" s="45" cm="1">
        <f t="array" ref="D172">INDEX('[3]Country Results'!$L$7:$AE$254,MATCH([3]Dashboard!B172,'[3]Country Results'!$B$7:$B$254,0),MATCH($C$8,'[3]Country Results'!$L$6:$AE$6,0)+1)</f>
        <v>1.1682443446806004E-2</v>
      </c>
      <c r="E172" s="43">
        <f t="shared" si="30"/>
        <v>15</v>
      </c>
      <c r="F172" s="43"/>
      <c r="G172" s="91">
        <f>IFERROR(INDEX('[3]Country Results'!$C$7:$AK$254,MATCH([3]Dashboard!$B172,'[3]Country Results'!$B$7:$B$254,0),MATCH([3]Dashboard!$C$9,'[3]Country Results'!$C$6:$AK$6,0)),"")</f>
        <v>44160</v>
      </c>
      <c r="H172" s="43">
        <f t="shared" si="31"/>
        <v>26</v>
      </c>
      <c r="I172" s="43"/>
      <c r="J172" s="44">
        <f t="shared" si="32"/>
        <v>960.03031562880005</v>
      </c>
      <c r="K172" s="45">
        <f t="shared" si="33"/>
        <v>2.1472174043628604E-2</v>
      </c>
      <c r="L172" s="43">
        <f t="shared" si="34"/>
        <v>9</v>
      </c>
      <c r="M172" s="136" t="str">
        <f>IF(G172="","",INDEX([3]Countries!$C$7:$AO$254,MATCH([3]Dashboard!$B172,[3]Countries!$B$7:$B$254,0),MATCH([3]Dashboard!$N$7,[3]Countries!$C$6:$AO$6,0)))</f>
        <v/>
      </c>
      <c r="N172" s="137"/>
      <c r="O172" s="135">
        <f t="shared" si="35"/>
        <v>960.03031562880005</v>
      </c>
      <c r="P172" s="45">
        <f t="shared" si="36"/>
        <v>2.2112818755933177E-2</v>
      </c>
      <c r="Q172" s="43">
        <f t="shared" si="37"/>
        <v>9</v>
      </c>
    </row>
    <row r="173" spans="2:17" x14ac:dyDescent="0.3">
      <c r="B173" t="str">
        <f>+'[3]Country Results'!B91</f>
        <v>French Guiana</v>
      </c>
      <c r="C173" s="91">
        <f>INDEX('[3]Country Results'!$C$7:$AK$254,MATCH([3]Dashboard!$B173,'[3]Country Results'!$B$7:$B$254,0),MATCH([3]Dashboard!$C$8,'[3]Country Results'!$C$6:$AE$6,0))</f>
        <v>0</v>
      </c>
      <c r="D173" s="45" cm="1">
        <f t="array" ref="D173">INDEX('[3]Country Results'!$L$7:$AE$254,MATCH([3]Dashboard!B173,'[3]Country Results'!$B$7:$B$254,0),MATCH($C$8,'[3]Country Results'!$L$6:$AE$6,0)+1)</f>
        <v>0</v>
      </c>
      <c r="E173" s="43">
        <f t="shared" si="30"/>
        <v>200</v>
      </c>
      <c r="F173" s="43"/>
      <c r="G173" s="91" t="str">
        <f>IFERROR(INDEX('[3]Country Results'!$C$7:$AK$254,MATCH([3]Dashboard!$B173,'[3]Country Results'!$B$7:$B$254,0),MATCH([3]Dashboard!$C$9,'[3]Country Results'!$C$6:$AK$6,0)),"")</f>
        <v/>
      </c>
      <c r="H173" s="43" t="str">
        <f t="shared" si="31"/>
        <v/>
      </c>
      <c r="I173" s="43"/>
      <c r="J173" s="44" t="str">
        <f t="shared" si="32"/>
        <v/>
      </c>
      <c r="K173" s="45" t="str">
        <f t="shared" si="33"/>
        <v/>
      </c>
      <c r="L173" s="43" t="str">
        <f t="shared" si="34"/>
        <v/>
      </c>
      <c r="M173" s="136" t="str">
        <f>IF(G173="","",INDEX([3]Countries!$C$7:$AO$254,MATCH([3]Dashboard!$B173,[3]Countries!$B$7:$B$254,0),MATCH([3]Dashboard!$N$7,[3]Countries!$C$6:$AO$6,0)))</f>
        <v/>
      </c>
      <c r="N173" s="137"/>
      <c r="O173" s="135" t="str">
        <f t="shared" si="35"/>
        <v/>
      </c>
      <c r="P173" s="45" t="str">
        <f t="shared" si="36"/>
        <v/>
      </c>
      <c r="Q173" s="43" t="str">
        <f t="shared" si="37"/>
        <v/>
      </c>
    </row>
    <row r="174" spans="2:17" x14ac:dyDescent="0.3">
      <c r="B174" t="str">
        <f>+'[3]Country Results'!B92</f>
        <v>French Polynesia</v>
      </c>
      <c r="C174" s="91">
        <f>INDEX('[3]Country Results'!$C$7:$AK$254,MATCH([3]Dashboard!$B174,'[3]Country Results'!$B$7:$B$254,0),MATCH([3]Dashboard!$C$8,'[3]Country Results'!$C$6:$AE$6,0))</f>
        <v>0</v>
      </c>
      <c r="D174" s="45" cm="1">
        <f t="array" ref="D174">INDEX('[3]Country Results'!$L$7:$AE$254,MATCH([3]Dashboard!B174,'[3]Country Results'!$B$7:$B$254,0),MATCH($C$8,'[3]Country Results'!$L$6:$AE$6,0)+1)</f>
        <v>0</v>
      </c>
      <c r="E174" s="43">
        <f t="shared" si="30"/>
        <v>200</v>
      </c>
      <c r="F174" s="43"/>
      <c r="G174" s="91">
        <f>IFERROR(INDEX('[3]Country Results'!$C$7:$AK$254,MATCH([3]Dashboard!$B174,'[3]Country Results'!$B$7:$B$254,0),MATCH([3]Dashboard!$C$9,'[3]Country Results'!$C$6:$AK$6,0)),"")</f>
        <v>18560</v>
      </c>
      <c r="H174" s="43">
        <f t="shared" si="31"/>
        <v>53</v>
      </c>
      <c r="I174" s="43"/>
      <c r="J174" s="44">
        <f t="shared" si="32"/>
        <v>0</v>
      </c>
      <c r="K174" s="45">
        <f t="shared" si="33"/>
        <v>0</v>
      </c>
      <c r="L174" s="43">
        <f t="shared" si="34"/>
        <v>195</v>
      </c>
      <c r="M174" s="136" t="str">
        <f>IF(G174="","",INDEX([3]Countries!$C$7:$AO$254,MATCH([3]Dashboard!$B174,[3]Countries!$B$7:$B$254,0),MATCH([3]Dashboard!$N$7,[3]Countries!$C$6:$AO$6,0)))</f>
        <v>x</v>
      </c>
      <c r="N174" s="137"/>
      <c r="O174" s="135" t="str">
        <f t="shared" si="35"/>
        <v>-</v>
      </c>
      <c r="P174" s="45" t="str">
        <f t="shared" si="36"/>
        <v/>
      </c>
      <c r="Q174" s="43" t="str">
        <f t="shared" si="37"/>
        <v/>
      </c>
    </row>
    <row r="175" spans="2:17" x14ac:dyDescent="0.3">
      <c r="B175" t="str">
        <f>+'[3]Country Results'!B93</f>
        <v>Gabon</v>
      </c>
      <c r="C175" s="91">
        <f>INDEX('[3]Country Results'!$C$7:$AK$254,MATCH([3]Dashboard!$B175,'[3]Country Results'!$B$7:$B$254,0),MATCH([3]Dashboard!$C$8,'[3]Country Results'!$C$6:$AE$6,0))</f>
        <v>1124.4884149999996</v>
      </c>
      <c r="D175" s="45" cm="1">
        <f t="array" ref="D175">INDEX('[3]Country Results'!$L$7:$AE$254,MATCH([3]Dashboard!B175,'[3]Country Results'!$B$7:$B$254,0),MATCH($C$8,'[3]Country Results'!$L$6:$AE$6,0)+1)</f>
        <v>6.0427244429541826E-4</v>
      </c>
      <c r="E175" s="43">
        <f t="shared" si="30"/>
        <v>117</v>
      </c>
      <c r="F175" s="43"/>
      <c r="G175" s="91">
        <f>IFERROR(INDEX('[3]Country Results'!$C$7:$AK$254,MATCH([3]Dashboard!$B175,'[3]Country Results'!$B$7:$B$254,0),MATCH([3]Dashboard!$C$9,'[3]Country Results'!$C$6:$AK$6,0)),"")</f>
        <v>6440</v>
      </c>
      <c r="H175" s="43">
        <f t="shared" si="31"/>
        <v>101</v>
      </c>
      <c r="I175" s="43"/>
      <c r="J175" s="44">
        <f t="shared" si="32"/>
        <v>7.2417053925999975</v>
      </c>
      <c r="K175" s="45">
        <f t="shared" si="33"/>
        <v>1.6196900871900575E-4</v>
      </c>
      <c r="L175" s="43">
        <f t="shared" si="34"/>
        <v>98</v>
      </c>
      <c r="M175" s="136" t="str">
        <f>IF(G175="","",INDEX([3]Countries!$C$7:$AO$254,MATCH([3]Dashboard!$B175,[3]Countries!$B$7:$B$254,0),MATCH([3]Dashboard!$N$7,[3]Countries!$C$6:$AO$6,0)))</f>
        <v/>
      </c>
      <c r="N175" s="137"/>
      <c r="O175" s="135">
        <f t="shared" si="35"/>
        <v>7.2417053925999975</v>
      </c>
      <c r="P175" s="45">
        <f t="shared" si="36"/>
        <v>1.6680152305976177E-4</v>
      </c>
      <c r="Q175" s="43">
        <f t="shared" si="37"/>
        <v>73</v>
      </c>
    </row>
    <row r="176" spans="2:17" x14ac:dyDescent="0.3">
      <c r="B176" t="str">
        <f>+'[3]Country Results'!B94</f>
        <v>Gambia</v>
      </c>
      <c r="C176" s="91">
        <f>INDEX('[3]Country Results'!$C$7:$AK$254,MATCH([3]Dashboard!$B176,'[3]Country Results'!$B$7:$B$254,0),MATCH([3]Dashboard!$C$8,'[3]Country Results'!$C$6:$AE$6,0))</f>
        <v>123.93914730000003</v>
      </c>
      <c r="D176" s="45" cm="1">
        <f t="array" ref="D176">INDEX('[3]Country Results'!$L$7:$AE$254,MATCH([3]Dashboard!B176,'[3]Country Results'!$B$7:$B$254,0),MATCH($C$8,'[3]Country Results'!$L$6:$AE$6,0)+1)</f>
        <v>6.6601852436924333E-5</v>
      </c>
      <c r="E176" s="43">
        <f t="shared" si="30"/>
        <v>165</v>
      </c>
      <c r="F176" s="43"/>
      <c r="G176" s="91">
        <f>IFERROR(INDEX('[3]Country Results'!$C$7:$AK$254,MATCH([3]Dashboard!$B176,'[3]Country Results'!$B$7:$B$254,0),MATCH([3]Dashboard!$C$9,'[3]Country Results'!$C$6:$AK$6,0)),"")</f>
        <v>740</v>
      </c>
      <c r="H176" s="43">
        <f t="shared" si="31"/>
        <v>189</v>
      </c>
      <c r="I176" s="43"/>
      <c r="J176" s="44">
        <f t="shared" si="32"/>
        <v>9.1714969002000032E-2</v>
      </c>
      <c r="K176" s="45">
        <f t="shared" si="33"/>
        <v>2.0513099896507782E-6</v>
      </c>
      <c r="L176" s="43">
        <f t="shared" si="34"/>
        <v>181</v>
      </c>
      <c r="M176" s="136" t="str">
        <f>IF(G176="","",INDEX([3]Countries!$C$7:$AO$254,MATCH([3]Dashboard!$B176,[3]Countries!$B$7:$B$254,0),MATCH([3]Dashboard!$N$7,[3]Countries!$C$6:$AO$6,0)))</f>
        <v>x</v>
      </c>
      <c r="N176" s="137"/>
      <c r="O176" s="135" t="str">
        <f t="shared" si="35"/>
        <v>-</v>
      </c>
      <c r="P176" s="45" t="str">
        <f t="shared" si="36"/>
        <v/>
      </c>
      <c r="Q176" s="43" t="str">
        <f t="shared" si="37"/>
        <v/>
      </c>
    </row>
    <row r="177" spans="2:17" x14ac:dyDescent="0.3">
      <c r="B177" t="str">
        <f>+'[3]Country Results'!B95</f>
        <v>Georgia</v>
      </c>
      <c r="C177" s="91">
        <f>INDEX('[3]Country Results'!$C$7:$AK$254,MATCH([3]Dashboard!$B177,'[3]Country Results'!$B$7:$B$254,0),MATCH([3]Dashboard!$C$8,'[3]Country Results'!$C$6:$AE$6,0))</f>
        <v>468.55690779999998</v>
      </c>
      <c r="D177" s="45" cm="1">
        <f t="array" ref="D177">INDEX('[3]Country Results'!$L$7:$AE$254,MATCH([3]Dashboard!B177,'[3]Country Results'!$B$7:$B$254,0),MATCH($C$8,'[3]Country Results'!$L$6:$AE$6,0)+1)</f>
        <v>2.5179096928962935E-4</v>
      </c>
      <c r="E177" s="43">
        <f t="shared" si="30"/>
        <v>147</v>
      </c>
      <c r="F177" s="43"/>
      <c r="G177" s="91">
        <f>IFERROR(INDEX('[3]Country Results'!$C$7:$AK$254,MATCH([3]Dashboard!$B177,'[3]Country Results'!$B$7:$B$254,0),MATCH([3]Dashboard!$C$9,'[3]Country Results'!$C$6:$AK$6,0)),"")</f>
        <v>4700</v>
      </c>
      <c r="H177" s="43">
        <f t="shared" si="31"/>
        <v>119</v>
      </c>
      <c r="I177" s="43"/>
      <c r="J177" s="44">
        <f t="shared" si="32"/>
        <v>2.2022174666600001</v>
      </c>
      <c r="K177" s="45">
        <f t="shared" si="33"/>
        <v>4.9255107840079804E-5</v>
      </c>
      <c r="L177" s="43">
        <f t="shared" si="34"/>
        <v>130</v>
      </c>
      <c r="M177" s="136" t="str">
        <f>IF(G177="","",INDEX([3]Countries!$C$7:$AO$254,MATCH([3]Dashboard!$B177,[3]Countries!$B$7:$B$254,0),MATCH([3]Dashboard!$N$7,[3]Countries!$C$6:$AO$6,0)))</f>
        <v/>
      </c>
      <c r="N177" s="137"/>
      <c r="O177" s="135">
        <f t="shared" si="35"/>
        <v>2.2022174666600001</v>
      </c>
      <c r="P177" s="45">
        <f t="shared" si="36"/>
        <v>5.0724685365281622E-5</v>
      </c>
      <c r="Q177" s="43">
        <f t="shared" si="37"/>
        <v>84</v>
      </c>
    </row>
    <row r="178" spans="2:17" x14ac:dyDescent="0.3">
      <c r="B178" t="str">
        <f>+'[3]Country Results'!B96</f>
        <v>Germany</v>
      </c>
      <c r="C178" s="91">
        <f>INDEX('[3]Country Results'!$C$7:$AK$254,MATCH([3]Dashboard!$B178,'[3]Country Results'!$B$7:$B$254,0),MATCH([3]Dashboard!$C$8,'[3]Country Results'!$C$6:$AE$6,0))</f>
        <v>44425.759900000005</v>
      </c>
      <c r="D178" s="45" cm="1">
        <f t="array" ref="D178">INDEX('[3]Country Results'!$L$7:$AE$254,MATCH([3]Dashboard!B178,'[3]Country Results'!$B$7:$B$254,0),MATCH($C$8,'[3]Country Results'!$L$6:$AE$6,0)+1)</f>
        <v>2.3873311780143496E-2</v>
      </c>
      <c r="E178" s="43">
        <f t="shared" si="30"/>
        <v>8</v>
      </c>
      <c r="F178" s="43"/>
      <c r="G178" s="91">
        <f>IFERROR(INDEX('[3]Country Results'!$C$7:$AK$254,MATCH([3]Dashboard!$B178,'[3]Country Results'!$B$7:$B$254,0),MATCH([3]Dashboard!$C$9,'[3]Country Results'!$C$6:$AK$6,0)),"")</f>
        <v>51660</v>
      </c>
      <c r="H178" s="43">
        <f t="shared" si="31"/>
        <v>18</v>
      </c>
      <c r="I178" s="43"/>
      <c r="J178" s="44">
        <f t="shared" si="32"/>
        <v>2295.034756434</v>
      </c>
      <c r="K178" s="45">
        <f t="shared" si="33"/>
        <v>5.1331072492279216E-2</v>
      </c>
      <c r="L178" s="43">
        <f t="shared" si="34"/>
        <v>3</v>
      </c>
      <c r="M178" s="136" t="str">
        <f>IF(G178="","",INDEX([3]Countries!$C$7:$AO$254,MATCH([3]Dashboard!$B178,[3]Countries!$B$7:$B$254,0),MATCH([3]Dashboard!$N$7,[3]Countries!$C$6:$AO$6,0)))</f>
        <v/>
      </c>
      <c r="N178" s="137"/>
      <c r="O178" s="135">
        <f t="shared" si="35"/>
        <v>2295.034756434</v>
      </c>
      <c r="P178" s="45">
        <f t="shared" si="36"/>
        <v>5.2862588588520026E-2</v>
      </c>
      <c r="Q178" s="43">
        <f t="shared" si="37"/>
        <v>3</v>
      </c>
    </row>
    <row r="179" spans="2:17" x14ac:dyDescent="0.3">
      <c r="B179" t="str">
        <f>+'[3]Country Results'!B97</f>
        <v>Ghana</v>
      </c>
      <c r="C179" s="91">
        <f>INDEX('[3]Country Results'!$C$7:$AK$254,MATCH([3]Dashboard!$B179,'[3]Country Results'!$B$7:$B$254,0),MATCH([3]Dashboard!$C$8,'[3]Country Results'!$C$6:$AE$6,0))</f>
        <v>1915.4332999999999</v>
      </c>
      <c r="D179" s="45" cm="1">
        <f t="array" ref="D179">INDEX('[3]Country Results'!$L$7:$AE$254,MATCH([3]Dashboard!B179,'[3]Country Results'!$B$7:$B$254,0),MATCH($C$8,'[3]Country Results'!$L$6:$AE$6,0)+1)</f>
        <v>1.0293067911027252E-3</v>
      </c>
      <c r="E179" s="43">
        <f t="shared" si="30"/>
        <v>96</v>
      </c>
      <c r="F179" s="43"/>
      <c r="G179" s="91">
        <f>IFERROR(INDEX('[3]Country Results'!$C$7:$AK$254,MATCH([3]Dashboard!$B179,'[3]Country Results'!$B$7:$B$254,0),MATCH([3]Dashboard!$C$9,'[3]Country Results'!$C$6:$AK$6,0)),"")</f>
        <v>2280</v>
      </c>
      <c r="H179" s="43">
        <f t="shared" si="31"/>
        <v>152</v>
      </c>
      <c r="I179" s="43"/>
      <c r="J179" s="44">
        <f t="shared" si="32"/>
        <v>4.3671879239999996</v>
      </c>
      <c r="K179" s="45">
        <f t="shared" si="33"/>
        <v>9.7677143793049591E-5</v>
      </c>
      <c r="L179" s="43">
        <f t="shared" si="34"/>
        <v>106</v>
      </c>
      <c r="M179" s="136" t="str">
        <f>IF(G179="","",INDEX([3]Countries!$C$7:$AO$254,MATCH([3]Dashboard!$B179,[3]Countries!$B$7:$B$254,0),MATCH([3]Dashboard!$N$7,[3]Countries!$C$6:$AO$6,0)))</f>
        <v>x</v>
      </c>
      <c r="N179" s="137"/>
      <c r="O179" s="135" t="str">
        <f t="shared" si="35"/>
        <v>-</v>
      </c>
      <c r="P179" s="45" t="str">
        <f t="shared" si="36"/>
        <v/>
      </c>
      <c r="Q179" s="43" t="str">
        <f t="shared" si="37"/>
        <v/>
      </c>
    </row>
    <row r="180" spans="2:17" x14ac:dyDescent="0.3">
      <c r="B180" t="str">
        <f>+'[3]Country Results'!B98</f>
        <v>Greece</v>
      </c>
      <c r="C180" s="91">
        <f>INDEX('[3]Country Results'!$C$7:$AK$254,MATCH([3]Dashboard!$B180,'[3]Country Results'!$B$7:$B$254,0),MATCH([3]Dashboard!$C$8,'[3]Country Results'!$C$6:$AE$6,0))</f>
        <v>4332.3954960000001</v>
      </c>
      <c r="D180" s="45" cm="1">
        <f t="array" ref="D180">INDEX('[3]Country Results'!$L$7:$AE$254,MATCH([3]Dashboard!B180,'[3]Country Results'!$B$7:$B$254,0),MATCH($C$8,'[3]Country Results'!$L$6:$AE$6,0)+1)</f>
        <v>2.3281228877954975E-3</v>
      </c>
      <c r="E180" s="43">
        <f t="shared" si="30"/>
        <v>55</v>
      </c>
      <c r="F180" s="43"/>
      <c r="G180" s="91">
        <f>IFERROR(INDEX('[3]Country Results'!$C$7:$AK$254,MATCH([3]Dashboard!$B180,'[3]Country Results'!$B$7:$B$254,0),MATCH([3]Dashboard!$C$9,'[3]Country Results'!$C$6:$AK$6,0)),"")</f>
        <v>20000</v>
      </c>
      <c r="H180" s="43">
        <f t="shared" si="31"/>
        <v>50</v>
      </c>
      <c r="I180" s="43"/>
      <c r="J180" s="44">
        <f t="shared" si="32"/>
        <v>86.647909920000004</v>
      </c>
      <c r="K180" s="45">
        <f t="shared" si="33"/>
        <v>1.9379794283895006E-3</v>
      </c>
      <c r="L180" s="43">
        <f t="shared" si="34"/>
        <v>46</v>
      </c>
      <c r="M180" s="136" t="str">
        <f>IF(G180="","",INDEX([3]Countries!$C$7:$AO$254,MATCH([3]Dashboard!$B180,[3]Countries!$B$7:$B$254,0),MATCH([3]Dashboard!$N$7,[3]Countries!$C$6:$AO$6,0)))</f>
        <v/>
      </c>
      <c r="N180" s="137"/>
      <c r="O180" s="135">
        <f t="shared" si="35"/>
        <v>86.647909920000004</v>
      </c>
      <c r="P180" s="45">
        <f t="shared" si="36"/>
        <v>1.9958010663303112E-3</v>
      </c>
      <c r="Q180" s="43">
        <f t="shared" si="37"/>
        <v>42</v>
      </c>
    </row>
    <row r="181" spans="2:17" x14ac:dyDescent="0.3">
      <c r="B181" t="str">
        <f>+'[3]Country Results'!B99</f>
        <v>Greenland</v>
      </c>
      <c r="C181" s="91">
        <f>INDEX('[3]Country Results'!$C$7:$AK$254,MATCH([3]Dashboard!$B181,'[3]Country Results'!$B$7:$B$254,0),MATCH([3]Dashboard!$C$8,'[3]Country Results'!$C$6:$AE$6,0))</f>
        <v>0</v>
      </c>
      <c r="D181" s="45" cm="1">
        <f t="array" ref="D181">INDEX('[3]Country Results'!$L$7:$AE$254,MATCH([3]Dashboard!B181,'[3]Country Results'!$B$7:$B$254,0),MATCH($C$8,'[3]Country Results'!$L$6:$AE$6,0)+1)</f>
        <v>0</v>
      </c>
      <c r="E181" s="43">
        <f t="shared" si="30"/>
        <v>200</v>
      </c>
      <c r="F181" s="43"/>
      <c r="G181" s="91">
        <f>IFERROR(INDEX('[3]Country Results'!$C$7:$AK$254,MATCH([3]Dashboard!$B181,'[3]Country Results'!$B$7:$B$254,0),MATCH([3]Dashboard!$C$9,'[3]Country Results'!$C$6:$AK$6,0)),"")</f>
        <v>34800</v>
      </c>
      <c r="H181" s="43">
        <f t="shared" si="31"/>
        <v>31</v>
      </c>
      <c r="I181" s="43"/>
      <c r="J181" s="44">
        <f t="shared" si="32"/>
        <v>0</v>
      </c>
      <c r="K181" s="45">
        <f t="shared" si="33"/>
        <v>0</v>
      </c>
      <c r="L181" s="43">
        <f t="shared" si="34"/>
        <v>195</v>
      </c>
      <c r="M181" s="136" t="str">
        <f>IF(G181="","",INDEX([3]Countries!$C$7:$AO$254,MATCH([3]Dashboard!$B181,[3]Countries!$B$7:$B$254,0),MATCH([3]Dashboard!$N$7,[3]Countries!$C$6:$AO$6,0)))</f>
        <v/>
      </c>
      <c r="N181" s="137"/>
      <c r="O181" s="135">
        <f t="shared" si="35"/>
        <v>0</v>
      </c>
      <c r="P181" s="45">
        <f t="shared" si="36"/>
        <v>0</v>
      </c>
      <c r="Q181" s="43">
        <f t="shared" si="37"/>
        <v>90</v>
      </c>
    </row>
    <row r="182" spans="2:17" x14ac:dyDescent="0.3">
      <c r="B182" t="str">
        <f>+'[3]Country Results'!B100</f>
        <v>Grenada</v>
      </c>
      <c r="C182" s="91">
        <f>INDEX('[3]Country Results'!$C$7:$AK$254,MATCH([3]Dashboard!$B182,'[3]Country Results'!$B$7:$B$254,0),MATCH([3]Dashboard!$C$8,'[3]Country Results'!$C$6:$AE$6,0))</f>
        <v>7.7082866050000014</v>
      </c>
      <c r="D182" s="45" cm="1">
        <f t="array" ref="D182">INDEX('[3]Country Results'!$L$7:$AE$254,MATCH([3]Dashboard!B182,'[3]Country Results'!$B$7:$B$254,0),MATCH($C$8,'[3]Country Results'!$L$6:$AE$6,0)+1)</f>
        <v>4.1422438203891888E-6</v>
      </c>
      <c r="E182" s="43">
        <f t="shared" si="30"/>
        <v>188</v>
      </c>
      <c r="F182" s="43"/>
      <c r="G182" s="91">
        <f>IFERROR(INDEX('[3]Country Results'!$C$7:$AK$254,MATCH([3]Dashboard!$B182,'[3]Country Results'!$B$7:$B$254,0),MATCH([3]Dashboard!$C$9,'[3]Country Results'!$C$6:$AK$6,0)),"")</f>
        <v>8590</v>
      </c>
      <c r="H182" s="43">
        <f t="shared" si="31"/>
        <v>88</v>
      </c>
      <c r="I182" s="43"/>
      <c r="J182" s="44">
        <f t="shared" si="32"/>
        <v>6.6214181936950015E-2</v>
      </c>
      <c r="K182" s="45">
        <f t="shared" si="33"/>
        <v>1.4809557735428961E-6</v>
      </c>
      <c r="L182" s="43">
        <f t="shared" si="34"/>
        <v>186</v>
      </c>
      <c r="M182" s="136" t="str">
        <f>IF(G182="","",INDEX([3]Countries!$C$7:$AO$254,MATCH([3]Dashboard!$B182,[3]Countries!$B$7:$B$254,0),MATCH([3]Dashboard!$N$7,[3]Countries!$C$6:$AO$6,0)))</f>
        <v>x</v>
      </c>
      <c r="N182" s="137"/>
      <c r="O182" s="135" t="str">
        <f t="shared" si="35"/>
        <v>-</v>
      </c>
      <c r="P182" s="45" t="str">
        <f t="shared" si="36"/>
        <v/>
      </c>
      <c r="Q182" s="43" t="str">
        <f t="shared" si="37"/>
        <v/>
      </c>
    </row>
    <row r="183" spans="2:17" x14ac:dyDescent="0.3">
      <c r="B183" t="str">
        <f>+'[3]Country Results'!B101</f>
        <v>Guadeloupe</v>
      </c>
      <c r="C183" s="91">
        <f>INDEX('[3]Country Results'!$C$7:$AK$254,MATCH([3]Dashboard!$B183,'[3]Country Results'!$B$7:$B$254,0),MATCH([3]Dashboard!$C$8,'[3]Country Results'!$C$6:$AE$6,0))</f>
        <v>0</v>
      </c>
      <c r="D183" s="45" cm="1">
        <f t="array" ref="D183">INDEX('[3]Country Results'!$L$7:$AE$254,MATCH([3]Dashboard!B183,'[3]Country Results'!$B$7:$B$254,0),MATCH($C$8,'[3]Country Results'!$L$6:$AE$6,0)+1)</f>
        <v>0</v>
      </c>
      <c r="E183" s="43">
        <f t="shared" si="30"/>
        <v>200</v>
      </c>
      <c r="F183" s="43"/>
      <c r="G183" s="91" t="str">
        <f>IFERROR(INDEX('[3]Country Results'!$C$7:$AK$254,MATCH([3]Dashboard!$B183,'[3]Country Results'!$B$7:$B$254,0),MATCH([3]Dashboard!$C$9,'[3]Country Results'!$C$6:$AK$6,0)),"")</f>
        <v/>
      </c>
      <c r="H183" s="43" t="str">
        <f t="shared" si="31"/>
        <v/>
      </c>
      <c r="I183" s="43"/>
      <c r="J183" s="44" t="str">
        <f t="shared" si="32"/>
        <v/>
      </c>
      <c r="K183" s="45" t="str">
        <f t="shared" si="33"/>
        <v/>
      </c>
      <c r="L183" s="43" t="str">
        <f t="shared" si="34"/>
        <v/>
      </c>
      <c r="M183" s="136" t="str">
        <f>IF(G183="","",INDEX([3]Countries!$C$7:$AO$254,MATCH([3]Dashboard!$B183,[3]Countries!$B$7:$B$254,0),MATCH([3]Dashboard!$N$7,[3]Countries!$C$6:$AO$6,0)))</f>
        <v/>
      </c>
      <c r="N183" s="137"/>
      <c r="O183" s="135" t="str">
        <f t="shared" si="35"/>
        <v/>
      </c>
      <c r="P183" s="45" t="str">
        <f t="shared" si="36"/>
        <v/>
      </c>
      <c r="Q183" s="43" t="str">
        <f t="shared" si="37"/>
        <v/>
      </c>
    </row>
    <row r="184" spans="2:17" x14ac:dyDescent="0.3">
      <c r="B184" t="str">
        <f>+'[3]Country Results'!B102</f>
        <v>Guatemala</v>
      </c>
      <c r="C184" s="91">
        <f>INDEX('[3]Country Results'!$C$7:$AK$254,MATCH([3]Dashboard!$B184,'[3]Country Results'!$B$7:$B$254,0),MATCH([3]Dashboard!$C$8,'[3]Country Results'!$C$6:$AE$6,0))</f>
        <v>2496.8528459999989</v>
      </c>
      <c r="D184" s="45" cm="1">
        <f t="array" ref="D184">INDEX('[3]Country Results'!$L$7:$AE$254,MATCH([3]Dashboard!B184,'[3]Country Results'!$B$7:$B$254,0),MATCH($C$8,'[3]Country Results'!$L$6:$AE$6,0)+1)</f>
        <v>1.3417473690010325E-3</v>
      </c>
      <c r="E184" s="43">
        <f t="shared" si="30"/>
        <v>82</v>
      </c>
      <c r="F184" s="43"/>
      <c r="G184" s="91">
        <f>IFERROR(INDEX('[3]Country Results'!$C$7:$AK$254,MATCH([3]Dashboard!$B184,'[3]Country Results'!$B$7:$B$254,0),MATCH([3]Dashboard!$C$9,'[3]Country Results'!$C$6:$AK$6,0)),"")</f>
        <v>4940</v>
      </c>
      <c r="H184" s="43">
        <f t="shared" si="31"/>
        <v>114</v>
      </c>
      <c r="I184" s="43"/>
      <c r="J184" s="44">
        <f t="shared" si="32"/>
        <v>12.334453059239994</v>
      </c>
      <c r="K184" s="45">
        <f t="shared" si="33"/>
        <v>2.7587412450355672E-4</v>
      </c>
      <c r="L184" s="43">
        <f t="shared" si="34"/>
        <v>83</v>
      </c>
      <c r="M184" s="136" t="str">
        <f>IF(G184="","",INDEX([3]Countries!$C$7:$AO$254,MATCH([3]Dashboard!$B184,[3]Countries!$B$7:$B$254,0),MATCH([3]Dashboard!$N$7,[3]Countries!$C$6:$AO$6,0)))</f>
        <v/>
      </c>
      <c r="N184" s="137"/>
      <c r="O184" s="135">
        <f t="shared" si="35"/>
        <v>12.334453059239994</v>
      </c>
      <c r="P184" s="45">
        <f t="shared" si="36"/>
        <v>2.8410511679924832E-4</v>
      </c>
      <c r="Q184" s="43">
        <f t="shared" si="37"/>
        <v>67</v>
      </c>
    </row>
    <row r="185" spans="2:17" x14ac:dyDescent="0.3">
      <c r="B185" t="str">
        <f>+'[3]Country Results'!B103</f>
        <v>Guinea</v>
      </c>
      <c r="C185" s="91">
        <f>INDEX('[3]Country Results'!$C$7:$AK$254,MATCH([3]Dashboard!$B185,'[3]Country Results'!$B$7:$B$254,0),MATCH([3]Dashboard!$C$8,'[3]Country Results'!$C$6:$AE$6,0))</f>
        <v>1096.2848394999999</v>
      </c>
      <c r="D185" s="45" cm="1">
        <f t="array" ref="D185">INDEX('[3]Country Results'!$L$7:$AE$254,MATCH([3]Dashboard!B185,'[3]Country Results'!$B$7:$B$254,0),MATCH($C$8,'[3]Country Results'!$L$6:$AE$6,0)+1)</f>
        <v>5.8911653581480018E-4</v>
      </c>
      <c r="E185" s="43">
        <f t="shared" si="30"/>
        <v>119</v>
      </c>
      <c r="F185" s="43"/>
      <c r="G185" s="91">
        <f>IFERROR(INDEX('[3]Country Results'!$C$7:$AK$254,MATCH([3]Dashboard!$B185,'[3]Country Results'!$B$7:$B$254,0),MATCH([3]Dashboard!$C$9,'[3]Country Results'!$C$6:$AK$6,0)),"")</f>
        <v>1020</v>
      </c>
      <c r="H185" s="43">
        <f t="shared" si="31"/>
        <v>179</v>
      </c>
      <c r="I185" s="43"/>
      <c r="J185" s="44">
        <f t="shared" si="32"/>
        <v>1.1182105362899999</v>
      </c>
      <c r="K185" s="45">
        <f t="shared" si="33"/>
        <v>2.5010055267798323E-5</v>
      </c>
      <c r="L185" s="43">
        <f t="shared" si="34"/>
        <v>144</v>
      </c>
      <c r="M185" s="136" t="str">
        <f>IF(G185="","",INDEX([3]Countries!$C$7:$AO$254,MATCH([3]Dashboard!$B185,[3]Countries!$B$7:$B$254,0),MATCH([3]Dashboard!$N$7,[3]Countries!$C$6:$AO$6,0)))</f>
        <v>x</v>
      </c>
      <c r="N185" s="137"/>
      <c r="O185" s="135" t="str">
        <f t="shared" si="35"/>
        <v>-</v>
      </c>
      <c r="P185" s="45" t="str">
        <f t="shared" si="36"/>
        <v/>
      </c>
      <c r="Q185" s="43" t="str">
        <f t="shared" si="37"/>
        <v/>
      </c>
    </row>
    <row r="186" spans="2:17" x14ac:dyDescent="0.3">
      <c r="B186" t="str">
        <f>+'[3]Country Results'!B104</f>
        <v>Guinea-Bissau</v>
      </c>
      <c r="C186" s="91">
        <f>INDEX('[3]Country Results'!$C$7:$AK$254,MATCH([3]Dashboard!$B186,'[3]Country Results'!$B$7:$B$254,0),MATCH([3]Dashboard!$C$8,'[3]Country Results'!$C$6:$AE$6,0))</f>
        <v>192.03508380000002</v>
      </c>
      <c r="D186" s="45" cm="1">
        <f t="array" ref="D186">INDEX('[3]Country Results'!$L$7:$AE$254,MATCH([3]Dashboard!B186,'[3]Country Results'!$B$7:$B$254,0),MATCH($C$8,'[3]Country Results'!$L$6:$AE$6,0)+1)</f>
        <v>1.0319493551945711E-4</v>
      </c>
      <c r="E186" s="43">
        <f t="shared" si="30"/>
        <v>160</v>
      </c>
      <c r="F186" s="43"/>
      <c r="G186" s="91">
        <f>IFERROR(INDEX('[3]Country Results'!$C$7:$AK$254,MATCH([3]Dashboard!$B186,'[3]Country Results'!$B$7:$B$254,0),MATCH([3]Dashboard!$C$9,'[3]Country Results'!$C$6:$AK$6,0)),"")</f>
        <v>760</v>
      </c>
      <c r="H186" s="43">
        <f t="shared" si="31"/>
        <v>186</v>
      </c>
      <c r="I186" s="43"/>
      <c r="J186" s="44">
        <f t="shared" si="32"/>
        <v>0.14594666368800002</v>
      </c>
      <c r="K186" s="45">
        <f t="shared" si="33"/>
        <v>3.2642637558201466E-6</v>
      </c>
      <c r="L186" s="43">
        <f t="shared" si="34"/>
        <v>179</v>
      </c>
      <c r="M186" s="136" t="str">
        <f>IF(G186="","",INDEX([3]Countries!$C$7:$AO$254,MATCH([3]Dashboard!$B186,[3]Countries!$B$7:$B$254,0),MATCH([3]Dashboard!$N$7,[3]Countries!$C$6:$AO$6,0)))</f>
        <v>x</v>
      </c>
      <c r="N186" s="137"/>
      <c r="O186" s="135" t="str">
        <f t="shared" si="35"/>
        <v>-</v>
      </c>
      <c r="P186" s="45" t="str">
        <f t="shared" si="36"/>
        <v/>
      </c>
      <c r="Q186" s="43" t="str">
        <f t="shared" si="37"/>
        <v/>
      </c>
    </row>
    <row r="187" spans="2:17" x14ac:dyDescent="0.3">
      <c r="B187" t="str">
        <f>+'[3]Country Results'!B105</f>
        <v>Guyana</v>
      </c>
      <c r="C187" s="91">
        <f>INDEX('[3]Country Results'!$C$7:$AK$254,MATCH([3]Dashboard!$B187,'[3]Country Results'!$B$7:$B$254,0),MATCH([3]Dashboard!$C$8,'[3]Country Results'!$C$6:$AE$6,0))</f>
        <v>511.67100249999999</v>
      </c>
      <c r="D187" s="45" cm="1">
        <f t="array" ref="D187">INDEX('[3]Country Results'!$L$7:$AE$254,MATCH([3]Dashboard!B187,'[3]Country Results'!$B$7:$B$254,0),MATCH($C$8,'[3]Country Results'!$L$6:$AE$6,0)+1)</f>
        <v>2.7495942442035934E-4</v>
      </c>
      <c r="E187" s="43">
        <f t="shared" si="30"/>
        <v>143</v>
      </c>
      <c r="F187" s="43"/>
      <c r="G187" s="91">
        <f>IFERROR(INDEX('[3]Country Results'!$C$7:$AK$254,MATCH([3]Dashboard!$B187,'[3]Country Results'!$B$7:$B$254,0),MATCH([3]Dashboard!$C$9,'[3]Country Results'!$C$6:$AK$6,0)),"")</f>
        <v>9410</v>
      </c>
      <c r="H187" s="43">
        <f t="shared" si="31"/>
        <v>82</v>
      </c>
      <c r="I187" s="43"/>
      <c r="J187" s="44">
        <f t="shared" si="32"/>
        <v>4.8148241335249997</v>
      </c>
      <c r="K187" s="45">
        <f t="shared" si="33"/>
        <v>1.0768903867040617E-4</v>
      </c>
      <c r="L187" s="43">
        <f t="shared" si="34"/>
        <v>104</v>
      </c>
      <c r="M187" s="136" t="str">
        <f>IF(G187="","",INDEX([3]Countries!$C$7:$AO$254,MATCH([3]Dashboard!$B187,[3]Countries!$B$7:$B$254,0),MATCH([3]Dashboard!$N$7,[3]Countries!$C$6:$AO$6,0)))</f>
        <v>x</v>
      </c>
      <c r="N187" s="137"/>
      <c r="O187" s="135" t="str">
        <f t="shared" si="35"/>
        <v>-</v>
      </c>
      <c r="P187" s="45" t="str">
        <f t="shared" si="36"/>
        <v/>
      </c>
      <c r="Q187" s="43" t="str">
        <f t="shared" si="37"/>
        <v/>
      </c>
    </row>
    <row r="188" spans="2:17" x14ac:dyDescent="0.3">
      <c r="B188" t="str">
        <f>+'[3]Country Results'!B106</f>
        <v>Haiti</v>
      </c>
      <c r="C188" s="91">
        <f>INDEX('[3]Country Results'!$C$7:$AK$254,MATCH([3]Dashboard!$B188,'[3]Country Results'!$B$7:$B$254,0),MATCH([3]Dashboard!$C$8,'[3]Country Results'!$C$6:$AE$6,0))</f>
        <v>537.81487450000009</v>
      </c>
      <c r="D188" s="45" cm="1">
        <f t="array" ref="D188">INDEX('[3]Country Results'!$L$7:$AE$254,MATCH([3]Dashboard!B188,'[3]Country Results'!$B$7:$B$254,0),MATCH($C$8,'[3]Country Results'!$L$6:$AE$6,0)+1)</f>
        <v>2.8900849884927341E-4</v>
      </c>
      <c r="E188" s="43">
        <f t="shared" si="30"/>
        <v>141</v>
      </c>
      <c r="F188" s="43"/>
      <c r="G188" s="91">
        <f>IFERROR(INDEX('[3]Country Results'!$C$7:$AK$254,MATCH([3]Dashboard!$B188,'[3]Country Results'!$B$7:$B$254,0),MATCH([3]Dashboard!$C$9,'[3]Country Results'!$C$6:$AK$6,0)),"")</f>
        <v>1430</v>
      </c>
      <c r="H188" s="43">
        <f t="shared" si="31"/>
        <v>168</v>
      </c>
      <c r="I188" s="43"/>
      <c r="J188" s="44">
        <f t="shared" si="32"/>
        <v>0.76907527053500013</v>
      </c>
      <c r="K188" s="45">
        <f t="shared" si="33"/>
        <v>1.7201246453099902E-5</v>
      </c>
      <c r="L188" s="43">
        <f t="shared" si="34"/>
        <v>155</v>
      </c>
      <c r="M188" s="136" t="str">
        <f>IF(G188="","",INDEX([3]Countries!$C$7:$AO$254,MATCH([3]Dashboard!$B188,[3]Countries!$B$7:$B$254,0),MATCH([3]Dashboard!$N$7,[3]Countries!$C$6:$AO$6,0)))</f>
        <v>x</v>
      </c>
      <c r="N188" s="137"/>
      <c r="O188" s="135" t="str">
        <f t="shared" si="35"/>
        <v>-</v>
      </c>
      <c r="P188" s="45" t="str">
        <f t="shared" si="36"/>
        <v/>
      </c>
      <c r="Q188" s="43" t="str">
        <f t="shared" si="37"/>
        <v/>
      </c>
    </row>
    <row r="189" spans="2:17" x14ac:dyDescent="0.3">
      <c r="B189" t="str">
        <f>+'[3]Country Results'!B107</f>
        <v>High-income countries</v>
      </c>
      <c r="C189" s="91" t="str">
        <f>INDEX('[3]Country Results'!$C$7:$AK$254,MATCH([3]Dashboard!$B189,'[3]Country Results'!$B$7:$B$254,0),MATCH([3]Dashboard!$C$8,'[3]Country Results'!$C$6:$AE$6,0))</f>
        <v/>
      </c>
      <c r="D189" s="45" t="str" cm="1">
        <f t="array" ref="D189">INDEX('[3]Country Results'!$L$7:$AE$254,MATCH([3]Dashboard!B189,'[3]Country Results'!$B$7:$B$254,0),MATCH($C$8,'[3]Country Results'!$L$6:$AE$6,0)+1)</f>
        <v/>
      </c>
      <c r="E189" s="43" t="str">
        <f t="shared" si="30"/>
        <v/>
      </c>
      <c r="F189" s="43"/>
      <c r="G189" s="91" t="str">
        <f>IFERROR(INDEX('[3]Country Results'!$C$7:$AK$254,MATCH([3]Dashboard!$B189,'[3]Country Results'!$B$7:$B$254,0),MATCH([3]Dashboard!$C$9,'[3]Country Results'!$C$6:$AK$6,0)),"")</f>
        <v/>
      </c>
      <c r="H189" s="43" t="str">
        <f t="shared" si="31"/>
        <v/>
      </c>
      <c r="I189" s="43"/>
      <c r="J189" s="44" t="str">
        <f t="shared" si="32"/>
        <v/>
      </c>
      <c r="K189" s="45" t="str">
        <f t="shared" si="33"/>
        <v/>
      </c>
      <c r="L189" s="43" t="str">
        <f t="shared" si="34"/>
        <v/>
      </c>
      <c r="M189" s="136" t="str">
        <f>IF(G189="","",INDEX([3]Countries!$C$7:$AO$254,MATCH([3]Dashboard!$B189,[3]Countries!$B$7:$B$254,0),MATCH([3]Dashboard!$N$7,[3]Countries!$C$6:$AO$6,0)))</f>
        <v/>
      </c>
      <c r="N189" s="137"/>
      <c r="O189" s="135" t="str">
        <f t="shared" si="35"/>
        <v/>
      </c>
      <c r="P189" s="45" t="str">
        <f t="shared" si="36"/>
        <v/>
      </c>
      <c r="Q189" s="43" t="str">
        <f t="shared" si="37"/>
        <v/>
      </c>
    </row>
    <row r="190" spans="2:17" x14ac:dyDescent="0.3">
      <c r="B190" t="str">
        <f>+'[3]Country Results'!B108</f>
        <v>Honduras</v>
      </c>
      <c r="C190" s="91">
        <f>INDEX('[3]Country Results'!$C$7:$AK$254,MATCH([3]Dashboard!$B190,'[3]Country Results'!$B$7:$B$254,0),MATCH([3]Dashboard!$C$8,'[3]Country Results'!$C$6:$AE$6,0))</f>
        <v>1166.3592460000004</v>
      </c>
      <c r="D190" s="45" cm="1">
        <f t="array" ref="D190">INDEX('[3]Country Results'!$L$7:$AE$254,MATCH([3]Dashboard!B190,'[3]Country Results'!$B$7:$B$254,0),MATCH($C$8,'[3]Country Results'!$L$6:$AE$6,0)+1)</f>
        <v>6.2677280006213454E-4</v>
      </c>
      <c r="E190" s="43">
        <f t="shared" si="30"/>
        <v>116</v>
      </c>
      <c r="F190" s="43"/>
      <c r="G190" s="91">
        <f>IFERROR(INDEX('[3]Country Results'!$C$7:$AK$254,MATCH([3]Dashboard!$B190,'[3]Country Results'!$B$7:$B$254,0),MATCH([3]Dashboard!$C$9,'[3]Country Results'!$C$6:$AK$6,0)),"")</f>
        <v>2490</v>
      </c>
      <c r="H190" s="43">
        <f t="shared" si="31"/>
        <v>148</v>
      </c>
      <c r="I190" s="43"/>
      <c r="J190" s="44">
        <f t="shared" si="32"/>
        <v>2.9042345225400013</v>
      </c>
      <c r="K190" s="45">
        <f t="shared" si="33"/>
        <v>6.4956520764293646E-5</v>
      </c>
      <c r="L190" s="43">
        <f t="shared" si="34"/>
        <v>121</v>
      </c>
      <c r="M190" s="136" t="str">
        <f>IF(G190="","",INDEX([3]Countries!$C$7:$AO$254,MATCH([3]Dashboard!$B190,[3]Countries!$B$7:$B$254,0),MATCH([3]Dashboard!$N$7,[3]Countries!$C$6:$AO$6,0)))</f>
        <v>x</v>
      </c>
      <c r="N190" s="137"/>
      <c r="O190" s="135" t="str">
        <f t="shared" si="35"/>
        <v>-</v>
      </c>
      <c r="P190" s="45" t="str">
        <f t="shared" si="36"/>
        <v/>
      </c>
      <c r="Q190" s="43" t="str">
        <f t="shared" si="37"/>
        <v/>
      </c>
    </row>
    <row r="191" spans="2:17" x14ac:dyDescent="0.3">
      <c r="B191" t="str">
        <f>+'[3]Country Results'!B109</f>
        <v>Hong Kong</v>
      </c>
      <c r="C191" s="91">
        <f>INDEX('[3]Country Results'!$C$7:$AK$254,MATCH([3]Dashboard!$B191,'[3]Country Results'!$B$7:$B$254,0),MATCH([3]Dashboard!$C$8,'[3]Country Results'!$C$6:$AE$6,0))</f>
        <v>1711.9428300000002</v>
      </c>
      <c r="D191" s="45" cm="1">
        <f t="array" ref="D191">INDEX('[3]Country Results'!$L$7:$AE$254,MATCH([3]Dashboard!B191,'[3]Country Results'!$B$7:$B$254,0),MATCH($C$8,'[3]Country Results'!$L$6:$AE$6,0)+1)</f>
        <v>9.1995601251091243E-4</v>
      </c>
      <c r="E191" s="43">
        <f t="shared" si="30"/>
        <v>102</v>
      </c>
      <c r="F191" s="43"/>
      <c r="G191" s="91">
        <f>IFERROR(INDEX('[3]Country Results'!$C$7:$AK$254,MATCH([3]Dashboard!$B191,'[3]Country Results'!$B$7:$B$254,0),MATCH([3]Dashboard!$C$9,'[3]Country Results'!$C$6:$AK$6,0)),"")</f>
        <v>54460</v>
      </c>
      <c r="H191" s="43">
        <f t="shared" si="31"/>
        <v>15</v>
      </c>
      <c r="I191" s="43"/>
      <c r="J191" s="44">
        <f t="shared" si="32"/>
        <v>93.232406521800016</v>
      </c>
      <c r="K191" s="45">
        <f t="shared" si="33"/>
        <v>2.0852492121889088E-3</v>
      </c>
      <c r="L191" s="43">
        <f t="shared" si="34"/>
        <v>45</v>
      </c>
      <c r="M191" s="136" t="str">
        <f>IF(G191="","",INDEX([3]Countries!$C$7:$AO$254,MATCH([3]Dashboard!$B191,[3]Countries!$B$7:$B$254,0),MATCH([3]Dashboard!$N$7,[3]Countries!$C$6:$AO$6,0)))</f>
        <v/>
      </c>
      <c r="N191" s="137"/>
      <c r="O191" s="135">
        <f t="shared" si="35"/>
        <v>93.232406521800016</v>
      </c>
      <c r="P191" s="45">
        <f t="shared" si="36"/>
        <v>2.1474647977608083E-3</v>
      </c>
      <c r="Q191" s="43">
        <f t="shared" si="37"/>
        <v>41</v>
      </c>
    </row>
    <row r="192" spans="2:17" x14ac:dyDescent="0.3">
      <c r="B192" t="str">
        <f>+'[3]Country Results'!B110</f>
        <v>Hungary</v>
      </c>
      <c r="C192" s="91">
        <f>INDEX('[3]Country Results'!$C$7:$AK$254,MATCH([3]Dashboard!$B192,'[3]Country Results'!$B$7:$B$254,0),MATCH([3]Dashboard!$C$8,'[3]Country Results'!$C$6:$AE$6,0))</f>
        <v>3377.4315759999999</v>
      </c>
      <c r="D192" s="45" cm="1">
        <f t="array" ref="D192">INDEX('[3]Country Results'!$L$7:$AE$254,MATCH([3]Dashboard!B192,'[3]Country Results'!$B$7:$B$254,0),MATCH($C$8,'[3]Country Results'!$L$6:$AE$6,0)+1)</f>
        <v>1.8149487417085104E-3</v>
      </c>
      <c r="E192" s="43">
        <f t="shared" si="30"/>
        <v>66</v>
      </c>
      <c r="F192" s="43"/>
      <c r="G192" s="91">
        <f>IFERROR(INDEX('[3]Country Results'!$C$7:$AK$254,MATCH([3]Dashboard!$B192,'[3]Country Results'!$B$7:$B$254,0),MATCH([3]Dashboard!$C$9,'[3]Country Results'!$C$6:$AK$6,0)),"")</f>
        <v>17740</v>
      </c>
      <c r="H192" s="43">
        <f t="shared" si="31"/>
        <v>56</v>
      </c>
      <c r="I192" s="43"/>
      <c r="J192" s="44">
        <f t="shared" si="32"/>
        <v>59.915636158239998</v>
      </c>
      <c r="K192" s="45">
        <f t="shared" si="33"/>
        <v>1.3400816063624127E-3</v>
      </c>
      <c r="L192" s="43">
        <f t="shared" si="34"/>
        <v>49</v>
      </c>
      <c r="M192" s="136" t="str">
        <f>IF(G192="","",INDEX([3]Countries!$C$7:$AO$254,MATCH([3]Dashboard!$B192,[3]Countries!$B$7:$B$254,0),MATCH([3]Dashboard!$N$7,[3]Countries!$C$6:$AO$6,0)))</f>
        <v/>
      </c>
      <c r="N192" s="137"/>
      <c r="O192" s="135">
        <f t="shared" si="35"/>
        <v>59.915636158239998</v>
      </c>
      <c r="P192" s="45">
        <f t="shared" si="36"/>
        <v>1.3800643390576815E-3</v>
      </c>
      <c r="Q192" s="43">
        <f t="shared" si="37"/>
        <v>44</v>
      </c>
    </row>
    <row r="193" spans="2:17" x14ac:dyDescent="0.3">
      <c r="B193" t="str">
        <f>+'[3]Country Results'!B111</f>
        <v>Iceland</v>
      </c>
      <c r="C193" s="91">
        <f>INDEX('[3]Country Results'!$C$7:$AK$254,MATCH([3]Dashboard!$B193,'[3]Country Results'!$B$7:$B$254,0),MATCH([3]Dashboard!$C$8,'[3]Country Results'!$C$6:$AE$6,0))</f>
        <v>167.75591369999995</v>
      </c>
      <c r="D193" s="45" cm="1">
        <f t="array" ref="D193">INDEX('[3]Country Results'!$L$7:$AE$254,MATCH([3]Dashboard!B193,'[3]Country Results'!$B$7:$B$254,0),MATCH($C$8,'[3]Country Results'!$L$6:$AE$6,0)+1)</f>
        <v>9.0147906073812458E-5</v>
      </c>
      <c r="E193" s="43">
        <f t="shared" si="30"/>
        <v>161</v>
      </c>
      <c r="F193" s="43"/>
      <c r="G193" s="91">
        <f>IFERROR(INDEX('[3]Country Results'!$C$7:$AK$254,MATCH([3]Dashboard!$B193,'[3]Country Results'!$B$7:$B$254,0),MATCH([3]Dashboard!$C$9,'[3]Country Results'!$C$6:$AK$6,0)),"")</f>
        <v>63460</v>
      </c>
      <c r="H193" s="43">
        <f t="shared" si="31"/>
        <v>10</v>
      </c>
      <c r="I193" s="43"/>
      <c r="J193" s="44">
        <f t="shared" si="32"/>
        <v>10.645790283401999</v>
      </c>
      <c r="K193" s="45">
        <f t="shared" si="33"/>
        <v>2.3810525363197245E-4</v>
      </c>
      <c r="L193" s="43">
        <f t="shared" si="34"/>
        <v>88</v>
      </c>
      <c r="M193" s="136" t="str">
        <f>IF(G193="","",INDEX([3]Countries!$C$7:$AO$254,MATCH([3]Dashboard!$B193,[3]Countries!$B$7:$B$254,0),MATCH([3]Dashboard!$N$7,[3]Countries!$C$6:$AO$6,0)))</f>
        <v/>
      </c>
      <c r="N193" s="137"/>
      <c r="O193" s="135">
        <f t="shared" si="35"/>
        <v>10.645790283401999</v>
      </c>
      <c r="P193" s="45">
        <f t="shared" si="36"/>
        <v>2.4520937226482815E-4</v>
      </c>
      <c r="Q193" s="43">
        <f t="shared" si="37"/>
        <v>70</v>
      </c>
    </row>
    <row r="194" spans="2:17" x14ac:dyDescent="0.3">
      <c r="B194" t="str">
        <f>+'[3]Country Results'!B112</f>
        <v>India</v>
      </c>
      <c r="C194" s="91">
        <f>INDEX('[3]Country Results'!$C$7:$AK$254,MATCH([3]Dashboard!$B194,'[3]Country Results'!$B$7:$B$254,0),MATCH([3]Dashboard!$C$8,'[3]Country Results'!$C$6:$AE$6,0))</f>
        <v>95491.344699999972</v>
      </c>
      <c r="D194" s="45" cm="1">
        <f t="array" ref="D194">INDEX('[3]Country Results'!$L$7:$AE$254,MATCH([3]Dashboard!B194,'[3]Country Results'!$B$7:$B$254,0),MATCH($C$8,'[3]Country Results'!$L$6:$AE$6,0)+1)</f>
        <v>5.1314702313696434E-2</v>
      </c>
      <c r="E194" s="43">
        <f t="shared" si="30"/>
        <v>4</v>
      </c>
      <c r="F194" s="43"/>
      <c r="G194" s="91">
        <f>IFERROR(INDEX('[3]Country Results'!$C$7:$AK$254,MATCH([3]Dashboard!$B194,'[3]Country Results'!$B$7:$B$254,0),MATCH([3]Dashboard!$C$9,'[3]Country Results'!$C$6:$AK$6,0)),"")</f>
        <v>2150</v>
      </c>
      <c r="H194" s="43">
        <f t="shared" si="31"/>
        <v>154</v>
      </c>
      <c r="I194" s="43"/>
      <c r="J194" s="44">
        <f t="shared" si="32"/>
        <v>205.30639110499993</v>
      </c>
      <c r="K194" s="45">
        <f t="shared" si="33"/>
        <v>4.5919118285222566E-3</v>
      </c>
      <c r="L194" s="43">
        <f t="shared" si="34"/>
        <v>25</v>
      </c>
      <c r="M194" s="136" t="str">
        <f>IF(G194="","",INDEX([3]Countries!$C$7:$AO$254,MATCH([3]Dashboard!$B194,[3]Countries!$B$7:$B$254,0),MATCH([3]Dashboard!$N$7,[3]Countries!$C$6:$AO$6,0)))</f>
        <v>x</v>
      </c>
      <c r="N194" s="137"/>
      <c r="O194" s="135" t="str">
        <f t="shared" si="35"/>
        <v>-</v>
      </c>
      <c r="P194" s="45" t="str">
        <f t="shared" si="36"/>
        <v/>
      </c>
      <c r="Q194" s="43" t="str">
        <f t="shared" si="37"/>
        <v/>
      </c>
    </row>
    <row r="195" spans="2:17" x14ac:dyDescent="0.3">
      <c r="B195" t="str">
        <f>+'[3]Country Results'!B113</f>
        <v>Indonesia</v>
      </c>
      <c r="C195" s="91">
        <f>INDEX('[3]Country Results'!$C$7:$AK$254,MATCH([3]Dashboard!$B195,'[3]Country Results'!$B$7:$B$254,0),MATCH([3]Dashboard!$C$8,'[3]Country Results'!$C$6:$AE$6,0))</f>
        <v>67263.024000000005</v>
      </c>
      <c r="D195" s="45" cm="1">
        <f t="array" ref="D195">INDEX('[3]Country Results'!$L$7:$AE$254,MATCH([3]Dashboard!B195,'[3]Country Results'!$B$7:$B$254,0),MATCH($C$8,'[3]Country Results'!$L$6:$AE$6,0)+1)</f>
        <v>3.6145496370615253E-2</v>
      </c>
      <c r="E195" s="43">
        <f t="shared" si="30"/>
        <v>6</v>
      </c>
      <c r="F195" s="43"/>
      <c r="G195" s="91">
        <f>IFERROR(INDEX('[3]Country Results'!$C$7:$AK$254,MATCH([3]Dashboard!$B195,'[3]Country Results'!$B$7:$B$254,0),MATCH([3]Dashboard!$C$9,'[3]Country Results'!$C$6:$AK$6,0)),"")</f>
        <v>4180</v>
      </c>
      <c r="H195" s="43">
        <f t="shared" si="31"/>
        <v>125</v>
      </c>
      <c r="I195" s="43"/>
      <c r="J195" s="44">
        <f t="shared" si="32"/>
        <v>281.15944031999999</v>
      </c>
      <c r="K195" s="45">
        <f t="shared" si="33"/>
        <v>6.288451873112018E-3</v>
      </c>
      <c r="L195" s="43">
        <f t="shared" si="34"/>
        <v>20</v>
      </c>
      <c r="M195" s="136" t="str">
        <f>IF(G195="","",INDEX([3]Countries!$C$7:$AO$254,MATCH([3]Dashboard!$B195,[3]Countries!$B$7:$B$254,0),MATCH([3]Dashboard!$N$7,[3]Countries!$C$6:$AO$6,0)))</f>
        <v>x</v>
      </c>
      <c r="N195" s="137"/>
      <c r="O195" s="135" t="str">
        <f t="shared" si="35"/>
        <v>-</v>
      </c>
      <c r="P195" s="45" t="str">
        <f t="shared" si="36"/>
        <v/>
      </c>
      <c r="Q195" s="43" t="str">
        <f t="shared" si="37"/>
        <v/>
      </c>
    </row>
    <row r="196" spans="2:17" x14ac:dyDescent="0.3">
      <c r="B196" s="8" t="str">
        <f>+'[3]Country Results'!B114</f>
        <v>International transport</v>
      </c>
      <c r="C196" s="91" t="str">
        <f>INDEX('[3]Country Results'!$C$7:$AK$254,MATCH([3]Dashboard!$B196,'[3]Country Results'!$B$7:$B$254,0),MATCH([3]Dashboard!$C$8,'[3]Country Results'!$C$6:$AE$6,0))</f>
        <v/>
      </c>
      <c r="D196" s="45" t="str" cm="1">
        <f t="array" ref="D196">INDEX('[3]Country Results'!$L$7:$AE$254,MATCH([3]Dashboard!B196,'[3]Country Results'!$B$7:$B$254,0),MATCH($C$8,'[3]Country Results'!$L$6:$AE$6,0)+1)</f>
        <v/>
      </c>
      <c r="E196" s="43" t="str">
        <f t="shared" si="30"/>
        <v/>
      </c>
      <c r="F196" s="43"/>
      <c r="G196" s="91" t="str">
        <f>IFERROR(INDEX('[3]Country Results'!$C$7:$AK$254,MATCH([3]Dashboard!$B196,'[3]Country Results'!$B$7:$B$254,0),MATCH([3]Dashboard!$C$9,'[3]Country Results'!$C$6:$AK$6,0)),"")</f>
        <v/>
      </c>
      <c r="H196" s="43" t="str">
        <f t="shared" si="31"/>
        <v/>
      </c>
      <c r="I196" s="43"/>
      <c r="J196" s="44" t="str">
        <f t="shared" si="32"/>
        <v/>
      </c>
      <c r="K196" s="45" t="str">
        <f t="shared" si="33"/>
        <v/>
      </c>
      <c r="L196" s="43" t="str">
        <f t="shared" si="34"/>
        <v/>
      </c>
      <c r="M196" s="136" t="str">
        <f>IF(G196="","",INDEX([3]Countries!$C$7:$AO$254,MATCH([3]Dashboard!$B196,[3]Countries!$B$7:$B$254,0),MATCH([3]Dashboard!$N$7,[3]Countries!$C$6:$AO$6,0)))</f>
        <v/>
      </c>
      <c r="N196" s="137"/>
      <c r="O196" s="135" t="str">
        <f t="shared" si="35"/>
        <v/>
      </c>
      <c r="P196" s="45" t="str">
        <f t="shared" si="36"/>
        <v/>
      </c>
      <c r="Q196" s="43" t="str">
        <f t="shared" si="37"/>
        <v/>
      </c>
    </row>
    <row r="197" spans="2:17" x14ac:dyDescent="0.3">
      <c r="B197" t="str">
        <f>+'[3]Country Results'!B115</f>
        <v>Iran</v>
      </c>
      <c r="C197" s="91">
        <f>INDEX('[3]Country Results'!$C$7:$AK$254,MATCH([3]Dashboard!$B197,'[3]Country Results'!$B$7:$B$254,0),MATCH([3]Dashboard!$C$8,'[3]Country Results'!$C$6:$AE$6,0))</f>
        <v>24300.898850000005</v>
      </c>
      <c r="D197" s="45" cm="1">
        <f t="array" ref="D197">INDEX('[3]Country Results'!$L$7:$AE$254,MATCH([3]Dashboard!B197,'[3]Country Results'!$B$7:$B$254,0),MATCH($C$8,'[3]Country Results'!$L$6:$AE$6,0)+1)</f>
        <v>1.3058705941995166E-2</v>
      </c>
      <c r="E197" s="43">
        <f t="shared" si="30"/>
        <v>13</v>
      </c>
      <c r="F197" s="43"/>
      <c r="G197" s="91">
        <f>IFERROR(INDEX('[3]Country Results'!$C$7:$AK$254,MATCH([3]Dashboard!$B197,'[3]Country Results'!$B$7:$B$254,0),MATCH([3]Dashboard!$C$9,'[3]Country Results'!$C$6:$AK$6,0)),"")</f>
        <v>3530</v>
      </c>
      <c r="H197" s="43">
        <f t="shared" si="31"/>
        <v>138</v>
      </c>
      <c r="I197" s="43"/>
      <c r="J197" s="44">
        <f t="shared" si="32"/>
        <v>85.782172940500018</v>
      </c>
      <c r="K197" s="45">
        <f t="shared" si="33"/>
        <v>1.9186162324599497E-3</v>
      </c>
      <c r="L197" s="43">
        <f t="shared" si="34"/>
        <v>47</v>
      </c>
      <c r="M197" s="136" t="str">
        <f>IF(G197="","",INDEX([3]Countries!$C$7:$AO$254,MATCH([3]Dashboard!$B197,[3]Countries!$B$7:$B$254,0),MATCH([3]Dashboard!$N$7,[3]Countries!$C$6:$AO$6,0)))</f>
        <v>x</v>
      </c>
      <c r="N197" s="137"/>
      <c r="O197" s="135" t="str">
        <f t="shared" si="35"/>
        <v>-</v>
      </c>
      <c r="P197" s="45" t="str">
        <f t="shared" si="36"/>
        <v/>
      </c>
      <c r="Q197" s="43" t="str">
        <f t="shared" si="37"/>
        <v/>
      </c>
    </row>
    <row r="198" spans="2:17" x14ac:dyDescent="0.3">
      <c r="B198" t="str">
        <f>+'[3]Country Results'!B116</f>
        <v>Iraq</v>
      </c>
      <c r="C198" s="91">
        <f>INDEX('[3]Country Results'!$C$7:$AK$254,MATCH([3]Dashboard!$B198,'[3]Country Results'!$B$7:$B$254,0),MATCH([3]Dashboard!$C$8,'[3]Country Results'!$C$6:$AE$6,0))</f>
        <v>8276.436287999999</v>
      </c>
      <c r="D198" s="45" cm="1">
        <f t="array" ref="D198">INDEX('[3]Country Results'!$L$7:$AE$254,MATCH([3]Dashboard!B198,'[3]Country Results'!$B$7:$B$254,0),MATCH($C$8,'[3]Country Results'!$L$6:$AE$6,0)+1)</f>
        <v>4.4475534999665238E-3</v>
      </c>
      <c r="E198" s="43">
        <f t="shared" si="30"/>
        <v>38</v>
      </c>
      <c r="F198" s="43"/>
      <c r="G198" s="91">
        <f>IFERROR(INDEX('[3]Country Results'!$C$7:$AK$254,MATCH([3]Dashboard!$B198,'[3]Country Results'!$B$7:$B$254,0),MATCH([3]Dashboard!$C$9,'[3]Country Results'!$C$6:$AK$6,0)),"")</f>
        <v>4760</v>
      </c>
      <c r="H198" s="43">
        <f t="shared" si="31"/>
        <v>118</v>
      </c>
      <c r="I198" s="43"/>
      <c r="J198" s="44">
        <f t="shared" si="32"/>
        <v>39.395836730879992</v>
      </c>
      <c r="K198" s="45">
        <f t="shared" si="33"/>
        <v>8.8113286539891753E-4</v>
      </c>
      <c r="L198" s="43">
        <f t="shared" si="34"/>
        <v>57</v>
      </c>
      <c r="M198" s="136" t="str">
        <f>IF(G198="","",INDEX([3]Countries!$C$7:$AO$254,MATCH([3]Dashboard!$B198,[3]Countries!$B$7:$B$254,0),MATCH([3]Dashboard!$N$7,[3]Countries!$C$6:$AO$6,0)))</f>
        <v/>
      </c>
      <c r="N198" s="137"/>
      <c r="O198" s="135">
        <f t="shared" si="35"/>
        <v>39.395836730879992</v>
      </c>
      <c r="P198" s="45">
        <f t="shared" si="36"/>
        <v>9.0742238363347618E-4</v>
      </c>
      <c r="Q198" s="43">
        <f t="shared" si="37"/>
        <v>51</v>
      </c>
    </row>
    <row r="199" spans="2:17" x14ac:dyDescent="0.3">
      <c r="B199" t="str">
        <f>+'[3]Country Results'!B117</f>
        <v>Ireland</v>
      </c>
      <c r="C199" s="91">
        <f>INDEX('[3]Country Results'!$C$7:$AK$254,MATCH([3]Dashboard!$B199,'[3]Country Results'!$B$7:$B$254,0),MATCH([3]Dashboard!$C$8,'[3]Country Results'!$C$6:$AE$6,0))</f>
        <v>2414.1797179999999</v>
      </c>
      <c r="D199" s="45" cm="1">
        <f t="array" ref="D199">INDEX('[3]Country Results'!$L$7:$AE$254,MATCH([3]Dashboard!B199,'[3]Country Results'!$B$7:$B$254,0),MATCH($C$8,'[3]Country Results'!$L$6:$AE$6,0)+1)</f>
        <v>1.2973208613841379E-3</v>
      </c>
      <c r="E199" s="43">
        <f t="shared" si="30"/>
        <v>87</v>
      </c>
      <c r="F199" s="43"/>
      <c r="G199" s="91">
        <f>IFERROR(INDEX('[3]Country Results'!$C$7:$AK$254,MATCH([3]Dashboard!$B199,'[3]Country Results'!$B$7:$B$254,0),MATCH([3]Dashboard!$C$9,'[3]Country Results'!$C$6:$AK$6,0)),"")</f>
        <v>76110</v>
      </c>
      <c r="H199" s="43">
        <f t="shared" si="31"/>
        <v>6</v>
      </c>
      <c r="I199" s="43"/>
      <c r="J199" s="44">
        <f t="shared" si="32"/>
        <v>183.74321833697999</v>
      </c>
      <c r="K199" s="45">
        <f t="shared" si="33"/>
        <v>4.1096268516103594E-3</v>
      </c>
      <c r="L199" s="43">
        <f t="shared" si="34"/>
        <v>29</v>
      </c>
      <c r="M199" s="136" t="str">
        <f>IF(G199="","",INDEX([3]Countries!$C$7:$AO$254,MATCH([3]Dashboard!$B199,[3]Countries!$B$7:$B$254,0),MATCH([3]Dashboard!$N$7,[3]Countries!$C$6:$AO$6,0)))</f>
        <v/>
      </c>
      <c r="N199" s="137"/>
      <c r="O199" s="135">
        <f t="shared" si="35"/>
        <v>183.74321833697999</v>
      </c>
      <c r="P199" s="45">
        <f t="shared" si="36"/>
        <v>4.2322418558795845E-3</v>
      </c>
      <c r="Q199" s="43">
        <f t="shared" si="37"/>
        <v>27</v>
      </c>
    </row>
    <row r="200" spans="2:17" x14ac:dyDescent="0.3">
      <c r="B200" t="str">
        <f>+'[3]Country Results'!B118</f>
        <v>Israel</v>
      </c>
      <c r="C200" s="91">
        <f>INDEX('[3]Country Results'!$C$7:$AK$254,MATCH([3]Dashboard!$B200,'[3]Country Results'!$B$7:$B$254,0),MATCH([3]Dashboard!$C$8,'[3]Country Results'!$C$6:$AE$6,0))</f>
        <v>2517.5037200000006</v>
      </c>
      <c r="D200" s="45" cm="1">
        <f t="array" ref="D200">INDEX('[3]Country Results'!$L$7:$AE$254,MATCH([3]Dashboard!B200,'[3]Country Results'!$B$7:$B$254,0),MATCH($C$8,'[3]Country Results'!$L$6:$AE$6,0)+1)</f>
        <v>1.3528446412737912E-3</v>
      </c>
      <c r="E200" s="43">
        <f t="shared" si="30"/>
        <v>80</v>
      </c>
      <c r="F200" s="43"/>
      <c r="G200" s="91">
        <f>IFERROR(INDEX('[3]Country Results'!$C$7:$AK$254,MATCH([3]Dashboard!$B200,'[3]Country Results'!$B$7:$B$254,0),MATCH([3]Dashboard!$C$9,'[3]Country Results'!$C$6:$AK$6,0)),"")</f>
        <v>49290</v>
      </c>
      <c r="H200" s="43">
        <f t="shared" si="31"/>
        <v>20</v>
      </c>
      <c r="I200" s="43"/>
      <c r="J200" s="44">
        <f t="shared" si="32"/>
        <v>124.08775835880003</v>
      </c>
      <c r="K200" s="45">
        <f t="shared" si="33"/>
        <v>2.7753643825494567E-3</v>
      </c>
      <c r="L200" s="43">
        <f t="shared" si="34"/>
        <v>41</v>
      </c>
      <c r="M200" s="136" t="str">
        <f>IF(G200="","",INDEX([3]Countries!$C$7:$AO$254,MATCH([3]Dashboard!$B200,[3]Countries!$B$7:$B$254,0),MATCH([3]Dashboard!$N$7,[3]Countries!$C$6:$AO$6,0)))</f>
        <v/>
      </c>
      <c r="N200" s="137"/>
      <c r="O200" s="135">
        <f t="shared" si="35"/>
        <v>124.08775835880003</v>
      </c>
      <c r="P200" s="45">
        <f t="shared" si="36"/>
        <v>2.858170274155311E-3</v>
      </c>
      <c r="Q200" s="43">
        <f t="shared" si="37"/>
        <v>38</v>
      </c>
    </row>
    <row r="201" spans="2:17" x14ac:dyDescent="0.3">
      <c r="B201" t="str">
        <f>+'[3]Country Results'!B119</f>
        <v>Italy</v>
      </c>
      <c r="C201" s="91">
        <f>INDEX('[3]Country Results'!$C$7:$AK$254,MATCH([3]Dashboard!$B201,'[3]Country Results'!$B$7:$B$254,0),MATCH([3]Dashboard!$C$8,'[3]Country Results'!$C$6:$AE$6,0))</f>
        <v>20001.49404999999</v>
      </c>
      <c r="D201" s="45" cm="1">
        <f t="array" ref="D201">INDEX('[3]Country Results'!$L$7:$AE$254,MATCH([3]Dashboard!B201,'[3]Country Results'!$B$7:$B$254,0),MATCH($C$8,'[3]Country Results'!$L$6:$AE$6,0)+1)</f>
        <v>1.0748311443612126E-2</v>
      </c>
      <c r="E201" s="43">
        <f t="shared" si="30"/>
        <v>17</v>
      </c>
      <c r="F201" s="43"/>
      <c r="G201" s="91">
        <f>IFERROR(INDEX('[3]Country Results'!$C$7:$AK$254,MATCH([3]Dashboard!$B201,'[3]Country Results'!$B$7:$B$254,0),MATCH([3]Dashboard!$C$9,'[3]Country Results'!$C$6:$AK$6,0)),"")</f>
        <v>35990</v>
      </c>
      <c r="H201" s="43">
        <f t="shared" si="31"/>
        <v>29</v>
      </c>
      <c r="I201" s="43"/>
      <c r="J201" s="44">
        <f t="shared" si="32"/>
        <v>719.85377085949972</v>
      </c>
      <c r="K201" s="45">
        <f t="shared" si="33"/>
        <v>1.610035141831289E-2</v>
      </c>
      <c r="L201" s="43">
        <f t="shared" si="34"/>
        <v>11</v>
      </c>
      <c r="M201" s="136" t="str">
        <f>IF(G201="","",INDEX([3]Countries!$C$7:$AO$254,MATCH([3]Dashboard!$B201,[3]Countries!$B$7:$B$254,0),MATCH([3]Dashboard!$N$7,[3]Countries!$C$6:$AO$6,0)))</f>
        <v/>
      </c>
      <c r="N201" s="137"/>
      <c r="O201" s="135">
        <f t="shared" si="35"/>
        <v>719.85377085949972</v>
      </c>
      <c r="P201" s="45">
        <f t="shared" si="36"/>
        <v>1.6580722198720577E-2</v>
      </c>
      <c r="Q201" s="43">
        <f t="shared" si="37"/>
        <v>11</v>
      </c>
    </row>
    <row r="202" spans="2:17" x14ac:dyDescent="0.3">
      <c r="B202" t="str">
        <f>+'[3]Country Results'!B120</f>
        <v>Jamaica</v>
      </c>
      <c r="C202" s="91">
        <f>INDEX('[3]Country Results'!$C$7:$AK$254,MATCH([3]Dashboard!$B202,'[3]Country Results'!$B$7:$B$254,0),MATCH([3]Dashboard!$C$8,'[3]Country Results'!$C$6:$AE$6,0))</f>
        <v>470.87361449999997</v>
      </c>
      <c r="D202" s="45" cm="1">
        <f t="array" ref="D202">INDEX('[3]Country Results'!$L$7:$AE$254,MATCH([3]Dashboard!B202,'[3]Country Results'!$B$7:$B$254,0),MATCH($C$8,'[3]Country Results'!$L$6:$AE$6,0)+1)</f>
        <v>2.5303591054616031E-4</v>
      </c>
      <c r="E202" s="43">
        <f t="shared" si="30"/>
        <v>146</v>
      </c>
      <c r="F202" s="43"/>
      <c r="G202" s="91">
        <f>IFERROR(INDEX('[3]Country Results'!$C$7:$AK$254,MATCH([3]Dashboard!$B202,'[3]Country Results'!$B$7:$B$254,0),MATCH([3]Dashboard!$C$9,'[3]Country Results'!$C$6:$AK$6,0)),"")</f>
        <v>5190</v>
      </c>
      <c r="H202" s="43">
        <f t="shared" si="31"/>
        <v>110</v>
      </c>
      <c r="I202" s="43"/>
      <c r="J202" s="44">
        <f t="shared" si="32"/>
        <v>2.4438340592549999</v>
      </c>
      <c r="K202" s="45">
        <f t="shared" si="33"/>
        <v>5.4659138779071859E-5</v>
      </c>
      <c r="L202" s="43">
        <f t="shared" si="34"/>
        <v>126</v>
      </c>
      <c r="M202" s="136" t="str">
        <f>IF(G202="","",INDEX([3]Countries!$C$7:$AO$254,MATCH([3]Dashboard!$B202,[3]Countries!$B$7:$B$254,0),MATCH([3]Dashboard!$N$7,[3]Countries!$C$6:$AO$6,0)))</f>
        <v>x</v>
      </c>
      <c r="N202" s="137"/>
      <c r="O202" s="135" t="str">
        <f t="shared" si="35"/>
        <v>-</v>
      </c>
      <c r="P202" s="45" t="str">
        <f t="shared" si="36"/>
        <v/>
      </c>
      <c r="Q202" s="43" t="str">
        <f t="shared" si="37"/>
        <v/>
      </c>
    </row>
    <row r="203" spans="2:17" x14ac:dyDescent="0.3">
      <c r="B203" t="str">
        <f>+'[3]Country Results'!B121</f>
        <v>Japan</v>
      </c>
      <c r="C203" s="91">
        <f>INDEX('[3]Country Results'!$C$7:$AK$254,MATCH([3]Dashboard!$B203,'[3]Country Results'!$B$7:$B$254,0),MATCH([3]Dashboard!$C$8,'[3]Country Results'!$C$6:$AE$6,0))</f>
        <v>51453.928189999999</v>
      </c>
      <c r="D203" s="45" cm="1">
        <f t="array" ref="D203">INDEX('[3]Country Results'!$L$7:$AE$254,MATCH([3]Dashboard!B203,'[3]Country Results'!$B$7:$B$254,0),MATCH($C$8,'[3]Country Results'!$L$6:$AE$6,0)+1)</f>
        <v>2.7650076729311822E-2</v>
      </c>
      <c r="E203" s="43">
        <f t="shared" si="30"/>
        <v>7</v>
      </c>
      <c r="F203" s="43"/>
      <c r="G203" s="91">
        <f>IFERROR(INDEX('[3]Country Results'!$C$7:$AK$254,MATCH([3]Dashboard!$B203,'[3]Country Results'!$B$7:$B$254,0),MATCH([3]Dashboard!$C$9,'[3]Country Results'!$C$6:$AK$6,0)),"")</f>
        <v>42650</v>
      </c>
      <c r="H203" s="43">
        <f t="shared" si="31"/>
        <v>27</v>
      </c>
      <c r="I203" s="43"/>
      <c r="J203" s="44">
        <f t="shared" si="32"/>
        <v>2194.5100373035002</v>
      </c>
      <c r="K203" s="45">
        <f t="shared" si="33"/>
        <v>4.9082722383206663E-2</v>
      </c>
      <c r="L203" s="43">
        <f t="shared" si="34"/>
        <v>4</v>
      </c>
      <c r="M203" s="136" t="str">
        <f>IF(G203="","",INDEX([3]Countries!$C$7:$AO$254,MATCH([3]Dashboard!$B203,[3]Countries!$B$7:$B$254,0),MATCH([3]Dashboard!$N$7,[3]Countries!$C$6:$AO$6,0)))</f>
        <v/>
      </c>
      <c r="N203" s="137"/>
      <c r="O203" s="135">
        <f t="shared" si="35"/>
        <v>2194.5100373035002</v>
      </c>
      <c r="P203" s="45">
        <f t="shared" si="36"/>
        <v>5.0547156608470638E-2</v>
      </c>
      <c r="Q203" s="43">
        <f t="shared" si="37"/>
        <v>4</v>
      </c>
    </row>
    <row r="204" spans="2:17" x14ac:dyDescent="0.3">
      <c r="B204" t="str">
        <f>+'[3]Country Results'!B122</f>
        <v>Jordan</v>
      </c>
      <c r="C204" s="91">
        <f>INDEX('[3]Country Results'!$C$7:$AK$254,MATCH([3]Dashboard!$B204,'[3]Country Results'!$B$7:$B$254,0),MATCH([3]Dashboard!$C$8,'[3]Country Results'!$C$6:$AE$6,0))</f>
        <v>889.00192349999986</v>
      </c>
      <c r="D204" s="45" cm="1">
        <f t="array" ref="D204">INDEX('[3]Country Results'!$L$7:$AE$254,MATCH([3]Dashboard!B204,'[3]Country Results'!$B$7:$B$254,0),MATCH($C$8,'[3]Country Results'!$L$6:$AE$6,0)+1)</f>
        <v>4.7772778992718524E-4</v>
      </c>
      <c r="E204" s="43">
        <f t="shared" si="30"/>
        <v>128</v>
      </c>
      <c r="F204" s="43"/>
      <c r="G204" s="91">
        <f>IFERROR(INDEX('[3]Country Results'!$C$7:$AK$254,MATCH([3]Dashboard!$B204,'[3]Country Results'!$B$7:$B$254,0),MATCH([3]Dashboard!$C$9,'[3]Country Results'!$C$6:$AK$6,0)),"")</f>
        <v>4170</v>
      </c>
      <c r="H204" s="43">
        <f t="shared" si="31"/>
        <v>126</v>
      </c>
      <c r="I204" s="43"/>
      <c r="J204" s="44">
        <f t="shared" si="32"/>
        <v>3.7071380209949996</v>
      </c>
      <c r="K204" s="45">
        <f t="shared" si="33"/>
        <v>8.2914374155383812E-5</v>
      </c>
      <c r="L204" s="43">
        <f t="shared" si="34"/>
        <v>113</v>
      </c>
      <c r="M204" s="136" t="str">
        <f>IF(G204="","",INDEX([3]Countries!$C$7:$AO$254,MATCH([3]Dashboard!$B204,[3]Countries!$B$7:$B$254,0),MATCH([3]Dashboard!$N$7,[3]Countries!$C$6:$AO$6,0)))</f>
        <v/>
      </c>
      <c r="N204" s="137"/>
      <c r="O204" s="135">
        <f t="shared" si="35"/>
        <v>3.7071380209949996</v>
      </c>
      <c r="P204" s="45">
        <f t="shared" si="36"/>
        <v>8.5388211004356785E-5</v>
      </c>
      <c r="Q204" s="43">
        <f t="shared" si="37"/>
        <v>77</v>
      </c>
    </row>
    <row r="205" spans="2:17" x14ac:dyDescent="0.3">
      <c r="B205" t="str">
        <f>+'[3]Country Results'!B123</f>
        <v>Kazakhstan</v>
      </c>
      <c r="C205" s="91">
        <f>INDEX('[3]Country Results'!$C$7:$AK$254,MATCH([3]Dashboard!$B205,'[3]Country Results'!$B$7:$B$254,0),MATCH([3]Dashboard!$C$8,'[3]Country Results'!$C$6:$AE$6,0))</f>
        <v>14714.79716</v>
      </c>
      <c r="D205" s="45" cm="1">
        <f t="array" ref="D205">INDEX('[3]Country Results'!$L$7:$AE$254,MATCH([3]Dashboard!B205,'[3]Country Results'!$B$7:$B$254,0),MATCH($C$8,'[3]Country Results'!$L$6:$AE$6,0)+1)</f>
        <v>7.9073704349230511E-3</v>
      </c>
      <c r="E205" s="43">
        <f t="shared" si="30"/>
        <v>24</v>
      </c>
      <c r="F205" s="43"/>
      <c r="G205" s="91">
        <f>IFERROR(INDEX('[3]Country Results'!$C$7:$AK$254,MATCH([3]Dashboard!$B205,'[3]Country Results'!$B$7:$B$254,0),MATCH([3]Dashboard!$C$9,'[3]Country Results'!$C$6:$AK$6,0)),"")</f>
        <v>8880</v>
      </c>
      <c r="H205" s="43">
        <f t="shared" si="31"/>
        <v>85</v>
      </c>
      <c r="I205" s="43"/>
      <c r="J205" s="44">
        <f t="shared" si="32"/>
        <v>130.6673987808</v>
      </c>
      <c r="K205" s="45">
        <f t="shared" si="33"/>
        <v>2.9225255523434982E-3</v>
      </c>
      <c r="L205" s="43">
        <f t="shared" si="34"/>
        <v>40</v>
      </c>
      <c r="M205" s="136" t="str">
        <f>IF(G205="","",INDEX([3]Countries!$C$7:$AO$254,MATCH([3]Dashboard!$B205,[3]Countries!$B$7:$B$254,0),MATCH([3]Dashboard!$N$7,[3]Countries!$C$6:$AO$6,0)))</f>
        <v/>
      </c>
      <c r="N205" s="137"/>
      <c r="O205" s="135">
        <f t="shared" si="35"/>
        <v>130.6673987808</v>
      </c>
      <c r="P205" s="45">
        <f t="shared" si="36"/>
        <v>3.0097221509682854E-3</v>
      </c>
      <c r="Q205" s="43">
        <f t="shared" si="37"/>
        <v>37</v>
      </c>
    </row>
    <row r="206" spans="2:17" x14ac:dyDescent="0.3">
      <c r="B206" t="str">
        <f>+'[3]Country Results'!B124</f>
        <v>Kenya</v>
      </c>
      <c r="C206" s="91">
        <f>INDEX('[3]Country Results'!$C$7:$AK$254,MATCH([3]Dashboard!$B206,'[3]Country Results'!$B$7:$B$254,0),MATCH([3]Dashboard!$C$8,'[3]Country Results'!$C$6:$AE$6,0))</f>
        <v>3835.2162240000011</v>
      </c>
      <c r="D206" s="45" cm="1">
        <f t="array" ref="D206">INDEX('[3]Country Results'!$L$7:$AE$254,MATCH([3]Dashboard!B206,'[3]Country Results'!$B$7:$B$254,0),MATCH($C$8,'[3]Country Results'!$L$6:$AE$6,0)+1)</f>
        <v>2.0609509632679725E-3</v>
      </c>
      <c r="E206" s="43">
        <f t="shared" si="30"/>
        <v>62</v>
      </c>
      <c r="F206" s="43"/>
      <c r="G206" s="91">
        <f>IFERROR(INDEX('[3]Country Results'!$C$7:$AK$254,MATCH([3]Dashboard!$B206,'[3]Country Results'!$B$7:$B$254,0),MATCH([3]Dashboard!$C$9,'[3]Country Results'!$C$6:$AK$6,0)),"")</f>
        <v>2080</v>
      </c>
      <c r="H206" s="43">
        <f t="shared" si="31"/>
        <v>155</v>
      </c>
      <c r="I206" s="43"/>
      <c r="J206" s="44">
        <f t="shared" si="32"/>
        <v>7.9772497459200027</v>
      </c>
      <c r="K206" s="45">
        <f t="shared" si="33"/>
        <v>1.784202979274625E-4</v>
      </c>
      <c r="L206" s="43">
        <f t="shared" si="34"/>
        <v>95</v>
      </c>
      <c r="M206" s="136" t="str">
        <f>IF(G206="","",INDEX([3]Countries!$C$7:$AO$254,MATCH([3]Dashboard!$B206,[3]Countries!$B$7:$B$254,0),MATCH([3]Dashboard!$N$7,[3]Countries!$C$6:$AO$6,0)))</f>
        <v>x</v>
      </c>
      <c r="N206" s="137"/>
      <c r="O206" s="135" t="str">
        <f t="shared" si="35"/>
        <v>-</v>
      </c>
      <c r="P206" s="45" t="str">
        <f t="shared" si="36"/>
        <v/>
      </c>
      <c r="Q206" s="43" t="str">
        <f t="shared" si="37"/>
        <v/>
      </c>
    </row>
    <row r="207" spans="2:17" x14ac:dyDescent="0.3">
      <c r="B207" t="str">
        <f>+'[3]Country Results'!B125</f>
        <v>Kiribati</v>
      </c>
      <c r="C207" s="91">
        <f>INDEX('[3]Country Results'!$C$7:$AK$254,MATCH([3]Dashboard!$B207,'[3]Country Results'!$B$7:$B$254,0),MATCH([3]Dashboard!$C$8,'[3]Country Results'!$C$6:$AE$6,0))</f>
        <v>2.8717178220000008</v>
      </c>
      <c r="D207" s="45" cm="1">
        <f t="array" ref="D207">INDEX('[3]Country Results'!$L$7:$AE$254,MATCH([3]Dashboard!B207,'[3]Country Results'!$B$7:$B$254,0),MATCH($C$8,'[3]Country Results'!$L$6:$AE$6,0)+1)</f>
        <v>1.5431905962558591E-6</v>
      </c>
      <c r="E207" s="43">
        <f t="shared" si="30"/>
        <v>194</v>
      </c>
      <c r="F207" s="43"/>
      <c r="G207" s="91">
        <f>IFERROR(INDEX('[3]Country Results'!$C$7:$AK$254,MATCH([3]Dashboard!$B207,'[3]Country Results'!$B$7:$B$254,0),MATCH([3]Dashboard!$C$9,'[3]Country Results'!$C$6:$AK$6,0)),"")</f>
        <v>2750</v>
      </c>
      <c r="H207" s="43">
        <f t="shared" si="31"/>
        <v>145</v>
      </c>
      <c r="I207" s="43"/>
      <c r="J207" s="44">
        <f t="shared" si="32"/>
        <v>7.8972240105000015E-3</v>
      </c>
      <c r="K207" s="45">
        <f t="shared" si="33"/>
        <v>1.7663043099208124E-7</v>
      </c>
      <c r="L207" s="43">
        <f t="shared" si="34"/>
        <v>192</v>
      </c>
      <c r="M207" s="136" t="str">
        <f>IF(G207="","",INDEX([3]Countries!$C$7:$AO$254,MATCH([3]Dashboard!$B207,[3]Countries!$B$7:$B$254,0),MATCH([3]Dashboard!$N$7,[3]Countries!$C$6:$AO$6,0)))</f>
        <v>x</v>
      </c>
      <c r="N207" s="137"/>
      <c r="O207" s="135" t="str">
        <f t="shared" si="35"/>
        <v>-</v>
      </c>
      <c r="P207" s="45" t="str">
        <f t="shared" si="36"/>
        <v/>
      </c>
      <c r="Q207" s="43" t="str">
        <f t="shared" si="37"/>
        <v/>
      </c>
    </row>
    <row r="208" spans="2:17" x14ac:dyDescent="0.3">
      <c r="B208" t="str">
        <f>+'[3]Country Results'!B126</f>
        <v>Kosovo</v>
      </c>
      <c r="C208" s="91">
        <f>INDEX('[3]Country Results'!$C$7:$AK$254,MATCH([3]Dashboard!$B208,'[3]Country Results'!$B$7:$B$254,0),MATCH([3]Dashboard!$C$8,'[3]Country Results'!$C$6:$AE$6,0))</f>
        <v>0</v>
      </c>
      <c r="D208" s="45" cm="1">
        <f t="array" ref="D208">INDEX('[3]Country Results'!$L$7:$AE$254,MATCH([3]Dashboard!B208,'[3]Country Results'!$B$7:$B$254,0),MATCH($C$8,'[3]Country Results'!$L$6:$AE$6,0)+1)</f>
        <v>0</v>
      </c>
      <c r="E208" s="43">
        <f t="shared" si="30"/>
        <v>200</v>
      </c>
      <c r="F208" s="43"/>
      <c r="G208" s="91">
        <f>IFERROR(INDEX('[3]Country Results'!$C$7:$AK$254,MATCH([3]Dashboard!$B208,'[3]Country Results'!$B$7:$B$254,0),MATCH([3]Dashboard!$C$9,'[3]Country Results'!$C$6:$AK$6,0)),"")</f>
        <v>5130</v>
      </c>
      <c r="H208" s="43">
        <f t="shared" si="31"/>
        <v>112</v>
      </c>
      <c r="I208" s="43"/>
      <c r="J208" s="44">
        <f t="shared" si="32"/>
        <v>0</v>
      </c>
      <c r="K208" s="45">
        <f t="shared" si="33"/>
        <v>0</v>
      </c>
      <c r="L208" s="43">
        <f t="shared" si="34"/>
        <v>195</v>
      </c>
      <c r="M208" s="136" t="str">
        <f>IF(G208="","",INDEX([3]Countries!$C$7:$AO$254,MATCH([3]Dashboard!$B208,[3]Countries!$B$7:$B$254,0),MATCH([3]Dashboard!$N$7,[3]Countries!$C$6:$AO$6,0)))</f>
        <v/>
      </c>
      <c r="N208" s="137"/>
      <c r="O208" s="135">
        <f t="shared" si="35"/>
        <v>0</v>
      </c>
      <c r="P208" s="45">
        <f t="shared" si="36"/>
        <v>0</v>
      </c>
      <c r="Q208" s="43">
        <f t="shared" si="37"/>
        <v>90</v>
      </c>
    </row>
    <row r="209" spans="2:17" x14ac:dyDescent="0.3">
      <c r="B209" t="str">
        <f>+'[3]Country Results'!B127</f>
        <v>Kuwait</v>
      </c>
      <c r="C209" s="91">
        <f>INDEX('[3]Country Results'!$C$7:$AK$254,MATCH([3]Dashboard!$B209,'[3]Country Results'!$B$7:$B$254,0),MATCH([3]Dashboard!$C$8,'[3]Country Results'!$C$6:$AE$6,0))</f>
        <v>4300.6426840000004</v>
      </c>
      <c r="D209" s="45" cm="1">
        <f t="array" ref="D209">INDEX('[3]Country Results'!$L$7:$AE$254,MATCH([3]Dashboard!B209,'[3]Country Results'!$B$7:$B$254,0),MATCH($C$8,'[3]Country Results'!$L$6:$AE$6,0)+1)</f>
        <v>2.3110597068284507E-3</v>
      </c>
      <c r="E209" s="43">
        <f t="shared" si="30"/>
        <v>57</v>
      </c>
      <c r="F209" s="43"/>
      <c r="G209" s="91">
        <f>IFERROR(INDEX('[3]Country Results'!$C$7:$AK$254,MATCH([3]Dashboard!$B209,'[3]Country Results'!$B$7:$B$254,0),MATCH([3]Dashboard!$C$9,'[3]Country Results'!$C$6:$AK$6,0)),"")</f>
        <v>34290</v>
      </c>
      <c r="H209" s="43">
        <f t="shared" si="31"/>
        <v>32</v>
      </c>
      <c r="I209" s="43"/>
      <c r="J209" s="44">
        <f t="shared" si="32"/>
        <v>147.46903763436001</v>
      </c>
      <c r="K209" s="45">
        <f t="shared" si="33"/>
        <v>3.2983133871740448E-3</v>
      </c>
      <c r="L209" s="43">
        <f t="shared" si="34"/>
        <v>33</v>
      </c>
      <c r="M209" s="136" t="str">
        <f>IF(G209="","",INDEX([3]Countries!$C$7:$AO$254,MATCH([3]Dashboard!$B209,[3]Countries!$B$7:$B$254,0),MATCH([3]Dashboard!$N$7,[3]Countries!$C$6:$AO$6,0)))</f>
        <v/>
      </c>
      <c r="N209" s="137"/>
      <c r="O209" s="135">
        <f t="shared" si="35"/>
        <v>147.46903763436001</v>
      </c>
      <c r="P209" s="45">
        <f t="shared" si="36"/>
        <v>3.3967220078718373E-3</v>
      </c>
      <c r="Q209" s="43">
        <f t="shared" si="37"/>
        <v>31</v>
      </c>
    </row>
    <row r="210" spans="2:17" x14ac:dyDescent="0.3">
      <c r="B210" t="str">
        <f>+'[3]Country Results'!B128</f>
        <v>Kyrgyzstan</v>
      </c>
      <c r="C210" s="91">
        <f>INDEX('[3]Country Results'!$C$7:$AK$254,MATCH([3]Dashboard!$B210,'[3]Country Results'!$B$7:$B$254,0),MATCH([3]Dashboard!$C$8,'[3]Country Results'!$C$6:$AE$6,0))</f>
        <v>935.78557499999999</v>
      </c>
      <c r="D210" s="45" cm="1">
        <f t="array" ref="D210">INDEX('[3]Country Results'!$L$7:$AE$254,MATCH([3]Dashboard!B210,'[3]Country Results'!$B$7:$B$254,0),MATCH($C$8,'[3]Country Results'!$L$6:$AE$6,0)+1)</f>
        <v>5.0286817471716116E-4</v>
      </c>
      <c r="E210" s="43">
        <f t="shared" si="30"/>
        <v>123</v>
      </c>
      <c r="F210" s="43"/>
      <c r="G210" s="91">
        <f>IFERROR(INDEX('[3]Country Results'!$C$7:$AK$254,MATCH([3]Dashboard!$B210,'[3]Country Results'!$B$7:$B$254,0),MATCH([3]Dashboard!$C$9,'[3]Country Results'!$C$6:$AK$6,0)),"")</f>
        <v>1180</v>
      </c>
      <c r="H210" s="43">
        <f t="shared" si="31"/>
        <v>172</v>
      </c>
      <c r="I210" s="43"/>
      <c r="J210" s="44">
        <f t="shared" si="32"/>
        <v>1.1042269785000001</v>
      </c>
      <c r="K210" s="45">
        <f t="shared" si="33"/>
        <v>2.4697297033263458E-5</v>
      </c>
      <c r="L210" s="43">
        <f t="shared" si="34"/>
        <v>145</v>
      </c>
      <c r="M210" s="136" t="str">
        <f>IF(G210="","",INDEX([3]Countries!$C$7:$AO$254,MATCH([3]Dashboard!$B210,[3]Countries!$B$7:$B$254,0),MATCH([3]Dashboard!$N$7,[3]Countries!$C$6:$AO$6,0)))</f>
        <v>x</v>
      </c>
      <c r="N210" s="137"/>
      <c r="O210" s="135" t="str">
        <f t="shared" si="35"/>
        <v>-</v>
      </c>
      <c r="P210" s="45" t="str">
        <f t="shared" si="36"/>
        <v/>
      </c>
      <c r="Q210" s="43" t="str">
        <f t="shared" si="37"/>
        <v/>
      </c>
    </row>
    <row r="211" spans="2:17" x14ac:dyDescent="0.3">
      <c r="B211" t="str">
        <f>+'[3]Country Results'!B129</f>
        <v>Laos</v>
      </c>
      <c r="C211" s="91">
        <f>INDEX('[3]Country Results'!$C$7:$AK$254,MATCH([3]Dashboard!$B211,'[3]Country Results'!$B$7:$B$254,0),MATCH([3]Dashboard!$C$8,'[3]Country Results'!$C$6:$AE$6,0))</f>
        <v>1741.0300019999997</v>
      </c>
      <c r="D211" s="45" cm="1">
        <f t="array" ref="D211">INDEX('[3]Country Results'!$L$7:$AE$254,MATCH([3]Dashboard!B211,'[3]Country Results'!$B$7:$B$254,0),MATCH($C$8,'[3]Country Results'!$L$6:$AE$6,0)+1)</f>
        <v>9.3558674403968595E-4</v>
      </c>
      <c r="E211" s="43">
        <f t="shared" si="30"/>
        <v>101</v>
      </c>
      <c r="F211" s="43"/>
      <c r="G211" s="91">
        <f>IFERROR(INDEX('[3]Country Results'!$C$7:$AK$254,MATCH([3]Dashboard!$B211,'[3]Country Results'!$B$7:$B$254,0),MATCH([3]Dashboard!$C$9,'[3]Country Results'!$C$6:$AK$6,0)),"")</f>
        <v>2500</v>
      </c>
      <c r="H211" s="43">
        <f t="shared" si="31"/>
        <v>147</v>
      </c>
      <c r="I211" s="43"/>
      <c r="J211" s="44">
        <f t="shared" si="32"/>
        <v>4.3525750049999994</v>
      </c>
      <c r="K211" s="45">
        <f t="shared" si="33"/>
        <v>9.7350309176532366E-5</v>
      </c>
      <c r="L211" s="43">
        <f t="shared" si="34"/>
        <v>107</v>
      </c>
      <c r="M211" s="136" t="str">
        <f>IF(G211="","",INDEX([3]Countries!$C$7:$AO$254,MATCH([3]Dashboard!$B211,[3]Countries!$B$7:$B$254,0),MATCH([3]Dashboard!$N$7,[3]Countries!$C$6:$AO$6,0)))</f>
        <v>x</v>
      </c>
      <c r="N211" s="137"/>
      <c r="O211" s="135" t="str">
        <f t="shared" si="35"/>
        <v>-</v>
      </c>
      <c r="P211" s="45" t="str">
        <f t="shared" si="36"/>
        <v/>
      </c>
      <c r="Q211" s="43" t="str">
        <f t="shared" si="37"/>
        <v/>
      </c>
    </row>
    <row r="212" spans="2:17" x14ac:dyDescent="0.3">
      <c r="B212" t="str">
        <f>+'[3]Country Results'!B130</f>
        <v>Latvia</v>
      </c>
      <c r="C212" s="91">
        <f>INDEX('[3]Country Results'!$C$7:$AK$254,MATCH([3]Dashboard!$B212,'[3]Country Results'!$B$7:$B$254,0),MATCH([3]Dashboard!$C$8,'[3]Country Results'!$C$6:$AE$6,0))</f>
        <v>734.41582049999988</v>
      </c>
      <c r="D212" s="45" cm="1">
        <f t="array" ref="D212">INDEX('[3]Country Results'!$L$7:$AE$254,MATCH([3]Dashboard!B212,'[3]Country Results'!$B$7:$B$254,0),MATCH($C$8,'[3]Country Results'!$L$6:$AE$6,0)+1)</f>
        <v>3.9465701652672001E-4</v>
      </c>
      <c r="E212" s="43">
        <f t="shared" si="30"/>
        <v>133</v>
      </c>
      <c r="F212" s="43"/>
      <c r="G212" s="91">
        <f>IFERROR(INDEX('[3]Country Results'!$C$7:$AK$254,MATCH([3]Dashboard!$B212,'[3]Country Results'!$B$7:$B$254,0),MATCH([3]Dashboard!$C$9,'[3]Country Results'!$C$6:$AK$6,0)),"")</f>
        <v>19790</v>
      </c>
      <c r="H212" s="43">
        <f t="shared" si="31"/>
        <v>51</v>
      </c>
      <c r="I212" s="43"/>
      <c r="J212" s="44">
        <f t="shared" si="32"/>
        <v>14.534089087694998</v>
      </c>
      <c r="K212" s="45">
        <f t="shared" si="33"/>
        <v>3.2507149553103989E-4</v>
      </c>
      <c r="L212" s="43">
        <f t="shared" si="34"/>
        <v>82</v>
      </c>
      <c r="M212" s="136" t="str">
        <f>IF(G212="","",INDEX([3]Countries!$C$7:$AO$254,MATCH([3]Dashboard!$B212,[3]Countries!$B$7:$B$254,0),MATCH([3]Dashboard!$N$7,[3]Countries!$C$6:$AO$6,0)))</f>
        <v/>
      </c>
      <c r="N212" s="137"/>
      <c r="O212" s="135">
        <f t="shared" si="35"/>
        <v>14.534089087694998</v>
      </c>
      <c r="P212" s="45">
        <f t="shared" si="36"/>
        <v>3.3477034271389862E-4</v>
      </c>
      <c r="Q212" s="43">
        <f t="shared" si="37"/>
        <v>66</v>
      </c>
    </row>
    <row r="213" spans="2:17" x14ac:dyDescent="0.3">
      <c r="B213" t="str">
        <f>+'[3]Country Results'!B131</f>
        <v>Lebanon</v>
      </c>
      <c r="C213" s="91">
        <f>INDEX('[3]Country Results'!$C$7:$AK$254,MATCH([3]Dashboard!$B213,'[3]Country Results'!$B$7:$B$254,0),MATCH([3]Dashboard!$C$8,'[3]Country Results'!$C$6:$AE$6,0))</f>
        <v>797.0950009999998</v>
      </c>
      <c r="D213" s="45" cm="1">
        <f t="array" ref="D213">INDEX('[3]Country Results'!$L$7:$AE$254,MATCH([3]Dashboard!B213,'[3]Country Results'!$B$7:$B$254,0),MATCH($C$8,'[3]Country Results'!$L$6:$AE$6,0)+1)</f>
        <v>4.2833926803054602E-4</v>
      </c>
      <c r="E213" s="43">
        <f t="shared" si="30"/>
        <v>132</v>
      </c>
      <c r="F213" s="43"/>
      <c r="G213" s="91">
        <f>IFERROR(INDEX('[3]Country Results'!$C$7:$AK$254,MATCH([3]Dashboard!$B213,'[3]Country Results'!$B$7:$B$254,0),MATCH([3]Dashboard!$C$9,'[3]Country Results'!$C$6:$AK$6,0)),"")</f>
        <v>5110</v>
      </c>
      <c r="H213" s="43">
        <f t="shared" si="31"/>
        <v>113</v>
      </c>
      <c r="I213" s="43"/>
      <c r="J213" s="44">
        <f t="shared" si="32"/>
        <v>4.0731554551099993</v>
      </c>
      <c r="K213" s="45">
        <f t="shared" si="33"/>
        <v>9.1100771939262165E-5</v>
      </c>
      <c r="L213" s="43">
        <f t="shared" si="34"/>
        <v>110</v>
      </c>
      <c r="M213" s="136" t="str">
        <f>IF(G213="","",INDEX([3]Countries!$C$7:$AO$254,MATCH([3]Dashboard!$B213,[3]Countries!$B$7:$B$254,0),MATCH([3]Dashboard!$N$7,[3]Countries!$C$6:$AO$6,0)))</f>
        <v>x</v>
      </c>
      <c r="N213" s="137"/>
      <c r="O213" s="135" t="str">
        <f t="shared" si="35"/>
        <v>-</v>
      </c>
      <c r="P213" s="45" t="str">
        <f t="shared" si="36"/>
        <v/>
      </c>
      <c r="Q213" s="43" t="str">
        <f t="shared" si="37"/>
        <v/>
      </c>
    </row>
    <row r="214" spans="2:17" x14ac:dyDescent="0.3">
      <c r="B214" t="str">
        <f>+'[3]Country Results'!B132</f>
        <v>Lesotho</v>
      </c>
      <c r="C214" s="91">
        <f>INDEX('[3]Country Results'!$C$7:$AK$254,MATCH([3]Dashboard!$B214,'[3]Country Results'!$B$7:$B$254,0),MATCH([3]Dashboard!$C$8,'[3]Country Results'!$C$6:$AE$6,0))</f>
        <v>198.03963039999999</v>
      </c>
      <c r="D214" s="45" cm="1">
        <f t="array" ref="D214">INDEX('[3]Country Results'!$L$7:$AE$254,MATCH([3]Dashboard!B214,'[3]Country Results'!$B$7:$B$254,0),MATCH($C$8,'[3]Country Results'!$L$6:$AE$6,0)+1)</f>
        <v>1.0642163132393787E-4</v>
      </c>
      <c r="E214" s="43">
        <f t="shared" si="30"/>
        <v>159</v>
      </c>
      <c r="F214" s="43"/>
      <c r="G214" s="91">
        <f>IFERROR(INDEX('[3]Country Results'!$C$7:$AK$254,MATCH([3]Dashboard!$B214,'[3]Country Results'!$B$7:$B$254,0),MATCH([3]Dashboard!$C$9,'[3]Country Results'!$C$6:$AK$6,0)),"")</f>
        <v>1210</v>
      </c>
      <c r="H214" s="43">
        <f t="shared" si="31"/>
        <v>171</v>
      </c>
      <c r="I214" s="43"/>
      <c r="J214" s="44">
        <f t="shared" si="32"/>
        <v>0.23962795278399998</v>
      </c>
      <c r="K214" s="45">
        <f t="shared" si="33"/>
        <v>5.3595527392553001E-6</v>
      </c>
      <c r="L214" s="43">
        <f t="shared" si="34"/>
        <v>171</v>
      </c>
      <c r="M214" s="136" t="str">
        <f>IF(G214="","",INDEX([3]Countries!$C$7:$AO$254,MATCH([3]Dashboard!$B214,[3]Countries!$B$7:$B$254,0),MATCH([3]Dashboard!$N$7,[3]Countries!$C$6:$AO$6,0)))</f>
        <v>x</v>
      </c>
      <c r="N214" s="137"/>
      <c r="O214" s="135" t="str">
        <f t="shared" si="35"/>
        <v>-</v>
      </c>
      <c r="P214" s="45" t="str">
        <f t="shared" si="36"/>
        <v/>
      </c>
      <c r="Q214" s="43" t="str">
        <f t="shared" si="37"/>
        <v/>
      </c>
    </row>
    <row r="215" spans="2:17" x14ac:dyDescent="0.3">
      <c r="B215" t="str">
        <f>+'[3]Country Results'!B133</f>
        <v>Liberia</v>
      </c>
      <c r="C215" s="91">
        <f>INDEX('[3]Country Results'!$C$7:$AK$254,MATCH([3]Dashboard!$B215,'[3]Country Results'!$B$7:$B$254,0),MATCH([3]Dashboard!$C$8,'[3]Country Results'!$C$6:$AE$6,0))</f>
        <v>604.71312700000021</v>
      </c>
      <c r="D215" s="45" cm="1">
        <f t="array" ref="D215">INDEX('[3]Country Results'!$L$7:$AE$254,MATCH([3]Dashboard!B215,'[3]Country Results'!$B$7:$B$254,0),MATCH($C$8,'[3]Country Results'!$L$6:$AE$6,0)+1)</f>
        <v>3.2495797597862839E-4</v>
      </c>
      <c r="E215" s="43">
        <f t="shared" si="30"/>
        <v>137</v>
      </c>
      <c r="F215" s="43"/>
      <c r="G215" s="91">
        <f>IFERROR(INDEX('[3]Country Results'!$C$7:$AK$254,MATCH([3]Dashboard!$B215,'[3]Country Results'!$B$7:$B$254,0),MATCH([3]Dashboard!$C$9,'[3]Country Results'!$C$6:$AK$6,0)),"")</f>
        <v>630</v>
      </c>
      <c r="H215" s="43">
        <f t="shared" si="31"/>
        <v>192</v>
      </c>
      <c r="I215" s="43"/>
      <c r="J215" s="44">
        <f t="shared" si="32"/>
        <v>0.38096927001000014</v>
      </c>
      <c r="K215" s="45">
        <f t="shared" si="33"/>
        <v>8.5208126636823703E-6</v>
      </c>
      <c r="L215" s="43">
        <f t="shared" si="34"/>
        <v>165</v>
      </c>
      <c r="M215" s="136" t="str">
        <f>IF(G215="","",INDEX([3]Countries!$C$7:$AO$254,MATCH([3]Dashboard!$B215,[3]Countries!$B$7:$B$254,0),MATCH([3]Dashboard!$N$7,[3]Countries!$C$6:$AO$6,0)))</f>
        <v>x</v>
      </c>
      <c r="N215" s="137"/>
      <c r="O215" s="135" t="str">
        <f t="shared" si="35"/>
        <v>-</v>
      </c>
      <c r="P215" s="45" t="str">
        <f t="shared" si="36"/>
        <v/>
      </c>
      <c r="Q215" s="43" t="str">
        <f t="shared" si="37"/>
        <v/>
      </c>
    </row>
    <row r="216" spans="2:17" x14ac:dyDescent="0.3">
      <c r="B216" t="str">
        <f>+'[3]Country Results'!B134</f>
        <v>Libya</v>
      </c>
      <c r="C216" s="91">
        <f>INDEX('[3]Country Results'!$C$7:$AK$254,MATCH([3]Dashboard!$B216,'[3]Country Results'!$B$7:$B$254,0),MATCH([3]Dashboard!$C$8,'[3]Country Results'!$C$6:$AE$6,0))</f>
        <v>3625.8153059999991</v>
      </c>
      <c r="D216" s="45" cm="1">
        <f t="array" ref="D216">INDEX('[3]Country Results'!$L$7:$AE$254,MATCH([3]Dashboard!B216,'[3]Country Results'!$B$7:$B$254,0),MATCH($C$8,'[3]Country Results'!$L$6:$AE$6,0)+1)</f>
        <v>1.948424055147211E-3</v>
      </c>
      <c r="E216" s="43">
        <f t="shared" si="30"/>
        <v>64</v>
      </c>
      <c r="F216" s="43"/>
      <c r="G216" s="91">
        <f>IFERROR(INDEX('[3]Country Results'!$C$7:$AK$254,MATCH([3]Dashboard!$B216,'[3]Country Results'!$B$7:$B$254,0),MATCH([3]Dashboard!$C$9,'[3]Country Results'!$C$6:$AK$6,0)),"")</f>
        <v>8700</v>
      </c>
      <c r="H216" s="43">
        <f t="shared" si="31"/>
        <v>87</v>
      </c>
      <c r="I216" s="43"/>
      <c r="J216" s="44">
        <f t="shared" si="32"/>
        <v>31.544593162199991</v>
      </c>
      <c r="K216" s="45">
        <f t="shared" si="33"/>
        <v>7.0553083948247735E-4</v>
      </c>
      <c r="L216" s="43">
        <f t="shared" si="34"/>
        <v>64</v>
      </c>
      <c r="M216" s="136" t="str">
        <f>IF(G216="","",INDEX([3]Countries!$C$7:$AO$254,MATCH([3]Dashboard!$B216,[3]Countries!$B$7:$B$254,0),MATCH([3]Dashboard!$N$7,[3]Countries!$C$6:$AO$6,0)))</f>
        <v/>
      </c>
      <c r="N216" s="137"/>
      <c r="O216" s="135">
        <f t="shared" si="35"/>
        <v>31.544593162199991</v>
      </c>
      <c r="P216" s="45">
        <f t="shared" si="36"/>
        <v>7.2658108808626855E-4</v>
      </c>
      <c r="Q216" s="43">
        <f t="shared" si="37"/>
        <v>56</v>
      </c>
    </row>
    <row r="217" spans="2:17" x14ac:dyDescent="0.3">
      <c r="B217" t="str">
        <f>+'[3]Country Results'!B135</f>
        <v>Liechtenstein</v>
      </c>
      <c r="C217" s="91">
        <f>INDEX('[3]Country Results'!$C$7:$AK$254,MATCH([3]Dashboard!$B217,'[3]Country Results'!$B$7:$B$254,0),MATCH([3]Dashboard!$C$8,'[3]Country Results'!$C$6:$AE$6,0))</f>
        <v>7.4850158789999979</v>
      </c>
      <c r="D217" s="45" cm="1">
        <f t="array" ref="D217">INDEX('[3]Country Results'!$L$7:$AE$254,MATCH([3]Dashboard!B217,'[3]Country Results'!$B$7:$B$254,0),MATCH($C$8,'[3]Country Results'!$L$6:$AE$6,0)+1)</f>
        <v>4.0222636182457678E-6</v>
      </c>
      <c r="E217" s="43">
        <f t="shared" si="30"/>
        <v>189</v>
      </c>
      <c r="F217" s="43"/>
      <c r="G217" s="91">
        <f>IFERROR(INDEX('[3]Country Results'!$C$7:$AK$254,MATCH([3]Dashboard!$B217,'[3]Country Results'!$B$7:$B$254,0),MATCH([3]Dashboard!$C$9,'[3]Country Results'!$C$6:$AK$6,0)),"")</f>
        <v>116600</v>
      </c>
      <c r="H217" s="43">
        <f t="shared" si="31"/>
        <v>2</v>
      </c>
      <c r="I217" s="43"/>
      <c r="J217" s="44">
        <f t="shared" si="32"/>
        <v>0.87275285149139981</v>
      </c>
      <c r="K217" s="45">
        <f t="shared" si="33"/>
        <v>1.9520113916425896E-5</v>
      </c>
      <c r="L217" s="43">
        <f t="shared" si="34"/>
        <v>154</v>
      </c>
      <c r="M217" s="136" t="str">
        <f>IF(G217="","",INDEX([3]Countries!$C$7:$AO$254,MATCH([3]Dashboard!$B217,[3]Countries!$B$7:$B$254,0),MATCH([3]Dashboard!$N$7,[3]Countries!$C$6:$AO$6,0)))</f>
        <v/>
      </c>
      <c r="N217" s="137"/>
      <c r="O217" s="135">
        <f t="shared" si="35"/>
        <v>0.87275285149139981</v>
      </c>
      <c r="P217" s="45">
        <f t="shared" si="36"/>
        <v>2.0102516878451618E-5</v>
      </c>
      <c r="Q217" s="43">
        <f t="shared" si="37"/>
        <v>88</v>
      </c>
    </row>
    <row r="218" spans="2:17" x14ac:dyDescent="0.3">
      <c r="B218" t="str">
        <f>+'[3]Country Results'!B136</f>
        <v>Lithuania</v>
      </c>
      <c r="C218" s="91">
        <f>INDEX('[3]Country Results'!$C$7:$AK$254,MATCH([3]Dashboard!$B218,'[3]Country Results'!$B$7:$B$254,0),MATCH([3]Dashboard!$C$8,'[3]Country Results'!$C$6:$AE$6,0))</f>
        <v>1455.7092839999996</v>
      </c>
      <c r="D218" s="45" cm="1">
        <f t="array" ref="D218">INDEX('[3]Country Results'!$L$7:$AE$254,MATCH([3]Dashboard!B218,'[3]Country Results'!$B$7:$B$254,0),MATCH($C$8,'[3]Country Results'!$L$6:$AE$6,0)+1)</f>
        <v>7.8226240083248281E-4</v>
      </c>
      <c r="E218" s="43">
        <f t="shared" si="30"/>
        <v>109</v>
      </c>
      <c r="F218" s="43"/>
      <c r="G218" s="91">
        <f>IFERROR(INDEX('[3]Country Results'!$C$7:$AK$254,MATCH([3]Dashboard!$B218,'[3]Country Results'!$B$7:$B$254,0),MATCH([3]Dashboard!$C$9,'[3]Country Results'!$C$6:$AK$6,0)),"")</f>
        <v>21740</v>
      </c>
      <c r="H218" s="43">
        <f t="shared" si="31"/>
        <v>46</v>
      </c>
      <c r="I218" s="43"/>
      <c r="J218" s="44">
        <f t="shared" si="32"/>
        <v>31.647119834159987</v>
      </c>
      <c r="K218" s="45">
        <f t="shared" si="33"/>
        <v>7.0782396555214443E-4</v>
      </c>
      <c r="L218" s="43">
        <f t="shared" si="34"/>
        <v>63</v>
      </c>
      <c r="M218" s="136" t="str">
        <f>IF(G218="","",INDEX([3]Countries!$C$7:$AO$254,MATCH([3]Dashboard!$B218,[3]Countries!$B$7:$B$254,0),MATCH([3]Dashboard!$N$7,[3]Countries!$C$6:$AO$6,0)))</f>
        <v/>
      </c>
      <c r="N218" s="137"/>
      <c r="O218" s="135">
        <f t="shared" si="35"/>
        <v>31.647119834159987</v>
      </c>
      <c r="P218" s="45">
        <f t="shared" si="36"/>
        <v>7.2894263196440691E-4</v>
      </c>
      <c r="Q218" s="43">
        <f t="shared" si="37"/>
        <v>55</v>
      </c>
    </row>
    <row r="219" spans="2:17" x14ac:dyDescent="0.3">
      <c r="B219" t="str">
        <f>+'[3]Country Results'!B137</f>
        <v>Low-income countries</v>
      </c>
      <c r="C219" s="91" t="str">
        <f>INDEX('[3]Country Results'!$C$7:$AK$254,MATCH([3]Dashboard!$B219,'[3]Country Results'!$B$7:$B$254,0),MATCH([3]Dashboard!$C$8,'[3]Country Results'!$C$6:$AE$6,0))</f>
        <v/>
      </c>
      <c r="D219" s="45" t="str" cm="1">
        <f t="array" ref="D219">INDEX('[3]Country Results'!$L$7:$AE$254,MATCH([3]Dashboard!B219,'[3]Country Results'!$B$7:$B$254,0),MATCH($C$8,'[3]Country Results'!$L$6:$AE$6,0)+1)</f>
        <v/>
      </c>
      <c r="E219" s="43" t="str">
        <f t="shared" ref="E219:E282" si="38">IFERROR(RANK(D219,D$90:D$336),"")</f>
        <v/>
      </c>
      <c r="F219" s="43"/>
      <c r="G219" s="91" t="str">
        <f>IFERROR(INDEX('[3]Country Results'!$C$7:$AK$254,MATCH([3]Dashboard!$B219,'[3]Country Results'!$B$7:$B$254,0),MATCH([3]Dashboard!$C$9,'[3]Country Results'!$C$6:$AK$6,0)),"")</f>
        <v/>
      </c>
      <c r="H219" s="43" t="str">
        <f t="shared" ref="H219:H282" si="39">IFERROR(RANK(G219,G$90:G$336),"")</f>
        <v/>
      </c>
      <c r="I219" s="43"/>
      <c r="J219" s="44" t="str">
        <f t="shared" ref="J219:J282" si="40">IFERROR(C219*G219^$C$10/1000000,"")</f>
        <v/>
      </c>
      <c r="K219" s="45" t="str">
        <f t="shared" ref="K219:K282" si="41">IFERROR(J219/J$88,"")</f>
        <v/>
      </c>
      <c r="L219" s="43" t="str">
        <f t="shared" ref="L219:L282" si="42">IFERROR(RANK(K219,K$90:K$336),"")</f>
        <v/>
      </c>
      <c r="M219" s="136" t="str">
        <f>IF(G219="","",INDEX([3]Countries!$C$7:$AO$254,MATCH([3]Dashboard!$B219,[3]Countries!$B$7:$B$254,0),MATCH([3]Dashboard!$N$7,[3]Countries!$C$6:$AO$6,0)))</f>
        <v/>
      </c>
      <c r="N219" s="137"/>
      <c r="O219" s="135" t="str">
        <f t="shared" ref="O219:O282" si="43">IF(OR(M219="x",N219="x"),$Q$86,J219)</f>
        <v/>
      </c>
      <c r="P219" s="45" t="str">
        <f t="shared" ref="P219:P282" si="44">IFERROR(O219/O$88,"")</f>
        <v/>
      </c>
      <c r="Q219" s="43" t="str">
        <f t="shared" ref="Q219:Q282" si="45">IFERROR(RANK(P219,P$90:P$336),"")</f>
        <v/>
      </c>
    </row>
    <row r="220" spans="2:17" x14ac:dyDescent="0.3">
      <c r="B220" t="str">
        <f>+'[3]Country Results'!B138</f>
        <v>Lower-middle-income countries</v>
      </c>
      <c r="C220" s="91" t="str">
        <f>INDEX('[3]Country Results'!$C$7:$AK$254,MATCH([3]Dashboard!$B220,'[3]Country Results'!$B$7:$B$254,0),MATCH([3]Dashboard!$C$8,'[3]Country Results'!$C$6:$AE$6,0))</f>
        <v/>
      </c>
      <c r="D220" s="45" t="str" cm="1">
        <f t="array" ref="D220">INDEX('[3]Country Results'!$L$7:$AE$254,MATCH([3]Dashboard!B220,'[3]Country Results'!$B$7:$B$254,0),MATCH($C$8,'[3]Country Results'!$L$6:$AE$6,0)+1)</f>
        <v/>
      </c>
      <c r="E220" s="43" t="str">
        <f t="shared" si="38"/>
        <v/>
      </c>
      <c r="F220" s="43"/>
      <c r="G220" s="91" t="str">
        <f>IFERROR(INDEX('[3]Country Results'!$C$7:$AK$254,MATCH([3]Dashboard!$B220,'[3]Country Results'!$B$7:$B$254,0),MATCH([3]Dashboard!$C$9,'[3]Country Results'!$C$6:$AK$6,0)),"")</f>
        <v/>
      </c>
      <c r="H220" s="43" t="str">
        <f t="shared" si="39"/>
        <v/>
      </c>
      <c r="I220" s="43"/>
      <c r="J220" s="44" t="str">
        <f t="shared" si="40"/>
        <v/>
      </c>
      <c r="K220" s="45" t="str">
        <f t="shared" si="41"/>
        <v/>
      </c>
      <c r="L220" s="43" t="str">
        <f t="shared" si="42"/>
        <v/>
      </c>
      <c r="M220" s="136" t="str">
        <f>IF(G220="","",INDEX([3]Countries!$C$7:$AO$254,MATCH([3]Dashboard!$B220,[3]Countries!$B$7:$B$254,0),MATCH([3]Dashboard!$N$7,[3]Countries!$C$6:$AO$6,0)))</f>
        <v/>
      </c>
      <c r="N220" s="137"/>
      <c r="O220" s="135" t="str">
        <f t="shared" si="43"/>
        <v/>
      </c>
      <c r="P220" s="45" t="str">
        <f t="shared" si="44"/>
        <v/>
      </c>
      <c r="Q220" s="43" t="str">
        <f t="shared" si="45"/>
        <v/>
      </c>
    </row>
    <row r="221" spans="2:17" x14ac:dyDescent="0.3">
      <c r="B221" t="str">
        <f>+'[3]Country Results'!B139</f>
        <v>Luxembourg</v>
      </c>
      <c r="C221" s="91">
        <f>INDEX('[3]Country Results'!$C$7:$AK$254,MATCH([3]Dashboard!$B221,'[3]Country Results'!$B$7:$B$254,0),MATCH([3]Dashboard!$C$8,'[3]Country Results'!$C$6:$AE$6,0))</f>
        <v>472.52261200000004</v>
      </c>
      <c r="D221" s="45" cm="1">
        <f t="array" ref="D221">INDEX('[3]Country Results'!$L$7:$AE$254,MATCH([3]Dashboard!B221,'[3]Country Results'!$B$7:$B$254,0),MATCH($C$8,'[3]Country Results'!$L$6:$AE$6,0)+1)</f>
        <v>2.5392204128496569E-4</v>
      </c>
      <c r="E221" s="43">
        <f t="shared" si="38"/>
        <v>145</v>
      </c>
      <c r="F221" s="43"/>
      <c r="G221" s="91">
        <f>IFERROR(INDEX('[3]Country Results'!$C$7:$AK$254,MATCH([3]Dashboard!$B221,'[3]Country Results'!$B$7:$B$254,0),MATCH([3]Dashboard!$C$9,'[3]Country Results'!$C$6:$AK$6,0)),"")</f>
        <v>88190</v>
      </c>
      <c r="H221" s="43">
        <f t="shared" si="39"/>
        <v>4</v>
      </c>
      <c r="I221" s="43"/>
      <c r="J221" s="44">
        <f t="shared" si="40"/>
        <v>41.67176915228</v>
      </c>
      <c r="K221" s="45">
        <f t="shared" si="41"/>
        <v>9.3203669235966278E-4</v>
      </c>
      <c r="L221" s="43">
        <f t="shared" si="42"/>
        <v>54</v>
      </c>
      <c r="M221" s="136" t="str">
        <f>IF(G221="","",INDEX([3]Countries!$C$7:$AO$254,MATCH([3]Dashboard!$B221,[3]Countries!$B$7:$B$254,0),MATCH([3]Dashboard!$N$7,[3]Countries!$C$6:$AO$6,0)))</f>
        <v/>
      </c>
      <c r="N221" s="137"/>
      <c r="O221" s="135">
        <f t="shared" si="43"/>
        <v>41.67176915228</v>
      </c>
      <c r="P221" s="45">
        <f t="shared" si="44"/>
        <v>9.5984497937432747E-4</v>
      </c>
      <c r="Q221" s="43">
        <f t="shared" si="45"/>
        <v>49</v>
      </c>
    </row>
    <row r="222" spans="2:17" x14ac:dyDescent="0.3">
      <c r="B222" t="str">
        <f>+'[3]Country Results'!B140</f>
        <v>Macao</v>
      </c>
      <c r="C222" s="91">
        <f>INDEX('[3]Country Results'!$C$7:$AK$254,MATCH([3]Dashboard!$B222,'[3]Country Results'!$B$7:$B$254,0),MATCH([3]Dashboard!$C$8,'[3]Country Results'!$C$6:$AE$6,0))</f>
        <v>58.457035480000009</v>
      </c>
      <c r="D222" s="45" cm="1">
        <f t="array" ref="D222">INDEX('[3]Country Results'!$L$7:$AE$254,MATCH([3]Dashboard!B222,'[3]Country Results'!$B$7:$B$254,0),MATCH($C$8,'[3]Country Results'!$L$6:$AE$6,0)+1)</f>
        <v>3.1413374512856679E-5</v>
      </c>
      <c r="E222" s="43">
        <f t="shared" si="38"/>
        <v>173</v>
      </c>
      <c r="F222" s="43"/>
      <c r="G222" s="91">
        <f>IFERROR(INDEX('[3]Country Results'!$C$7:$AK$254,MATCH([3]Dashboard!$B222,'[3]Country Results'!$B$7:$B$254,0),MATCH([3]Dashboard!$C$9,'[3]Country Results'!$C$6:$AK$6,0)),"")</f>
        <v>46450</v>
      </c>
      <c r="H222" s="43">
        <f t="shared" si="39"/>
        <v>23</v>
      </c>
      <c r="I222" s="43"/>
      <c r="J222" s="44">
        <f t="shared" si="40"/>
        <v>2.7153292980460004</v>
      </c>
      <c r="K222" s="45">
        <f t="shared" si="41"/>
        <v>6.0731439751691257E-5</v>
      </c>
      <c r="L222" s="43">
        <f t="shared" si="42"/>
        <v>123</v>
      </c>
      <c r="M222" s="136" t="str">
        <f>IF(G222="","",INDEX([3]Countries!$C$7:$AO$254,MATCH([3]Dashboard!$B222,[3]Countries!$B$7:$B$254,0),MATCH([3]Dashboard!$N$7,[3]Countries!$C$6:$AO$6,0)))</f>
        <v/>
      </c>
      <c r="N222" s="137"/>
      <c r="O222" s="135">
        <f t="shared" si="43"/>
        <v>2.7153292980460004</v>
      </c>
      <c r="P222" s="45">
        <f t="shared" si="44"/>
        <v>6.2543425611553895E-5</v>
      </c>
      <c r="Q222" s="43">
        <f t="shared" si="45"/>
        <v>82</v>
      </c>
    </row>
    <row r="223" spans="2:17" x14ac:dyDescent="0.3">
      <c r="B223" t="str">
        <f>+'[3]Country Results'!B141</f>
        <v>Madagascar</v>
      </c>
      <c r="C223" s="91">
        <f>INDEX('[3]Country Results'!$C$7:$AK$254,MATCH([3]Dashboard!$B223,'[3]Country Results'!$B$7:$B$254,0),MATCH([3]Dashboard!$C$8,'[3]Country Results'!$C$6:$AE$6,0))</f>
        <v>3371.0294399999998</v>
      </c>
      <c r="D223" s="45" cm="1">
        <f t="array" ref="D223">INDEX('[3]Country Results'!$L$7:$AE$254,MATCH([3]Dashboard!B223,'[3]Country Results'!$B$7:$B$254,0),MATCH($C$8,'[3]Country Results'!$L$6:$AE$6,0)+1)</f>
        <v>1.8115083911296815E-3</v>
      </c>
      <c r="E223" s="43">
        <f t="shared" si="38"/>
        <v>67</v>
      </c>
      <c r="F223" s="43"/>
      <c r="G223" s="91">
        <f>IFERROR(INDEX('[3]Country Results'!$C$7:$AK$254,MATCH([3]Dashboard!$B223,'[3]Country Results'!$B$7:$B$254,0),MATCH([3]Dashboard!$C$9,'[3]Country Results'!$C$6:$AK$6,0)),"")</f>
        <v>490</v>
      </c>
      <c r="H223" s="43">
        <f t="shared" si="39"/>
        <v>198</v>
      </c>
      <c r="I223" s="43"/>
      <c r="J223" s="44">
        <f t="shared" si="40"/>
        <v>1.6518044256</v>
      </c>
      <c r="K223" s="45">
        <f t="shared" si="41"/>
        <v>3.6944491788562406E-5</v>
      </c>
      <c r="L223" s="43">
        <f t="shared" si="42"/>
        <v>134</v>
      </c>
      <c r="M223" s="136" t="str">
        <f>IF(G223="","",INDEX([3]Countries!$C$7:$AO$254,MATCH([3]Dashboard!$B223,[3]Countries!$B$7:$B$254,0),MATCH([3]Dashboard!$N$7,[3]Countries!$C$6:$AO$6,0)))</f>
        <v>x</v>
      </c>
      <c r="N223" s="137"/>
      <c r="O223" s="135" t="str">
        <f t="shared" si="43"/>
        <v>-</v>
      </c>
      <c r="P223" s="45" t="str">
        <f t="shared" si="44"/>
        <v/>
      </c>
      <c r="Q223" s="43" t="str">
        <f t="shared" si="45"/>
        <v/>
      </c>
    </row>
    <row r="224" spans="2:17" x14ac:dyDescent="0.3">
      <c r="B224" t="str">
        <f>+'[3]Country Results'!B142</f>
        <v>Malawi</v>
      </c>
      <c r="C224" s="91">
        <f>INDEX('[3]Country Results'!$C$7:$AK$254,MATCH([3]Dashboard!$B224,'[3]Country Results'!$B$7:$B$254,0),MATCH([3]Dashboard!$C$8,'[3]Country Results'!$C$6:$AE$6,0))</f>
        <v>924.20844599999975</v>
      </c>
      <c r="D224" s="45" cm="1">
        <f t="array" ref="D224">INDEX('[3]Country Results'!$L$7:$AE$254,MATCH([3]Dashboard!B224,'[3]Country Results'!$B$7:$B$254,0),MATCH($C$8,'[3]Country Results'!$L$6:$AE$6,0)+1)</f>
        <v>4.9664691005544073E-4</v>
      </c>
      <c r="E224" s="43">
        <f t="shared" si="38"/>
        <v>124</v>
      </c>
      <c r="F224" s="43"/>
      <c r="G224" s="91">
        <f>IFERROR(INDEX('[3]Country Results'!$C$7:$AK$254,MATCH([3]Dashboard!$B224,'[3]Country Results'!$B$7:$B$254,0),MATCH([3]Dashboard!$C$9,'[3]Country Results'!$C$6:$AK$6,0)),"")</f>
        <v>620</v>
      </c>
      <c r="H224" s="43">
        <f t="shared" si="39"/>
        <v>193</v>
      </c>
      <c r="I224" s="43"/>
      <c r="J224" s="44">
        <f t="shared" si="40"/>
        <v>0.5730092365199998</v>
      </c>
      <c r="K224" s="45">
        <f t="shared" si="41"/>
        <v>1.2816005760302975E-5</v>
      </c>
      <c r="L224" s="43">
        <f t="shared" si="42"/>
        <v>159</v>
      </c>
      <c r="M224" s="136" t="str">
        <f>IF(G224="","",INDEX([3]Countries!$C$7:$AO$254,MATCH([3]Dashboard!$B224,[3]Countries!$B$7:$B$254,0),MATCH([3]Dashboard!$N$7,[3]Countries!$C$6:$AO$6,0)))</f>
        <v>x</v>
      </c>
      <c r="N224" s="137"/>
      <c r="O224" s="135" t="str">
        <f t="shared" si="43"/>
        <v>-</v>
      </c>
      <c r="P224" s="45" t="str">
        <f t="shared" si="44"/>
        <v/>
      </c>
      <c r="Q224" s="43" t="str">
        <f t="shared" si="45"/>
        <v/>
      </c>
    </row>
    <row r="225" spans="2:17" x14ac:dyDescent="0.3">
      <c r="B225" t="str">
        <f>+'[3]Country Results'!B143</f>
        <v>Malaysia</v>
      </c>
      <c r="C225" s="91">
        <f>INDEX('[3]Country Results'!$C$7:$AK$254,MATCH([3]Dashboard!$B225,'[3]Country Results'!$B$7:$B$254,0),MATCH([3]Dashboard!$C$8,'[3]Country Results'!$C$6:$AE$6,0))</f>
        <v>13140.671039999996</v>
      </c>
      <c r="D225" s="45" cm="1">
        <f t="array" ref="D225">INDEX('[3]Country Results'!$L$7:$AE$254,MATCH([3]Dashboard!B225,'[3]Country Results'!$B$7:$B$254,0),MATCH($C$8,'[3]Country Results'!$L$6:$AE$6,0)+1)</f>
        <v>7.0614737360569571E-3</v>
      </c>
      <c r="E225" s="43">
        <f t="shared" si="38"/>
        <v>28</v>
      </c>
      <c r="F225" s="43"/>
      <c r="G225" s="91">
        <f>IFERROR(INDEX('[3]Country Results'!$C$7:$AK$254,MATCH([3]Dashboard!$B225,'[3]Country Results'!$B$7:$B$254,0),MATCH([3]Dashboard!$C$9,'[3]Country Results'!$C$6:$AK$6,0)),"")</f>
        <v>10710</v>
      </c>
      <c r="H225" s="43">
        <f t="shared" si="39"/>
        <v>75</v>
      </c>
      <c r="I225" s="43"/>
      <c r="J225" s="44">
        <f t="shared" si="40"/>
        <v>140.73658683839994</v>
      </c>
      <c r="K225" s="45">
        <f t="shared" si="41"/>
        <v>3.1477344389078785E-3</v>
      </c>
      <c r="L225" s="43">
        <f t="shared" si="42"/>
        <v>36</v>
      </c>
      <c r="M225" s="136" t="str">
        <f>IF(G225="","",INDEX([3]Countries!$C$7:$AO$254,MATCH([3]Dashboard!$B225,[3]Countries!$B$7:$B$254,0),MATCH([3]Dashboard!$N$7,[3]Countries!$C$6:$AO$6,0)))</f>
        <v/>
      </c>
      <c r="N225" s="137"/>
      <c r="O225" s="135">
        <f t="shared" si="43"/>
        <v>140.73658683839994</v>
      </c>
      <c r="P225" s="45">
        <f t="shared" si="44"/>
        <v>3.2416503796006053E-3</v>
      </c>
      <c r="Q225" s="43">
        <f t="shared" si="45"/>
        <v>34</v>
      </c>
    </row>
    <row r="226" spans="2:17" x14ac:dyDescent="0.3">
      <c r="B226" t="str">
        <f>+'[3]Country Results'!B144</f>
        <v>Maldives</v>
      </c>
      <c r="C226" s="91">
        <f>INDEX('[3]Country Results'!$C$7:$AK$254,MATCH([3]Dashboard!$B226,'[3]Country Results'!$B$7:$B$254,0),MATCH([3]Dashboard!$C$8,'[3]Country Results'!$C$6:$AE$6,0))</f>
        <v>32.241458727999998</v>
      </c>
      <c r="D226" s="45" cm="1">
        <f t="array" ref="D226">INDEX('[3]Country Results'!$L$7:$AE$254,MATCH([3]Dashboard!B226,'[3]Country Results'!$B$7:$B$254,0),MATCH($C$8,'[3]Country Results'!$L$6:$AE$6,0)+1)</f>
        <v>1.732576771208302E-5</v>
      </c>
      <c r="E226" s="43">
        <f t="shared" si="38"/>
        <v>175</v>
      </c>
      <c r="F226" s="43"/>
      <c r="G226" s="91">
        <f>IFERROR(INDEX('[3]Country Results'!$C$7:$AK$254,MATCH([3]Dashboard!$B226,'[3]Country Results'!$B$7:$B$254,0),MATCH([3]Dashboard!$C$9,'[3]Country Results'!$C$6:$AK$6,0)),"")</f>
        <v>9600</v>
      </c>
      <c r="H226" s="43">
        <f t="shared" si="39"/>
        <v>79</v>
      </c>
      <c r="I226" s="43"/>
      <c r="J226" s="44">
        <f t="shared" si="40"/>
        <v>0.30951800378879996</v>
      </c>
      <c r="K226" s="45">
        <f t="shared" si="41"/>
        <v>6.9227235211177697E-6</v>
      </c>
      <c r="L226" s="43">
        <f t="shared" si="42"/>
        <v>167</v>
      </c>
      <c r="M226" s="136" t="str">
        <f>IF(G226="","",INDEX([3]Countries!$C$7:$AO$254,MATCH([3]Dashboard!$B226,[3]Countries!$B$7:$B$254,0),MATCH([3]Dashboard!$N$7,[3]Countries!$C$6:$AO$6,0)))</f>
        <v>x</v>
      </c>
      <c r="N226" s="137"/>
      <c r="O226" s="135" t="str">
        <f t="shared" si="43"/>
        <v>-</v>
      </c>
      <c r="P226" s="45" t="str">
        <f t="shared" si="44"/>
        <v/>
      </c>
      <c r="Q226" s="43" t="str">
        <f t="shared" si="45"/>
        <v/>
      </c>
    </row>
    <row r="227" spans="2:17" x14ac:dyDescent="0.3">
      <c r="B227" t="str">
        <f>+'[3]Country Results'!B145</f>
        <v>Mali</v>
      </c>
      <c r="C227" s="91">
        <f>INDEX('[3]Country Results'!$C$7:$AK$254,MATCH([3]Dashboard!$B227,'[3]Country Results'!$B$7:$B$254,0),MATCH([3]Dashboard!$C$8,'[3]Country Results'!$C$6:$AE$6,0))</f>
        <v>1603.587094</v>
      </c>
      <c r="D227" s="45" cm="1">
        <f t="array" ref="D227">INDEX('[3]Country Results'!$L$7:$AE$254,MATCH([3]Dashboard!B227,'[3]Country Results'!$B$7:$B$254,0),MATCH($C$8,'[3]Country Results'!$L$6:$AE$6,0)+1)</f>
        <v>8.6172830240493581E-4</v>
      </c>
      <c r="E227" s="43">
        <f t="shared" si="38"/>
        <v>105</v>
      </c>
      <c r="F227" s="43"/>
      <c r="G227" s="91">
        <f>IFERROR(INDEX('[3]Country Results'!$C$7:$AK$254,MATCH([3]Dashboard!$B227,'[3]Country Results'!$B$7:$B$254,0),MATCH([3]Dashboard!$C$9,'[3]Country Results'!$C$6:$AK$6,0)),"")</f>
        <v>820</v>
      </c>
      <c r="H227" s="43">
        <f t="shared" si="39"/>
        <v>185</v>
      </c>
      <c r="I227" s="43"/>
      <c r="J227" s="44">
        <f t="shared" si="40"/>
        <v>1.31494141708</v>
      </c>
      <c r="K227" s="45">
        <f t="shared" si="41"/>
        <v>2.9410166017751512E-5</v>
      </c>
      <c r="L227" s="43">
        <f t="shared" si="42"/>
        <v>142</v>
      </c>
      <c r="M227" s="136" t="str">
        <f>IF(G227="","",INDEX([3]Countries!$C$7:$AO$254,MATCH([3]Dashboard!$B227,[3]Countries!$B$7:$B$254,0),MATCH([3]Dashboard!$N$7,[3]Countries!$C$6:$AO$6,0)))</f>
        <v>x</v>
      </c>
      <c r="N227" s="137"/>
      <c r="O227" s="135" t="str">
        <f t="shared" si="43"/>
        <v>-</v>
      </c>
      <c r="P227" s="45" t="str">
        <f t="shared" si="44"/>
        <v/>
      </c>
      <c r="Q227" s="43" t="str">
        <f t="shared" si="45"/>
        <v/>
      </c>
    </row>
    <row r="228" spans="2:17" x14ac:dyDescent="0.3">
      <c r="B228" t="str">
        <f>+'[3]Country Results'!B146</f>
        <v>Malta</v>
      </c>
      <c r="C228" s="91">
        <f>INDEX('[3]Country Results'!$C$7:$AK$254,MATCH([3]Dashboard!$B228,'[3]Country Results'!$B$7:$B$254,0),MATCH([3]Dashboard!$C$8,'[3]Country Results'!$C$6:$AE$6,0))</f>
        <v>97.903602100000001</v>
      </c>
      <c r="D228" s="45" cm="1">
        <f t="array" ref="D228">INDEX('[3]Country Results'!$L$7:$AE$254,MATCH([3]Dashboard!B228,'[3]Country Results'!$B$7:$B$254,0),MATCH($C$8,'[3]Country Results'!$L$6:$AE$6,0)+1)</f>
        <v>5.2610990168620869E-5</v>
      </c>
      <c r="E228" s="43">
        <f t="shared" si="38"/>
        <v>168</v>
      </c>
      <c r="F228" s="43"/>
      <c r="G228" s="91">
        <f>IFERROR(INDEX('[3]Country Results'!$C$7:$AK$254,MATCH([3]Dashboard!$B228,'[3]Country Results'!$B$7:$B$254,0),MATCH([3]Dashboard!$C$9,'[3]Country Results'!$C$6:$AK$6,0)),"")</f>
        <v>30760</v>
      </c>
      <c r="H228" s="43">
        <f t="shared" si="39"/>
        <v>34</v>
      </c>
      <c r="I228" s="43"/>
      <c r="J228" s="44">
        <f t="shared" si="40"/>
        <v>3.0115148005960002</v>
      </c>
      <c r="K228" s="45">
        <f t="shared" si="41"/>
        <v>6.7355966661331284E-5</v>
      </c>
      <c r="L228" s="43">
        <f t="shared" si="42"/>
        <v>118</v>
      </c>
      <c r="M228" s="136" t="str">
        <f>IF(G228="","",INDEX([3]Countries!$C$7:$AO$254,MATCH([3]Dashboard!$B228,[3]Countries!$B$7:$B$254,0),MATCH([3]Dashboard!$N$7,[3]Countries!$C$6:$AO$6,0)))</f>
        <v/>
      </c>
      <c r="N228" s="137"/>
      <c r="O228" s="135">
        <f t="shared" si="43"/>
        <v>3.0115148005960002</v>
      </c>
      <c r="P228" s="45">
        <f t="shared" si="44"/>
        <v>6.9365602192231286E-5</v>
      </c>
      <c r="Q228" s="43">
        <f t="shared" si="45"/>
        <v>79</v>
      </c>
    </row>
    <row r="229" spans="2:17" x14ac:dyDescent="0.3">
      <c r="B229" t="str">
        <f>+'[3]Country Results'!B147</f>
        <v>Marshall Islands</v>
      </c>
      <c r="C229" s="91">
        <f>INDEX('[3]Country Results'!$C$7:$AK$254,MATCH([3]Dashboard!$B229,'[3]Country Results'!$B$7:$B$254,0),MATCH([3]Dashboard!$C$8,'[3]Country Results'!$C$6:$AE$6,0))</f>
        <v>0</v>
      </c>
      <c r="D229" s="45" cm="1">
        <f t="array" ref="D229">INDEX('[3]Country Results'!$L$7:$AE$254,MATCH([3]Dashboard!B229,'[3]Country Results'!$B$7:$B$254,0),MATCH($C$8,'[3]Country Results'!$L$6:$AE$6,0)+1)</f>
        <v>0</v>
      </c>
      <c r="E229" s="43">
        <f t="shared" si="38"/>
        <v>200</v>
      </c>
      <c r="F229" s="43"/>
      <c r="G229" s="91">
        <f>IFERROR(INDEX('[3]Country Results'!$C$7:$AK$254,MATCH([3]Dashboard!$B229,'[3]Country Results'!$B$7:$B$254,0),MATCH([3]Dashboard!$C$9,'[3]Country Results'!$C$6:$AK$6,0)),"")</f>
        <v>6780</v>
      </c>
      <c r="H229" s="43">
        <f t="shared" si="39"/>
        <v>98</v>
      </c>
      <c r="I229" s="43"/>
      <c r="J229" s="44">
        <f t="shared" si="40"/>
        <v>0</v>
      </c>
      <c r="K229" s="45">
        <f t="shared" si="41"/>
        <v>0</v>
      </c>
      <c r="L229" s="43">
        <f t="shared" si="42"/>
        <v>195</v>
      </c>
      <c r="M229" s="136" t="str">
        <f>IF(G229="","",INDEX([3]Countries!$C$7:$AO$254,MATCH([3]Dashboard!$B229,[3]Countries!$B$7:$B$254,0),MATCH([3]Dashboard!$N$7,[3]Countries!$C$6:$AO$6,0)))</f>
        <v>x</v>
      </c>
      <c r="N229" s="137"/>
      <c r="O229" s="135" t="str">
        <f t="shared" si="43"/>
        <v>-</v>
      </c>
      <c r="P229" s="45" t="str">
        <f t="shared" si="44"/>
        <v/>
      </c>
      <c r="Q229" s="43" t="str">
        <f t="shared" si="45"/>
        <v/>
      </c>
    </row>
    <row r="230" spans="2:17" x14ac:dyDescent="0.3">
      <c r="B230" t="str">
        <f>+'[3]Country Results'!B148</f>
        <v>Martinique</v>
      </c>
      <c r="C230" s="91">
        <f>INDEX('[3]Country Results'!$C$7:$AK$254,MATCH([3]Dashboard!$B230,'[3]Country Results'!$B$7:$B$254,0),MATCH([3]Dashboard!$C$8,'[3]Country Results'!$C$6:$AE$6,0))</f>
        <v>0</v>
      </c>
      <c r="D230" s="45" cm="1">
        <f t="array" ref="D230">INDEX('[3]Country Results'!$L$7:$AE$254,MATCH([3]Dashboard!B230,'[3]Country Results'!$B$7:$B$254,0),MATCH($C$8,'[3]Country Results'!$L$6:$AE$6,0)+1)</f>
        <v>0</v>
      </c>
      <c r="E230" s="43">
        <f t="shared" si="38"/>
        <v>200</v>
      </c>
      <c r="F230" s="43"/>
      <c r="G230" s="91" t="str">
        <f>IFERROR(INDEX('[3]Country Results'!$C$7:$AK$254,MATCH([3]Dashboard!$B230,'[3]Country Results'!$B$7:$B$254,0),MATCH([3]Dashboard!$C$9,'[3]Country Results'!$C$6:$AK$6,0)),"")</f>
        <v/>
      </c>
      <c r="H230" s="43" t="str">
        <f t="shared" si="39"/>
        <v/>
      </c>
      <c r="I230" s="43"/>
      <c r="J230" s="44" t="str">
        <f t="shared" si="40"/>
        <v/>
      </c>
      <c r="K230" s="45" t="str">
        <f t="shared" si="41"/>
        <v/>
      </c>
      <c r="L230" s="43" t="str">
        <f t="shared" si="42"/>
        <v/>
      </c>
      <c r="M230" s="136" t="str">
        <f>IF(G230="","",INDEX([3]Countries!$C$7:$AO$254,MATCH([3]Dashboard!$B230,[3]Countries!$B$7:$B$254,0),MATCH([3]Dashboard!$N$7,[3]Countries!$C$6:$AO$6,0)))</f>
        <v/>
      </c>
      <c r="N230" s="137"/>
      <c r="O230" s="135" t="str">
        <f t="shared" si="43"/>
        <v/>
      </c>
      <c r="P230" s="45" t="str">
        <f t="shared" si="44"/>
        <v/>
      </c>
      <c r="Q230" s="43" t="str">
        <f t="shared" si="45"/>
        <v/>
      </c>
    </row>
    <row r="231" spans="2:17" x14ac:dyDescent="0.3">
      <c r="B231" t="str">
        <f>+'[3]Country Results'!B149</f>
        <v>Mauritania</v>
      </c>
      <c r="C231" s="91">
        <f>INDEX('[3]Country Results'!$C$7:$AK$254,MATCH([3]Dashboard!$B231,'[3]Country Results'!$B$7:$B$254,0),MATCH([3]Dashboard!$C$8,'[3]Country Results'!$C$6:$AE$6,0))</f>
        <v>482.09898450000003</v>
      </c>
      <c r="D231" s="45" cm="1">
        <f t="array" ref="D231">INDEX('[3]Country Results'!$L$7:$AE$254,MATCH([3]Dashboard!B231,'[3]Country Results'!$B$7:$B$254,0),MATCH($C$8,'[3]Country Results'!$L$6:$AE$6,0)+1)</f>
        <v>2.5906814856438876E-4</v>
      </c>
      <c r="E231" s="43">
        <f t="shared" si="38"/>
        <v>144</v>
      </c>
      <c r="F231" s="43"/>
      <c r="G231" s="91">
        <f>IFERROR(INDEX('[3]Country Results'!$C$7:$AK$254,MATCH([3]Dashboard!$B231,'[3]Country Results'!$B$7:$B$254,0),MATCH([3]Dashboard!$C$9,'[3]Country Results'!$C$6:$AK$6,0)),"")</f>
        <v>1950</v>
      </c>
      <c r="H231" s="43">
        <f t="shared" si="39"/>
        <v>159</v>
      </c>
      <c r="I231" s="43"/>
      <c r="J231" s="44">
        <f t="shared" si="40"/>
        <v>0.94009301977500004</v>
      </c>
      <c r="K231" s="45">
        <f t="shared" si="41"/>
        <v>2.1026253660112681E-5</v>
      </c>
      <c r="L231" s="43">
        <f t="shared" si="42"/>
        <v>151</v>
      </c>
      <c r="M231" s="136" t="str">
        <f>IF(G231="","",INDEX([3]Countries!$C$7:$AO$254,MATCH([3]Dashboard!$B231,[3]Countries!$B$7:$B$254,0),MATCH([3]Dashboard!$N$7,[3]Countries!$C$6:$AO$6,0)))</f>
        <v>x</v>
      </c>
      <c r="N231" s="137"/>
      <c r="O231" s="135" t="str">
        <f t="shared" si="43"/>
        <v>-</v>
      </c>
      <c r="P231" s="45" t="str">
        <f t="shared" si="44"/>
        <v/>
      </c>
      <c r="Q231" s="43" t="str">
        <f t="shared" si="45"/>
        <v/>
      </c>
    </row>
    <row r="232" spans="2:17" x14ac:dyDescent="0.3">
      <c r="B232" t="str">
        <f>+'[3]Country Results'!B150</f>
        <v>Mauritius</v>
      </c>
      <c r="C232" s="91">
        <f>INDEX('[3]Country Results'!$C$7:$AK$254,MATCH([3]Dashboard!$B232,'[3]Country Results'!$B$7:$B$254,0),MATCH([3]Dashboard!$C$8,'[3]Country Results'!$C$6:$AE$6,0))</f>
        <v>151.26024199999995</v>
      </c>
      <c r="D232" s="45" cm="1">
        <f t="array" ref="D232">INDEX('[3]Country Results'!$L$7:$AE$254,MATCH([3]Dashboard!B232,'[3]Country Results'!$B$7:$B$254,0),MATCH($C$8,'[3]Country Results'!$L$6:$AE$6,0)+1)</f>
        <v>8.1283537419152936E-5</v>
      </c>
      <c r="E232" s="43">
        <f t="shared" si="38"/>
        <v>163</v>
      </c>
      <c r="F232" s="43"/>
      <c r="G232" s="91">
        <f>IFERROR(INDEX('[3]Country Results'!$C$7:$AK$254,MATCH([3]Dashboard!$B232,'[3]Country Results'!$B$7:$B$254,0),MATCH([3]Dashboard!$C$9,'[3]Country Results'!$C$6:$AK$6,0)),"")</f>
        <v>9920</v>
      </c>
      <c r="H232" s="43">
        <f t="shared" si="39"/>
        <v>77</v>
      </c>
      <c r="I232" s="43"/>
      <c r="J232" s="44">
        <f t="shared" si="40"/>
        <v>1.5005016006399994</v>
      </c>
      <c r="K232" s="45">
        <f t="shared" si="41"/>
        <v>3.356043137094329E-5</v>
      </c>
      <c r="L232" s="43">
        <f t="shared" si="42"/>
        <v>138</v>
      </c>
      <c r="M232" s="136" t="str">
        <f>IF(G232="","",INDEX([3]Countries!$C$7:$AO$254,MATCH([3]Dashboard!$B232,[3]Countries!$B$7:$B$254,0),MATCH([3]Dashboard!$N$7,[3]Countries!$C$6:$AO$6,0)))</f>
        <v>x</v>
      </c>
      <c r="N232" s="137"/>
      <c r="O232" s="135" t="str">
        <f t="shared" si="43"/>
        <v>-</v>
      </c>
      <c r="P232" s="45" t="str">
        <f t="shared" si="44"/>
        <v/>
      </c>
      <c r="Q232" s="43" t="str">
        <f t="shared" si="45"/>
        <v/>
      </c>
    </row>
    <row r="233" spans="2:17" x14ac:dyDescent="0.3">
      <c r="B233" t="str">
        <f>+'[3]Country Results'!B151</f>
        <v>Mayotte</v>
      </c>
      <c r="C233" s="91">
        <f>INDEX('[3]Country Results'!$C$7:$AK$254,MATCH([3]Dashboard!$B233,'[3]Country Results'!$B$7:$B$254,0),MATCH([3]Dashboard!$C$8,'[3]Country Results'!$C$6:$AE$6,0))</f>
        <v>0</v>
      </c>
      <c r="D233" s="45" cm="1">
        <f t="array" ref="D233">INDEX('[3]Country Results'!$L$7:$AE$254,MATCH([3]Dashboard!B233,'[3]Country Results'!$B$7:$B$254,0),MATCH($C$8,'[3]Country Results'!$L$6:$AE$6,0)+1)</f>
        <v>0</v>
      </c>
      <c r="E233" s="43">
        <f t="shared" si="38"/>
        <v>200</v>
      </c>
      <c r="F233" s="43"/>
      <c r="G233" s="91" t="str">
        <f>IFERROR(INDEX('[3]Country Results'!$C$7:$AK$254,MATCH([3]Dashboard!$B233,'[3]Country Results'!$B$7:$B$254,0),MATCH([3]Dashboard!$C$9,'[3]Country Results'!$C$6:$AK$6,0)),"")</f>
        <v/>
      </c>
      <c r="H233" s="43" t="str">
        <f t="shared" si="39"/>
        <v/>
      </c>
      <c r="I233" s="43"/>
      <c r="J233" s="44" t="str">
        <f t="shared" si="40"/>
        <v/>
      </c>
      <c r="K233" s="45" t="str">
        <f t="shared" si="41"/>
        <v/>
      </c>
      <c r="L233" s="43" t="str">
        <f t="shared" si="42"/>
        <v/>
      </c>
      <c r="M233" s="136" t="str">
        <f>IF(G233="","",INDEX([3]Countries!$C$7:$AO$254,MATCH([3]Dashboard!$B233,[3]Countries!$B$7:$B$254,0),MATCH([3]Dashboard!$N$7,[3]Countries!$C$6:$AO$6,0)))</f>
        <v/>
      </c>
      <c r="N233" s="137"/>
      <c r="O233" s="135" t="str">
        <f t="shared" si="43"/>
        <v/>
      </c>
      <c r="P233" s="45" t="str">
        <f t="shared" si="44"/>
        <v/>
      </c>
      <c r="Q233" s="43" t="str">
        <f t="shared" si="45"/>
        <v/>
      </c>
    </row>
    <row r="234" spans="2:17" x14ac:dyDescent="0.3">
      <c r="B234" t="str">
        <f>+'[3]Country Results'!B152</f>
        <v>Mexico</v>
      </c>
      <c r="C234" s="91">
        <f>INDEX('[3]Country Results'!$C$7:$AK$254,MATCH([3]Dashboard!$B234,'[3]Country Results'!$B$7:$B$254,0),MATCH([3]Dashboard!$C$8,'[3]Country Results'!$C$6:$AE$6,0))</f>
        <v>29578.199530000005</v>
      </c>
      <c r="D234" s="45" cm="1">
        <f t="array" ref="D234">INDEX('[3]Country Results'!$L$7:$AE$254,MATCH([3]Dashboard!B234,'[3]Country Results'!$B$7:$B$254,0),MATCH($C$8,'[3]Country Results'!$L$6:$AE$6,0)+1)</f>
        <v>1.5894597658305532E-2</v>
      </c>
      <c r="E234" s="43">
        <f t="shared" si="38"/>
        <v>10</v>
      </c>
      <c r="F234" s="43"/>
      <c r="G234" s="91">
        <f>IFERROR(INDEX('[3]Country Results'!$C$7:$AK$254,MATCH([3]Dashboard!$B234,'[3]Country Results'!$B$7:$B$254,0),MATCH([3]Dashboard!$C$9,'[3]Country Results'!$C$6:$AK$6,0)),"")</f>
        <v>9590</v>
      </c>
      <c r="H234" s="43">
        <f t="shared" si="39"/>
        <v>80</v>
      </c>
      <c r="I234" s="43"/>
      <c r="J234" s="44">
        <f t="shared" si="40"/>
        <v>283.65493349270002</v>
      </c>
      <c r="K234" s="45">
        <f t="shared" si="41"/>
        <v>6.3442664269407747E-3</v>
      </c>
      <c r="L234" s="43">
        <f t="shared" si="42"/>
        <v>19</v>
      </c>
      <c r="M234" s="136" t="str">
        <f>IF(G234="","",INDEX([3]Countries!$C$7:$AO$254,MATCH([3]Dashboard!$B234,[3]Countries!$B$7:$B$254,0),MATCH([3]Dashboard!$N$7,[3]Countries!$C$6:$AO$6,0)))</f>
        <v/>
      </c>
      <c r="N234" s="137"/>
      <c r="O234" s="135">
        <f t="shared" si="43"/>
        <v>283.65493349270002</v>
      </c>
      <c r="P234" s="45">
        <f t="shared" si="44"/>
        <v>6.5335542341098422E-3</v>
      </c>
      <c r="Q234" s="43">
        <f t="shared" si="45"/>
        <v>19</v>
      </c>
    </row>
    <row r="235" spans="2:17" x14ac:dyDescent="0.3">
      <c r="B235" t="str">
        <f>+'[3]Country Results'!B153</f>
        <v>Micronesia (country)</v>
      </c>
      <c r="C235" s="91">
        <f>INDEX('[3]Country Results'!$C$7:$AK$254,MATCH([3]Dashboard!$B235,'[3]Country Results'!$B$7:$B$254,0),MATCH([3]Dashboard!$C$8,'[3]Country Results'!$C$6:$AE$6,0))</f>
        <v>1.5126331429999997</v>
      </c>
      <c r="D235" s="45" cm="1">
        <f t="array" ref="D235">INDEX('[3]Country Results'!$L$7:$AE$254,MATCH([3]Dashboard!B235,'[3]Country Results'!$B$7:$B$254,0),MATCH($C$8,'[3]Country Results'!$L$6:$AE$6,0)+1)</f>
        <v>8.1285188397683146E-7</v>
      </c>
      <c r="E235" s="43">
        <f t="shared" si="38"/>
        <v>196</v>
      </c>
      <c r="F235" s="43"/>
      <c r="G235" s="91">
        <f>IFERROR(INDEX('[3]Country Results'!$C$7:$AK$254,MATCH([3]Dashboard!$B235,'[3]Country Results'!$B$7:$B$254,0),MATCH([3]Dashboard!$C$9,'[3]Country Results'!$C$6:$AK$6,0)),"")</f>
        <v>3980</v>
      </c>
      <c r="H235" s="43">
        <f t="shared" si="39"/>
        <v>129</v>
      </c>
      <c r="I235" s="43"/>
      <c r="J235" s="44">
        <f t="shared" si="40"/>
        <v>6.0202799091399993E-3</v>
      </c>
      <c r="K235" s="45">
        <f t="shared" si="41"/>
        <v>1.3465043332068788E-7</v>
      </c>
      <c r="L235" s="43">
        <f t="shared" si="42"/>
        <v>193</v>
      </c>
      <c r="M235" s="136" t="str">
        <f>IF(G235="","",INDEX([3]Countries!$C$7:$AO$254,MATCH([3]Dashboard!$B235,[3]Countries!$B$7:$B$254,0),MATCH([3]Dashboard!$N$7,[3]Countries!$C$6:$AO$6,0)))</f>
        <v>x</v>
      </c>
      <c r="N235" s="137"/>
      <c r="O235" s="135" t="str">
        <f t="shared" si="43"/>
        <v>-</v>
      </c>
      <c r="P235" s="45" t="str">
        <f t="shared" si="44"/>
        <v/>
      </c>
      <c r="Q235" s="43" t="str">
        <f t="shared" si="45"/>
        <v/>
      </c>
    </row>
    <row r="236" spans="2:17" x14ac:dyDescent="0.3">
      <c r="B236" t="str">
        <f>+'[3]Country Results'!B154</f>
        <v>Middle East (GCP)</v>
      </c>
      <c r="C236" s="91" t="str">
        <f>INDEX('[3]Country Results'!$C$7:$AK$254,MATCH([3]Dashboard!$B236,'[3]Country Results'!$B$7:$B$254,0),MATCH([3]Dashboard!$C$8,'[3]Country Results'!$C$6:$AE$6,0))</f>
        <v/>
      </c>
      <c r="D236" s="45" t="str" cm="1">
        <f t="array" ref="D236">INDEX('[3]Country Results'!$L$7:$AE$254,MATCH([3]Dashboard!B236,'[3]Country Results'!$B$7:$B$254,0),MATCH($C$8,'[3]Country Results'!$L$6:$AE$6,0)+1)</f>
        <v/>
      </c>
      <c r="E236" s="43" t="str">
        <f t="shared" si="38"/>
        <v/>
      </c>
      <c r="F236" s="43"/>
      <c r="G236" s="91" t="str">
        <f>IFERROR(INDEX('[3]Country Results'!$C$7:$AK$254,MATCH([3]Dashboard!$B236,'[3]Country Results'!$B$7:$B$254,0),MATCH([3]Dashboard!$C$9,'[3]Country Results'!$C$6:$AK$6,0)),"")</f>
        <v/>
      </c>
      <c r="H236" s="43" t="str">
        <f t="shared" si="39"/>
        <v/>
      </c>
      <c r="I236" s="43"/>
      <c r="J236" s="44" t="str">
        <f t="shared" si="40"/>
        <v/>
      </c>
      <c r="K236" s="45" t="str">
        <f t="shared" si="41"/>
        <v/>
      </c>
      <c r="L236" s="43" t="str">
        <f t="shared" si="42"/>
        <v/>
      </c>
      <c r="M236" s="136" t="str">
        <f>IF(G236="","",INDEX([3]Countries!$C$7:$AO$254,MATCH([3]Dashboard!$B236,[3]Countries!$B$7:$B$254,0),MATCH([3]Dashboard!$N$7,[3]Countries!$C$6:$AO$6,0)))</f>
        <v/>
      </c>
      <c r="N236" s="137"/>
      <c r="O236" s="135" t="str">
        <f t="shared" si="43"/>
        <v/>
      </c>
      <c r="P236" s="45" t="str">
        <f t="shared" si="44"/>
        <v/>
      </c>
      <c r="Q236" s="43" t="str">
        <f t="shared" si="45"/>
        <v/>
      </c>
    </row>
    <row r="237" spans="2:17" x14ac:dyDescent="0.3">
      <c r="B237" t="str">
        <f>+'[3]Country Results'!B155</f>
        <v>Moldova</v>
      </c>
      <c r="C237" s="91">
        <f>INDEX('[3]Country Results'!$C$7:$AK$254,MATCH([3]Dashboard!$B237,'[3]Country Results'!$B$7:$B$254,0),MATCH([3]Dashboard!$C$8,'[3]Country Results'!$C$6:$AE$6,0))</f>
        <v>887.01886650000006</v>
      </c>
      <c r="D237" s="45" cm="1">
        <f t="array" ref="D237">INDEX('[3]Country Results'!$L$7:$AE$254,MATCH([3]Dashboard!B237,'[3]Country Results'!$B$7:$B$254,0),MATCH($C$8,'[3]Country Results'!$L$6:$AE$6,0)+1)</f>
        <v>4.7666214382129183E-4</v>
      </c>
      <c r="E237" s="43">
        <f t="shared" si="38"/>
        <v>129</v>
      </c>
      <c r="F237" s="43"/>
      <c r="G237" s="91">
        <f>IFERROR(INDEX('[3]Country Results'!$C$7:$AK$254,MATCH([3]Dashboard!$B237,'[3]Country Results'!$B$7:$B$254,0),MATCH([3]Dashboard!$C$9,'[3]Country Results'!$C$6:$AK$6,0)),"")</f>
        <v>5370</v>
      </c>
      <c r="H237" s="43">
        <f t="shared" si="39"/>
        <v>109</v>
      </c>
      <c r="I237" s="43"/>
      <c r="J237" s="44">
        <f t="shared" si="40"/>
        <v>4.7632913131050003</v>
      </c>
      <c r="K237" s="45">
        <f t="shared" si="41"/>
        <v>1.0653644830841064E-4</v>
      </c>
      <c r="L237" s="43">
        <f t="shared" si="42"/>
        <v>105</v>
      </c>
      <c r="M237" s="136" t="str">
        <f>IF(G237="","",INDEX([3]Countries!$C$7:$AO$254,MATCH([3]Dashboard!$B237,[3]Countries!$B$7:$B$254,0),MATCH([3]Dashboard!$N$7,[3]Countries!$C$6:$AO$6,0)))</f>
        <v/>
      </c>
      <c r="N237" s="137"/>
      <c r="O237" s="135">
        <f t="shared" si="43"/>
        <v>4.7632913131050003</v>
      </c>
      <c r="P237" s="45">
        <f t="shared" si="44"/>
        <v>1.0971507438222196E-4</v>
      </c>
      <c r="Q237" s="43">
        <f t="shared" si="45"/>
        <v>76</v>
      </c>
    </row>
    <row r="238" spans="2:17" x14ac:dyDescent="0.3">
      <c r="B238" t="str">
        <f>+'[3]Country Results'!B156</f>
        <v>Mongolia</v>
      </c>
      <c r="C238" s="91">
        <f>INDEX('[3]Country Results'!$C$7:$AK$254,MATCH([3]Dashboard!$B238,'[3]Country Results'!$B$7:$B$254,0),MATCH([3]Dashboard!$C$8,'[3]Country Results'!$C$6:$AE$6,0))</f>
        <v>2022.193301</v>
      </c>
      <c r="D238" s="45" cm="1">
        <f t="array" ref="D238">INDEX('[3]Country Results'!$L$7:$AE$254,MATCH([3]Dashboard!B238,'[3]Country Results'!$B$7:$B$254,0),MATCH($C$8,'[3]Country Results'!$L$6:$AE$6,0)+1)</f>
        <v>1.0866769924286778E-3</v>
      </c>
      <c r="E238" s="43">
        <f t="shared" si="38"/>
        <v>93</v>
      </c>
      <c r="F238" s="43"/>
      <c r="G238" s="91">
        <f>IFERROR(INDEX('[3]Country Results'!$C$7:$AK$254,MATCH([3]Dashboard!$B238,'[3]Country Results'!$B$7:$B$254,0),MATCH([3]Dashboard!$C$9,'[3]Country Results'!$C$6:$AK$6,0)),"")</f>
        <v>3730</v>
      </c>
      <c r="H238" s="43">
        <f t="shared" si="39"/>
        <v>131</v>
      </c>
      <c r="I238" s="43"/>
      <c r="J238" s="44">
        <f t="shared" si="40"/>
        <v>7.5427810127299999</v>
      </c>
      <c r="K238" s="45">
        <f t="shared" si="41"/>
        <v>1.6870290869120668E-4</v>
      </c>
      <c r="L238" s="43">
        <f t="shared" si="42"/>
        <v>96</v>
      </c>
      <c r="M238" s="136" t="str">
        <f>IF(G238="","",INDEX([3]Countries!$C$7:$AO$254,MATCH([3]Dashboard!$B238,[3]Countries!$B$7:$B$254,0),MATCH([3]Dashboard!$N$7,[3]Countries!$C$6:$AO$6,0)))</f>
        <v>x</v>
      </c>
      <c r="N238" s="137"/>
      <c r="O238" s="135" t="str">
        <f t="shared" si="43"/>
        <v>-</v>
      </c>
      <c r="P238" s="45" t="str">
        <f t="shared" si="44"/>
        <v/>
      </c>
      <c r="Q238" s="43" t="str">
        <f t="shared" si="45"/>
        <v/>
      </c>
    </row>
    <row r="239" spans="2:17" x14ac:dyDescent="0.3">
      <c r="B239" t="str">
        <f>+'[3]Country Results'!B157</f>
        <v>Montenegro</v>
      </c>
      <c r="C239" s="91">
        <f>INDEX('[3]Country Results'!$C$7:$AK$254,MATCH([3]Dashboard!$B239,'[3]Country Results'!$B$7:$B$254,0),MATCH([3]Dashboard!$C$8,'[3]Country Results'!$C$6:$AE$6,0))</f>
        <v>107.21895809999998</v>
      </c>
      <c r="D239" s="45" cm="1">
        <f t="array" ref="D239">INDEX('[3]Country Results'!$L$7:$AE$254,MATCH([3]Dashboard!B239,'[3]Country Results'!$B$7:$B$254,0),MATCH($C$8,'[3]Country Results'!$L$6:$AE$6,0)+1)</f>
        <v>5.761683359440839E-5</v>
      </c>
      <c r="E239" s="43">
        <f t="shared" si="38"/>
        <v>167</v>
      </c>
      <c r="F239" s="43"/>
      <c r="G239" s="91">
        <f>IFERROR(INDEX('[3]Country Results'!$C$7:$AK$254,MATCH([3]Dashboard!$B239,'[3]Country Results'!$B$7:$B$254,0),MATCH([3]Dashboard!$C$9,'[3]Country Results'!$C$6:$AK$6,0)),"")</f>
        <v>9340</v>
      </c>
      <c r="H239" s="43">
        <f t="shared" si="39"/>
        <v>83</v>
      </c>
      <c r="I239" s="43"/>
      <c r="J239" s="44">
        <f t="shared" si="40"/>
        <v>1.0014250686539998</v>
      </c>
      <c r="K239" s="45">
        <f t="shared" si="41"/>
        <v>2.2398014954046046E-5</v>
      </c>
      <c r="L239" s="43">
        <f t="shared" si="42"/>
        <v>150</v>
      </c>
      <c r="M239" s="136" t="str">
        <f>IF(G239="","",INDEX([3]Countries!$C$7:$AO$254,MATCH([3]Dashboard!$B239,[3]Countries!$B$7:$B$254,0),MATCH([3]Dashboard!$N$7,[3]Countries!$C$6:$AO$6,0)))</f>
        <v/>
      </c>
      <c r="N239" s="137"/>
      <c r="O239" s="135">
        <f t="shared" si="43"/>
        <v>1.0014250686539998</v>
      </c>
      <c r="P239" s="45">
        <f t="shared" si="44"/>
        <v>2.3066283095747612E-5</v>
      </c>
      <c r="Q239" s="43">
        <f t="shared" si="45"/>
        <v>87</v>
      </c>
    </row>
    <row r="240" spans="2:17" x14ac:dyDescent="0.3">
      <c r="B240" t="str">
        <f>+'[3]Country Results'!B158</f>
        <v>Montserrat</v>
      </c>
      <c r="C240" s="91">
        <f>INDEX('[3]Country Results'!$C$7:$AK$254,MATCH([3]Dashboard!$B240,'[3]Country Results'!$B$7:$B$254,0),MATCH([3]Dashboard!$C$8,'[3]Country Results'!$C$6:$AE$6,0))</f>
        <v>0</v>
      </c>
      <c r="D240" s="45" cm="1">
        <f t="array" ref="D240">INDEX('[3]Country Results'!$L$7:$AE$254,MATCH([3]Dashboard!B240,'[3]Country Results'!$B$7:$B$254,0),MATCH($C$8,'[3]Country Results'!$L$6:$AE$6,0)+1)</f>
        <v>0</v>
      </c>
      <c r="E240" s="43">
        <f t="shared" si="38"/>
        <v>200</v>
      </c>
      <c r="F240" s="43"/>
      <c r="G240" s="91" t="str">
        <f>IFERROR(INDEX('[3]Country Results'!$C$7:$AK$254,MATCH([3]Dashboard!$B240,'[3]Country Results'!$B$7:$B$254,0),MATCH([3]Dashboard!$C$9,'[3]Country Results'!$C$6:$AK$6,0)),"")</f>
        <v/>
      </c>
      <c r="H240" s="43" t="str">
        <f t="shared" si="39"/>
        <v/>
      </c>
      <c r="I240" s="43"/>
      <c r="J240" s="44" t="str">
        <f t="shared" si="40"/>
        <v/>
      </c>
      <c r="K240" s="45" t="str">
        <f t="shared" si="41"/>
        <v/>
      </c>
      <c r="L240" s="43" t="str">
        <f t="shared" si="42"/>
        <v/>
      </c>
      <c r="M240" s="136" t="str">
        <f>IF(G240="","",INDEX([3]Countries!$C$7:$AO$254,MATCH([3]Dashboard!$B240,[3]Countries!$B$7:$B$254,0),MATCH([3]Dashboard!$N$7,[3]Countries!$C$6:$AO$6,0)))</f>
        <v/>
      </c>
      <c r="N240" s="137"/>
      <c r="O240" s="135" t="str">
        <f t="shared" si="43"/>
        <v/>
      </c>
      <c r="P240" s="45" t="str">
        <f t="shared" si="44"/>
        <v/>
      </c>
      <c r="Q240" s="43" t="str">
        <f t="shared" si="45"/>
        <v/>
      </c>
    </row>
    <row r="241" spans="2:17" x14ac:dyDescent="0.3">
      <c r="B241" t="str">
        <f>+'[3]Country Results'!B159</f>
        <v>Morocco</v>
      </c>
      <c r="C241" s="91">
        <f>INDEX('[3]Country Results'!$C$7:$AK$254,MATCH([3]Dashboard!$B241,'[3]Country Results'!$B$7:$B$254,0),MATCH([3]Dashboard!$C$8,'[3]Country Results'!$C$6:$AE$6,0))</f>
        <v>3174.7981460000001</v>
      </c>
      <c r="D241" s="45" cm="1">
        <f t="array" ref="D241">INDEX('[3]Country Results'!$L$7:$AE$254,MATCH([3]Dashboard!B241,'[3]Country Results'!$B$7:$B$254,0),MATCH($C$8,'[3]Country Results'!$L$6:$AE$6,0)+1)</f>
        <v>1.7060585153542758E-3</v>
      </c>
      <c r="E241" s="43">
        <f t="shared" si="38"/>
        <v>70</v>
      </c>
      <c r="F241" s="43"/>
      <c r="G241" s="91">
        <f>IFERROR(INDEX('[3]Country Results'!$C$7:$AK$254,MATCH([3]Dashboard!$B241,'[3]Country Results'!$B$7:$B$254,0),MATCH([3]Dashboard!$C$9,'[3]Country Results'!$C$6:$AK$6,0)),"")</f>
        <v>3620</v>
      </c>
      <c r="H241" s="43">
        <f t="shared" si="39"/>
        <v>134</v>
      </c>
      <c r="I241" s="43"/>
      <c r="J241" s="44">
        <f t="shared" si="40"/>
        <v>11.492769288520002</v>
      </c>
      <c r="K241" s="45">
        <f t="shared" si="41"/>
        <v>2.570489060491166E-4</v>
      </c>
      <c r="L241" s="43">
        <f t="shared" si="42"/>
        <v>87</v>
      </c>
      <c r="M241" s="136" t="str">
        <f>IF(G241="","",INDEX([3]Countries!$C$7:$AO$254,MATCH([3]Dashboard!$B241,[3]Countries!$B$7:$B$254,0),MATCH([3]Dashboard!$N$7,[3]Countries!$C$6:$AO$6,0)))</f>
        <v>x</v>
      </c>
      <c r="N241" s="137"/>
      <c r="O241" s="135" t="str">
        <f t="shared" si="43"/>
        <v>-</v>
      </c>
      <c r="P241" s="45" t="str">
        <f t="shared" si="44"/>
        <v/>
      </c>
      <c r="Q241" s="43" t="str">
        <f t="shared" si="45"/>
        <v/>
      </c>
    </row>
    <row r="242" spans="2:17" x14ac:dyDescent="0.3">
      <c r="B242" t="str">
        <f>+'[3]Country Results'!B160</f>
        <v>Mozambique</v>
      </c>
      <c r="C242" s="91">
        <f>INDEX('[3]Country Results'!$C$7:$AK$254,MATCH([3]Dashboard!$B242,'[3]Country Results'!$B$7:$B$254,0),MATCH([3]Dashboard!$C$8,'[3]Country Results'!$C$6:$AE$6,0))</f>
        <v>2783.671382</v>
      </c>
      <c r="D242" s="45" cm="1">
        <f t="array" ref="D242">INDEX('[3]Country Results'!$L$7:$AE$254,MATCH([3]Dashboard!B242,'[3]Country Results'!$B$7:$B$254,0),MATCH($C$8,'[3]Country Results'!$L$6:$AE$6,0)+1)</f>
        <v>1.4958766027983895E-3</v>
      </c>
      <c r="E242" s="43">
        <f t="shared" si="38"/>
        <v>76</v>
      </c>
      <c r="F242" s="43"/>
      <c r="G242" s="91">
        <f>IFERROR(INDEX('[3]Country Results'!$C$7:$AK$254,MATCH([3]Dashboard!$B242,'[3]Country Results'!$B$7:$B$254,0),MATCH([3]Dashboard!$C$9,'[3]Country Results'!$C$6:$AK$6,0)),"")</f>
        <v>480</v>
      </c>
      <c r="H242" s="43">
        <f t="shared" si="39"/>
        <v>199</v>
      </c>
      <c r="I242" s="43"/>
      <c r="J242" s="44">
        <f t="shared" si="40"/>
        <v>1.3361622633599999</v>
      </c>
      <c r="K242" s="45">
        <f t="shared" si="41"/>
        <v>2.9884794471936105E-5</v>
      </c>
      <c r="L242" s="43">
        <f t="shared" si="42"/>
        <v>141</v>
      </c>
      <c r="M242" s="136" t="str">
        <f>IF(G242="","",INDEX([3]Countries!$C$7:$AO$254,MATCH([3]Dashboard!$B242,[3]Countries!$B$7:$B$254,0),MATCH([3]Dashboard!$N$7,[3]Countries!$C$6:$AO$6,0)))</f>
        <v>x</v>
      </c>
      <c r="N242" s="137"/>
      <c r="O242" s="135" t="str">
        <f t="shared" si="43"/>
        <v>-</v>
      </c>
      <c r="P242" s="45" t="str">
        <f t="shared" si="44"/>
        <v/>
      </c>
      <c r="Q242" s="43" t="str">
        <f t="shared" si="45"/>
        <v/>
      </c>
    </row>
    <row r="243" spans="2:17" x14ac:dyDescent="0.3">
      <c r="B243" t="str">
        <f>+'[3]Country Results'!B161</f>
        <v>Myanmar</v>
      </c>
      <c r="C243" s="91">
        <f>INDEX('[3]Country Results'!$C$7:$AK$254,MATCH([3]Dashboard!$B243,'[3]Country Results'!$B$7:$B$254,0),MATCH([3]Dashboard!$C$8,'[3]Country Results'!$C$6:$AE$6,0))</f>
        <v>8711.9059300000008</v>
      </c>
      <c r="D243" s="45" cm="1">
        <f t="array" ref="D243">INDEX('[3]Country Results'!$L$7:$AE$254,MATCH([3]Dashboard!B243,'[3]Country Results'!$B$7:$B$254,0),MATCH($C$8,'[3]Country Results'!$L$6:$AE$6,0)+1)</f>
        <v>4.681564185605995E-3</v>
      </c>
      <c r="E243" s="43">
        <f t="shared" si="38"/>
        <v>37</v>
      </c>
      <c r="F243" s="43"/>
      <c r="G243" s="91">
        <f>IFERROR(INDEX('[3]Country Results'!$C$7:$AK$254,MATCH([3]Dashboard!$B243,'[3]Country Results'!$B$7:$B$254,0),MATCH([3]Dashboard!$C$9,'[3]Country Results'!$C$6:$AK$6,0)),"")</f>
        <v>1170</v>
      </c>
      <c r="H243" s="43">
        <f t="shared" si="39"/>
        <v>173</v>
      </c>
      <c r="I243" s="43"/>
      <c r="J243" s="44">
        <f t="shared" si="40"/>
        <v>10.192929938100001</v>
      </c>
      <c r="K243" s="45">
        <f t="shared" si="41"/>
        <v>2.2797651499374176E-4</v>
      </c>
      <c r="L243" s="43">
        <f t="shared" si="42"/>
        <v>90</v>
      </c>
      <c r="M243" s="136" t="str">
        <f>IF(G243="","",INDEX([3]Countries!$C$7:$AO$254,MATCH([3]Dashboard!$B243,[3]Countries!$B$7:$B$254,0),MATCH([3]Dashboard!$N$7,[3]Countries!$C$6:$AO$6,0)))</f>
        <v>x</v>
      </c>
      <c r="N243" s="137"/>
      <c r="O243" s="135" t="str">
        <f t="shared" si="43"/>
        <v>-</v>
      </c>
      <c r="P243" s="45" t="str">
        <f t="shared" si="44"/>
        <v/>
      </c>
      <c r="Q243" s="43" t="str">
        <f t="shared" si="45"/>
        <v/>
      </c>
    </row>
    <row r="244" spans="2:17" x14ac:dyDescent="0.3">
      <c r="B244" t="str">
        <f>+'[3]Country Results'!B162</f>
        <v>Namibia</v>
      </c>
      <c r="C244" s="91">
        <f>INDEX('[3]Country Results'!$C$7:$AK$254,MATCH([3]Dashboard!$B244,'[3]Country Results'!$B$7:$B$254,0),MATCH([3]Dashboard!$C$8,'[3]Country Results'!$C$6:$AE$6,0))</f>
        <v>612.0532280000001</v>
      </c>
      <c r="D244" s="45" cm="1">
        <f t="array" ref="D244">INDEX('[3]Country Results'!$L$7:$AE$254,MATCH([3]Dashboard!B244,'[3]Country Results'!$B$7:$B$254,0),MATCH($C$8,'[3]Country Results'!$L$6:$AE$6,0)+1)</f>
        <v>3.2890236590161858E-4</v>
      </c>
      <c r="E244" s="43">
        <f t="shared" si="38"/>
        <v>136</v>
      </c>
      <c r="F244" s="43"/>
      <c r="G244" s="91">
        <f>IFERROR(INDEX('[3]Country Results'!$C$7:$AK$254,MATCH([3]Dashboard!$B244,'[3]Country Results'!$B$7:$B$254,0),MATCH([3]Dashboard!$C$9,'[3]Country Results'!$C$6:$AK$6,0)),"")</f>
        <v>4650</v>
      </c>
      <c r="H244" s="43">
        <f t="shared" si="39"/>
        <v>120</v>
      </c>
      <c r="I244" s="43"/>
      <c r="J244" s="44">
        <f t="shared" si="40"/>
        <v>2.8460475102000005</v>
      </c>
      <c r="K244" s="45">
        <f t="shared" si="41"/>
        <v>6.3655101803138307E-5</v>
      </c>
      <c r="L244" s="43">
        <f t="shared" si="42"/>
        <v>122</v>
      </c>
      <c r="M244" s="136" t="str">
        <f>IF(G244="","",INDEX([3]Countries!$C$7:$AO$254,MATCH([3]Dashboard!$B244,[3]Countries!$B$7:$B$254,0),MATCH([3]Dashboard!$N$7,[3]Countries!$C$6:$AO$6,0)))</f>
        <v/>
      </c>
      <c r="N244" s="137"/>
      <c r="O244" s="135">
        <f t="shared" si="43"/>
        <v>2.8460475102000005</v>
      </c>
      <c r="P244" s="45">
        <f t="shared" si="44"/>
        <v>6.5554318170262085E-5</v>
      </c>
      <c r="Q244" s="43">
        <f t="shared" si="45"/>
        <v>81</v>
      </c>
    </row>
    <row r="245" spans="2:17" x14ac:dyDescent="0.3">
      <c r="B245" t="str">
        <f>+'[3]Country Results'!B163</f>
        <v>Nauru</v>
      </c>
      <c r="C245" s="91">
        <f>INDEX('[3]Country Results'!$C$7:$AK$254,MATCH([3]Dashboard!$B245,'[3]Country Results'!$B$7:$B$254,0),MATCH([3]Dashboard!$C$8,'[3]Country Results'!$C$6:$AE$6,0))</f>
        <v>3.9740761769999993</v>
      </c>
      <c r="D245" s="45" cm="1">
        <f t="array" ref="D245">INDEX('[3]Country Results'!$L$7:$AE$254,MATCH([3]Dashboard!B245,'[3]Country Results'!$B$7:$B$254,0),MATCH($C$8,'[3]Country Results'!$L$6:$AE$6,0)+1)</f>
        <v>2.1355708900673569E-6</v>
      </c>
      <c r="E245" s="43">
        <f t="shared" si="38"/>
        <v>193</v>
      </c>
      <c r="F245" s="43"/>
      <c r="G245" s="91">
        <f>IFERROR(INDEX('[3]Country Results'!$C$7:$AK$254,MATCH([3]Dashboard!$B245,'[3]Country Results'!$B$7:$B$254,0),MATCH([3]Dashboard!$C$9,'[3]Country Results'!$C$6:$AK$6,0)),"")</f>
        <v>16920</v>
      </c>
      <c r="H245" s="43">
        <f t="shared" si="39"/>
        <v>58</v>
      </c>
      <c r="I245" s="43"/>
      <c r="J245" s="44">
        <f t="shared" si="40"/>
        <v>6.7241368914839991E-2</v>
      </c>
      <c r="K245" s="45">
        <f t="shared" si="41"/>
        <v>1.5039299830085173E-6</v>
      </c>
      <c r="L245" s="43">
        <f t="shared" si="42"/>
        <v>185</v>
      </c>
      <c r="M245" s="136" t="str">
        <f>IF(G245="","",INDEX([3]Countries!$C$7:$AO$254,MATCH([3]Dashboard!$B245,[3]Countries!$B$7:$B$254,0),MATCH([3]Dashboard!$N$7,[3]Countries!$C$6:$AO$6,0)))</f>
        <v>x</v>
      </c>
      <c r="N245" s="137"/>
      <c r="O245" s="135" t="str">
        <f t="shared" si="43"/>
        <v>-</v>
      </c>
      <c r="P245" s="45" t="str">
        <f t="shared" si="44"/>
        <v/>
      </c>
      <c r="Q245" s="43" t="str">
        <f t="shared" si="45"/>
        <v/>
      </c>
    </row>
    <row r="246" spans="2:17" x14ac:dyDescent="0.3">
      <c r="B246" t="str">
        <f>+'[3]Country Results'!B164</f>
        <v>Nepal</v>
      </c>
      <c r="C246" s="91">
        <f>INDEX('[3]Country Results'!$C$7:$AK$254,MATCH([3]Dashboard!$B246,'[3]Country Results'!$B$7:$B$254,0),MATCH([3]Dashboard!$C$8,'[3]Country Results'!$C$6:$AE$6,0))</f>
        <v>1869.562782</v>
      </c>
      <c r="D246" s="45" cm="1">
        <f t="array" ref="D246">INDEX('[3]Country Results'!$L$7:$AE$254,MATCH([3]Dashboard!B246,'[3]Country Results'!$B$7:$B$254,0),MATCH($C$8,'[3]Country Results'!$L$6:$AE$6,0)+1)</f>
        <v>1.004657101818948E-3</v>
      </c>
      <c r="E246" s="43">
        <f t="shared" si="38"/>
        <v>97</v>
      </c>
      <c r="F246" s="43"/>
      <c r="G246" s="91">
        <f>IFERROR(INDEX('[3]Country Results'!$C$7:$AK$254,MATCH([3]Dashboard!$B246,'[3]Country Results'!$B$7:$B$254,0),MATCH([3]Dashboard!$C$9,'[3]Country Results'!$C$6:$AK$6,0)),"")</f>
        <v>1220</v>
      </c>
      <c r="H246" s="43">
        <f t="shared" si="39"/>
        <v>170</v>
      </c>
      <c r="I246" s="43"/>
      <c r="J246" s="44">
        <f t="shared" si="40"/>
        <v>2.2808665940399999</v>
      </c>
      <c r="K246" s="45">
        <f t="shared" si="41"/>
        <v>5.1014185365018965E-5</v>
      </c>
      <c r="L246" s="43">
        <f t="shared" si="42"/>
        <v>128</v>
      </c>
      <c r="M246" s="136" t="str">
        <f>IF(G246="","",INDEX([3]Countries!$C$7:$AO$254,MATCH([3]Dashboard!$B246,[3]Countries!$B$7:$B$254,0),MATCH([3]Dashboard!$N$7,[3]Countries!$C$6:$AO$6,0)))</f>
        <v>x</v>
      </c>
      <c r="N246" s="137"/>
      <c r="O246" s="135" t="str">
        <f t="shared" si="43"/>
        <v>-</v>
      </c>
      <c r="P246" s="45" t="str">
        <f t="shared" si="44"/>
        <v/>
      </c>
      <c r="Q246" s="43" t="str">
        <f t="shared" si="45"/>
        <v/>
      </c>
    </row>
    <row r="247" spans="2:17" x14ac:dyDescent="0.3">
      <c r="B247" t="str">
        <f>+'[3]Country Results'!B165</f>
        <v>Netherlands</v>
      </c>
      <c r="C247" s="91">
        <f>INDEX('[3]Country Results'!$C$7:$AK$254,MATCH([3]Dashboard!$B247,'[3]Country Results'!$B$7:$B$254,0),MATCH([3]Dashboard!$C$8,'[3]Country Results'!$C$6:$AE$6,0))</f>
        <v>9289.6114400000042</v>
      </c>
      <c r="D247" s="45" cm="1">
        <f t="array" ref="D247">INDEX('[3]Country Results'!$L$7:$AE$254,MATCH([3]Dashboard!B247,'[3]Country Results'!$B$7:$B$254,0),MATCH($C$8,'[3]Country Results'!$L$6:$AE$6,0)+1)</f>
        <v>4.9920089318158823E-3</v>
      </c>
      <c r="E247" s="43">
        <f t="shared" si="38"/>
        <v>36</v>
      </c>
      <c r="F247" s="43"/>
      <c r="G247" s="91">
        <f>IFERROR(INDEX('[3]Country Results'!$C$7:$AK$254,MATCH([3]Dashboard!$B247,'[3]Country Results'!$B$7:$B$254,0),MATCH([3]Dashboard!$C$9,'[3]Country Results'!$C$6:$AK$6,0)),"")</f>
        <v>55200</v>
      </c>
      <c r="H247" s="43">
        <f t="shared" si="39"/>
        <v>14</v>
      </c>
      <c r="I247" s="43"/>
      <c r="J247" s="44">
        <f t="shared" si="40"/>
        <v>512.78655148800021</v>
      </c>
      <c r="K247" s="45">
        <f t="shared" si="41"/>
        <v>1.1469056655331471E-2</v>
      </c>
      <c r="L247" s="43">
        <f t="shared" si="42"/>
        <v>13</v>
      </c>
      <c r="M247" s="136" t="str">
        <f>IF(G247="","",INDEX([3]Countries!$C$7:$AO$254,MATCH([3]Dashboard!$B247,[3]Countries!$B$7:$B$254,0),MATCH([3]Dashboard!$N$7,[3]Countries!$C$6:$AO$6,0)))</f>
        <v/>
      </c>
      <c r="N247" s="137"/>
      <c r="O247" s="135">
        <f t="shared" si="43"/>
        <v>512.78655148800021</v>
      </c>
      <c r="P247" s="45">
        <f t="shared" si="44"/>
        <v>1.1811247925131647E-2</v>
      </c>
      <c r="Q247" s="43">
        <f t="shared" si="45"/>
        <v>13</v>
      </c>
    </row>
    <row r="248" spans="2:17" x14ac:dyDescent="0.3">
      <c r="B248" t="str">
        <f>+'[3]Country Results'!B166</f>
        <v>New Caledonia</v>
      </c>
      <c r="C248" s="91">
        <f>INDEX('[3]Country Results'!$C$7:$AK$254,MATCH([3]Dashboard!$B248,'[3]Country Results'!$B$7:$B$254,0),MATCH([3]Dashboard!$C$8,'[3]Country Results'!$C$6:$AE$6,0))</f>
        <v>0</v>
      </c>
      <c r="D248" s="45" cm="1">
        <f t="array" ref="D248">INDEX('[3]Country Results'!$L$7:$AE$254,MATCH([3]Dashboard!B248,'[3]Country Results'!$B$7:$B$254,0),MATCH($C$8,'[3]Country Results'!$L$6:$AE$6,0)+1)</f>
        <v>0</v>
      </c>
      <c r="E248" s="43">
        <f t="shared" si="38"/>
        <v>200</v>
      </c>
      <c r="F248" s="43"/>
      <c r="G248" s="91">
        <f>IFERROR(INDEX('[3]Country Results'!$C$7:$AK$254,MATCH([3]Dashboard!$B248,'[3]Country Results'!$B$7:$B$254,0),MATCH([3]Dashboard!$C$9,'[3]Country Results'!$C$6:$AK$6,0)),"")</f>
        <v>13210</v>
      </c>
      <c r="H248" s="43">
        <f t="shared" si="39"/>
        <v>68</v>
      </c>
      <c r="I248" s="43"/>
      <c r="J248" s="44">
        <f t="shared" si="40"/>
        <v>0</v>
      </c>
      <c r="K248" s="45">
        <f t="shared" si="41"/>
        <v>0</v>
      </c>
      <c r="L248" s="43">
        <f t="shared" si="42"/>
        <v>195</v>
      </c>
      <c r="M248" s="136" t="str">
        <f>IF(G248="","",INDEX([3]Countries!$C$7:$AO$254,MATCH([3]Dashboard!$B248,[3]Countries!$B$7:$B$254,0),MATCH([3]Dashboard!$N$7,[3]Countries!$C$6:$AO$6,0)))</f>
        <v>x</v>
      </c>
      <c r="N248" s="137"/>
      <c r="O248" s="135" t="str">
        <f t="shared" si="43"/>
        <v>-</v>
      </c>
      <c r="P248" s="45" t="str">
        <f t="shared" si="44"/>
        <v/>
      </c>
      <c r="Q248" s="43" t="str">
        <f t="shared" si="45"/>
        <v/>
      </c>
    </row>
    <row r="249" spans="2:17" x14ac:dyDescent="0.3">
      <c r="B249" t="str">
        <f>+'[3]Country Results'!B167</f>
        <v>New Zealand</v>
      </c>
      <c r="C249" s="91">
        <f>INDEX('[3]Country Results'!$C$7:$AK$254,MATCH([3]Dashboard!$B249,'[3]Country Results'!$B$7:$B$254,0),MATCH([3]Dashboard!$C$8,'[3]Country Results'!$C$6:$AE$6,0))</f>
        <v>3021.5712799999997</v>
      </c>
      <c r="D249" s="45" cm="1">
        <f t="array" ref="D249">INDEX('[3]Country Results'!$L$7:$AE$254,MATCH([3]Dashboard!B249,'[3]Country Results'!$B$7:$B$254,0),MATCH($C$8,'[3]Country Results'!$L$6:$AE$6,0)+1)</f>
        <v>1.6237181625196522E-3</v>
      </c>
      <c r="E249" s="43">
        <f t="shared" si="38"/>
        <v>72</v>
      </c>
      <c r="F249" s="43"/>
      <c r="G249" s="91">
        <f>IFERROR(INDEX('[3]Country Results'!$C$7:$AK$254,MATCH([3]Dashboard!$B249,'[3]Country Results'!$B$7:$B$254,0),MATCH([3]Dashboard!$C$9,'[3]Country Results'!$C$6:$AK$6,0)),"")</f>
        <v>45230</v>
      </c>
      <c r="H249" s="43">
        <f t="shared" si="39"/>
        <v>24</v>
      </c>
      <c r="I249" s="43"/>
      <c r="J249" s="44">
        <f t="shared" si="40"/>
        <v>136.66566899439999</v>
      </c>
      <c r="K249" s="45">
        <f t="shared" si="41"/>
        <v>3.0566837136956986E-3</v>
      </c>
      <c r="L249" s="43">
        <f t="shared" si="42"/>
        <v>38</v>
      </c>
      <c r="M249" s="136" t="str">
        <f>IF(G249="","",INDEX([3]Countries!$C$7:$AO$254,MATCH([3]Dashboard!$B249,[3]Countries!$B$7:$B$254,0),MATCH([3]Dashboard!$N$7,[3]Countries!$C$6:$AO$6,0)))</f>
        <v/>
      </c>
      <c r="N249" s="137"/>
      <c r="O249" s="135">
        <f t="shared" si="43"/>
        <v>136.66566899439999</v>
      </c>
      <c r="P249" s="45">
        <f t="shared" si="44"/>
        <v>3.1478830610178537E-3</v>
      </c>
      <c r="Q249" s="43">
        <f t="shared" si="45"/>
        <v>36</v>
      </c>
    </row>
    <row r="250" spans="2:17" x14ac:dyDescent="0.3">
      <c r="B250" t="str">
        <f>+'[3]Country Results'!B168</f>
        <v>Nicaragua</v>
      </c>
      <c r="C250" s="91">
        <f>INDEX('[3]Country Results'!$C$7:$AK$254,MATCH([3]Dashboard!$B250,'[3]Country Results'!$B$7:$B$254,0),MATCH([3]Dashboard!$C$8,'[3]Country Results'!$C$6:$AE$6,0))</f>
        <v>1969.6219579999999</v>
      </c>
      <c r="D250" s="45" cm="1">
        <f t="array" ref="D250">INDEX('[3]Country Results'!$L$7:$AE$254,MATCH([3]Dashboard!B250,'[3]Country Results'!$B$7:$B$254,0),MATCH($C$8,'[3]Country Results'!$L$6:$AE$6,0)+1)</f>
        <v>1.0584264444365912E-3</v>
      </c>
      <c r="E250" s="43">
        <f t="shared" si="38"/>
        <v>95</v>
      </c>
      <c r="F250" s="43"/>
      <c r="G250" s="91">
        <f>IFERROR(INDEX('[3]Country Results'!$C$7:$AK$254,MATCH([3]Dashboard!$B250,'[3]Country Results'!$B$7:$B$254,0),MATCH([3]Dashboard!$C$9,'[3]Country Results'!$C$6:$AK$6,0)),"")</f>
        <v>1950</v>
      </c>
      <c r="H250" s="43">
        <f t="shared" si="39"/>
        <v>159</v>
      </c>
      <c r="I250" s="43"/>
      <c r="J250" s="44">
        <f t="shared" si="40"/>
        <v>3.8407628181</v>
      </c>
      <c r="K250" s="45">
        <f t="shared" si="41"/>
        <v>8.5903045297611088E-5</v>
      </c>
      <c r="L250" s="43">
        <f t="shared" si="42"/>
        <v>111</v>
      </c>
      <c r="M250" s="136" t="str">
        <f>IF(G250="","",INDEX([3]Countries!$C$7:$AO$254,MATCH([3]Dashboard!$B250,[3]Countries!$B$7:$B$254,0),MATCH([3]Dashboard!$N$7,[3]Countries!$C$6:$AO$6,0)))</f>
        <v>x</v>
      </c>
      <c r="N250" s="137"/>
      <c r="O250" s="135" t="str">
        <f t="shared" si="43"/>
        <v>-</v>
      </c>
      <c r="P250" s="45" t="str">
        <f t="shared" si="44"/>
        <v/>
      </c>
      <c r="Q250" s="43" t="str">
        <f t="shared" si="45"/>
        <v/>
      </c>
    </row>
    <row r="251" spans="2:17" x14ac:dyDescent="0.3">
      <c r="B251" t="str">
        <f>+'[3]Country Results'!B169</f>
        <v>Niger</v>
      </c>
      <c r="C251" s="91">
        <f>INDEX('[3]Country Results'!$C$7:$AK$254,MATCH([3]Dashboard!$B251,'[3]Country Results'!$B$7:$B$254,0),MATCH([3]Dashboard!$C$8,'[3]Country Results'!$C$6:$AE$6,0))</f>
        <v>1487.4119500000002</v>
      </c>
      <c r="D251" s="45" cm="1">
        <f t="array" ref="D251">INDEX('[3]Country Results'!$L$7:$AE$254,MATCH([3]Dashboard!B251,'[3]Country Results'!$B$7:$B$254,0),MATCH($C$8,'[3]Country Results'!$L$6:$AE$6,0)+1)</f>
        <v>7.9929863457127285E-4</v>
      </c>
      <c r="E251" s="43">
        <f t="shared" si="38"/>
        <v>107</v>
      </c>
      <c r="F251" s="43"/>
      <c r="G251" s="91">
        <f>IFERROR(INDEX('[3]Country Results'!$C$7:$AK$254,MATCH([3]Dashboard!$B251,'[3]Country Results'!$B$7:$B$254,0),MATCH([3]Dashboard!$C$9,'[3]Country Results'!$C$6:$AK$6,0)),"")</f>
        <v>590</v>
      </c>
      <c r="H251" s="43">
        <f t="shared" si="39"/>
        <v>195</v>
      </c>
      <c r="I251" s="43"/>
      <c r="J251" s="44">
        <f t="shared" si="40"/>
        <v>0.87757305050000012</v>
      </c>
      <c r="K251" s="45">
        <f t="shared" si="41"/>
        <v>1.9627923170313679E-5</v>
      </c>
      <c r="L251" s="43">
        <f t="shared" si="42"/>
        <v>152</v>
      </c>
      <c r="M251" s="136" t="str">
        <f>IF(G251="","",INDEX([3]Countries!$C$7:$AO$254,MATCH([3]Dashboard!$B251,[3]Countries!$B$7:$B$254,0),MATCH([3]Dashboard!$N$7,[3]Countries!$C$6:$AO$6,0)))</f>
        <v>x</v>
      </c>
      <c r="N251" s="137"/>
      <c r="O251" s="135" t="str">
        <f t="shared" si="43"/>
        <v>-</v>
      </c>
      <c r="P251" s="45" t="str">
        <f t="shared" si="44"/>
        <v/>
      </c>
      <c r="Q251" s="43" t="str">
        <f t="shared" si="45"/>
        <v/>
      </c>
    </row>
    <row r="252" spans="2:17" x14ac:dyDescent="0.3">
      <c r="B252" t="str">
        <f>+'[3]Country Results'!B170</f>
        <v>Nigeria</v>
      </c>
      <c r="C252" s="91">
        <f>INDEX('[3]Country Results'!$C$7:$AK$254,MATCH([3]Dashboard!$B252,'[3]Country Results'!$B$7:$B$254,0),MATCH([3]Dashboard!$C$8,'[3]Country Results'!$C$6:$AE$6,0))</f>
        <v>18315.151680000003</v>
      </c>
      <c r="D252" s="45" cm="1">
        <f t="array" ref="D252">INDEX('[3]Country Results'!$L$7:$AE$254,MATCH([3]Dashboard!B252,'[3]Country Results'!$B$7:$B$254,0),MATCH($C$8,'[3]Country Results'!$L$6:$AE$6,0)+1)</f>
        <v>9.8421124892735697E-3</v>
      </c>
      <c r="E252" s="43">
        <f t="shared" si="38"/>
        <v>21</v>
      </c>
      <c r="F252" s="43"/>
      <c r="G252" s="91">
        <f>IFERROR(INDEX('[3]Country Results'!$C$7:$AK$254,MATCH([3]Dashboard!$B252,'[3]Country Results'!$B$7:$B$254,0),MATCH([3]Dashboard!$C$9,'[3]Country Results'!$C$6:$AK$6,0)),"")</f>
        <v>2080</v>
      </c>
      <c r="H252" s="43">
        <f t="shared" si="39"/>
        <v>155</v>
      </c>
      <c r="I252" s="43"/>
      <c r="J252" s="44">
        <f t="shared" si="40"/>
        <v>38.095515494400004</v>
      </c>
      <c r="K252" s="45">
        <f t="shared" si="41"/>
        <v>8.5204969641165785E-4</v>
      </c>
      <c r="L252" s="43">
        <f t="shared" si="42"/>
        <v>58</v>
      </c>
      <c r="M252" s="136" t="str">
        <f>IF(G252="","",INDEX([3]Countries!$C$7:$AO$254,MATCH([3]Dashboard!$B252,[3]Countries!$B$7:$B$254,0),MATCH([3]Dashboard!$N$7,[3]Countries!$C$6:$AO$6,0)))</f>
        <v>x</v>
      </c>
      <c r="N252" s="137"/>
      <c r="O252" s="135" t="str">
        <f t="shared" si="43"/>
        <v>-</v>
      </c>
      <c r="P252" s="45" t="str">
        <f t="shared" si="44"/>
        <v/>
      </c>
      <c r="Q252" s="43" t="str">
        <f t="shared" si="45"/>
        <v/>
      </c>
    </row>
    <row r="253" spans="2:17" x14ac:dyDescent="0.3">
      <c r="B253" t="str">
        <f>+'[3]Country Results'!B171</f>
        <v>Niue</v>
      </c>
      <c r="C253" s="91">
        <f>INDEX('[3]Country Results'!$C$7:$AK$254,MATCH([3]Dashboard!$B253,'[3]Country Results'!$B$7:$B$254,0),MATCH([3]Dashboard!$C$8,'[3]Country Results'!$C$6:$AE$6,0))</f>
        <v>0.42877650599999995</v>
      </c>
      <c r="D253" s="45" cm="1">
        <f t="array" ref="D253">INDEX('[3]Country Results'!$L$7:$AE$254,MATCH([3]Dashboard!B253,'[3]Country Results'!$B$7:$B$254,0),MATCH($C$8,'[3]Country Results'!$L$6:$AE$6,0)+1)</f>
        <v>2.3041395881083322E-7</v>
      </c>
      <c r="E253" s="43">
        <f t="shared" si="38"/>
        <v>199</v>
      </c>
      <c r="F253" s="43"/>
      <c r="G253" s="91" t="str">
        <f>IFERROR(INDEX('[3]Country Results'!$C$7:$AK$254,MATCH([3]Dashboard!$B253,'[3]Country Results'!$B$7:$B$254,0),MATCH([3]Dashboard!$C$9,'[3]Country Results'!$C$6:$AK$6,0)),"")</f>
        <v/>
      </c>
      <c r="H253" s="43" t="str">
        <f t="shared" si="39"/>
        <v/>
      </c>
      <c r="I253" s="43"/>
      <c r="J253" s="44" t="str">
        <f t="shared" si="40"/>
        <v/>
      </c>
      <c r="K253" s="45" t="str">
        <f t="shared" si="41"/>
        <v/>
      </c>
      <c r="L253" s="43" t="str">
        <f t="shared" si="42"/>
        <v/>
      </c>
      <c r="M253" s="136" t="str">
        <f>IF(G253="","",INDEX([3]Countries!$C$7:$AO$254,MATCH([3]Dashboard!$B253,[3]Countries!$B$7:$B$254,0),MATCH([3]Dashboard!$N$7,[3]Countries!$C$6:$AO$6,0)))</f>
        <v/>
      </c>
      <c r="N253" s="137"/>
      <c r="O253" s="135" t="str">
        <f t="shared" si="43"/>
        <v/>
      </c>
      <c r="P253" s="45" t="str">
        <f t="shared" si="44"/>
        <v/>
      </c>
      <c r="Q253" s="43" t="str">
        <f t="shared" si="45"/>
        <v/>
      </c>
    </row>
    <row r="254" spans="2:17" x14ac:dyDescent="0.3">
      <c r="B254" t="str">
        <f>+'[3]Country Results'!B172</f>
        <v>Non-OECD (GCP)</v>
      </c>
      <c r="C254" s="91" t="str">
        <f>INDEX('[3]Country Results'!$C$7:$AK$254,MATCH([3]Dashboard!$B254,'[3]Country Results'!$B$7:$B$254,0),MATCH([3]Dashboard!$C$8,'[3]Country Results'!$C$6:$AE$6,0))</f>
        <v/>
      </c>
      <c r="D254" s="45" t="str" cm="1">
        <f t="array" ref="D254">INDEX('[3]Country Results'!$L$7:$AE$254,MATCH([3]Dashboard!B254,'[3]Country Results'!$B$7:$B$254,0),MATCH($C$8,'[3]Country Results'!$L$6:$AE$6,0)+1)</f>
        <v/>
      </c>
      <c r="E254" s="43" t="str">
        <f t="shared" si="38"/>
        <v/>
      </c>
      <c r="F254" s="43"/>
      <c r="G254" s="91" t="str">
        <f>IFERROR(INDEX('[3]Country Results'!$C$7:$AK$254,MATCH([3]Dashboard!$B254,'[3]Country Results'!$B$7:$B$254,0),MATCH([3]Dashboard!$C$9,'[3]Country Results'!$C$6:$AK$6,0)),"")</f>
        <v/>
      </c>
      <c r="H254" s="43" t="str">
        <f t="shared" si="39"/>
        <v/>
      </c>
      <c r="I254" s="43"/>
      <c r="J254" s="44" t="str">
        <f t="shared" si="40"/>
        <v/>
      </c>
      <c r="K254" s="45" t="str">
        <f t="shared" si="41"/>
        <v/>
      </c>
      <c r="L254" s="43" t="str">
        <f t="shared" si="42"/>
        <v/>
      </c>
      <c r="M254" s="136" t="str">
        <f>IF(G254="","",INDEX([3]Countries!$C$7:$AO$254,MATCH([3]Dashboard!$B254,[3]Countries!$B$7:$B$254,0),MATCH([3]Dashboard!$N$7,[3]Countries!$C$6:$AO$6,0)))</f>
        <v/>
      </c>
      <c r="N254" s="137"/>
      <c r="O254" s="135" t="str">
        <f t="shared" si="43"/>
        <v/>
      </c>
      <c r="P254" s="45" t="str">
        <f t="shared" si="44"/>
        <v/>
      </c>
      <c r="Q254" s="43" t="str">
        <f t="shared" si="45"/>
        <v/>
      </c>
    </row>
    <row r="255" spans="2:17" x14ac:dyDescent="0.3">
      <c r="B255" t="str">
        <f>+'[3]Country Results'!B173</f>
        <v>North America</v>
      </c>
      <c r="C255" s="91" t="str">
        <f>INDEX('[3]Country Results'!$C$7:$AK$254,MATCH([3]Dashboard!$B255,'[3]Country Results'!$B$7:$B$254,0),MATCH([3]Dashboard!$C$8,'[3]Country Results'!$C$6:$AE$6,0))</f>
        <v/>
      </c>
      <c r="D255" s="45" t="str" cm="1">
        <f t="array" ref="D255">INDEX('[3]Country Results'!$L$7:$AE$254,MATCH([3]Dashboard!B255,'[3]Country Results'!$B$7:$B$254,0),MATCH($C$8,'[3]Country Results'!$L$6:$AE$6,0)+1)</f>
        <v/>
      </c>
      <c r="E255" s="43" t="str">
        <f t="shared" si="38"/>
        <v/>
      </c>
      <c r="F255" s="43"/>
      <c r="G255" s="91" t="str">
        <f>IFERROR(INDEX('[3]Country Results'!$C$7:$AK$254,MATCH([3]Dashboard!$B255,'[3]Country Results'!$B$7:$B$254,0),MATCH([3]Dashboard!$C$9,'[3]Country Results'!$C$6:$AK$6,0)),"")</f>
        <v/>
      </c>
      <c r="H255" s="43" t="str">
        <f t="shared" si="39"/>
        <v/>
      </c>
      <c r="I255" s="43"/>
      <c r="J255" s="44" t="str">
        <f t="shared" si="40"/>
        <v/>
      </c>
      <c r="K255" s="45" t="str">
        <f t="shared" si="41"/>
        <v/>
      </c>
      <c r="L255" s="43" t="str">
        <f t="shared" si="42"/>
        <v/>
      </c>
      <c r="M255" s="136" t="str">
        <f>IF(G255="","",INDEX([3]Countries!$C$7:$AO$254,MATCH([3]Dashboard!$B255,[3]Countries!$B$7:$B$254,0),MATCH([3]Dashboard!$N$7,[3]Countries!$C$6:$AO$6,0)))</f>
        <v/>
      </c>
      <c r="N255" s="137"/>
      <c r="O255" s="135" t="str">
        <f t="shared" si="43"/>
        <v/>
      </c>
      <c r="P255" s="45" t="str">
        <f t="shared" si="44"/>
        <v/>
      </c>
      <c r="Q255" s="43" t="str">
        <f t="shared" si="45"/>
        <v/>
      </c>
    </row>
    <row r="256" spans="2:17" x14ac:dyDescent="0.3">
      <c r="B256" t="str">
        <f>+'[3]Country Results'!B174</f>
        <v>North America (GCP)</v>
      </c>
      <c r="C256" s="91" t="str">
        <f>INDEX('[3]Country Results'!$C$7:$AK$254,MATCH([3]Dashboard!$B256,'[3]Country Results'!$B$7:$B$254,0),MATCH([3]Dashboard!$C$8,'[3]Country Results'!$C$6:$AE$6,0))</f>
        <v/>
      </c>
      <c r="D256" s="45" t="str" cm="1">
        <f t="array" ref="D256">INDEX('[3]Country Results'!$L$7:$AE$254,MATCH([3]Dashboard!B256,'[3]Country Results'!$B$7:$B$254,0),MATCH($C$8,'[3]Country Results'!$L$6:$AE$6,0)+1)</f>
        <v/>
      </c>
      <c r="E256" s="43" t="str">
        <f t="shared" si="38"/>
        <v/>
      </c>
      <c r="F256" s="43"/>
      <c r="G256" s="91" t="str">
        <f>IFERROR(INDEX('[3]Country Results'!$C$7:$AK$254,MATCH([3]Dashboard!$B256,'[3]Country Results'!$B$7:$B$254,0),MATCH([3]Dashboard!$C$9,'[3]Country Results'!$C$6:$AK$6,0)),"")</f>
        <v/>
      </c>
      <c r="H256" s="43" t="str">
        <f t="shared" si="39"/>
        <v/>
      </c>
      <c r="I256" s="43"/>
      <c r="J256" s="44" t="str">
        <f t="shared" si="40"/>
        <v/>
      </c>
      <c r="K256" s="45" t="str">
        <f t="shared" si="41"/>
        <v/>
      </c>
      <c r="L256" s="43" t="str">
        <f t="shared" si="42"/>
        <v/>
      </c>
      <c r="M256" s="136" t="str">
        <f>IF(G256="","",INDEX([3]Countries!$C$7:$AO$254,MATCH([3]Dashboard!$B256,[3]Countries!$B$7:$B$254,0),MATCH([3]Dashboard!$N$7,[3]Countries!$C$6:$AO$6,0)))</f>
        <v/>
      </c>
      <c r="N256" s="137"/>
      <c r="O256" s="135" t="str">
        <f t="shared" si="43"/>
        <v/>
      </c>
      <c r="P256" s="45" t="str">
        <f t="shared" si="44"/>
        <v/>
      </c>
      <c r="Q256" s="43" t="str">
        <f t="shared" si="45"/>
        <v/>
      </c>
    </row>
    <row r="257" spans="2:17" x14ac:dyDescent="0.3">
      <c r="B257" t="str">
        <f>+'[3]Country Results'!B175</f>
        <v>North America (excl. USA)</v>
      </c>
      <c r="C257" s="91" t="str">
        <f>INDEX('[3]Country Results'!$C$7:$AK$254,MATCH([3]Dashboard!$B257,'[3]Country Results'!$B$7:$B$254,0),MATCH([3]Dashboard!$C$8,'[3]Country Results'!$C$6:$AE$6,0))</f>
        <v/>
      </c>
      <c r="D257" s="45" t="str" cm="1">
        <f t="array" ref="D257">INDEX('[3]Country Results'!$L$7:$AE$254,MATCH([3]Dashboard!B257,'[3]Country Results'!$B$7:$B$254,0),MATCH($C$8,'[3]Country Results'!$L$6:$AE$6,0)+1)</f>
        <v/>
      </c>
      <c r="E257" s="43" t="str">
        <f t="shared" si="38"/>
        <v/>
      </c>
      <c r="F257" s="43"/>
      <c r="G257" s="91" t="str">
        <f>IFERROR(INDEX('[3]Country Results'!$C$7:$AK$254,MATCH([3]Dashboard!$B257,'[3]Country Results'!$B$7:$B$254,0),MATCH([3]Dashboard!$C$9,'[3]Country Results'!$C$6:$AK$6,0)),"")</f>
        <v/>
      </c>
      <c r="H257" s="43" t="str">
        <f t="shared" si="39"/>
        <v/>
      </c>
      <c r="I257" s="43"/>
      <c r="J257" s="44" t="str">
        <f t="shared" si="40"/>
        <v/>
      </c>
      <c r="K257" s="45" t="str">
        <f t="shared" si="41"/>
        <v/>
      </c>
      <c r="L257" s="43" t="str">
        <f t="shared" si="42"/>
        <v/>
      </c>
      <c r="M257" s="136" t="str">
        <f>IF(G257="","",INDEX([3]Countries!$C$7:$AO$254,MATCH([3]Dashboard!$B257,[3]Countries!$B$7:$B$254,0),MATCH([3]Dashboard!$N$7,[3]Countries!$C$6:$AO$6,0)))</f>
        <v/>
      </c>
      <c r="N257" s="137"/>
      <c r="O257" s="135" t="str">
        <f t="shared" si="43"/>
        <v/>
      </c>
      <c r="P257" s="45" t="str">
        <f t="shared" si="44"/>
        <v/>
      </c>
      <c r="Q257" s="43" t="str">
        <f t="shared" si="45"/>
        <v/>
      </c>
    </row>
    <row r="258" spans="2:17" x14ac:dyDescent="0.3">
      <c r="B258" t="str">
        <f>+'[3]Country Results'!B176</f>
        <v>North Korea</v>
      </c>
      <c r="C258" s="91">
        <f>INDEX('[3]Country Results'!$C$7:$AK$254,MATCH([3]Dashboard!$B258,'[3]Country Results'!$B$7:$B$254,0),MATCH([3]Dashboard!$C$8,'[3]Country Results'!$C$6:$AE$6,0))</f>
        <v>5095.9403140000013</v>
      </c>
      <c r="D258" s="45" cm="1">
        <f t="array" ref="D258">INDEX('[3]Country Results'!$L$7:$AE$254,MATCH([3]Dashboard!B258,'[3]Country Results'!$B$7:$B$254,0),MATCH($C$8,'[3]Country Results'!$L$6:$AE$6,0)+1)</f>
        <v>2.7384331118469932E-3</v>
      </c>
      <c r="E258" s="43">
        <f t="shared" si="38"/>
        <v>50</v>
      </c>
      <c r="F258" s="43"/>
      <c r="G258" s="91" t="str">
        <f>IFERROR(INDEX('[3]Country Results'!$C$7:$AK$254,MATCH([3]Dashboard!$B258,'[3]Country Results'!$B$7:$B$254,0),MATCH([3]Dashboard!$C$9,'[3]Country Results'!$C$6:$AK$6,0)),"")</f>
        <v/>
      </c>
      <c r="H258" s="43" t="str">
        <f t="shared" si="39"/>
        <v/>
      </c>
      <c r="I258" s="43"/>
      <c r="J258" s="44" t="str">
        <f t="shared" si="40"/>
        <v/>
      </c>
      <c r="K258" s="45" t="str">
        <f t="shared" si="41"/>
        <v/>
      </c>
      <c r="L258" s="43" t="str">
        <f t="shared" si="42"/>
        <v/>
      </c>
      <c r="M258" s="136" t="str">
        <f>IF(G258="","",INDEX([3]Countries!$C$7:$AO$254,MATCH([3]Dashboard!$B258,[3]Countries!$B$7:$B$254,0),MATCH([3]Dashboard!$N$7,[3]Countries!$C$6:$AO$6,0)))</f>
        <v/>
      </c>
      <c r="N258" s="137"/>
      <c r="O258" s="135" t="str">
        <f t="shared" si="43"/>
        <v/>
      </c>
      <c r="P258" s="45" t="str">
        <f t="shared" si="44"/>
        <v/>
      </c>
      <c r="Q258" s="43" t="str">
        <f t="shared" si="45"/>
        <v/>
      </c>
    </row>
    <row r="259" spans="2:17" x14ac:dyDescent="0.3">
      <c r="B259" t="str">
        <f>+'[3]Country Results'!B177</f>
        <v>North Macedonia</v>
      </c>
      <c r="C259" s="91">
        <f>INDEX('[3]Country Results'!$C$7:$AK$254,MATCH([3]Dashboard!$B259,'[3]Country Results'!$B$7:$B$254,0),MATCH([3]Dashboard!$C$8,'[3]Country Results'!$C$6:$AE$6,0))</f>
        <v>540.21295850000001</v>
      </c>
      <c r="D259" s="45" cm="1">
        <f t="array" ref="D259">INDEX('[3]Country Results'!$L$7:$AE$254,MATCH([3]Dashboard!B259,'[3]Country Results'!$B$7:$B$254,0),MATCH($C$8,'[3]Country Results'!$L$6:$AE$6,0)+1)</f>
        <v>2.9029717026729393E-4</v>
      </c>
      <c r="E259" s="43">
        <f t="shared" si="38"/>
        <v>140</v>
      </c>
      <c r="F259" s="43"/>
      <c r="G259" s="91">
        <f>IFERROR(INDEX('[3]Country Results'!$C$7:$AK$254,MATCH([3]Dashboard!$B259,'[3]Country Results'!$B$7:$B$254,0),MATCH([3]Dashboard!$C$9,'[3]Country Results'!$C$6:$AK$6,0)),"")</f>
        <v>6190</v>
      </c>
      <c r="H259" s="43">
        <f t="shared" si="39"/>
        <v>103</v>
      </c>
      <c r="I259" s="43"/>
      <c r="J259" s="44">
        <f t="shared" si="40"/>
        <v>3.3439182131150003</v>
      </c>
      <c r="K259" s="45">
        <f t="shared" si="41"/>
        <v>7.4790548476207818E-5</v>
      </c>
      <c r="L259" s="43">
        <f t="shared" si="42"/>
        <v>114</v>
      </c>
      <c r="M259" s="136" t="str">
        <f>IF(G259="","",INDEX([3]Countries!$C$7:$AO$254,MATCH([3]Dashboard!$B259,[3]Countries!$B$7:$B$254,0),MATCH([3]Dashboard!$N$7,[3]Countries!$C$6:$AO$6,0)))</f>
        <v/>
      </c>
      <c r="N259" s="137"/>
      <c r="O259" s="135">
        <f t="shared" si="43"/>
        <v>3.3439182131150003</v>
      </c>
      <c r="P259" s="45">
        <f t="shared" si="44"/>
        <v>7.7022002511289959E-5</v>
      </c>
      <c r="Q259" s="43">
        <f t="shared" si="45"/>
        <v>78</v>
      </c>
    </row>
    <row r="260" spans="2:17" x14ac:dyDescent="0.3">
      <c r="B260" t="str">
        <f>+'[3]Country Results'!B178</f>
        <v>Norway</v>
      </c>
      <c r="C260" s="91">
        <f>INDEX('[3]Country Results'!$C$7:$AK$254,MATCH([3]Dashboard!$B260,'[3]Country Results'!$B$7:$B$254,0),MATCH([3]Dashboard!$C$8,'[3]Country Results'!$C$6:$AE$6,0))</f>
        <v>2926.7817060000002</v>
      </c>
      <c r="D260" s="45" cm="1">
        <f t="array" ref="D260">INDEX('[3]Country Results'!$L$7:$AE$254,MATCH([3]Dashboard!B260,'[3]Country Results'!$B$7:$B$254,0),MATCH($C$8,'[3]Country Results'!$L$6:$AE$6,0)+1)</f>
        <v>1.5727805745368527E-3</v>
      </c>
      <c r="E260" s="43">
        <f t="shared" si="38"/>
        <v>73</v>
      </c>
      <c r="F260" s="43"/>
      <c r="G260" s="91">
        <f>IFERROR(INDEX('[3]Country Results'!$C$7:$AK$254,MATCH([3]Dashboard!$B260,'[3]Country Results'!$B$7:$B$254,0),MATCH([3]Dashboard!$C$9,'[3]Country Results'!$C$6:$AK$6,0)),"")</f>
        <v>83880</v>
      </c>
      <c r="H260" s="43">
        <f t="shared" si="39"/>
        <v>5</v>
      </c>
      <c r="I260" s="43"/>
      <c r="J260" s="44">
        <f t="shared" si="40"/>
        <v>245.49844949928001</v>
      </c>
      <c r="K260" s="45">
        <f t="shared" si="41"/>
        <v>5.4908531004428333E-3</v>
      </c>
      <c r="L260" s="43">
        <f t="shared" si="42"/>
        <v>22</v>
      </c>
      <c r="M260" s="136" t="str">
        <f>IF(G260="","",INDEX([3]Countries!$C$7:$AO$254,MATCH([3]Dashboard!$B260,[3]Countries!$B$7:$B$254,0),MATCH([3]Dashboard!$N$7,[3]Countries!$C$6:$AO$6,0)))</f>
        <v/>
      </c>
      <c r="N260" s="137"/>
      <c r="O260" s="135">
        <f t="shared" si="43"/>
        <v>245.49844949928001</v>
      </c>
      <c r="P260" s="45">
        <f t="shared" si="44"/>
        <v>5.6546784307373987E-3</v>
      </c>
      <c r="Q260" s="43">
        <f t="shared" si="45"/>
        <v>21</v>
      </c>
    </row>
    <row r="261" spans="2:17" x14ac:dyDescent="0.3">
      <c r="B261" t="str">
        <f>+'[3]Country Results'!B179</f>
        <v>OECD (GCP)</v>
      </c>
      <c r="C261" s="91" t="str">
        <f>INDEX('[3]Country Results'!$C$7:$AK$254,MATCH([3]Dashboard!$B261,'[3]Country Results'!$B$7:$B$254,0),MATCH([3]Dashboard!$C$8,'[3]Country Results'!$C$6:$AE$6,0))</f>
        <v/>
      </c>
      <c r="D261" s="45" t="str" cm="1">
        <f t="array" ref="D261">INDEX('[3]Country Results'!$L$7:$AE$254,MATCH([3]Dashboard!B261,'[3]Country Results'!$B$7:$B$254,0),MATCH($C$8,'[3]Country Results'!$L$6:$AE$6,0)+1)</f>
        <v/>
      </c>
      <c r="E261" s="43" t="str">
        <f t="shared" si="38"/>
        <v/>
      </c>
      <c r="F261" s="43"/>
      <c r="G261" s="91" t="str">
        <f>IFERROR(INDEX('[3]Country Results'!$C$7:$AK$254,MATCH([3]Dashboard!$B261,'[3]Country Results'!$B$7:$B$254,0),MATCH([3]Dashboard!$C$9,'[3]Country Results'!$C$6:$AK$6,0)),"")</f>
        <v/>
      </c>
      <c r="H261" s="43" t="str">
        <f t="shared" si="39"/>
        <v/>
      </c>
      <c r="I261" s="43"/>
      <c r="J261" s="44" t="str">
        <f t="shared" si="40"/>
        <v/>
      </c>
      <c r="K261" s="45" t="str">
        <f t="shared" si="41"/>
        <v/>
      </c>
      <c r="L261" s="43" t="str">
        <f t="shared" si="42"/>
        <v/>
      </c>
      <c r="M261" s="136" t="str">
        <f>IF(G261="","",INDEX([3]Countries!$C$7:$AO$254,MATCH([3]Dashboard!$B261,[3]Countries!$B$7:$B$254,0),MATCH([3]Dashboard!$N$7,[3]Countries!$C$6:$AO$6,0)))</f>
        <v/>
      </c>
      <c r="N261" s="137"/>
      <c r="O261" s="135" t="str">
        <f t="shared" si="43"/>
        <v/>
      </c>
      <c r="P261" s="45" t="str">
        <f t="shared" si="44"/>
        <v/>
      </c>
      <c r="Q261" s="43" t="str">
        <f t="shared" si="45"/>
        <v/>
      </c>
    </row>
    <row r="262" spans="2:17" x14ac:dyDescent="0.3">
      <c r="B262" t="str">
        <f>+'[3]Country Results'!B180</f>
        <v>Oceania</v>
      </c>
      <c r="C262" s="91" t="str">
        <f>INDEX('[3]Country Results'!$C$7:$AK$254,MATCH([3]Dashboard!$B262,'[3]Country Results'!$B$7:$B$254,0),MATCH([3]Dashboard!$C$8,'[3]Country Results'!$C$6:$AE$6,0))</f>
        <v/>
      </c>
      <c r="D262" s="45" t="str" cm="1">
        <f t="array" ref="D262">INDEX('[3]Country Results'!$L$7:$AE$254,MATCH([3]Dashboard!B262,'[3]Country Results'!$B$7:$B$254,0),MATCH($C$8,'[3]Country Results'!$L$6:$AE$6,0)+1)</f>
        <v/>
      </c>
      <c r="E262" s="43" t="str">
        <f t="shared" si="38"/>
        <v/>
      </c>
      <c r="F262" s="43"/>
      <c r="G262" s="91" t="str">
        <f>IFERROR(INDEX('[3]Country Results'!$C$7:$AK$254,MATCH([3]Dashboard!$B262,'[3]Country Results'!$B$7:$B$254,0),MATCH([3]Dashboard!$C$9,'[3]Country Results'!$C$6:$AK$6,0)),"")</f>
        <v/>
      </c>
      <c r="H262" s="43" t="str">
        <f t="shared" si="39"/>
        <v/>
      </c>
      <c r="I262" s="43"/>
      <c r="J262" s="44" t="str">
        <f t="shared" si="40"/>
        <v/>
      </c>
      <c r="K262" s="45" t="str">
        <f t="shared" si="41"/>
        <v/>
      </c>
      <c r="L262" s="43" t="str">
        <f t="shared" si="42"/>
        <v/>
      </c>
      <c r="M262" s="136" t="str">
        <f>IF(G262="","",INDEX([3]Countries!$C$7:$AO$254,MATCH([3]Dashboard!$B262,[3]Countries!$B$7:$B$254,0),MATCH([3]Dashboard!$N$7,[3]Countries!$C$6:$AO$6,0)))</f>
        <v/>
      </c>
      <c r="N262" s="137"/>
      <c r="O262" s="135" t="str">
        <f t="shared" si="43"/>
        <v/>
      </c>
      <c r="P262" s="45" t="str">
        <f t="shared" si="44"/>
        <v/>
      </c>
      <c r="Q262" s="43" t="str">
        <f t="shared" si="45"/>
        <v/>
      </c>
    </row>
    <row r="263" spans="2:17" x14ac:dyDescent="0.3">
      <c r="B263" t="str">
        <f>+'[3]Country Results'!B181</f>
        <v>Oceania (GCP)</v>
      </c>
      <c r="C263" s="91" t="str">
        <f>INDEX('[3]Country Results'!$C$7:$AK$254,MATCH([3]Dashboard!$B263,'[3]Country Results'!$B$7:$B$254,0),MATCH([3]Dashboard!$C$8,'[3]Country Results'!$C$6:$AE$6,0))</f>
        <v/>
      </c>
      <c r="D263" s="45" t="str" cm="1">
        <f t="array" ref="D263">INDEX('[3]Country Results'!$L$7:$AE$254,MATCH([3]Dashboard!B263,'[3]Country Results'!$B$7:$B$254,0),MATCH($C$8,'[3]Country Results'!$L$6:$AE$6,0)+1)</f>
        <v/>
      </c>
      <c r="E263" s="43" t="str">
        <f t="shared" si="38"/>
        <v/>
      </c>
      <c r="F263" s="43"/>
      <c r="G263" s="91" t="str">
        <f>IFERROR(INDEX('[3]Country Results'!$C$7:$AK$254,MATCH([3]Dashboard!$B263,'[3]Country Results'!$B$7:$B$254,0),MATCH([3]Dashboard!$C$9,'[3]Country Results'!$C$6:$AK$6,0)),"")</f>
        <v/>
      </c>
      <c r="H263" s="43" t="str">
        <f t="shared" si="39"/>
        <v/>
      </c>
      <c r="I263" s="43"/>
      <c r="J263" s="44" t="str">
        <f t="shared" si="40"/>
        <v/>
      </c>
      <c r="K263" s="45" t="str">
        <f t="shared" si="41"/>
        <v/>
      </c>
      <c r="L263" s="43" t="str">
        <f t="shared" si="42"/>
        <v/>
      </c>
      <c r="M263" s="136" t="str">
        <f>IF(G263="","",INDEX([3]Countries!$C$7:$AO$254,MATCH([3]Dashboard!$B263,[3]Countries!$B$7:$B$254,0),MATCH([3]Dashboard!$N$7,[3]Countries!$C$6:$AO$6,0)))</f>
        <v/>
      </c>
      <c r="N263" s="137"/>
      <c r="O263" s="135" t="str">
        <f t="shared" si="43"/>
        <v/>
      </c>
      <c r="P263" s="45" t="str">
        <f t="shared" si="44"/>
        <v/>
      </c>
      <c r="Q263" s="43" t="str">
        <f t="shared" si="45"/>
        <v/>
      </c>
    </row>
    <row r="264" spans="2:17" x14ac:dyDescent="0.3">
      <c r="B264" t="str">
        <f>+'[3]Country Results'!B182</f>
        <v>Oman</v>
      </c>
      <c r="C264" s="91">
        <f>INDEX('[3]Country Results'!$C$7:$AK$254,MATCH([3]Dashboard!$B264,'[3]Country Results'!$B$7:$B$254,0),MATCH([3]Dashboard!$C$8,'[3]Country Results'!$C$6:$AE$6,0))</f>
        <v>2465.123787</v>
      </c>
      <c r="D264" s="45" cm="1">
        <f t="array" ref="D264">INDEX('[3]Country Results'!$L$7:$AE$254,MATCH([3]Dashboard!B264,'[3]Country Results'!$B$7:$B$254,0),MATCH($C$8,'[3]Country Results'!$L$6:$AE$6,0)+1)</f>
        <v>1.3246969523125487E-3</v>
      </c>
      <c r="E264" s="43">
        <f t="shared" si="38"/>
        <v>84</v>
      </c>
      <c r="F264" s="43"/>
      <c r="G264" s="91">
        <f>IFERROR(INDEX('[3]Country Results'!$C$7:$AK$254,MATCH([3]Dashboard!$B264,'[3]Country Results'!$B$7:$B$254,0),MATCH([3]Dashboard!$C$9,'[3]Country Results'!$C$6:$AK$6,0)),"")</f>
        <v>17950</v>
      </c>
      <c r="H264" s="43">
        <f t="shared" si="39"/>
        <v>55</v>
      </c>
      <c r="I264" s="43"/>
      <c r="J264" s="44">
        <f t="shared" si="40"/>
        <v>44.248971976649997</v>
      </c>
      <c r="K264" s="45">
        <f t="shared" si="41"/>
        <v>9.8967877583320228E-4</v>
      </c>
      <c r="L264" s="43">
        <f t="shared" si="42"/>
        <v>53</v>
      </c>
      <c r="M264" s="136" t="str">
        <f>IF(G264="","",INDEX([3]Countries!$C$7:$AO$254,MATCH([3]Dashboard!$B264,[3]Countries!$B$7:$B$254,0),MATCH([3]Dashboard!$N$7,[3]Countries!$C$6:$AO$6,0)))</f>
        <v/>
      </c>
      <c r="N264" s="137"/>
      <c r="O264" s="135">
        <f t="shared" si="43"/>
        <v>44.248971976649997</v>
      </c>
      <c r="P264" s="45">
        <f t="shared" si="44"/>
        <v>1.019206874540363E-3</v>
      </c>
      <c r="Q264" s="43">
        <f t="shared" si="45"/>
        <v>48</v>
      </c>
    </row>
    <row r="265" spans="2:17" x14ac:dyDescent="0.3">
      <c r="B265" t="str">
        <f>+'[3]Country Results'!B183</f>
        <v>Pakistan</v>
      </c>
      <c r="C265" s="91">
        <f>INDEX('[3]Country Results'!$C$7:$AK$254,MATCH([3]Dashboard!$B265,'[3]Country Results'!$B$7:$B$254,0),MATCH([3]Dashboard!$C$8,'[3]Country Results'!$C$6:$AE$6,0))</f>
        <v>13008.854420000001</v>
      </c>
      <c r="D265" s="45" cm="1">
        <f t="array" ref="D265">INDEX('[3]Country Results'!$L$7:$AE$254,MATCH([3]Dashboard!B265,'[3]Country Results'!$B$7:$B$254,0),MATCH($C$8,'[3]Country Results'!$L$6:$AE$6,0)+1)</f>
        <v>6.9906387233492828E-3</v>
      </c>
      <c r="E265" s="43">
        <f t="shared" si="38"/>
        <v>29</v>
      </c>
      <c r="F265" s="43"/>
      <c r="G265" s="91">
        <f>IFERROR(INDEX('[3]Country Results'!$C$7:$AK$254,MATCH([3]Dashboard!$B265,'[3]Country Results'!$B$7:$B$254,0),MATCH([3]Dashboard!$C$9,'[3]Country Results'!$C$6:$AK$6,0)),"")</f>
        <v>1470</v>
      </c>
      <c r="H265" s="43">
        <f t="shared" si="39"/>
        <v>167</v>
      </c>
      <c r="I265" s="43"/>
      <c r="J265" s="44">
        <f t="shared" si="40"/>
        <v>19.1230159974</v>
      </c>
      <c r="K265" s="45">
        <f t="shared" si="41"/>
        <v>4.2770808489138597E-4</v>
      </c>
      <c r="L265" s="43">
        <f t="shared" si="42"/>
        <v>76</v>
      </c>
      <c r="M265" s="136" t="str">
        <f>IF(G265="","",INDEX([3]Countries!$C$7:$AO$254,MATCH([3]Dashboard!$B265,[3]Countries!$B$7:$B$254,0),MATCH([3]Dashboard!$N$7,[3]Countries!$C$6:$AO$6,0)))</f>
        <v>x</v>
      </c>
      <c r="N265" s="137"/>
      <c r="O265" s="135" t="str">
        <f t="shared" si="43"/>
        <v>-</v>
      </c>
      <c r="P265" s="45" t="str">
        <f t="shared" si="44"/>
        <v/>
      </c>
      <c r="Q265" s="43" t="str">
        <f t="shared" si="45"/>
        <v/>
      </c>
    </row>
    <row r="266" spans="2:17" x14ac:dyDescent="0.3">
      <c r="B266" t="str">
        <f>+'[3]Country Results'!B184</f>
        <v>Palau</v>
      </c>
      <c r="C266" s="91">
        <f>INDEX('[3]Country Results'!$C$7:$AK$254,MATCH([3]Dashboard!$B266,'[3]Country Results'!$B$7:$B$254,0),MATCH([3]Dashboard!$C$8,'[3]Country Results'!$C$6:$AE$6,0))</f>
        <v>11.83239212</v>
      </c>
      <c r="D266" s="45" cm="1">
        <f t="array" ref="D266">INDEX('[3]Country Results'!$L$7:$AE$254,MATCH([3]Dashboard!B266,'[3]Country Results'!$B$7:$B$254,0),MATCH($C$8,'[3]Country Results'!$L$6:$AE$6,0)+1)</f>
        <v>6.3584367903107728E-6</v>
      </c>
      <c r="E266" s="43">
        <f t="shared" si="38"/>
        <v>183</v>
      </c>
      <c r="F266" s="43"/>
      <c r="G266" s="91">
        <f>IFERROR(INDEX('[3]Country Results'!$C$7:$AK$254,MATCH([3]Dashboard!$B266,'[3]Country Results'!$B$7:$B$254,0),MATCH([3]Dashboard!$C$9,'[3]Country Results'!$C$6:$AK$6,0)),"")</f>
        <v>12790</v>
      </c>
      <c r="H266" s="43">
        <f t="shared" si="39"/>
        <v>70</v>
      </c>
      <c r="I266" s="43"/>
      <c r="J266" s="44">
        <f t="shared" si="40"/>
        <v>0.15133629521479999</v>
      </c>
      <c r="K266" s="45">
        <f t="shared" si="41"/>
        <v>3.3848090180795763E-6</v>
      </c>
      <c r="L266" s="43">
        <f t="shared" si="42"/>
        <v>178</v>
      </c>
      <c r="M266" s="136" t="str">
        <f>IF(G266="","",INDEX([3]Countries!$C$7:$AO$254,MATCH([3]Dashboard!$B266,[3]Countries!$B$7:$B$254,0),MATCH([3]Dashboard!$N$7,[3]Countries!$C$6:$AO$6,0)))</f>
        <v>x</v>
      </c>
      <c r="N266" s="137"/>
      <c r="O266" s="135" t="str">
        <f t="shared" si="43"/>
        <v>-</v>
      </c>
      <c r="P266" s="45" t="str">
        <f t="shared" si="44"/>
        <v/>
      </c>
      <c r="Q266" s="43" t="str">
        <f t="shared" si="45"/>
        <v/>
      </c>
    </row>
    <row r="267" spans="2:17" x14ac:dyDescent="0.3">
      <c r="B267" t="str">
        <f>+'[3]Country Results'!B185</f>
        <v>Palestine</v>
      </c>
      <c r="C267" s="91">
        <f>INDEX('[3]Country Results'!$C$7:$AK$254,MATCH([3]Dashboard!$B267,'[3]Country Results'!$B$7:$B$254,0),MATCH([3]Dashboard!$C$8,'[3]Country Results'!$C$6:$AE$6,0))</f>
        <v>0</v>
      </c>
      <c r="D267" s="45" cm="1">
        <f t="array" ref="D267">INDEX('[3]Country Results'!$L$7:$AE$254,MATCH([3]Dashboard!B267,'[3]Country Results'!$B$7:$B$254,0),MATCH($C$8,'[3]Country Results'!$L$6:$AE$6,0)+1)</f>
        <v>0</v>
      </c>
      <c r="E267" s="43">
        <f t="shared" si="38"/>
        <v>200</v>
      </c>
      <c r="F267" s="43"/>
      <c r="G267" s="91">
        <f>IFERROR(INDEX('[3]Country Results'!$C$7:$AK$254,MATCH([3]Dashboard!$B267,'[3]Country Results'!$B$7:$B$254,0),MATCH([3]Dashboard!$C$9,'[3]Country Results'!$C$6:$AK$6,0)),"")</f>
        <v>4220</v>
      </c>
      <c r="H267" s="43">
        <f t="shared" si="39"/>
        <v>124</v>
      </c>
      <c r="I267" s="43"/>
      <c r="J267" s="44">
        <f t="shared" si="40"/>
        <v>0</v>
      </c>
      <c r="K267" s="45">
        <f t="shared" si="41"/>
        <v>0</v>
      </c>
      <c r="L267" s="43">
        <f t="shared" si="42"/>
        <v>195</v>
      </c>
      <c r="M267" s="136" t="str">
        <f>IF(G267="","",INDEX([3]Countries!$C$7:$AO$254,MATCH([3]Dashboard!$B267,[3]Countries!$B$7:$B$254,0),MATCH([3]Dashboard!$N$7,[3]Countries!$C$6:$AO$6,0)))</f>
        <v>x</v>
      </c>
      <c r="N267" s="137"/>
      <c r="O267" s="135" t="str">
        <f t="shared" si="43"/>
        <v>-</v>
      </c>
      <c r="P267" s="45" t="str">
        <f t="shared" si="44"/>
        <v/>
      </c>
      <c r="Q267" s="43" t="str">
        <f t="shared" si="45"/>
        <v/>
      </c>
    </row>
    <row r="268" spans="2:17" x14ac:dyDescent="0.3">
      <c r="B268" t="str">
        <f>+'[3]Country Results'!B186</f>
        <v>Panama</v>
      </c>
      <c r="C268" s="91">
        <f>INDEX('[3]Country Results'!$C$7:$AK$254,MATCH([3]Dashboard!$B268,'[3]Country Results'!$B$7:$B$254,0),MATCH([3]Dashboard!$C$8,'[3]Country Results'!$C$6:$AE$6,0))</f>
        <v>867.08553399999983</v>
      </c>
      <c r="D268" s="45" cm="1">
        <f t="array" ref="D268">INDEX('[3]Country Results'!$L$7:$AE$254,MATCH([3]Dashboard!B268,'[3]Country Results'!$B$7:$B$254,0),MATCH($C$8,'[3]Country Results'!$L$6:$AE$6,0)+1)</f>
        <v>4.6595046071984478E-4</v>
      </c>
      <c r="E268" s="43">
        <f t="shared" si="38"/>
        <v>130</v>
      </c>
      <c r="F268" s="43"/>
      <c r="G268" s="91">
        <f>IFERROR(INDEX('[3]Country Results'!$C$7:$AK$254,MATCH([3]Dashboard!$B268,'[3]Country Results'!$B$7:$B$254,0),MATCH([3]Dashboard!$C$9,'[3]Country Results'!$C$6:$AK$6,0)),"")</f>
        <v>13920</v>
      </c>
      <c r="H268" s="43">
        <f t="shared" si="39"/>
        <v>67</v>
      </c>
      <c r="I268" s="43"/>
      <c r="J268" s="44">
        <f t="shared" si="40"/>
        <v>12.069830633279999</v>
      </c>
      <c r="K268" s="45">
        <f t="shared" si="41"/>
        <v>2.6995554183636392E-4</v>
      </c>
      <c r="L268" s="43">
        <f t="shared" si="42"/>
        <v>86</v>
      </c>
      <c r="M268" s="136" t="str">
        <f>IF(G268="","",INDEX([3]Countries!$C$7:$AO$254,MATCH([3]Dashboard!$B268,[3]Countries!$B$7:$B$254,0),MATCH([3]Dashboard!$N$7,[3]Countries!$C$6:$AO$6,0)))</f>
        <v/>
      </c>
      <c r="N268" s="137"/>
      <c r="O268" s="135">
        <f t="shared" si="43"/>
        <v>12.069830633279999</v>
      </c>
      <c r="P268" s="45">
        <f t="shared" si="44"/>
        <v>2.780099470439307E-4</v>
      </c>
      <c r="Q268" s="43">
        <f t="shared" si="45"/>
        <v>69</v>
      </c>
    </row>
    <row r="269" spans="2:17" x14ac:dyDescent="0.3">
      <c r="B269" t="str">
        <f>+'[3]Country Results'!B187</f>
        <v>Papua New Guinea</v>
      </c>
      <c r="C269" s="91">
        <f>INDEX('[3]Country Results'!$C$7:$AK$254,MATCH([3]Dashboard!$B269,'[3]Country Results'!$B$7:$B$254,0),MATCH([3]Dashboard!$C$8,'[3]Country Results'!$C$6:$AE$6,0))</f>
        <v>1754.4197520000002</v>
      </c>
      <c r="D269" s="45" cm="1">
        <f t="array" ref="D269">INDEX('[3]Country Results'!$L$7:$AE$254,MATCH([3]Dashboard!B269,'[3]Country Results'!$B$7:$B$254,0),MATCH($C$8,'[3]Country Results'!$L$6:$AE$6,0)+1)</f>
        <v>9.427820666887013E-4</v>
      </c>
      <c r="E269" s="43">
        <f t="shared" si="38"/>
        <v>98</v>
      </c>
      <c r="F269" s="43"/>
      <c r="G269" s="91">
        <f>IFERROR(INDEX('[3]Country Results'!$C$7:$AK$254,MATCH([3]Dashboard!$B269,'[3]Country Results'!$B$7:$B$254,0),MATCH([3]Dashboard!$C$9,'[3]Country Results'!$C$6:$AK$6,0)),"")</f>
        <v>2460</v>
      </c>
      <c r="H269" s="43">
        <f t="shared" si="39"/>
        <v>149</v>
      </c>
      <c r="I269" s="43"/>
      <c r="J269" s="44">
        <f t="shared" si="40"/>
        <v>4.3158725899200006</v>
      </c>
      <c r="K269" s="45">
        <f t="shared" si="41"/>
        <v>9.6529417761345059E-5</v>
      </c>
      <c r="L269" s="43">
        <f t="shared" si="42"/>
        <v>108</v>
      </c>
      <c r="M269" s="136" t="str">
        <f>IF(G269="","",INDEX([3]Countries!$C$7:$AO$254,MATCH([3]Dashboard!$B269,[3]Countries!$B$7:$B$254,0),MATCH([3]Dashboard!$N$7,[3]Countries!$C$6:$AO$6,0)))</f>
        <v>x</v>
      </c>
      <c r="N269" s="137"/>
      <c r="O269" s="135" t="str">
        <f t="shared" si="43"/>
        <v>-</v>
      </c>
      <c r="P269" s="45" t="str">
        <f t="shared" si="44"/>
        <v/>
      </c>
      <c r="Q269" s="43" t="str">
        <f t="shared" si="45"/>
        <v/>
      </c>
    </row>
    <row r="270" spans="2:17" x14ac:dyDescent="0.3">
      <c r="B270" t="str">
        <f>+'[3]Country Results'!B188</f>
        <v>Paraguay</v>
      </c>
      <c r="C270" s="91">
        <f>INDEX('[3]Country Results'!$C$7:$AK$254,MATCH([3]Dashboard!$B270,'[3]Country Results'!$B$7:$B$254,0),MATCH([3]Dashboard!$C$8,'[3]Country Results'!$C$6:$AE$6,0))</f>
        <v>4315.3905480000012</v>
      </c>
      <c r="D270" s="45" cm="1">
        <f t="array" ref="D270">INDEX('[3]Country Results'!$L$7:$AE$254,MATCH([3]Dashboard!B270,'[3]Country Results'!$B$7:$B$254,0),MATCH($C$8,'[3]Country Results'!$L$6:$AE$6,0)+1)</f>
        <v>2.3189848465707012E-3</v>
      </c>
      <c r="E270" s="43">
        <f t="shared" si="38"/>
        <v>56</v>
      </c>
      <c r="F270" s="43"/>
      <c r="G270" s="91">
        <f>IFERROR(INDEX('[3]Country Results'!$C$7:$AK$254,MATCH([3]Dashboard!$B270,'[3]Country Results'!$B$7:$B$254,0),MATCH([3]Dashboard!$C$9,'[3]Country Results'!$C$6:$AK$6,0)),"")</f>
        <v>5740</v>
      </c>
      <c r="H270" s="43">
        <f t="shared" si="39"/>
        <v>108</v>
      </c>
      <c r="I270" s="43"/>
      <c r="J270" s="44">
        <f t="shared" si="40"/>
        <v>24.770341745520007</v>
      </c>
      <c r="K270" s="45">
        <f t="shared" si="41"/>
        <v>5.5401697261153553E-4</v>
      </c>
      <c r="L270" s="43">
        <f t="shared" si="42"/>
        <v>71</v>
      </c>
      <c r="M270" s="136" t="str">
        <f>IF(G270="","",INDEX([3]Countries!$C$7:$AO$254,MATCH([3]Dashboard!$B270,[3]Countries!$B$7:$B$254,0),MATCH([3]Dashboard!$N$7,[3]Countries!$C$6:$AO$6,0)))</f>
        <v/>
      </c>
      <c r="N270" s="137"/>
      <c r="O270" s="135">
        <f t="shared" si="43"/>
        <v>24.770341745520007</v>
      </c>
      <c r="P270" s="45">
        <f t="shared" si="44"/>
        <v>5.7054664693838297E-4</v>
      </c>
      <c r="Q270" s="43">
        <f t="shared" si="45"/>
        <v>60</v>
      </c>
    </row>
    <row r="271" spans="2:17" x14ac:dyDescent="0.3">
      <c r="B271" t="str">
        <f>+'[3]Country Results'!B189</f>
        <v>Peru</v>
      </c>
      <c r="C271" s="91">
        <f>INDEX('[3]Country Results'!$C$7:$AK$254,MATCH([3]Dashboard!$B271,'[3]Country Results'!$B$7:$B$254,0),MATCH([3]Dashboard!$C$8,'[3]Country Results'!$C$6:$AE$6,0))</f>
        <v>5475.3315519999987</v>
      </c>
      <c r="D271" s="45" cm="1">
        <f t="array" ref="D271">INDEX('[3]Country Results'!$L$7:$AE$254,MATCH([3]Dashboard!B271,'[3]Country Results'!$B$7:$B$254,0),MATCH($C$8,'[3]Country Results'!$L$6:$AE$6,0)+1)</f>
        <v>2.9423086410853474E-3</v>
      </c>
      <c r="E271" s="43">
        <f t="shared" si="38"/>
        <v>49</v>
      </c>
      <c r="F271" s="43"/>
      <c r="G271" s="91">
        <f>IFERROR(INDEX('[3]Country Results'!$C$7:$AK$254,MATCH([3]Dashboard!$B271,'[3]Country Results'!$B$7:$B$254,0),MATCH([3]Dashboard!$C$9,'[3]Country Results'!$C$6:$AK$6,0)),"")</f>
        <v>6460</v>
      </c>
      <c r="H271" s="43">
        <f t="shared" si="39"/>
        <v>100</v>
      </c>
      <c r="I271" s="43"/>
      <c r="J271" s="44">
        <f t="shared" si="40"/>
        <v>35.370641825919996</v>
      </c>
      <c r="K271" s="45">
        <f t="shared" si="41"/>
        <v>7.9110478591872067E-4</v>
      </c>
      <c r="L271" s="43">
        <f t="shared" si="42"/>
        <v>60</v>
      </c>
      <c r="M271" s="136" t="str">
        <f>IF(G271="","",INDEX([3]Countries!$C$7:$AO$254,MATCH([3]Dashboard!$B271,[3]Countries!$B$7:$B$254,0),MATCH([3]Dashboard!$N$7,[3]Countries!$C$6:$AO$6,0)))</f>
        <v/>
      </c>
      <c r="N271" s="137"/>
      <c r="O271" s="135">
        <f t="shared" si="43"/>
        <v>35.370641825919996</v>
      </c>
      <c r="P271" s="45">
        <f t="shared" si="44"/>
        <v>8.1470822248494272E-4</v>
      </c>
      <c r="Q271" s="43">
        <f t="shared" si="45"/>
        <v>53</v>
      </c>
    </row>
    <row r="272" spans="2:17" x14ac:dyDescent="0.3">
      <c r="B272" t="str">
        <f>+'[3]Country Results'!B190</f>
        <v>Philippines</v>
      </c>
      <c r="C272" s="91">
        <f>INDEX('[3]Country Results'!$C$7:$AK$254,MATCH([3]Dashboard!$B272,'[3]Country Results'!$B$7:$B$254,0),MATCH([3]Dashboard!$C$8,'[3]Country Results'!$C$6:$AE$6,0))</f>
        <v>9794.1032400000004</v>
      </c>
      <c r="D272" s="45" cm="1">
        <f t="array" ref="D272">INDEX('[3]Country Results'!$L$7:$AE$254,MATCH([3]Dashboard!B272,'[3]Country Results'!$B$7:$B$254,0),MATCH($C$8,'[3]Country Results'!$L$6:$AE$6,0)+1)</f>
        <v>5.2631104292136946E-3</v>
      </c>
      <c r="E272" s="43">
        <f t="shared" si="38"/>
        <v>32</v>
      </c>
      <c r="F272" s="43"/>
      <c r="G272" s="91">
        <f>IFERROR(INDEX('[3]Country Results'!$C$7:$AK$254,MATCH([3]Dashboard!$B272,'[3]Country Results'!$B$7:$B$254,0),MATCH([3]Dashboard!$C$9,'[3]Country Results'!$C$6:$AK$6,0)),"")</f>
        <v>3550</v>
      </c>
      <c r="H272" s="43">
        <f t="shared" si="39"/>
        <v>136</v>
      </c>
      <c r="I272" s="43"/>
      <c r="J272" s="44">
        <f t="shared" si="40"/>
        <v>34.769066502000001</v>
      </c>
      <c r="K272" s="45">
        <f t="shared" si="41"/>
        <v>7.7764986700076756E-4</v>
      </c>
      <c r="L272" s="43">
        <f t="shared" si="42"/>
        <v>61</v>
      </c>
      <c r="M272" s="136" t="str">
        <f>IF(G272="","",INDEX([3]Countries!$C$7:$AO$254,MATCH([3]Dashboard!$B272,[3]Countries!$B$7:$B$254,0),MATCH([3]Dashboard!$N$7,[3]Countries!$C$6:$AO$6,0)))</f>
        <v>x</v>
      </c>
      <c r="N272" s="137"/>
      <c r="O272" s="135" t="str">
        <f t="shared" si="43"/>
        <v>-</v>
      </c>
      <c r="P272" s="45" t="str">
        <f t="shared" si="44"/>
        <v/>
      </c>
      <c r="Q272" s="43" t="str">
        <f t="shared" si="45"/>
        <v/>
      </c>
    </row>
    <row r="273" spans="2:17" x14ac:dyDescent="0.3">
      <c r="B273" t="str">
        <f>+'[3]Country Results'!B191</f>
        <v>Poland</v>
      </c>
      <c r="C273" s="91">
        <f>INDEX('[3]Country Results'!$C$7:$AK$254,MATCH([3]Dashboard!$B273,'[3]Country Results'!$B$7:$B$254,0),MATCH([3]Dashboard!$C$8,'[3]Country Results'!$C$6:$AE$6,0))</f>
        <v>19578.872440000006</v>
      </c>
      <c r="D273" s="45" cm="1">
        <f t="array" ref="D273">INDEX('[3]Country Results'!$L$7:$AE$254,MATCH([3]Dashboard!B273,'[3]Country Results'!$B$7:$B$254,0),MATCH($C$8,'[3]Country Results'!$L$6:$AE$6,0)+1)</f>
        <v>1.0521204974679092E-2</v>
      </c>
      <c r="E273" s="43">
        <f t="shared" si="38"/>
        <v>18</v>
      </c>
      <c r="F273" s="43"/>
      <c r="G273" s="91">
        <f>IFERROR(INDEX('[3]Country Results'!$C$7:$AK$254,MATCH([3]Dashboard!$B273,'[3]Country Results'!$B$7:$B$254,0),MATCH([3]Dashboard!$C$9,'[3]Country Results'!$C$6:$AK$6,0)),"")</f>
        <v>16850</v>
      </c>
      <c r="H273" s="43">
        <f t="shared" si="39"/>
        <v>60</v>
      </c>
      <c r="I273" s="43"/>
      <c r="J273" s="44">
        <f t="shared" si="40"/>
        <v>329.9040006140001</v>
      </c>
      <c r="K273" s="45">
        <f t="shared" si="41"/>
        <v>7.3786796141259913E-3</v>
      </c>
      <c r="L273" s="43">
        <f t="shared" si="42"/>
        <v>16</v>
      </c>
      <c r="M273" s="136" t="str">
        <f>IF(G273="","",INDEX([3]Countries!$C$7:$AO$254,MATCH([3]Dashboard!$B273,[3]Countries!$B$7:$B$254,0),MATCH([3]Dashboard!$N$7,[3]Countries!$C$6:$AO$6,0)))</f>
        <v/>
      </c>
      <c r="N273" s="137"/>
      <c r="O273" s="135">
        <f t="shared" si="43"/>
        <v>329.9040006140001</v>
      </c>
      <c r="P273" s="45">
        <f t="shared" si="44"/>
        <v>7.5988302178317214E-3</v>
      </c>
      <c r="Q273" s="43">
        <f t="shared" si="45"/>
        <v>16</v>
      </c>
    </row>
    <row r="274" spans="2:17" x14ac:dyDescent="0.3">
      <c r="B274" t="str">
        <f>+'[3]Country Results'!B192</f>
        <v>Portugal</v>
      </c>
      <c r="C274" s="91">
        <f>INDEX('[3]Country Results'!$C$7:$AK$254,MATCH([3]Dashboard!$B274,'[3]Country Results'!$B$7:$B$254,0),MATCH([3]Dashboard!$C$8,'[3]Country Results'!$C$6:$AE$6,0))</f>
        <v>2716.763113999999</v>
      </c>
      <c r="D274" s="45" cm="1">
        <f t="array" ref="D274">INDEX('[3]Country Results'!$L$7:$AE$254,MATCH([3]Dashboard!B274,'[3]Country Results'!$B$7:$B$254,0),MATCH($C$8,'[3]Country Results'!$L$6:$AE$6,0)+1)</f>
        <v>1.4599217435854257E-3</v>
      </c>
      <c r="E274" s="43">
        <f t="shared" si="38"/>
        <v>77</v>
      </c>
      <c r="F274" s="43"/>
      <c r="G274" s="91">
        <f>IFERROR(INDEX('[3]Country Results'!$C$7:$AK$254,MATCH([3]Dashboard!$B274,'[3]Country Results'!$B$7:$B$254,0),MATCH([3]Dashboard!$C$9,'[3]Country Results'!$C$6:$AK$6,0)),"")</f>
        <v>23890</v>
      </c>
      <c r="H274" s="43">
        <f t="shared" si="39"/>
        <v>44</v>
      </c>
      <c r="I274" s="43"/>
      <c r="J274" s="44">
        <f t="shared" si="40"/>
        <v>64.903470793459974</v>
      </c>
      <c r="K274" s="45">
        <f t="shared" si="41"/>
        <v>1.4516402224235461E-3</v>
      </c>
      <c r="L274" s="43">
        <f t="shared" si="42"/>
        <v>48</v>
      </c>
      <c r="M274" s="136" t="str">
        <f>IF(G274="","",INDEX([3]Countries!$C$7:$AO$254,MATCH([3]Dashboard!$B274,[3]Countries!$B$7:$B$254,0),MATCH([3]Dashboard!$N$7,[3]Countries!$C$6:$AO$6,0)))</f>
        <v/>
      </c>
      <c r="N274" s="137"/>
      <c r="O274" s="135">
        <f t="shared" si="43"/>
        <v>64.903470793459974</v>
      </c>
      <c r="P274" s="45">
        <f t="shared" si="44"/>
        <v>1.4949514228066404E-3</v>
      </c>
      <c r="Q274" s="43">
        <f t="shared" si="45"/>
        <v>43</v>
      </c>
    </row>
    <row r="275" spans="2:17" x14ac:dyDescent="0.3">
      <c r="B275" t="str">
        <f>+'[3]Country Results'!B193</f>
        <v>Qatar</v>
      </c>
      <c r="C275" s="91">
        <f>INDEX('[3]Country Results'!$C$7:$AK$254,MATCH([3]Dashboard!$B275,'[3]Country Results'!$B$7:$B$254,0),MATCH([3]Dashboard!$C$8,'[3]Country Results'!$C$6:$AE$6,0))</f>
        <v>3789.098508</v>
      </c>
      <c r="D275" s="45" cm="1">
        <f t="array" ref="D275">INDEX('[3]Country Results'!$L$7:$AE$254,MATCH([3]Dashboard!B275,'[3]Country Results'!$B$7:$B$254,0),MATCH($C$8,'[3]Country Results'!$L$6:$AE$6,0)+1)</f>
        <v>2.0361684358529237E-3</v>
      </c>
      <c r="E275" s="43">
        <f t="shared" si="38"/>
        <v>63</v>
      </c>
      <c r="F275" s="43"/>
      <c r="G275" s="91">
        <f>IFERROR(INDEX('[3]Country Results'!$C$7:$AK$254,MATCH([3]Dashboard!$B275,'[3]Country Results'!$B$7:$B$254,0),MATCH([3]Dashboard!$C$9,'[3]Country Results'!$C$6:$AK$6,0)),"")</f>
        <v>62310</v>
      </c>
      <c r="H275" s="43">
        <f t="shared" si="39"/>
        <v>11</v>
      </c>
      <c r="I275" s="43"/>
      <c r="J275" s="44">
        <f t="shared" si="40"/>
        <v>236.09872803348</v>
      </c>
      <c r="K275" s="45">
        <f t="shared" si="41"/>
        <v>5.2806175985117363E-3</v>
      </c>
      <c r="L275" s="43">
        <f t="shared" si="42"/>
        <v>23</v>
      </c>
      <c r="M275" s="136" t="str">
        <f>IF(G275="","",INDEX([3]Countries!$C$7:$AO$254,MATCH([3]Dashboard!$B275,[3]Countries!$B$7:$B$254,0),MATCH([3]Dashboard!$N$7,[3]Countries!$C$6:$AO$6,0)))</f>
        <v/>
      </c>
      <c r="N275" s="137"/>
      <c r="O275" s="135">
        <f t="shared" si="43"/>
        <v>236.09872803348</v>
      </c>
      <c r="P275" s="45">
        <f t="shared" si="44"/>
        <v>5.4381703332890908E-3</v>
      </c>
      <c r="Q275" s="43">
        <f t="shared" si="45"/>
        <v>22</v>
      </c>
    </row>
    <row r="276" spans="2:17" x14ac:dyDescent="0.3">
      <c r="B276" t="str">
        <f>+'[3]Country Results'!B194</f>
        <v>Reunion</v>
      </c>
      <c r="C276" s="91">
        <f>INDEX('[3]Country Results'!$C$7:$AK$254,MATCH([3]Dashboard!$B276,'[3]Country Results'!$B$7:$B$254,0),MATCH([3]Dashboard!$C$8,'[3]Country Results'!$C$6:$AE$6,0))</f>
        <v>0</v>
      </c>
      <c r="D276" s="45" cm="1">
        <f t="array" ref="D276">INDEX('[3]Country Results'!$L$7:$AE$254,MATCH([3]Dashboard!B276,'[3]Country Results'!$B$7:$B$254,0),MATCH($C$8,'[3]Country Results'!$L$6:$AE$6,0)+1)</f>
        <v>0</v>
      </c>
      <c r="E276" s="43">
        <f t="shared" si="38"/>
        <v>200</v>
      </c>
      <c r="F276" s="43"/>
      <c r="G276" s="91" t="str">
        <f>IFERROR(INDEX('[3]Country Results'!$C$7:$AK$254,MATCH([3]Dashboard!$B276,'[3]Country Results'!$B$7:$B$254,0),MATCH([3]Dashboard!$C$9,'[3]Country Results'!$C$6:$AK$6,0)),"")</f>
        <v/>
      </c>
      <c r="H276" s="43" t="str">
        <f t="shared" si="39"/>
        <v/>
      </c>
      <c r="I276" s="43"/>
      <c r="J276" s="44" t="str">
        <f t="shared" si="40"/>
        <v/>
      </c>
      <c r="K276" s="45" t="str">
        <f t="shared" si="41"/>
        <v/>
      </c>
      <c r="L276" s="43" t="str">
        <f t="shared" si="42"/>
        <v/>
      </c>
      <c r="M276" s="136" t="str">
        <f>IF(G276="","",INDEX([3]Countries!$C$7:$AO$254,MATCH([3]Dashboard!$B276,[3]Countries!$B$7:$B$254,0),MATCH([3]Dashboard!$N$7,[3]Countries!$C$6:$AO$6,0)))</f>
        <v/>
      </c>
      <c r="N276" s="137"/>
      <c r="O276" s="135" t="str">
        <f t="shared" si="43"/>
        <v/>
      </c>
      <c r="P276" s="45" t="str">
        <f t="shared" si="44"/>
        <v/>
      </c>
      <c r="Q276" s="43" t="str">
        <f t="shared" si="45"/>
        <v/>
      </c>
    </row>
    <row r="277" spans="2:17" x14ac:dyDescent="0.3">
      <c r="B277" t="str">
        <f>+'[3]Country Results'!B195</f>
        <v>Romania</v>
      </c>
      <c r="C277" s="91">
        <f>INDEX('[3]Country Results'!$C$7:$AK$254,MATCH([3]Dashboard!$B277,'[3]Country Results'!$B$7:$B$254,0),MATCH([3]Dashboard!$C$8,'[3]Country Results'!$C$6:$AE$6,0))</f>
        <v>7146.8490760000004</v>
      </c>
      <c r="D277" s="45" cm="1">
        <f t="array" ref="D277">INDEX('[3]Country Results'!$L$7:$AE$254,MATCH([3]Dashboard!B277,'[3]Country Results'!$B$7:$B$254,0),MATCH($C$8,'[3]Country Results'!$L$6:$AE$6,0)+1)</f>
        <v>3.840541087446395E-3</v>
      </c>
      <c r="E277" s="43">
        <f t="shared" si="38"/>
        <v>42</v>
      </c>
      <c r="F277" s="43"/>
      <c r="G277" s="91">
        <f>IFERROR(INDEX('[3]Country Results'!$C$7:$AK$254,MATCH([3]Dashboard!$B277,'[3]Country Results'!$B$7:$B$254,0),MATCH([3]Dashboard!$C$9,'[3]Country Results'!$C$6:$AK$6,0)),"")</f>
        <v>14160</v>
      </c>
      <c r="H277" s="43">
        <f t="shared" si="39"/>
        <v>66</v>
      </c>
      <c r="I277" s="43"/>
      <c r="J277" s="44">
        <f t="shared" si="40"/>
        <v>101.19938291616</v>
      </c>
      <c r="K277" s="45">
        <f t="shared" si="41"/>
        <v>2.2634397348799888E-3</v>
      </c>
      <c r="L277" s="43">
        <f t="shared" si="42"/>
        <v>43</v>
      </c>
      <c r="M277" s="136" t="str">
        <f>IF(G277="","",INDEX([3]Countries!$C$7:$AO$254,MATCH([3]Dashboard!$B277,[3]Countries!$B$7:$B$254,0),MATCH([3]Dashboard!$N$7,[3]Countries!$C$6:$AO$6,0)))</f>
        <v/>
      </c>
      <c r="N277" s="137"/>
      <c r="O277" s="135">
        <f t="shared" si="43"/>
        <v>101.19938291616</v>
      </c>
      <c r="P277" s="45">
        <f t="shared" si="44"/>
        <v>2.3309718205842397E-3</v>
      </c>
      <c r="Q277" s="43">
        <f t="shared" si="45"/>
        <v>40</v>
      </c>
    </row>
    <row r="278" spans="2:17" x14ac:dyDescent="0.3">
      <c r="B278" t="str">
        <f>+'[3]Country Results'!B196</f>
        <v>Russia</v>
      </c>
      <c r="C278" s="91">
        <f>INDEX('[3]Country Results'!$C$7:$AK$254,MATCH([3]Dashboard!$B278,'[3]Country Results'!$B$7:$B$254,0),MATCH([3]Dashboard!$C$8,'[3]Country Results'!$C$6:$AE$6,0))</f>
        <v>101133.1635</v>
      </c>
      <c r="D278" s="45" cm="1">
        <f t="array" ref="D278">INDEX('[3]Country Results'!$L$7:$AE$254,MATCH([3]Dashboard!B278,'[3]Country Results'!$B$7:$B$254,0),MATCH($C$8,'[3]Country Results'!$L$6:$AE$6,0)+1)</f>
        <v>5.4346477111080947E-2</v>
      </c>
      <c r="E278" s="43">
        <f t="shared" si="38"/>
        <v>3</v>
      </c>
      <c r="F278" s="43"/>
      <c r="G278" s="91">
        <f>IFERROR(INDEX('[3]Country Results'!$C$7:$AK$254,MATCH([3]Dashboard!$B278,'[3]Country Results'!$B$7:$B$254,0),MATCH([3]Dashboard!$C$9,'[3]Country Results'!$C$6:$AK$6,0)),"")</f>
        <v>11610</v>
      </c>
      <c r="H278" s="43">
        <f t="shared" si="39"/>
        <v>73</v>
      </c>
      <c r="I278" s="43"/>
      <c r="J278" s="44">
        <f t="shared" si="40"/>
        <v>1174.1560282349999</v>
      </c>
      <c r="K278" s="45">
        <f t="shared" si="41"/>
        <v>2.6261340066250395E-2</v>
      </c>
      <c r="L278" s="43">
        <f t="shared" si="42"/>
        <v>8</v>
      </c>
      <c r="M278" s="136" t="str">
        <f>IF(G278="","",INDEX([3]Countries!$C$7:$AO$254,MATCH([3]Dashboard!$B278,[3]Countries!$B$7:$B$254,0),MATCH([3]Dashboard!$N$7,[3]Countries!$C$6:$AO$6,0)))</f>
        <v/>
      </c>
      <c r="N278" s="137"/>
      <c r="O278" s="135">
        <f t="shared" si="43"/>
        <v>1174.1560282349999</v>
      </c>
      <c r="P278" s="45">
        <f t="shared" si="44"/>
        <v>2.7044874542884713E-2</v>
      </c>
      <c r="Q278" s="43">
        <f t="shared" si="45"/>
        <v>8</v>
      </c>
    </row>
    <row r="279" spans="2:17" x14ac:dyDescent="0.3">
      <c r="B279" t="str">
        <f>+'[3]Country Results'!B197</f>
        <v>Rwanda</v>
      </c>
      <c r="C279" s="91">
        <f>INDEX('[3]Country Results'!$C$7:$AK$254,MATCH([3]Dashboard!$B279,'[3]Country Results'!$B$7:$B$254,0),MATCH([3]Dashboard!$C$8,'[3]Country Results'!$C$6:$AE$6,0))</f>
        <v>438.04555950000008</v>
      </c>
      <c r="D279" s="45" cm="1">
        <f t="array" ref="D279">INDEX('[3]Country Results'!$L$7:$AE$254,MATCH([3]Dashboard!B279,'[3]Country Results'!$B$7:$B$254,0),MATCH($C$8,'[3]Country Results'!$L$6:$AE$6,0)+1)</f>
        <v>2.353949204108245E-4</v>
      </c>
      <c r="E279" s="43">
        <f t="shared" si="38"/>
        <v>148</v>
      </c>
      <c r="F279" s="43"/>
      <c r="G279" s="91">
        <f>IFERROR(INDEX('[3]Country Results'!$C$7:$AK$254,MATCH([3]Dashboard!$B279,'[3]Country Results'!$B$7:$B$254,0),MATCH([3]Dashboard!$C$9,'[3]Country Results'!$C$6:$AK$6,0)),"")</f>
        <v>840</v>
      </c>
      <c r="H279" s="43">
        <f t="shared" si="39"/>
        <v>182</v>
      </c>
      <c r="I279" s="43"/>
      <c r="J279" s="44">
        <f t="shared" si="40"/>
        <v>0.36795826998000003</v>
      </c>
      <c r="K279" s="45">
        <f t="shared" si="41"/>
        <v>8.2298067937866521E-6</v>
      </c>
      <c r="L279" s="43">
        <f t="shared" si="42"/>
        <v>166</v>
      </c>
      <c r="M279" s="136" t="str">
        <f>IF(G279="","",INDEX([3]Countries!$C$7:$AO$254,MATCH([3]Dashboard!$B279,[3]Countries!$B$7:$B$254,0),MATCH([3]Dashboard!$N$7,[3]Countries!$C$6:$AO$6,0)))</f>
        <v>x</v>
      </c>
      <c r="N279" s="137"/>
      <c r="O279" s="135" t="str">
        <f t="shared" si="43"/>
        <v>-</v>
      </c>
      <c r="P279" s="45" t="str">
        <f t="shared" si="44"/>
        <v/>
      </c>
      <c r="Q279" s="43" t="str">
        <f t="shared" si="45"/>
        <v/>
      </c>
    </row>
    <row r="280" spans="2:17" x14ac:dyDescent="0.3">
      <c r="B280" t="str">
        <f>+'[3]Country Results'!B198</f>
        <v>Saint Helena</v>
      </c>
      <c r="C280" s="91">
        <f>INDEX('[3]Country Results'!$C$7:$AK$254,MATCH([3]Dashboard!$B280,'[3]Country Results'!$B$7:$B$254,0),MATCH([3]Dashboard!$C$8,'[3]Country Results'!$C$6:$AE$6,0))</f>
        <v>0.56248649929999994</v>
      </c>
      <c r="D280" s="45" cm="1">
        <f t="array" ref="D280">INDEX('[3]Country Results'!$L$7:$AE$254,MATCH([3]Dashboard!B280,'[3]Country Results'!$B$7:$B$254,0),MATCH($C$8,'[3]Country Results'!$L$6:$AE$6,0)+1)</f>
        <v>3.0226642380765138E-7</v>
      </c>
      <c r="E280" s="43">
        <f t="shared" si="38"/>
        <v>198</v>
      </c>
      <c r="F280" s="43"/>
      <c r="G280" s="91" t="str">
        <f>IFERROR(INDEX('[3]Country Results'!$C$7:$AK$254,MATCH([3]Dashboard!$B280,'[3]Country Results'!$B$7:$B$254,0),MATCH([3]Dashboard!$C$9,'[3]Country Results'!$C$6:$AK$6,0)),"")</f>
        <v/>
      </c>
      <c r="H280" s="43" t="str">
        <f t="shared" si="39"/>
        <v/>
      </c>
      <c r="I280" s="43"/>
      <c r="J280" s="44" t="str">
        <f t="shared" si="40"/>
        <v/>
      </c>
      <c r="K280" s="45" t="str">
        <f t="shared" si="41"/>
        <v/>
      </c>
      <c r="L280" s="43" t="str">
        <f t="shared" si="42"/>
        <v/>
      </c>
      <c r="M280" s="136" t="str">
        <f>IF(G280="","",INDEX([3]Countries!$C$7:$AO$254,MATCH([3]Dashboard!$B280,[3]Countries!$B$7:$B$254,0),MATCH([3]Dashboard!$N$7,[3]Countries!$C$6:$AO$6,0)))</f>
        <v/>
      </c>
      <c r="N280" s="137"/>
      <c r="O280" s="135" t="str">
        <f t="shared" si="43"/>
        <v/>
      </c>
      <c r="P280" s="45" t="str">
        <f t="shared" si="44"/>
        <v/>
      </c>
      <c r="Q280" s="43" t="str">
        <f t="shared" si="45"/>
        <v/>
      </c>
    </row>
    <row r="281" spans="2:17" x14ac:dyDescent="0.3">
      <c r="B281" t="str">
        <f>+'[3]Country Results'!B199</f>
        <v>Saint Kitts and Nevis</v>
      </c>
      <c r="C281" s="91">
        <f>INDEX('[3]Country Results'!$C$7:$AK$254,MATCH([3]Dashboard!$B281,'[3]Country Results'!$B$7:$B$254,0),MATCH([3]Dashboard!$C$8,'[3]Country Results'!$C$6:$AE$6,0))</f>
        <v>4.9895916865999999</v>
      </c>
      <c r="D281" s="45" cm="1">
        <f t="array" ref="D281">INDEX('[3]Country Results'!$L$7:$AE$254,MATCH([3]Dashboard!B281,'[3]Country Results'!$B$7:$B$254,0),MATCH($C$8,'[3]Country Results'!$L$6:$AE$6,0)+1)</f>
        <v>2.6812839725857749E-6</v>
      </c>
      <c r="E281" s="43">
        <f t="shared" si="38"/>
        <v>192</v>
      </c>
      <c r="F281" s="43"/>
      <c r="G281" s="91">
        <f>IFERROR(INDEX('[3]Country Results'!$C$7:$AK$254,MATCH([3]Dashboard!$B281,'[3]Country Results'!$B$7:$B$254,0),MATCH([3]Dashboard!$C$9,'[3]Country Results'!$C$6:$AK$6,0)),"")</f>
        <v>18820</v>
      </c>
      <c r="H281" s="43">
        <f t="shared" si="39"/>
        <v>52</v>
      </c>
      <c r="I281" s="43"/>
      <c r="J281" s="44">
        <f t="shared" si="40"/>
        <v>9.3904115541812008E-2</v>
      </c>
      <c r="K281" s="45">
        <f t="shared" si="41"/>
        <v>2.1002727512892609E-6</v>
      </c>
      <c r="L281" s="43">
        <f t="shared" si="42"/>
        <v>180</v>
      </c>
      <c r="M281" s="136" t="str">
        <f>IF(G281="","",INDEX([3]Countries!$C$7:$AO$254,MATCH([3]Dashboard!$B281,[3]Countries!$B$7:$B$254,0),MATCH([3]Dashboard!$N$7,[3]Countries!$C$6:$AO$6,0)))</f>
        <v>x</v>
      </c>
      <c r="N281" s="137"/>
      <c r="O281" s="135" t="str">
        <f t="shared" si="43"/>
        <v>-</v>
      </c>
      <c r="P281" s="45" t="str">
        <f t="shared" si="44"/>
        <v/>
      </c>
      <c r="Q281" s="43" t="str">
        <f t="shared" si="45"/>
        <v/>
      </c>
    </row>
    <row r="282" spans="2:17" x14ac:dyDescent="0.3">
      <c r="B282" t="str">
        <f>+'[3]Country Results'!B200</f>
        <v>Saint Lucia</v>
      </c>
      <c r="C282" s="91">
        <f>INDEX('[3]Country Results'!$C$7:$AK$254,MATCH([3]Dashboard!$B282,'[3]Country Results'!$B$7:$B$254,0),MATCH([3]Dashboard!$C$8,'[3]Country Results'!$C$6:$AE$6,0))</f>
        <v>17.36855379</v>
      </c>
      <c r="D282" s="45" cm="1">
        <f t="array" ref="D282">INDEX('[3]Country Results'!$L$7:$AE$254,MATCH([3]Dashboard!B282,'[3]Country Results'!$B$7:$B$254,0),MATCH($C$8,'[3]Country Results'!$L$6:$AE$6,0)+1)</f>
        <v>9.3334340421459598E-6</v>
      </c>
      <c r="E282" s="43">
        <f t="shared" si="38"/>
        <v>180</v>
      </c>
      <c r="F282" s="43"/>
      <c r="G282" s="91">
        <f>IFERROR(INDEX('[3]Country Results'!$C$7:$AK$254,MATCH([3]Dashboard!$B282,'[3]Country Results'!$B$7:$B$254,0),MATCH([3]Dashboard!$C$9,'[3]Country Results'!$C$6:$AK$6,0)),"")</f>
        <v>9520</v>
      </c>
      <c r="H282" s="43">
        <f t="shared" si="39"/>
        <v>81</v>
      </c>
      <c r="I282" s="43"/>
      <c r="J282" s="44">
        <f t="shared" si="40"/>
        <v>0.1653486320808</v>
      </c>
      <c r="K282" s="45">
        <f t="shared" si="41"/>
        <v>3.6982109295052985E-6</v>
      </c>
      <c r="L282" s="43">
        <f t="shared" si="42"/>
        <v>176</v>
      </c>
      <c r="M282" s="136" t="str">
        <f>IF(G282="","",INDEX([3]Countries!$C$7:$AO$254,MATCH([3]Dashboard!$B282,[3]Countries!$B$7:$B$254,0),MATCH([3]Dashboard!$N$7,[3]Countries!$C$6:$AO$6,0)))</f>
        <v>x</v>
      </c>
      <c r="N282" s="137"/>
      <c r="O282" s="135" t="str">
        <f t="shared" si="43"/>
        <v>-</v>
      </c>
      <c r="P282" s="45" t="str">
        <f t="shared" si="44"/>
        <v/>
      </c>
      <c r="Q282" s="43" t="str">
        <f t="shared" si="45"/>
        <v/>
      </c>
    </row>
    <row r="283" spans="2:17" x14ac:dyDescent="0.3">
      <c r="B283" t="str">
        <f>+'[3]Country Results'!B201</f>
        <v>Saint Pierre and Miquelon</v>
      </c>
      <c r="C283" s="91">
        <f>INDEX('[3]Country Results'!$C$7:$AK$254,MATCH([3]Dashboard!$B283,'[3]Country Results'!$B$7:$B$254,0),MATCH([3]Dashboard!$C$8,'[3]Country Results'!$C$6:$AE$6,0))</f>
        <v>0</v>
      </c>
      <c r="D283" s="45" cm="1">
        <f t="array" ref="D283">INDEX('[3]Country Results'!$L$7:$AE$254,MATCH([3]Dashboard!B283,'[3]Country Results'!$B$7:$B$254,0),MATCH($C$8,'[3]Country Results'!$L$6:$AE$6,0)+1)</f>
        <v>0</v>
      </c>
      <c r="E283" s="43">
        <f t="shared" ref="E283:E336" si="46">IFERROR(RANK(D283,D$90:D$336),"")</f>
        <v>200</v>
      </c>
      <c r="F283" s="43"/>
      <c r="G283" s="91" t="str">
        <f>IFERROR(INDEX('[3]Country Results'!$C$7:$AK$254,MATCH([3]Dashboard!$B283,'[3]Country Results'!$B$7:$B$254,0),MATCH([3]Dashboard!$C$9,'[3]Country Results'!$C$6:$AK$6,0)),"")</f>
        <v/>
      </c>
      <c r="H283" s="43" t="str">
        <f t="shared" ref="H283:H336" si="47">IFERROR(RANK(G283,G$90:G$336),"")</f>
        <v/>
      </c>
      <c r="I283" s="43"/>
      <c r="J283" s="44" t="str">
        <f t="shared" ref="J283:J336" si="48">IFERROR(C283*G283^$C$10/1000000,"")</f>
        <v/>
      </c>
      <c r="K283" s="45" t="str">
        <f t="shared" ref="K283:K336" si="49">IFERROR(J283/J$88,"")</f>
        <v/>
      </c>
      <c r="L283" s="43" t="str">
        <f t="shared" ref="L283:L336" si="50">IFERROR(RANK(K283,K$90:K$336),"")</f>
        <v/>
      </c>
      <c r="M283" s="136" t="str">
        <f>IF(G283="","",INDEX([3]Countries!$C$7:$AO$254,MATCH([3]Dashboard!$B283,[3]Countries!$B$7:$B$254,0),MATCH([3]Dashboard!$N$7,[3]Countries!$C$6:$AO$6,0)))</f>
        <v/>
      </c>
      <c r="N283" s="137"/>
      <c r="O283" s="135" t="str">
        <f t="shared" ref="O283:O336" si="51">IF(OR(M283="x",N283="x"),$Q$86,J283)</f>
        <v/>
      </c>
      <c r="P283" s="45" t="str">
        <f t="shared" ref="P283:P336" si="52">IFERROR(O283/O$88,"")</f>
        <v/>
      </c>
      <c r="Q283" s="43" t="str">
        <f t="shared" ref="Q283:Q336" si="53">IFERROR(RANK(P283,P$90:P$336),"")</f>
        <v/>
      </c>
    </row>
    <row r="284" spans="2:17" x14ac:dyDescent="0.3">
      <c r="B284" t="str">
        <f>+'[3]Country Results'!B202</f>
        <v>Saint Vincent and the Grenadines</v>
      </c>
      <c r="C284" s="91">
        <f>INDEX('[3]Country Results'!$C$7:$AK$254,MATCH([3]Dashboard!$B284,'[3]Country Results'!$B$7:$B$254,0),MATCH([3]Dashboard!$C$8,'[3]Country Results'!$C$6:$AE$6,0))</f>
        <v>9.4622978500000006</v>
      </c>
      <c r="D284" s="45" cm="1">
        <f t="array" ref="D284">INDEX('[3]Country Results'!$L$7:$AE$254,MATCH([3]Dashboard!B284,'[3]Country Results'!$B$7:$B$254,0),MATCH($C$8,'[3]Country Results'!$L$6:$AE$6,0)+1)</f>
        <v>5.0848063654535592E-6</v>
      </c>
      <c r="E284" s="43">
        <f t="shared" si="46"/>
        <v>185</v>
      </c>
      <c r="F284" s="43"/>
      <c r="G284" s="91">
        <f>IFERROR(INDEX('[3]Country Results'!$C$7:$AK$254,MATCH([3]Dashboard!$B284,'[3]Country Results'!$B$7:$B$254,0),MATCH([3]Dashboard!$C$9,'[3]Country Results'!$C$6:$AK$6,0)),"")</f>
        <v>8720</v>
      </c>
      <c r="H284" s="43">
        <f t="shared" si="47"/>
        <v>86</v>
      </c>
      <c r="I284" s="43"/>
      <c r="J284" s="44">
        <f t="shared" si="48"/>
        <v>8.2511237252000005E-2</v>
      </c>
      <c r="K284" s="45">
        <f t="shared" si="49"/>
        <v>1.84545802146847E-6</v>
      </c>
      <c r="L284" s="43">
        <f t="shared" si="50"/>
        <v>183</v>
      </c>
      <c r="M284" s="136" t="str">
        <f>IF(G284="","",INDEX([3]Countries!$C$7:$AO$254,MATCH([3]Dashboard!$B284,[3]Countries!$B$7:$B$254,0),MATCH([3]Dashboard!$N$7,[3]Countries!$C$6:$AO$6,0)))</f>
        <v>x</v>
      </c>
      <c r="N284" s="137"/>
      <c r="O284" s="135" t="str">
        <f t="shared" si="51"/>
        <v>-</v>
      </c>
      <c r="P284" s="45" t="str">
        <f t="shared" si="52"/>
        <v/>
      </c>
      <c r="Q284" s="43" t="str">
        <f t="shared" si="53"/>
        <v/>
      </c>
    </row>
    <row r="285" spans="2:17" x14ac:dyDescent="0.3">
      <c r="B285" t="str">
        <f>+'[3]Country Results'!B203</f>
        <v>Samoa</v>
      </c>
      <c r="C285" s="91">
        <f>INDEX('[3]Country Results'!$C$7:$AK$254,MATCH([3]Dashboard!$B285,'[3]Country Results'!$B$7:$B$254,0),MATCH([3]Dashboard!$C$8,'[3]Country Results'!$C$6:$AE$6,0))</f>
        <v>14.6993915283</v>
      </c>
      <c r="D285" s="45" cm="1">
        <f t="array" ref="D285">INDEX('[3]Country Results'!$L$7:$AE$254,MATCH([3]Dashboard!B285,'[3]Country Results'!$B$7:$B$254,0),MATCH($C$8,'[3]Country Results'!$L$6:$AE$6,0)+1)</f>
        <v>7.8990918269809015E-6</v>
      </c>
      <c r="E285" s="43">
        <f t="shared" si="46"/>
        <v>182</v>
      </c>
      <c r="F285" s="43"/>
      <c r="G285" s="91">
        <f>IFERROR(INDEX('[3]Country Results'!$C$7:$AK$254,MATCH([3]Dashboard!$B285,'[3]Country Results'!$B$7:$B$254,0),MATCH([3]Dashboard!$C$9,'[3]Country Results'!$C$6:$AK$6,0)),"")</f>
        <v>3810</v>
      </c>
      <c r="H285" s="43">
        <f t="shared" si="47"/>
        <v>130</v>
      </c>
      <c r="I285" s="43"/>
      <c r="J285" s="44">
        <f t="shared" si="48"/>
        <v>5.6004681722822997E-2</v>
      </c>
      <c r="K285" s="45">
        <f t="shared" si="49"/>
        <v>1.2526086454080785E-6</v>
      </c>
      <c r="L285" s="43">
        <f t="shared" si="50"/>
        <v>188</v>
      </c>
      <c r="M285" s="136" t="str">
        <f>IF(G285="","",INDEX([3]Countries!$C$7:$AO$254,MATCH([3]Dashboard!$B285,[3]Countries!$B$7:$B$254,0),MATCH([3]Dashboard!$N$7,[3]Countries!$C$6:$AO$6,0)))</f>
        <v>x</v>
      </c>
      <c r="N285" s="137"/>
      <c r="O285" s="135" t="str">
        <f t="shared" si="51"/>
        <v>-</v>
      </c>
      <c r="P285" s="45" t="str">
        <f t="shared" si="52"/>
        <v/>
      </c>
      <c r="Q285" s="43" t="str">
        <f t="shared" si="53"/>
        <v/>
      </c>
    </row>
    <row r="286" spans="2:17" x14ac:dyDescent="0.3">
      <c r="B286" t="str">
        <f>+'[3]Country Results'!B204</f>
        <v>Sao Tome and Principe</v>
      </c>
      <c r="C286" s="91">
        <f>INDEX('[3]Country Results'!$C$7:$AK$254,MATCH([3]Dashboard!$B286,'[3]Country Results'!$B$7:$B$254,0),MATCH([3]Dashboard!$C$8,'[3]Country Results'!$C$6:$AE$6,0))</f>
        <v>8.5750438199999994</v>
      </c>
      <c r="D286" s="45" cm="1">
        <f t="array" ref="D286">INDEX('[3]Country Results'!$L$7:$AE$254,MATCH([3]Dashboard!B286,'[3]Country Results'!$B$7:$B$254,0),MATCH($C$8,'[3]Country Results'!$L$6:$AE$6,0)+1)</f>
        <v>4.6080178505455942E-6</v>
      </c>
      <c r="E286" s="43">
        <f t="shared" si="46"/>
        <v>186</v>
      </c>
      <c r="F286" s="43"/>
      <c r="G286" s="91">
        <f>IFERROR(INDEX('[3]Country Results'!$C$7:$AK$254,MATCH([3]Dashboard!$B286,'[3]Country Results'!$B$7:$B$254,0),MATCH([3]Dashboard!$C$9,'[3]Country Results'!$C$6:$AK$6,0)),"")</f>
        <v>2260</v>
      </c>
      <c r="H286" s="43">
        <f t="shared" si="47"/>
        <v>153</v>
      </c>
      <c r="I286" s="43"/>
      <c r="J286" s="44">
        <f t="shared" si="48"/>
        <v>1.9379599033199999E-2</v>
      </c>
      <c r="K286" s="45">
        <f t="shared" si="49"/>
        <v>4.3344685741934684E-7</v>
      </c>
      <c r="L286" s="43">
        <f t="shared" si="50"/>
        <v>191</v>
      </c>
      <c r="M286" s="136" t="str">
        <f>IF(G286="","",INDEX([3]Countries!$C$7:$AO$254,MATCH([3]Dashboard!$B286,[3]Countries!$B$7:$B$254,0),MATCH([3]Dashboard!$N$7,[3]Countries!$C$6:$AO$6,0)))</f>
        <v>x</v>
      </c>
      <c r="N286" s="137"/>
      <c r="O286" s="135" t="str">
        <f t="shared" si="51"/>
        <v>-</v>
      </c>
      <c r="P286" s="45" t="str">
        <f t="shared" si="52"/>
        <v/>
      </c>
      <c r="Q286" s="43" t="str">
        <f t="shared" si="53"/>
        <v/>
      </c>
    </row>
    <row r="287" spans="2:17" x14ac:dyDescent="0.3">
      <c r="B287" t="str">
        <f>+'[3]Country Results'!B205</f>
        <v>Saudi Arabia</v>
      </c>
      <c r="C287" s="91">
        <f>INDEX('[3]Country Results'!$C$7:$AK$254,MATCH([3]Dashboard!$B287,'[3]Country Results'!$B$7:$B$254,0),MATCH([3]Dashboard!$C$8,'[3]Country Results'!$C$6:$AE$6,0))</f>
        <v>19569.44184</v>
      </c>
      <c r="D287" s="45" cm="1">
        <f t="array" ref="D287">INDEX('[3]Country Results'!$L$7:$AE$254,MATCH([3]Dashboard!B287,'[3]Country Results'!$B$7:$B$254,0),MATCH($C$8,'[3]Country Results'!$L$6:$AE$6,0)+1)</f>
        <v>1.0516137201959373E-2</v>
      </c>
      <c r="E287" s="43">
        <f t="shared" si="46"/>
        <v>19</v>
      </c>
      <c r="F287" s="43"/>
      <c r="G287" s="91">
        <f>IFERROR(INDEX('[3]Country Results'!$C$7:$AK$254,MATCH([3]Dashboard!$B287,'[3]Country Results'!$B$7:$B$254,0),MATCH([3]Dashboard!$C$9,'[3]Country Results'!$C$6:$AK$6,0)),"")</f>
        <v>21540</v>
      </c>
      <c r="H287" s="43">
        <f t="shared" si="47"/>
        <v>47</v>
      </c>
      <c r="I287" s="43"/>
      <c r="J287" s="44">
        <f t="shared" si="48"/>
        <v>421.52577723359997</v>
      </c>
      <c r="K287" s="45">
        <f t="shared" si="49"/>
        <v>9.4279052497497559E-3</v>
      </c>
      <c r="L287" s="43">
        <f t="shared" si="50"/>
        <v>14</v>
      </c>
      <c r="M287" s="136" t="str">
        <f>IF(G287="","",INDEX([3]Countries!$C$7:$AO$254,MATCH([3]Dashboard!$B287,[3]Countries!$B$7:$B$254,0),MATCH([3]Dashboard!$N$7,[3]Countries!$C$6:$AO$6,0)))</f>
        <v/>
      </c>
      <c r="N287" s="137"/>
      <c r="O287" s="135">
        <f t="shared" si="51"/>
        <v>421.52577723359997</v>
      </c>
      <c r="P287" s="45">
        <f t="shared" si="52"/>
        <v>9.7091966380408682E-3</v>
      </c>
      <c r="Q287" s="43">
        <f t="shared" si="53"/>
        <v>14</v>
      </c>
    </row>
    <row r="288" spans="2:17" x14ac:dyDescent="0.3">
      <c r="B288" t="str">
        <f>+'[3]Country Results'!B206</f>
        <v>Senegal</v>
      </c>
      <c r="C288" s="91">
        <f>INDEX('[3]Country Results'!$C$7:$AK$254,MATCH([3]Dashboard!$B288,'[3]Country Results'!$B$7:$B$254,0),MATCH([3]Dashboard!$C$8,'[3]Country Results'!$C$6:$AE$6,0))</f>
        <v>915.00798299999974</v>
      </c>
      <c r="D288" s="45" cm="1">
        <f t="array" ref="D288">INDEX('[3]Country Results'!$L$7:$AE$254,MATCH([3]Dashboard!B288,'[3]Country Results'!$B$7:$B$254,0),MATCH($C$8,'[3]Country Results'!$L$6:$AE$6,0)+1)</f>
        <v>4.9170280730480493E-4</v>
      </c>
      <c r="E288" s="43">
        <f t="shared" si="46"/>
        <v>125</v>
      </c>
      <c r="F288" s="43"/>
      <c r="G288" s="91">
        <f>IFERROR(INDEX('[3]Country Results'!$C$7:$AK$254,MATCH([3]Dashboard!$B288,'[3]Country Results'!$B$7:$B$254,0),MATCH([3]Dashboard!$C$9,'[3]Country Results'!$C$6:$AK$6,0)),"")</f>
        <v>1570</v>
      </c>
      <c r="H288" s="43">
        <f t="shared" si="47"/>
        <v>165</v>
      </c>
      <c r="I288" s="43"/>
      <c r="J288" s="44">
        <f t="shared" si="48"/>
        <v>1.4365625333099996</v>
      </c>
      <c r="K288" s="45">
        <f t="shared" si="49"/>
        <v>3.21303611330073E-5</v>
      </c>
      <c r="L288" s="43">
        <f t="shared" si="50"/>
        <v>139</v>
      </c>
      <c r="M288" s="136" t="str">
        <f>IF(G288="","",INDEX([3]Countries!$C$7:$AO$254,MATCH([3]Dashboard!$B288,[3]Countries!$B$7:$B$254,0),MATCH([3]Dashboard!$N$7,[3]Countries!$C$6:$AO$6,0)))</f>
        <v>x</v>
      </c>
      <c r="N288" s="137"/>
      <c r="O288" s="135" t="str">
        <f t="shared" si="51"/>
        <v>-</v>
      </c>
      <c r="P288" s="45" t="str">
        <f t="shared" si="52"/>
        <v/>
      </c>
      <c r="Q288" s="43" t="str">
        <f t="shared" si="53"/>
        <v/>
      </c>
    </row>
    <row r="289" spans="2:17" x14ac:dyDescent="0.3">
      <c r="B289" t="str">
        <f>+'[3]Country Results'!B207</f>
        <v>Serbia</v>
      </c>
      <c r="C289" s="91">
        <f>INDEX('[3]Country Results'!$C$7:$AK$254,MATCH([3]Dashboard!$B289,'[3]Country Results'!$B$7:$B$254,0),MATCH([3]Dashboard!$C$8,'[3]Country Results'!$C$6:$AE$6,0))</f>
        <v>2508.1751500000005</v>
      </c>
      <c r="D289" s="45" cm="1">
        <f t="array" ref="D289">INDEX('[3]Country Results'!$L$7:$AE$254,MATCH([3]Dashboard!B289,'[3]Country Results'!$B$7:$B$254,0),MATCH($C$8,'[3]Country Results'!$L$6:$AE$6,0)+1)</f>
        <v>1.3478316969690862E-3</v>
      </c>
      <c r="E289" s="43">
        <f t="shared" si="46"/>
        <v>81</v>
      </c>
      <c r="F289" s="43"/>
      <c r="G289" s="91">
        <f>IFERROR(INDEX('[3]Country Results'!$C$7:$AK$254,MATCH([3]Dashboard!$B289,'[3]Country Results'!$B$7:$B$254,0),MATCH([3]Dashboard!$C$9,'[3]Country Results'!$C$6:$AK$6,0)),"")</f>
        <v>8460</v>
      </c>
      <c r="H289" s="43">
        <f t="shared" si="47"/>
        <v>89</v>
      </c>
      <c r="I289" s="43"/>
      <c r="J289" s="44">
        <f t="shared" si="48"/>
        <v>21.219161769000007</v>
      </c>
      <c r="K289" s="45">
        <f t="shared" si="49"/>
        <v>4.7459077817293266E-4</v>
      </c>
      <c r="L289" s="43">
        <f t="shared" si="50"/>
        <v>75</v>
      </c>
      <c r="M289" s="136" t="str">
        <f>IF(G289="","",INDEX([3]Countries!$C$7:$AO$254,MATCH([3]Dashboard!$B289,[3]Countries!$B$7:$B$254,0),MATCH([3]Dashboard!$N$7,[3]Countries!$C$6:$AO$6,0)))</f>
        <v/>
      </c>
      <c r="N289" s="137"/>
      <c r="O289" s="135">
        <f t="shared" si="51"/>
        <v>21.219161769000007</v>
      </c>
      <c r="P289" s="45">
        <f t="shared" si="52"/>
        <v>4.8875068913151675E-4</v>
      </c>
      <c r="Q289" s="43">
        <f t="shared" si="53"/>
        <v>63</v>
      </c>
    </row>
    <row r="290" spans="2:17" x14ac:dyDescent="0.3">
      <c r="B290" t="str">
        <f>+'[3]Country Results'!B208</f>
        <v>Seychelles</v>
      </c>
      <c r="C290" s="91">
        <f>INDEX('[3]Country Results'!$C$7:$AK$254,MATCH([3]Dashboard!$B290,'[3]Country Results'!$B$7:$B$254,0),MATCH([3]Dashboard!$C$8,'[3]Country Results'!$C$6:$AE$6,0))</f>
        <v>16.650881900000002</v>
      </c>
      <c r="D290" s="45" cm="1">
        <f t="array" ref="D290">INDEX('[3]Country Results'!$L$7:$AE$254,MATCH([3]Dashboard!B290,'[3]Country Results'!$B$7:$B$254,0),MATCH($C$8,'[3]Country Results'!$L$6:$AE$6,0)+1)</f>
        <v>8.9477748024530271E-6</v>
      </c>
      <c r="E290" s="43">
        <f t="shared" si="46"/>
        <v>181</v>
      </c>
      <c r="F290" s="43"/>
      <c r="G290" s="91">
        <f>IFERROR(INDEX('[3]Country Results'!$C$7:$AK$254,MATCH([3]Dashboard!$B290,'[3]Country Results'!$B$7:$B$254,0),MATCH([3]Dashboard!$C$9,'[3]Country Results'!$C$6:$AK$6,0)),"")</f>
        <v>14540</v>
      </c>
      <c r="H290" s="43">
        <f t="shared" si="47"/>
        <v>65</v>
      </c>
      <c r="I290" s="43"/>
      <c r="J290" s="44">
        <f t="shared" si="48"/>
        <v>0.24210382282600001</v>
      </c>
      <c r="K290" s="45">
        <f t="shared" si="49"/>
        <v>5.4149283993628772E-6</v>
      </c>
      <c r="L290" s="43">
        <f t="shared" si="50"/>
        <v>170</v>
      </c>
      <c r="M290" s="136" t="str">
        <f>IF(G290="","",INDEX([3]Countries!$C$7:$AO$254,MATCH([3]Dashboard!$B290,[3]Countries!$B$7:$B$254,0),MATCH([3]Dashboard!$N$7,[3]Countries!$C$6:$AO$6,0)))</f>
        <v>x</v>
      </c>
      <c r="N290" s="137"/>
      <c r="O290" s="135" t="str">
        <f t="shared" si="51"/>
        <v>-</v>
      </c>
      <c r="P290" s="45" t="str">
        <f t="shared" si="52"/>
        <v/>
      </c>
      <c r="Q290" s="43" t="str">
        <f t="shared" si="53"/>
        <v/>
      </c>
    </row>
    <row r="291" spans="2:17" x14ac:dyDescent="0.3">
      <c r="B291" t="str">
        <f>+'[3]Country Results'!B209</f>
        <v>Sierra Leone</v>
      </c>
      <c r="C291" s="91">
        <f>INDEX('[3]Country Results'!$C$7:$AK$254,MATCH([3]Dashboard!$B291,'[3]Country Results'!$B$7:$B$254,0),MATCH([3]Dashboard!$C$8,'[3]Country Results'!$C$6:$AE$6,0))</f>
        <v>897.76169100000004</v>
      </c>
      <c r="D291" s="45" cm="1">
        <f t="array" ref="D291">INDEX('[3]Country Results'!$L$7:$AE$254,MATCH([3]Dashboard!B291,'[3]Country Results'!$B$7:$B$254,0),MATCH($C$8,'[3]Country Results'!$L$6:$AE$6,0)+1)</f>
        <v>4.8243507374449757E-4</v>
      </c>
      <c r="E291" s="43">
        <f t="shared" si="46"/>
        <v>126</v>
      </c>
      <c r="F291" s="43"/>
      <c r="G291" s="91">
        <f>IFERROR(INDEX('[3]Country Results'!$C$7:$AK$254,MATCH([3]Dashboard!$B291,'[3]Country Results'!$B$7:$B$254,0),MATCH([3]Dashboard!$C$9,'[3]Country Results'!$C$6:$AK$6,0)),"")</f>
        <v>500</v>
      </c>
      <c r="H291" s="43">
        <f t="shared" si="47"/>
        <v>197</v>
      </c>
      <c r="I291" s="43"/>
      <c r="J291" s="44">
        <f t="shared" si="48"/>
        <v>0.44888084550000001</v>
      </c>
      <c r="K291" s="45">
        <f t="shared" si="49"/>
        <v>1.0039732581896831E-5</v>
      </c>
      <c r="L291" s="43">
        <f t="shared" si="50"/>
        <v>162</v>
      </c>
      <c r="M291" s="136" t="str">
        <f>IF(G291="","",INDEX([3]Countries!$C$7:$AO$254,MATCH([3]Dashboard!$B291,[3]Countries!$B$7:$B$254,0),MATCH([3]Dashboard!$N$7,[3]Countries!$C$6:$AO$6,0)))</f>
        <v>x</v>
      </c>
      <c r="N291" s="137"/>
      <c r="O291" s="135" t="str">
        <f t="shared" si="51"/>
        <v>-</v>
      </c>
      <c r="P291" s="45" t="str">
        <f t="shared" si="52"/>
        <v/>
      </c>
      <c r="Q291" s="43" t="str">
        <f t="shared" si="53"/>
        <v/>
      </c>
    </row>
    <row r="292" spans="2:17" x14ac:dyDescent="0.3">
      <c r="B292" t="str">
        <f>+'[3]Country Results'!B210</f>
        <v>Singapore</v>
      </c>
      <c r="C292" s="91">
        <f>INDEX('[3]Country Results'!$C$7:$AK$254,MATCH([3]Dashboard!$B292,'[3]Country Results'!$B$7:$B$254,0),MATCH([3]Dashboard!$C$8,'[3]Country Results'!$C$6:$AE$6,0))</f>
        <v>2062.2367279999999</v>
      </c>
      <c r="D292" s="45" cm="1">
        <f t="array" ref="D292">INDEX('[3]Country Results'!$L$7:$AE$254,MATCH([3]Dashboard!B292,'[3]Country Results'!$B$7:$B$254,0),MATCH($C$8,'[3]Country Results'!$L$6:$AE$6,0)+1)</f>
        <v>1.1081953461871334E-3</v>
      </c>
      <c r="E292" s="43">
        <f t="shared" si="46"/>
        <v>92</v>
      </c>
      <c r="F292" s="43"/>
      <c r="G292" s="91">
        <f>IFERROR(INDEX('[3]Country Results'!$C$7:$AK$254,MATCH([3]Dashboard!$B292,'[3]Country Results'!$B$7:$B$254,0),MATCH([3]Dashboard!$C$9,'[3]Country Results'!$C$6:$AK$6,0)),"")</f>
        <v>64010</v>
      </c>
      <c r="H292" s="43">
        <f t="shared" si="47"/>
        <v>9</v>
      </c>
      <c r="I292" s="43"/>
      <c r="J292" s="44">
        <f t="shared" si="48"/>
        <v>132.00377295927998</v>
      </c>
      <c r="K292" s="45">
        <f t="shared" si="49"/>
        <v>2.9524150865390293E-3</v>
      </c>
      <c r="L292" s="43">
        <f t="shared" si="50"/>
        <v>39</v>
      </c>
      <c r="M292" s="136" t="str">
        <f>IF(G292="","",INDEX([3]Countries!$C$7:$AO$254,MATCH([3]Dashboard!$B292,[3]Countries!$B$7:$B$254,0),MATCH([3]Dashboard!$N$7,[3]Countries!$C$6:$AO$6,0)))</f>
        <v>x</v>
      </c>
      <c r="N292" s="137"/>
      <c r="O292" s="135" t="str">
        <f t="shared" si="51"/>
        <v>-</v>
      </c>
      <c r="P292" s="45" t="str">
        <f t="shared" si="52"/>
        <v/>
      </c>
      <c r="Q292" s="43" t="str">
        <f t="shared" si="53"/>
        <v/>
      </c>
    </row>
    <row r="293" spans="2:17" x14ac:dyDescent="0.3">
      <c r="B293" t="str">
        <f>+'[3]Country Results'!B211</f>
        <v>Sint Maarten (Dutch part)</v>
      </c>
      <c r="C293" s="91">
        <f>INDEX('[3]Country Results'!$C$7:$AK$254,MATCH([3]Dashboard!$B293,'[3]Country Results'!$B$7:$B$254,0),MATCH([3]Dashboard!$C$8,'[3]Country Results'!$C$6:$AE$6,0))</f>
        <v>0</v>
      </c>
      <c r="D293" s="45" cm="1">
        <f t="array" ref="D293">INDEX('[3]Country Results'!$L$7:$AE$254,MATCH([3]Dashboard!B293,'[3]Country Results'!$B$7:$B$254,0),MATCH($C$8,'[3]Country Results'!$L$6:$AE$6,0)+1)</f>
        <v>0</v>
      </c>
      <c r="E293" s="43">
        <f t="shared" si="46"/>
        <v>200</v>
      </c>
      <c r="F293" s="43"/>
      <c r="G293" s="91">
        <f>IFERROR(INDEX('[3]Country Results'!$C$7:$AK$254,MATCH([3]Dashboard!$B293,'[3]Country Results'!$B$7:$B$254,0),MATCH([3]Dashboard!$C$9,'[3]Country Results'!$C$6:$AK$6,0)),"")</f>
        <v>27510</v>
      </c>
      <c r="H293" s="43">
        <f t="shared" si="47"/>
        <v>40</v>
      </c>
      <c r="I293" s="43"/>
      <c r="J293" s="44">
        <f t="shared" si="48"/>
        <v>0</v>
      </c>
      <c r="K293" s="45">
        <f t="shared" si="49"/>
        <v>0</v>
      </c>
      <c r="L293" s="43">
        <f t="shared" si="50"/>
        <v>195</v>
      </c>
      <c r="M293" s="136" t="str">
        <f>IF(G293="","",INDEX([3]Countries!$C$7:$AO$254,MATCH([3]Dashboard!$B293,[3]Countries!$B$7:$B$254,0),MATCH([3]Dashboard!$N$7,[3]Countries!$C$6:$AO$6,0)))</f>
        <v>x</v>
      </c>
      <c r="N293" s="137"/>
      <c r="O293" s="135" t="str">
        <f t="shared" si="51"/>
        <v>-</v>
      </c>
      <c r="P293" s="45" t="str">
        <f t="shared" si="52"/>
        <v/>
      </c>
      <c r="Q293" s="43" t="str">
        <f t="shared" si="53"/>
        <v/>
      </c>
    </row>
    <row r="294" spans="2:17" x14ac:dyDescent="0.3">
      <c r="B294" t="str">
        <f>+'[3]Country Results'!B212</f>
        <v>Slovakia</v>
      </c>
      <c r="C294" s="91">
        <f>INDEX('[3]Country Results'!$C$7:$AK$254,MATCH([3]Dashboard!$B294,'[3]Country Results'!$B$7:$B$254,0),MATCH([3]Dashboard!$C$8,'[3]Country Results'!$C$6:$AE$6,0))</f>
        <v>2360.1064819999992</v>
      </c>
      <c r="D294" s="45" cm="1">
        <f t="array" ref="D294">INDEX('[3]Country Results'!$L$7:$AE$254,MATCH([3]Dashboard!B294,'[3]Country Results'!$B$7:$B$254,0),MATCH($C$8,'[3]Country Results'!$L$6:$AE$6,0)+1)</f>
        <v>1.2682632329970253E-3</v>
      </c>
      <c r="E294" s="43">
        <f t="shared" si="46"/>
        <v>90</v>
      </c>
      <c r="F294" s="43"/>
      <c r="G294" s="91">
        <f>IFERROR(INDEX('[3]Country Results'!$C$7:$AK$254,MATCH([3]Dashboard!$B294,'[3]Country Results'!$B$7:$B$254,0),MATCH([3]Dashboard!$C$9,'[3]Country Results'!$C$6:$AK$6,0)),"")</f>
        <v>20640</v>
      </c>
      <c r="H294" s="43">
        <f t="shared" si="47"/>
        <v>49</v>
      </c>
      <c r="I294" s="43"/>
      <c r="J294" s="44">
        <f t="shared" si="48"/>
        <v>48.712597788479982</v>
      </c>
      <c r="K294" s="45">
        <f t="shared" si="49"/>
        <v>1.0895128630874894E-3</v>
      </c>
      <c r="L294" s="43">
        <f t="shared" si="50"/>
        <v>52</v>
      </c>
      <c r="M294" s="136" t="str">
        <f>IF(G294="","",INDEX([3]Countries!$C$7:$AO$254,MATCH([3]Dashboard!$B294,[3]Countries!$B$7:$B$254,0),MATCH([3]Dashboard!$N$7,[3]Countries!$C$6:$AO$6,0)))</f>
        <v/>
      </c>
      <c r="N294" s="137"/>
      <c r="O294" s="135">
        <f t="shared" si="51"/>
        <v>48.712597788479982</v>
      </c>
      <c r="P294" s="45">
        <f t="shared" si="52"/>
        <v>1.122019615934527E-3</v>
      </c>
      <c r="Q294" s="43">
        <f t="shared" si="53"/>
        <v>47</v>
      </c>
    </row>
    <row r="295" spans="2:17" x14ac:dyDescent="0.3">
      <c r="B295" t="str">
        <f>+'[3]Country Results'!B213</f>
        <v>Slovenia</v>
      </c>
      <c r="C295" s="91">
        <f>INDEX('[3]Country Results'!$C$7:$AK$254,MATCH([3]Dashboard!$B295,'[3]Country Results'!$B$7:$B$254,0),MATCH([3]Dashboard!$C$8,'[3]Country Results'!$C$6:$AE$6,0))</f>
        <v>889.29273399999988</v>
      </c>
      <c r="D295" s="45" cm="1">
        <f t="array" ref="D295">INDEX('[3]Country Results'!$L$7:$AE$254,MATCH([3]Dashboard!B295,'[3]Country Results'!$B$7:$B$254,0),MATCH($C$8,'[3]Country Results'!$L$6:$AE$6,0)+1)</f>
        <v>4.7788406434434927E-4</v>
      </c>
      <c r="E295" s="43">
        <f t="shared" si="46"/>
        <v>127</v>
      </c>
      <c r="F295" s="43"/>
      <c r="G295" s="91">
        <f>IFERROR(INDEX('[3]Country Results'!$C$7:$AK$254,MATCH([3]Dashboard!$B295,'[3]Country Results'!$B$7:$B$254,0),MATCH([3]Dashboard!$C$9,'[3]Country Results'!$C$6:$AK$6,0)),"")</f>
        <v>28280</v>
      </c>
      <c r="H295" s="43">
        <f t="shared" si="47"/>
        <v>39</v>
      </c>
      <c r="I295" s="43"/>
      <c r="J295" s="44">
        <f t="shared" si="48"/>
        <v>25.149198517519995</v>
      </c>
      <c r="K295" s="45">
        <f t="shared" si="49"/>
        <v>5.6249053684545548E-4</v>
      </c>
      <c r="L295" s="43">
        <f t="shared" si="50"/>
        <v>70</v>
      </c>
      <c r="M295" s="136" t="str">
        <f>IF(G295="","",INDEX([3]Countries!$C$7:$AO$254,MATCH([3]Dashboard!$B295,[3]Countries!$B$7:$B$254,0),MATCH([3]Dashboard!$N$7,[3]Countries!$C$6:$AO$6,0)))</f>
        <v/>
      </c>
      <c r="N295" s="137"/>
      <c r="O295" s="135">
        <f t="shared" si="51"/>
        <v>25.149198517519995</v>
      </c>
      <c r="P295" s="45">
        <f t="shared" si="52"/>
        <v>5.7927302880082083E-4</v>
      </c>
      <c r="Q295" s="43">
        <f t="shared" si="53"/>
        <v>59</v>
      </c>
    </row>
    <row r="296" spans="2:17" x14ac:dyDescent="0.3">
      <c r="B296" t="str">
        <f>+'[3]Country Results'!B214</f>
        <v>Solomon Islands</v>
      </c>
      <c r="C296" s="91">
        <f>INDEX('[3]Country Results'!$C$7:$AK$254,MATCH([3]Dashboard!$B296,'[3]Country Results'!$B$7:$B$254,0),MATCH([3]Dashboard!$C$8,'[3]Country Results'!$C$6:$AE$6,0))</f>
        <v>95.092679709999999</v>
      </c>
      <c r="D296" s="45" cm="1">
        <f t="array" ref="D296">INDEX('[3]Country Results'!$L$7:$AE$254,MATCH([3]Dashboard!B296,'[3]Country Results'!$B$7:$B$254,0),MATCH($C$8,'[3]Country Results'!$L$6:$AE$6,0)+1)</f>
        <v>5.1100469543710718E-5</v>
      </c>
      <c r="E296" s="43">
        <f t="shared" si="46"/>
        <v>169</v>
      </c>
      <c r="F296" s="43"/>
      <c r="G296" s="91">
        <f>IFERROR(INDEX('[3]Country Results'!$C$7:$AK$254,MATCH([3]Dashboard!$B296,'[3]Country Results'!$B$7:$B$254,0),MATCH([3]Dashboard!$C$9,'[3]Country Results'!$C$6:$AK$6,0)),"")</f>
        <v>2320</v>
      </c>
      <c r="H296" s="43">
        <f t="shared" si="47"/>
        <v>151</v>
      </c>
      <c r="I296" s="43"/>
      <c r="J296" s="44">
        <f t="shared" si="48"/>
        <v>0.22061501692719998</v>
      </c>
      <c r="K296" s="45">
        <f t="shared" si="49"/>
        <v>4.9343067223832578E-6</v>
      </c>
      <c r="L296" s="43">
        <f t="shared" si="50"/>
        <v>172</v>
      </c>
      <c r="M296" s="136" t="str">
        <f>IF(G296="","",INDEX([3]Countries!$C$7:$AO$254,MATCH([3]Dashboard!$B296,[3]Countries!$B$7:$B$254,0),MATCH([3]Dashboard!$N$7,[3]Countries!$C$6:$AO$6,0)))</f>
        <v>x</v>
      </c>
      <c r="N296" s="137"/>
      <c r="O296" s="135" t="str">
        <f t="shared" si="51"/>
        <v>-</v>
      </c>
      <c r="P296" s="45" t="str">
        <f t="shared" si="52"/>
        <v/>
      </c>
      <c r="Q296" s="43" t="str">
        <f t="shared" si="53"/>
        <v/>
      </c>
    </row>
    <row r="297" spans="2:17" x14ac:dyDescent="0.3">
      <c r="B297" t="str">
        <f>+'[3]Country Results'!B215</f>
        <v>Somalia</v>
      </c>
      <c r="C297" s="91">
        <f>INDEX('[3]Country Results'!$C$7:$AK$254,MATCH([3]Dashboard!$B297,'[3]Country Results'!$B$7:$B$254,0),MATCH([3]Dashboard!$C$8,'[3]Country Results'!$C$6:$AE$6,0))</f>
        <v>1696.9922639999995</v>
      </c>
      <c r="D297" s="45" cm="1">
        <f t="array" ref="D297">INDEX('[3]Country Results'!$L$7:$AE$254,MATCH([3]Dashboard!B297,'[3]Country Results'!$B$7:$B$254,0),MATCH($C$8,'[3]Country Results'!$L$6:$AE$6,0)+1)</f>
        <v>9.1192194569447455E-4</v>
      </c>
      <c r="E297" s="43">
        <f t="shared" si="46"/>
        <v>103</v>
      </c>
      <c r="F297" s="43"/>
      <c r="G297" s="91">
        <f>IFERROR(INDEX('[3]Country Results'!$C$7:$AK$254,MATCH([3]Dashboard!$B297,'[3]Country Results'!$B$7:$B$254,0),MATCH([3]Dashboard!$C$9,'[3]Country Results'!$C$6:$AK$6,0)),"")</f>
        <v>430</v>
      </c>
      <c r="H297" s="43">
        <f t="shared" si="47"/>
        <v>201</v>
      </c>
      <c r="I297" s="43"/>
      <c r="J297" s="44">
        <f t="shared" si="48"/>
        <v>0.72970667351999985</v>
      </c>
      <c r="K297" s="45">
        <f t="shared" si="49"/>
        <v>1.6320722835045311E-5</v>
      </c>
      <c r="L297" s="43">
        <f t="shared" si="50"/>
        <v>156</v>
      </c>
      <c r="M297" s="136" t="str">
        <f>IF(G297="","",INDEX([3]Countries!$C$7:$AO$254,MATCH([3]Dashboard!$B297,[3]Countries!$B$7:$B$254,0),MATCH([3]Dashboard!$N$7,[3]Countries!$C$6:$AO$6,0)))</f>
        <v>x</v>
      </c>
      <c r="N297" s="137"/>
      <c r="O297" s="135" t="str">
        <f t="shared" si="51"/>
        <v>-</v>
      </c>
      <c r="P297" s="45" t="str">
        <f t="shared" si="52"/>
        <v/>
      </c>
      <c r="Q297" s="43" t="str">
        <f t="shared" si="53"/>
        <v/>
      </c>
    </row>
    <row r="298" spans="2:17" x14ac:dyDescent="0.3">
      <c r="B298" t="str">
        <f>+'[3]Country Results'!B216</f>
        <v>South Africa</v>
      </c>
      <c r="C298" s="91">
        <f>INDEX('[3]Country Results'!$C$7:$AK$254,MATCH([3]Dashboard!$B298,'[3]Country Results'!$B$7:$B$254,0),MATCH([3]Dashboard!$C$8,'[3]Country Results'!$C$6:$AE$6,0))</f>
        <v>21528.955370000003</v>
      </c>
      <c r="D298" s="45" cm="1">
        <f t="array" ref="D298">INDEX('[3]Country Results'!$L$7:$AE$254,MATCH([3]Dashboard!B298,'[3]Country Results'!$B$7:$B$254,0),MATCH($C$8,'[3]Country Results'!$L$6:$AE$6,0)+1)</f>
        <v>1.1569131625564036E-2</v>
      </c>
      <c r="E298" s="43">
        <f t="shared" si="46"/>
        <v>16</v>
      </c>
      <c r="F298" s="43"/>
      <c r="G298" s="91">
        <f>IFERROR(INDEX('[3]Country Results'!$C$7:$AK$254,MATCH([3]Dashboard!$B298,'[3]Country Results'!$B$7:$B$254,0),MATCH([3]Dashboard!$C$9,'[3]Country Results'!$C$6:$AK$6,0)),"")</f>
        <v>6530</v>
      </c>
      <c r="H298" s="43">
        <f t="shared" si="47"/>
        <v>99</v>
      </c>
      <c r="I298" s="43"/>
      <c r="J298" s="44">
        <f t="shared" si="48"/>
        <v>140.58407856610003</v>
      </c>
      <c r="K298" s="45">
        <f t="shared" si="49"/>
        <v>3.1443234172842832E-3</v>
      </c>
      <c r="L298" s="43">
        <f t="shared" si="50"/>
        <v>37</v>
      </c>
      <c r="M298" s="136" t="str">
        <f>IF(G298="","",INDEX([3]Countries!$C$7:$AO$254,MATCH([3]Dashboard!$B298,[3]Countries!$B$7:$B$254,0),MATCH([3]Dashboard!$N$7,[3]Countries!$C$6:$AO$6,0)))</f>
        <v/>
      </c>
      <c r="N298" s="137"/>
      <c r="O298" s="135">
        <f t="shared" si="51"/>
        <v>140.58407856610003</v>
      </c>
      <c r="P298" s="45">
        <f t="shared" si="52"/>
        <v>3.2381375865885016E-3</v>
      </c>
      <c r="Q298" s="43">
        <f t="shared" si="53"/>
        <v>35</v>
      </c>
    </row>
    <row r="299" spans="2:17" x14ac:dyDescent="0.3">
      <c r="B299" t="str">
        <f>+'[3]Country Results'!B217</f>
        <v>South America</v>
      </c>
      <c r="C299" s="91" t="str">
        <f>INDEX('[3]Country Results'!$C$7:$AK$254,MATCH([3]Dashboard!$B299,'[3]Country Results'!$B$7:$B$254,0),MATCH([3]Dashboard!$C$8,'[3]Country Results'!$C$6:$AE$6,0))</f>
        <v/>
      </c>
      <c r="D299" s="45" t="str" cm="1">
        <f t="array" ref="D299">INDEX('[3]Country Results'!$L$7:$AE$254,MATCH([3]Dashboard!B299,'[3]Country Results'!$B$7:$B$254,0),MATCH($C$8,'[3]Country Results'!$L$6:$AE$6,0)+1)</f>
        <v/>
      </c>
      <c r="E299" s="43" t="str">
        <f t="shared" si="46"/>
        <v/>
      </c>
      <c r="F299" s="43"/>
      <c r="G299" s="91" t="str">
        <f>IFERROR(INDEX('[3]Country Results'!$C$7:$AK$254,MATCH([3]Dashboard!$B299,'[3]Country Results'!$B$7:$B$254,0),MATCH([3]Dashboard!$C$9,'[3]Country Results'!$C$6:$AK$6,0)),"")</f>
        <v/>
      </c>
      <c r="H299" s="43" t="str">
        <f t="shared" si="47"/>
        <v/>
      </c>
      <c r="I299" s="43"/>
      <c r="J299" s="44" t="str">
        <f t="shared" si="48"/>
        <v/>
      </c>
      <c r="K299" s="45" t="str">
        <f t="shared" si="49"/>
        <v/>
      </c>
      <c r="L299" s="43" t="str">
        <f t="shared" si="50"/>
        <v/>
      </c>
      <c r="M299" s="136" t="str">
        <f>IF(G299="","",INDEX([3]Countries!$C$7:$AO$254,MATCH([3]Dashboard!$B299,[3]Countries!$B$7:$B$254,0),MATCH([3]Dashboard!$N$7,[3]Countries!$C$6:$AO$6,0)))</f>
        <v/>
      </c>
      <c r="N299" s="137"/>
      <c r="O299" s="135" t="str">
        <f t="shared" si="51"/>
        <v/>
      </c>
      <c r="P299" s="45" t="str">
        <f t="shared" si="52"/>
        <v/>
      </c>
      <c r="Q299" s="43" t="str">
        <f t="shared" si="53"/>
        <v/>
      </c>
    </row>
    <row r="300" spans="2:17" x14ac:dyDescent="0.3">
      <c r="B300" t="str">
        <f>+'[3]Country Results'!B218</f>
        <v>South America (GCP)</v>
      </c>
      <c r="C300" s="91" t="str">
        <f>INDEX('[3]Country Results'!$C$7:$AK$254,MATCH([3]Dashboard!$B300,'[3]Country Results'!$B$7:$B$254,0),MATCH([3]Dashboard!$C$8,'[3]Country Results'!$C$6:$AE$6,0))</f>
        <v/>
      </c>
      <c r="D300" s="45" t="str" cm="1">
        <f t="array" ref="D300">INDEX('[3]Country Results'!$L$7:$AE$254,MATCH([3]Dashboard!B300,'[3]Country Results'!$B$7:$B$254,0),MATCH($C$8,'[3]Country Results'!$L$6:$AE$6,0)+1)</f>
        <v/>
      </c>
      <c r="E300" s="43" t="str">
        <f t="shared" si="46"/>
        <v/>
      </c>
      <c r="F300" s="43"/>
      <c r="G300" s="91" t="str">
        <f>IFERROR(INDEX('[3]Country Results'!$C$7:$AK$254,MATCH([3]Dashboard!$B300,'[3]Country Results'!$B$7:$B$254,0),MATCH([3]Dashboard!$C$9,'[3]Country Results'!$C$6:$AK$6,0)),"")</f>
        <v/>
      </c>
      <c r="H300" s="43" t="str">
        <f t="shared" si="47"/>
        <v/>
      </c>
      <c r="I300" s="43"/>
      <c r="J300" s="44" t="str">
        <f t="shared" si="48"/>
        <v/>
      </c>
      <c r="K300" s="45" t="str">
        <f t="shared" si="49"/>
        <v/>
      </c>
      <c r="L300" s="43" t="str">
        <f t="shared" si="50"/>
        <v/>
      </c>
      <c r="M300" s="136" t="str">
        <f>IF(G300="","",INDEX([3]Countries!$C$7:$AO$254,MATCH([3]Dashboard!$B300,[3]Countries!$B$7:$B$254,0),MATCH([3]Dashboard!$N$7,[3]Countries!$C$6:$AO$6,0)))</f>
        <v/>
      </c>
      <c r="N300" s="137"/>
      <c r="O300" s="135" t="str">
        <f t="shared" si="51"/>
        <v/>
      </c>
      <c r="P300" s="45" t="str">
        <f t="shared" si="52"/>
        <v/>
      </c>
      <c r="Q300" s="43" t="str">
        <f t="shared" si="53"/>
        <v/>
      </c>
    </row>
    <row r="301" spans="2:17" x14ac:dyDescent="0.3">
      <c r="B301" t="str">
        <f>+'[3]Country Results'!B219</f>
        <v>South Korea</v>
      </c>
      <c r="C301" s="91">
        <f>INDEX('[3]Country Results'!$C$7:$AK$254,MATCH([3]Dashboard!$B301,'[3]Country Results'!$B$7:$B$254,0),MATCH([3]Dashboard!$C$8,'[3]Country Results'!$C$6:$AE$6,0))</f>
        <v>19465.48691</v>
      </c>
      <c r="D301" s="45" cm="1">
        <f t="array" ref="D301">INDEX('[3]Country Results'!$L$7:$AE$254,MATCH([3]Dashboard!B301,'[3]Country Results'!$B$7:$B$254,0),MATCH($C$8,'[3]Country Results'!$L$6:$AE$6,0)+1)</f>
        <v>1.0460274376865121E-2</v>
      </c>
      <c r="E301" s="43">
        <f t="shared" si="46"/>
        <v>20</v>
      </c>
      <c r="F301" s="43"/>
      <c r="G301" s="91">
        <f>IFERROR(INDEX('[3]Country Results'!$C$7:$AK$254,MATCH([3]Dashboard!$B301,'[3]Country Results'!$B$7:$B$254,0),MATCH([3]Dashboard!$C$9,'[3]Country Results'!$C$6:$AK$6,0)),"")</f>
        <v>35110</v>
      </c>
      <c r="H301" s="43">
        <f t="shared" si="47"/>
        <v>30</v>
      </c>
      <c r="I301" s="43"/>
      <c r="J301" s="44">
        <f t="shared" si="48"/>
        <v>683.43324541009997</v>
      </c>
      <c r="K301" s="45">
        <f t="shared" si="49"/>
        <v>1.5285764786537931E-2</v>
      </c>
      <c r="L301" s="43">
        <f t="shared" si="50"/>
        <v>12</v>
      </c>
      <c r="M301" s="136" t="str">
        <f>IF(G301="","",INDEX([3]Countries!$C$7:$AO$254,MATCH([3]Dashboard!$B301,[3]Countries!$B$7:$B$254,0),MATCH([3]Dashboard!$N$7,[3]Countries!$C$6:$AO$6,0)))</f>
        <v/>
      </c>
      <c r="N301" s="137"/>
      <c r="O301" s="135">
        <f t="shared" si="51"/>
        <v>683.43324541009997</v>
      </c>
      <c r="P301" s="45">
        <f t="shared" si="52"/>
        <v>1.5741831525012077E-2</v>
      </c>
      <c r="Q301" s="43">
        <f t="shared" si="53"/>
        <v>12</v>
      </c>
    </row>
    <row r="302" spans="2:17" x14ac:dyDescent="0.3">
      <c r="B302" t="str">
        <f>+'[3]Country Results'!B220</f>
        <v>South Sudan</v>
      </c>
      <c r="C302" s="91">
        <f>INDEX('[3]Country Results'!$C$7:$AK$254,MATCH([3]Dashboard!$B302,'[3]Country Results'!$B$7:$B$254,0),MATCH([3]Dashboard!$C$8,'[3]Country Results'!$C$6:$AE$6,0))</f>
        <v>2431.9023939999997</v>
      </c>
      <c r="D302" s="45" cm="1">
        <f t="array" ref="D302">INDEX('[3]Country Results'!$L$7:$AE$254,MATCH([3]Dashboard!B302,'[3]Country Results'!$B$7:$B$254,0),MATCH($C$8,'[3]Country Results'!$L$6:$AE$6,0)+1)</f>
        <v>1.306844592000763E-3</v>
      </c>
      <c r="E302" s="43">
        <f t="shared" si="46"/>
        <v>85</v>
      </c>
      <c r="F302" s="43"/>
      <c r="G302" s="91">
        <f>IFERROR(INDEX('[3]Country Results'!$C$7:$AK$254,MATCH([3]Dashboard!$B302,'[3]Country Results'!$B$7:$B$254,0),MATCH([3]Dashboard!$C$9,'[3]Country Results'!$C$6:$AK$6,0)),"")</f>
        <v>1040</v>
      </c>
      <c r="H302" s="43">
        <f t="shared" si="47"/>
        <v>177</v>
      </c>
      <c r="I302" s="43"/>
      <c r="J302" s="44">
        <f t="shared" si="48"/>
        <v>2.5291784897599996</v>
      </c>
      <c r="K302" s="45">
        <f t="shared" si="49"/>
        <v>5.6567964402205903E-5</v>
      </c>
      <c r="L302" s="43">
        <f t="shared" si="50"/>
        <v>125</v>
      </c>
      <c r="M302" s="136" t="str">
        <f>IF(G302="","",INDEX([3]Countries!$C$7:$AO$254,MATCH([3]Dashboard!$B302,[3]Countries!$B$7:$B$254,0),MATCH([3]Dashboard!$N$7,[3]Countries!$C$6:$AO$6,0)))</f>
        <v>x</v>
      </c>
      <c r="N302" s="137"/>
      <c r="O302" s="135" t="str">
        <f t="shared" si="51"/>
        <v>-</v>
      </c>
      <c r="P302" s="45" t="str">
        <f t="shared" si="52"/>
        <v/>
      </c>
      <c r="Q302" s="43" t="str">
        <f t="shared" si="53"/>
        <v/>
      </c>
    </row>
    <row r="303" spans="2:17" x14ac:dyDescent="0.3">
      <c r="B303" t="str">
        <f>+'[3]Country Results'!B221</f>
        <v>Spain</v>
      </c>
      <c r="C303" s="91">
        <f>INDEX('[3]Country Results'!$C$7:$AK$254,MATCH([3]Dashboard!$B303,'[3]Country Results'!$B$7:$B$254,0),MATCH([3]Dashboard!$C$8,'[3]Country Results'!$C$6:$AE$6,0))</f>
        <v>13679.92016</v>
      </c>
      <c r="D303" s="45" cm="1">
        <f t="array" ref="D303">INDEX('[3]Country Results'!$L$7:$AE$254,MATCH([3]Dashboard!B303,'[3]Country Results'!$B$7:$B$254,0),MATCH($C$8,'[3]Country Results'!$L$6:$AE$6,0)+1)</f>
        <v>7.3512529631969319E-3</v>
      </c>
      <c r="E303" s="43">
        <f t="shared" si="46"/>
        <v>27</v>
      </c>
      <c r="F303" s="43"/>
      <c r="G303" s="91">
        <f>IFERROR(INDEX('[3]Country Results'!$C$7:$AK$254,MATCH([3]Dashboard!$B303,'[3]Country Results'!$B$7:$B$254,0),MATCH([3]Dashboard!$C$9,'[3]Country Results'!$C$6:$AK$6,0)),"")</f>
        <v>29690</v>
      </c>
      <c r="H303" s="43">
        <f t="shared" si="47"/>
        <v>36</v>
      </c>
      <c r="I303" s="43"/>
      <c r="J303" s="44">
        <f t="shared" si="48"/>
        <v>406.1568295504</v>
      </c>
      <c r="K303" s="45">
        <f t="shared" si="49"/>
        <v>9.0841611886000352E-3</v>
      </c>
      <c r="L303" s="43">
        <f t="shared" si="50"/>
        <v>15</v>
      </c>
      <c r="M303" s="136" t="str">
        <f>IF(G303="","",INDEX([3]Countries!$C$7:$AO$254,MATCH([3]Dashboard!$B303,[3]Countries!$B$7:$B$254,0),MATCH([3]Dashboard!$N$7,[3]Countries!$C$6:$AO$6,0)))</f>
        <v/>
      </c>
      <c r="N303" s="137"/>
      <c r="O303" s="135">
        <f t="shared" si="51"/>
        <v>406.1568295504</v>
      </c>
      <c r="P303" s="45">
        <f t="shared" si="52"/>
        <v>9.3551966142338856E-3</v>
      </c>
      <c r="Q303" s="43">
        <f t="shared" si="53"/>
        <v>15</v>
      </c>
    </row>
    <row r="304" spans="2:17" x14ac:dyDescent="0.3">
      <c r="B304" t="str">
        <f>+'[3]Country Results'!B222</f>
        <v>Sri Lanka</v>
      </c>
      <c r="C304" s="91">
        <f>INDEX('[3]Country Results'!$C$7:$AK$254,MATCH([3]Dashboard!$B304,'[3]Country Results'!$B$7:$B$254,0),MATCH([3]Dashboard!$C$8,'[3]Country Results'!$C$6:$AE$6,0))</f>
        <v>1473.1981860000005</v>
      </c>
      <c r="D304" s="45" cm="1">
        <f t="array" ref="D304">INDEX('[3]Country Results'!$L$7:$AE$254,MATCH([3]Dashboard!B304,'[3]Country Results'!$B$7:$B$254,0),MATCH($C$8,'[3]Country Results'!$L$6:$AE$6,0)+1)</f>
        <v>7.9166050704559444E-4</v>
      </c>
      <c r="E304" s="43">
        <f t="shared" si="46"/>
        <v>108</v>
      </c>
      <c r="F304" s="43"/>
      <c r="G304" s="91">
        <f>IFERROR(INDEX('[3]Country Results'!$C$7:$AK$254,MATCH([3]Dashboard!$B304,'[3]Country Results'!$B$7:$B$254,0),MATCH([3]Dashboard!$C$9,'[3]Country Results'!$C$6:$AK$6,0)),"")</f>
        <v>4030</v>
      </c>
      <c r="H304" s="43">
        <f t="shared" si="47"/>
        <v>128</v>
      </c>
      <c r="I304" s="43"/>
      <c r="J304" s="44">
        <f t="shared" si="48"/>
        <v>5.9369886895800015</v>
      </c>
      <c r="K304" s="45">
        <f t="shared" si="49"/>
        <v>1.3278753010442126E-4</v>
      </c>
      <c r="L304" s="43">
        <f t="shared" si="50"/>
        <v>101</v>
      </c>
      <c r="M304" s="136" t="str">
        <f>IF(G304="","",INDEX([3]Countries!$C$7:$AO$254,MATCH([3]Dashboard!$B304,[3]Countries!$B$7:$B$254,0),MATCH([3]Dashboard!$N$7,[3]Countries!$C$6:$AO$6,0)))</f>
        <v>x</v>
      </c>
      <c r="N304" s="137"/>
      <c r="O304" s="135" t="str">
        <f t="shared" si="51"/>
        <v>-</v>
      </c>
      <c r="P304" s="45" t="str">
        <f t="shared" si="52"/>
        <v/>
      </c>
      <c r="Q304" s="43" t="str">
        <f t="shared" si="53"/>
        <v/>
      </c>
    </row>
    <row r="305" spans="2:17" x14ac:dyDescent="0.3">
      <c r="B305" t="str">
        <f>+'[3]Country Results'!B223</f>
        <v>Sudan</v>
      </c>
      <c r="C305" s="91">
        <f>INDEX('[3]Country Results'!$C$7:$AK$254,MATCH([3]Dashboard!$B305,'[3]Country Results'!$B$7:$B$254,0),MATCH([3]Dashboard!$C$8,'[3]Country Results'!$C$6:$AE$6,0))</f>
        <v>4976.3868839999996</v>
      </c>
      <c r="D305" s="45" cm="1">
        <f t="array" ref="D305">INDEX('[3]Country Results'!$L$7:$AE$254,MATCH([3]Dashboard!B305,'[3]Country Results'!$B$7:$B$254,0),MATCH($C$8,'[3]Country Results'!$L$6:$AE$6,0)+1)</f>
        <v>2.6741880361251572E-3</v>
      </c>
      <c r="E305" s="43">
        <f t="shared" si="46"/>
        <v>52</v>
      </c>
      <c r="F305" s="43"/>
      <c r="G305" s="91">
        <f>IFERROR(INDEX('[3]Country Results'!$C$7:$AK$254,MATCH([3]Dashboard!$B305,'[3]Country Results'!$B$7:$B$254,0),MATCH([3]Dashboard!$C$9,'[3]Country Results'!$C$6:$AK$6,0)),"")</f>
        <v>650</v>
      </c>
      <c r="H305" s="43">
        <f t="shared" si="47"/>
        <v>190</v>
      </c>
      <c r="I305" s="43"/>
      <c r="J305" s="44">
        <f t="shared" si="48"/>
        <v>3.2346514745999997</v>
      </c>
      <c r="K305" s="45">
        <f t="shared" si="49"/>
        <v>7.2346673123128947E-5</v>
      </c>
      <c r="L305" s="43">
        <f t="shared" si="50"/>
        <v>115</v>
      </c>
      <c r="M305" s="136" t="str">
        <f>IF(G305="","",INDEX([3]Countries!$C$7:$AO$254,MATCH([3]Dashboard!$B305,[3]Countries!$B$7:$B$254,0),MATCH([3]Dashboard!$N$7,[3]Countries!$C$6:$AO$6,0)))</f>
        <v>x</v>
      </c>
      <c r="N305" s="137"/>
      <c r="O305" s="135" t="str">
        <f t="shared" si="51"/>
        <v>-</v>
      </c>
      <c r="P305" s="45" t="str">
        <f t="shared" si="52"/>
        <v/>
      </c>
      <c r="Q305" s="43" t="str">
        <f t="shared" si="53"/>
        <v/>
      </c>
    </row>
    <row r="306" spans="2:17" x14ac:dyDescent="0.3">
      <c r="B306" t="str">
        <f>+'[3]Country Results'!B224</f>
        <v>Suriname</v>
      </c>
      <c r="C306" s="91">
        <f>INDEX('[3]Country Results'!$C$7:$AK$254,MATCH([3]Dashboard!$B306,'[3]Country Results'!$B$7:$B$254,0),MATCH([3]Dashboard!$C$8,'[3]Country Results'!$C$6:$AE$6,0))</f>
        <v>241.97299979999991</v>
      </c>
      <c r="D306" s="45" cm="1">
        <f t="array" ref="D306">INDEX('[3]Country Results'!$L$7:$AE$254,MATCH([3]Dashboard!B306,'[3]Country Results'!$B$7:$B$254,0),MATCH($C$8,'[3]Country Results'!$L$6:$AE$6,0)+1)</f>
        <v>1.3003034454796118E-4</v>
      </c>
      <c r="E306" s="43">
        <f t="shared" si="46"/>
        <v>157</v>
      </c>
      <c r="F306" s="43"/>
      <c r="G306" s="91">
        <f>IFERROR(INDEX('[3]Country Results'!$C$7:$AK$254,MATCH([3]Dashboard!$B306,'[3]Country Results'!$B$7:$B$254,0),MATCH([3]Dashboard!$C$9,'[3]Country Results'!$C$6:$AK$6,0)),"")</f>
        <v>4410</v>
      </c>
      <c r="H306" s="43">
        <f t="shared" si="47"/>
        <v>122</v>
      </c>
      <c r="I306" s="43"/>
      <c r="J306" s="44">
        <f t="shared" si="48"/>
        <v>1.0671009291179996</v>
      </c>
      <c r="K306" s="45">
        <f t="shared" si="49"/>
        <v>2.386693055326274E-5</v>
      </c>
      <c r="L306" s="43">
        <f t="shared" si="50"/>
        <v>147</v>
      </c>
      <c r="M306" s="136" t="str">
        <f>IF(G306="","",INDEX([3]Countries!$C$7:$AO$254,MATCH([3]Dashboard!$B306,[3]Countries!$B$7:$B$254,0),MATCH([3]Dashboard!$N$7,[3]Countries!$C$6:$AO$6,0)))</f>
        <v>x</v>
      </c>
      <c r="N306" s="137"/>
      <c r="O306" s="135" t="str">
        <f t="shared" si="51"/>
        <v>-</v>
      </c>
      <c r="P306" s="45" t="str">
        <f t="shared" si="52"/>
        <v/>
      </c>
      <c r="Q306" s="43" t="str">
        <f t="shared" si="53"/>
        <v/>
      </c>
    </row>
    <row r="307" spans="2:17" x14ac:dyDescent="0.3">
      <c r="B307" t="str">
        <f>+'[3]Country Results'!B225</f>
        <v>Sweden</v>
      </c>
      <c r="C307" s="91">
        <f>INDEX('[3]Country Results'!$C$7:$AK$254,MATCH([3]Dashboard!$B307,'[3]Country Results'!$B$7:$B$254,0),MATCH([3]Dashboard!$C$8,'[3]Country Results'!$C$6:$AE$6,0))</f>
        <v>3432.0630679999995</v>
      </c>
      <c r="D307" s="45" cm="1">
        <f t="array" ref="D307">INDEX('[3]Country Results'!$L$7:$AE$254,MATCH([3]Dashboard!B307,'[3]Country Results'!$B$7:$B$254,0),MATCH($C$8,'[3]Country Results'!$L$6:$AE$6,0)+1)</f>
        <v>1.8443063631530545E-3</v>
      </c>
      <c r="E307" s="43">
        <f t="shared" si="46"/>
        <v>65</v>
      </c>
      <c r="F307" s="43"/>
      <c r="G307" s="91">
        <f>IFERROR(INDEX('[3]Country Results'!$C$7:$AK$254,MATCH([3]Dashboard!$B307,'[3]Country Results'!$B$7:$B$254,0),MATCH([3]Dashboard!$C$9,'[3]Country Results'!$C$6:$AK$6,0)),"")</f>
        <v>59540</v>
      </c>
      <c r="H307" s="43">
        <f t="shared" si="47"/>
        <v>12</v>
      </c>
      <c r="I307" s="43"/>
      <c r="J307" s="44">
        <f t="shared" si="48"/>
        <v>204.34503506871999</v>
      </c>
      <c r="K307" s="45">
        <f t="shared" si="49"/>
        <v>4.5704100032227342E-3</v>
      </c>
      <c r="L307" s="43">
        <f t="shared" si="50"/>
        <v>26</v>
      </c>
      <c r="M307" s="136" t="str">
        <f>IF(G307="","",INDEX([3]Countries!$C$7:$AO$254,MATCH([3]Dashboard!$B307,[3]Countries!$B$7:$B$254,0),MATCH([3]Dashboard!$N$7,[3]Countries!$C$6:$AO$6,0)))</f>
        <v/>
      </c>
      <c r="N307" s="137"/>
      <c r="O307" s="135">
        <f t="shared" si="51"/>
        <v>204.34503506871999</v>
      </c>
      <c r="P307" s="45">
        <f t="shared" si="52"/>
        <v>4.7067729535080309E-3</v>
      </c>
      <c r="Q307" s="43">
        <f t="shared" si="53"/>
        <v>24</v>
      </c>
    </row>
    <row r="308" spans="2:17" x14ac:dyDescent="0.3">
      <c r="B308" t="str">
        <f>+'[3]Country Results'!B226</f>
        <v>Switzerland</v>
      </c>
      <c r="C308" s="91">
        <f>INDEX('[3]Country Results'!$C$7:$AK$254,MATCH([3]Dashboard!$B308,'[3]Country Results'!$B$7:$B$254,0),MATCH([3]Dashboard!$C$8,'[3]Country Results'!$C$6:$AE$6,0))</f>
        <v>2148.3021920000001</v>
      </c>
      <c r="D308" s="45" cm="1">
        <f t="array" ref="D308">INDEX('[3]Country Results'!$L$7:$AE$254,MATCH([3]Dashboard!B308,'[3]Country Results'!$B$7:$B$254,0),MATCH($C$8,'[3]Country Results'!$L$6:$AE$6,0)+1)</f>
        <v>1.1544448118169766E-3</v>
      </c>
      <c r="E308" s="43">
        <f t="shared" si="46"/>
        <v>91</v>
      </c>
      <c r="F308" s="43"/>
      <c r="G308" s="91">
        <f>IFERROR(INDEX('[3]Country Results'!$C$7:$AK$254,MATCH([3]Dashboard!$B308,'[3]Country Results'!$B$7:$B$254,0),MATCH([3]Dashboard!$C$9,'[3]Country Results'!$C$6:$AK$6,0)),"")</f>
        <v>90600</v>
      </c>
      <c r="H308" s="43">
        <f t="shared" si="47"/>
        <v>3</v>
      </c>
      <c r="I308" s="43"/>
      <c r="J308" s="44">
        <f t="shared" si="48"/>
        <v>194.63617859519999</v>
      </c>
      <c r="K308" s="45">
        <f t="shared" si="49"/>
        <v>4.3532603439148526E-3</v>
      </c>
      <c r="L308" s="43">
        <f t="shared" si="50"/>
        <v>28</v>
      </c>
      <c r="M308" s="136" t="str">
        <f>IF(G308="","",INDEX([3]Countries!$C$7:$AO$254,MATCH([3]Dashboard!$B308,[3]Countries!$B$7:$B$254,0),MATCH([3]Dashboard!$N$7,[3]Countries!$C$6:$AO$6,0)))</f>
        <v/>
      </c>
      <c r="N308" s="137"/>
      <c r="O308" s="135">
        <f t="shared" si="51"/>
        <v>194.63617859519999</v>
      </c>
      <c r="P308" s="45">
        <f t="shared" si="52"/>
        <v>4.4831444075847712E-3</v>
      </c>
      <c r="Q308" s="43">
        <f t="shared" si="53"/>
        <v>26</v>
      </c>
    </row>
    <row r="309" spans="2:17" x14ac:dyDescent="0.3">
      <c r="B309" t="str">
        <f>+'[3]Country Results'!B227</f>
        <v>Syria</v>
      </c>
      <c r="C309" s="91">
        <f>INDEX('[3]Country Results'!$C$7:$AK$254,MATCH([3]Dashboard!$B309,'[3]Country Results'!$B$7:$B$254,0),MATCH([3]Dashboard!$C$8,'[3]Country Results'!$C$6:$AE$6,0))</f>
        <v>2829.3969959999999</v>
      </c>
      <c r="D309" s="45" cm="1">
        <f t="array" ref="D309">INDEX('[3]Country Results'!$L$7:$AE$254,MATCH([3]Dashboard!B309,'[3]Country Results'!$B$7:$B$254,0),MATCH($C$8,'[3]Country Results'!$L$6:$AE$6,0)+1)</f>
        <v>1.5204484242330183E-3</v>
      </c>
      <c r="E309" s="43">
        <f t="shared" si="46"/>
        <v>75</v>
      </c>
      <c r="F309" s="43"/>
      <c r="G309" s="91">
        <f>IFERROR(INDEX('[3]Country Results'!$C$7:$AK$254,MATCH([3]Dashboard!$B309,'[3]Country Results'!$B$7:$B$254,0),MATCH([3]Dashboard!$C$9,'[3]Country Results'!$C$6:$AK$6,0)),"")</f>
        <v>760</v>
      </c>
      <c r="H309" s="43">
        <f t="shared" si="47"/>
        <v>186</v>
      </c>
      <c r="I309" s="43"/>
      <c r="J309" s="44">
        <f t="shared" si="48"/>
        <v>2.1503417169599999</v>
      </c>
      <c r="K309" s="45">
        <f t="shared" si="49"/>
        <v>4.8094847473226128E-5</v>
      </c>
      <c r="L309" s="43">
        <f t="shared" si="50"/>
        <v>131</v>
      </c>
      <c r="M309" s="136" t="str">
        <f>IF(G309="","",INDEX([3]Countries!$C$7:$AO$254,MATCH([3]Dashboard!$B309,[3]Countries!$B$7:$B$254,0),MATCH([3]Dashboard!$N$7,[3]Countries!$C$6:$AO$6,0)))</f>
        <v>x</v>
      </c>
      <c r="N309" s="137"/>
      <c r="O309" s="135" t="str">
        <f t="shared" si="51"/>
        <v>-</v>
      </c>
      <c r="P309" s="45" t="str">
        <f t="shared" si="52"/>
        <v/>
      </c>
      <c r="Q309" s="43" t="str">
        <f t="shared" si="53"/>
        <v/>
      </c>
    </row>
    <row r="310" spans="2:17" x14ac:dyDescent="0.3">
      <c r="B310" t="str">
        <f>+'[3]Country Results'!B228</f>
        <v>Taiwan</v>
      </c>
      <c r="C310" s="91">
        <f>INDEX('[3]Country Results'!$C$7:$AK$254,MATCH([3]Dashboard!$B310,'[3]Country Results'!$B$7:$B$254,0),MATCH([3]Dashboard!$C$8,'[3]Country Results'!$C$6:$AE$6,0))</f>
        <v>9449.3302339999991</v>
      </c>
      <c r="D310" s="45" cm="1">
        <f t="array" ref="D310">INDEX('[3]Country Results'!$L$7:$AE$254,MATCH([3]Dashboard!B310,'[3]Country Results'!$B$7:$B$254,0),MATCH($C$8,'[3]Country Results'!$L$6:$AE$6,0)+1)</f>
        <v>5.0778378872438435E-3</v>
      </c>
      <c r="E310" s="43">
        <f t="shared" si="46"/>
        <v>33</v>
      </c>
      <c r="F310" s="43"/>
      <c r="G310" s="91">
        <f>IFERROR(INDEX('[3]Country Results'!$C$7:$AK$254,MATCH([3]Dashboard!$B310,'[3]Country Results'!$B$7:$B$254,0),MATCH([3]Dashboard!$C$9,'[3]Country Results'!$C$6:$AK$6,0)),"")</f>
        <v>32312.46702</v>
      </c>
      <c r="H310" s="43">
        <f t="shared" si="47"/>
        <v>33</v>
      </c>
      <c r="I310" s="43"/>
      <c r="J310" s="44">
        <f t="shared" si="48"/>
        <v>305.33117154721384</v>
      </c>
      <c r="K310" s="45">
        <f t="shared" si="49"/>
        <v>6.8290802380679737E-3</v>
      </c>
      <c r="L310" s="43">
        <f t="shared" si="50"/>
        <v>18</v>
      </c>
      <c r="M310" s="136" t="str">
        <f>IF(G310="","",INDEX([3]Countries!$C$7:$AO$254,MATCH([3]Dashboard!$B310,[3]Countries!$B$7:$B$254,0),MATCH([3]Dashboard!$N$7,[3]Countries!$C$6:$AO$6,0)))</f>
        <v/>
      </c>
      <c r="N310" s="137"/>
      <c r="O310" s="135">
        <f t="shared" si="51"/>
        <v>305.33117154721384</v>
      </c>
      <c r="P310" s="45">
        <f t="shared" si="52"/>
        <v>7.0328329710484553E-3</v>
      </c>
      <c r="Q310" s="43">
        <f t="shared" si="53"/>
        <v>18</v>
      </c>
    </row>
    <row r="311" spans="2:17" x14ac:dyDescent="0.3">
      <c r="B311" t="str">
        <f>+'[3]Country Results'!B229</f>
        <v>Tajikistan</v>
      </c>
      <c r="C311" s="91">
        <f>INDEX('[3]Country Results'!$C$7:$AK$254,MATCH([3]Dashboard!$B311,'[3]Country Results'!$B$7:$B$254,0),MATCH([3]Dashboard!$C$8,'[3]Country Results'!$C$6:$AE$6,0))</f>
        <v>621.6468235000001</v>
      </c>
      <c r="D311" s="45" cm="1">
        <f t="array" ref="D311">INDEX('[3]Country Results'!$L$7:$AE$254,MATCH([3]Dashboard!B311,'[3]Country Results'!$B$7:$B$254,0),MATCH($C$8,'[3]Country Results'!$L$6:$AE$6,0)+1)</f>
        <v>3.3405772839805348E-4</v>
      </c>
      <c r="E311" s="43">
        <f t="shared" si="46"/>
        <v>135</v>
      </c>
      <c r="F311" s="43"/>
      <c r="G311" s="91">
        <f>IFERROR(INDEX('[3]Country Results'!$C$7:$AK$254,MATCH([3]Dashboard!$B311,'[3]Country Results'!$B$7:$B$254,0),MATCH([3]Dashboard!$C$9,'[3]Country Results'!$C$6:$AK$6,0)),"")</f>
        <v>1150</v>
      </c>
      <c r="H311" s="43">
        <f t="shared" si="47"/>
        <v>174</v>
      </c>
      <c r="I311" s="43"/>
      <c r="J311" s="44">
        <f t="shared" si="48"/>
        <v>0.71489384702500014</v>
      </c>
      <c r="K311" s="45">
        <f t="shared" si="49"/>
        <v>1.59894170591747E-5</v>
      </c>
      <c r="L311" s="43">
        <f t="shared" si="50"/>
        <v>157</v>
      </c>
      <c r="M311" s="136" t="str">
        <f>IF(G311="","",INDEX([3]Countries!$C$7:$AO$254,MATCH([3]Dashboard!$B311,[3]Countries!$B$7:$B$254,0),MATCH([3]Dashboard!$N$7,[3]Countries!$C$6:$AO$6,0)))</f>
        <v>x</v>
      </c>
      <c r="N311" s="137"/>
      <c r="O311" s="135" t="str">
        <f t="shared" si="51"/>
        <v>-</v>
      </c>
      <c r="P311" s="45" t="str">
        <f t="shared" si="52"/>
        <v/>
      </c>
      <c r="Q311" s="43" t="str">
        <f t="shared" si="53"/>
        <v/>
      </c>
    </row>
    <row r="312" spans="2:17" x14ac:dyDescent="0.3">
      <c r="B312" t="str">
        <f>+'[3]Country Results'!B230</f>
        <v>Tanzania</v>
      </c>
      <c r="C312" s="91">
        <f>INDEX('[3]Country Results'!$C$7:$AK$254,MATCH([3]Dashboard!$B312,'[3]Country Results'!$B$7:$B$254,0),MATCH([3]Dashboard!$C$8,'[3]Country Results'!$C$6:$AE$6,0))</f>
        <v>7416.1032300000015</v>
      </c>
      <c r="D312" s="45" cm="1">
        <f t="array" ref="D312">INDEX('[3]Country Results'!$L$7:$AE$254,MATCH([3]Dashboard!B312,'[3]Country Results'!$B$7:$B$254,0),MATCH($C$8,'[3]Country Results'!$L$6:$AE$6,0)+1)</f>
        <v>3.9852316539332674E-3</v>
      </c>
      <c r="E312" s="43">
        <f t="shared" si="46"/>
        <v>41</v>
      </c>
      <c r="F312" s="43"/>
      <c r="G312" s="91">
        <f>IFERROR(INDEX('[3]Country Results'!$C$7:$AK$254,MATCH([3]Dashboard!$B312,'[3]Country Results'!$B$7:$B$254,0),MATCH([3]Dashboard!$C$9,'[3]Country Results'!$C$6:$AK$6,0)),"")</f>
        <v>1100</v>
      </c>
      <c r="H312" s="43">
        <f t="shared" si="47"/>
        <v>176</v>
      </c>
      <c r="I312" s="43"/>
      <c r="J312" s="44">
        <f t="shared" si="48"/>
        <v>8.1577135530000007</v>
      </c>
      <c r="K312" s="45">
        <f t="shared" si="49"/>
        <v>1.8245657700231602E-4</v>
      </c>
      <c r="L312" s="43">
        <f t="shared" si="50"/>
        <v>93</v>
      </c>
      <c r="M312" s="136" t="str">
        <f>IF(G312="","",INDEX([3]Countries!$C$7:$AO$254,MATCH([3]Dashboard!$B312,[3]Countries!$B$7:$B$254,0),MATCH([3]Dashboard!$N$7,[3]Countries!$C$6:$AO$6,0)))</f>
        <v>x</v>
      </c>
      <c r="N312" s="137"/>
      <c r="O312" s="135" t="str">
        <f t="shared" si="51"/>
        <v>-</v>
      </c>
      <c r="P312" s="45" t="str">
        <f t="shared" si="52"/>
        <v/>
      </c>
      <c r="Q312" s="43" t="str">
        <f t="shared" si="53"/>
        <v/>
      </c>
    </row>
    <row r="313" spans="2:17" x14ac:dyDescent="0.3">
      <c r="B313" t="str">
        <f>+'[3]Country Results'!B231</f>
        <v>Thailand</v>
      </c>
      <c r="C313" s="91">
        <f>INDEX('[3]Country Results'!$C$7:$AK$254,MATCH([3]Dashboard!$B313,'[3]Country Results'!$B$7:$B$254,0),MATCH([3]Dashboard!$C$8,'[3]Country Results'!$C$6:$AE$6,0))</f>
        <v>15773.462459999999</v>
      </c>
      <c r="D313" s="45" cm="1">
        <f t="array" ref="D313">INDEX('[3]Country Results'!$L$7:$AE$254,MATCH([3]Dashboard!B313,'[3]Country Results'!$B$7:$B$254,0),MATCH($C$8,'[3]Country Results'!$L$6:$AE$6,0)+1)</f>
        <v>8.4762711545642942E-3</v>
      </c>
      <c r="E313" s="43">
        <f t="shared" si="46"/>
        <v>23</v>
      </c>
      <c r="F313" s="43"/>
      <c r="G313" s="91">
        <f>IFERROR(INDEX('[3]Country Results'!$C$7:$AK$254,MATCH([3]Dashboard!$B313,'[3]Country Results'!$B$7:$B$254,0),MATCH([3]Dashboard!$C$9,'[3]Country Results'!$C$6:$AK$6,0)),"")</f>
        <v>7090</v>
      </c>
      <c r="H313" s="43">
        <f t="shared" si="47"/>
        <v>94</v>
      </c>
      <c r="I313" s="43"/>
      <c r="J313" s="44">
        <f t="shared" si="48"/>
        <v>111.8338488414</v>
      </c>
      <c r="K313" s="45">
        <f t="shared" si="49"/>
        <v>2.501291706313026E-3</v>
      </c>
      <c r="L313" s="43">
        <f t="shared" si="50"/>
        <v>42</v>
      </c>
      <c r="M313" s="136" t="str">
        <f>IF(G313="","",INDEX([3]Countries!$C$7:$AO$254,MATCH([3]Dashboard!$B313,[3]Countries!$B$7:$B$254,0),MATCH([3]Dashboard!$N$7,[3]Countries!$C$6:$AO$6,0)))</f>
        <v/>
      </c>
      <c r="N313" s="137"/>
      <c r="O313" s="135">
        <f t="shared" si="51"/>
        <v>111.8338488414</v>
      </c>
      <c r="P313" s="45">
        <f t="shared" si="52"/>
        <v>2.5759203537115043E-3</v>
      </c>
      <c r="Q313" s="43">
        <f t="shared" si="53"/>
        <v>39</v>
      </c>
    </row>
    <row r="314" spans="2:17" x14ac:dyDescent="0.3">
      <c r="B314" t="str">
        <f>+'[3]Country Results'!B232</f>
        <v>Togo</v>
      </c>
      <c r="C314" s="91">
        <f>INDEX('[3]Country Results'!$C$7:$AK$254,MATCH([3]Dashboard!$B314,'[3]Country Results'!$B$7:$B$254,0),MATCH([3]Dashboard!$C$8,'[3]Country Results'!$C$6:$AE$6,0))</f>
        <v>428.52234950000008</v>
      </c>
      <c r="D314" s="45" cm="1">
        <f t="array" ref="D314">INDEX('[3]Country Results'!$L$7:$AE$254,MATCH([3]Dashboard!B314,'[3]Country Results'!$B$7:$B$254,0),MATCH($C$8,'[3]Country Results'!$L$6:$AE$6,0)+1)</f>
        <v>2.3027738135263993E-4</v>
      </c>
      <c r="E314" s="43">
        <f t="shared" si="46"/>
        <v>149</v>
      </c>
      <c r="F314" s="43"/>
      <c r="G314" s="91">
        <f>IFERROR(INDEX('[3]Country Results'!$C$7:$AK$254,MATCH([3]Dashboard!$B314,'[3]Country Results'!$B$7:$B$254,0),MATCH([3]Dashboard!$C$9,'[3]Country Results'!$C$6:$AK$6,0)),"")</f>
        <v>960</v>
      </c>
      <c r="H314" s="43">
        <f t="shared" si="47"/>
        <v>180</v>
      </c>
      <c r="I314" s="43"/>
      <c r="J314" s="44">
        <f t="shared" si="48"/>
        <v>0.41138145552000005</v>
      </c>
      <c r="K314" s="45">
        <f t="shared" si="49"/>
        <v>9.2010159131913465E-6</v>
      </c>
      <c r="L314" s="43">
        <f t="shared" si="50"/>
        <v>163</v>
      </c>
      <c r="M314" s="136" t="str">
        <f>IF(G314="","",INDEX([3]Countries!$C$7:$AO$254,MATCH([3]Dashboard!$B314,[3]Countries!$B$7:$B$254,0),MATCH([3]Dashboard!$N$7,[3]Countries!$C$6:$AO$6,0)))</f>
        <v>x</v>
      </c>
      <c r="N314" s="137"/>
      <c r="O314" s="135" t="str">
        <f t="shared" si="51"/>
        <v>-</v>
      </c>
      <c r="P314" s="45" t="str">
        <f t="shared" si="52"/>
        <v/>
      </c>
      <c r="Q314" s="43" t="str">
        <f t="shared" si="53"/>
        <v/>
      </c>
    </row>
    <row r="315" spans="2:17" x14ac:dyDescent="0.3">
      <c r="B315" t="str">
        <f>+'[3]Country Results'!B233</f>
        <v>Tonga</v>
      </c>
      <c r="C315" s="91">
        <f>INDEX('[3]Country Results'!$C$7:$AK$254,MATCH([3]Dashboard!$B315,'[3]Country Results'!$B$7:$B$254,0),MATCH([3]Dashboard!$C$8,'[3]Country Results'!$C$6:$AE$6,0))</f>
        <v>10.055224629999998</v>
      </c>
      <c r="D315" s="45" cm="1">
        <f t="array" ref="D315">INDEX('[3]Country Results'!$L$7:$AE$254,MATCH([3]Dashboard!B315,'[3]Country Results'!$B$7:$B$254,0),MATCH($C$8,'[3]Country Results'!$L$6:$AE$6,0)+1)</f>
        <v>5.4034306481579835E-6</v>
      </c>
      <c r="E315" s="43">
        <f t="shared" si="46"/>
        <v>184</v>
      </c>
      <c r="F315" s="43"/>
      <c r="G315" s="91">
        <f>IFERROR(INDEX('[3]Country Results'!$C$7:$AK$254,MATCH([3]Dashboard!$B315,'[3]Country Results'!$B$7:$B$254,0),MATCH([3]Dashboard!$C$9,'[3]Country Results'!$C$6:$AK$6,0)),"")</f>
        <v>4930</v>
      </c>
      <c r="H315" s="43">
        <f t="shared" si="47"/>
        <v>115</v>
      </c>
      <c r="I315" s="43"/>
      <c r="J315" s="44">
        <f t="shared" si="48"/>
        <v>4.957225742589999E-2</v>
      </c>
      <c r="K315" s="45">
        <f t="shared" si="49"/>
        <v>1.1087401323231229E-6</v>
      </c>
      <c r="L315" s="43">
        <f t="shared" si="50"/>
        <v>189</v>
      </c>
      <c r="M315" s="136" t="str">
        <f>IF(G315="","",INDEX([3]Countries!$C$7:$AO$254,MATCH([3]Dashboard!$B315,[3]Countries!$B$7:$B$254,0),MATCH([3]Dashboard!$N$7,[3]Countries!$C$6:$AO$6,0)))</f>
        <v>x</v>
      </c>
      <c r="N315" s="137"/>
      <c r="O315" s="135" t="str">
        <f t="shared" si="51"/>
        <v>-</v>
      </c>
      <c r="P315" s="45" t="str">
        <f t="shared" si="52"/>
        <v/>
      </c>
      <c r="Q315" s="43" t="str">
        <f t="shared" si="53"/>
        <v/>
      </c>
    </row>
    <row r="316" spans="2:17" x14ac:dyDescent="0.3">
      <c r="B316" t="str">
        <f>+'[3]Country Results'!B234</f>
        <v>Trinidad and Tobago</v>
      </c>
      <c r="C316" s="91">
        <f>INDEX('[3]Country Results'!$C$7:$AK$254,MATCH([3]Dashboard!$B316,'[3]Country Results'!$B$7:$B$254,0),MATCH([3]Dashboard!$C$8,'[3]Country Results'!$C$6:$AE$6,0))</f>
        <v>1742.9147440000002</v>
      </c>
      <c r="D316" s="45" cm="1">
        <f t="array" ref="D316">INDEX('[3]Country Results'!$L$7:$AE$254,MATCH([3]Dashboard!B316,'[3]Country Results'!$B$7:$B$254,0),MATCH($C$8,'[3]Country Results'!$L$6:$AE$6,0)+1)</f>
        <v>9.3659955808028813E-4</v>
      </c>
      <c r="E316" s="43">
        <f t="shared" si="46"/>
        <v>100</v>
      </c>
      <c r="F316" s="43"/>
      <c r="G316" s="91">
        <f>IFERROR(INDEX('[3]Country Results'!$C$7:$AK$254,MATCH([3]Dashboard!$B316,'[3]Country Results'!$B$7:$B$254,0),MATCH([3]Dashboard!$C$9,'[3]Country Results'!$C$6:$AK$6,0)),"")</f>
        <v>15000</v>
      </c>
      <c r="H316" s="43">
        <f t="shared" si="47"/>
        <v>63</v>
      </c>
      <c r="I316" s="43"/>
      <c r="J316" s="44">
        <f t="shared" si="48"/>
        <v>26.143721160000005</v>
      </c>
      <c r="K316" s="45">
        <f t="shared" si="49"/>
        <v>5.8473417115785054E-4</v>
      </c>
      <c r="L316" s="43">
        <f t="shared" si="50"/>
        <v>69</v>
      </c>
      <c r="M316" s="136" t="str">
        <f>IF(G316="","",INDEX([3]Countries!$C$7:$AO$254,MATCH([3]Dashboard!$B316,[3]Countries!$B$7:$B$254,0),MATCH([3]Dashboard!$N$7,[3]Countries!$C$6:$AO$6,0)))</f>
        <v>x</v>
      </c>
      <c r="N316" s="137"/>
      <c r="O316" s="135" t="str">
        <f t="shared" si="51"/>
        <v>-</v>
      </c>
      <c r="P316" s="45" t="str">
        <f t="shared" si="52"/>
        <v/>
      </c>
      <c r="Q316" s="43" t="str">
        <f t="shared" si="53"/>
        <v/>
      </c>
    </row>
    <row r="317" spans="2:17" x14ac:dyDescent="0.3">
      <c r="B317" t="str">
        <f>+'[3]Country Results'!B235</f>
        <v>Tunisia</v>
      </c>
      <c r="C317" s="91">
        <f>INDEX('[3]Country Results'!$C$7:$AK$254,MATCH([3]Dashboard!$B317,'[3]Country Results'!$B$7:$B$254,0),MATCH([3]Dashboard!$C$8,'[3]Country Results'!$C$6:$AE$6,0))</f>
        <v>1396.4117959999999</v>
      </c>
      <c r="D317" s="45" cm="1">
        <f t="array" ref="D317">INDEX('[3]Country Results'!$L$7:$AE$254,MATCH([3]Dashboard!B317,'[3]Country Results'!$B$7:$B$254,0),MATCH($C$8,'[3]Country Results'!$L$6:$AE$6,0)+1)</f>
        <v>7.5039738778622737E-4</v>
      </c>
      <c r="E317" s="43">
        <f t="shared" si="46"/>
        <v>110</v>
      </c>
      <c r="F317" s="43"/>
      <c r="G317" s="91">
        <f>IFERROR(INDEX('[3]Country Results'!$C$7:$AK$254,MATCH([3]Dashboard!$B317,'[3]Country Results'!$B$7:$B$254,0),MATCH([3]Dashboard!$C$9,'[3]Country Results'!$C$6:$AK$6,0)),"")</f>
        <v>3540</v>
      </c>
      <c r="H317" s="43">
        <f t="shared" si="47"/>
        <v>137</v>
      </c>
      <c r="I317" s="43"/>
      <c r="J317" s="44">
        <f t="shared" si="48"/>
        <v>4.943297757839999</v>
      </c>
      <c r="K317" s="45">
        <f t="shared" si="49"/>
        <v>1.105624979522629E-4</v>
      </c>
      <c r="L317" s="43">
        <f t="shared" si="50"/>
        <v>103</v>
      </c>
      <c r="M317" s="136" t="str">
        <f>IF(G317="","",INDEX([3]Countries!$C$7:$AO$254,MATCH([3]Dashboard!$B317,[3]Countries!$B$7:$B$254,0),MATCH([3]Dashboard!$N$7,[3]Countries!$C$6:$AO$6,0)))</f>
        <v>x</v>
      </c>
      <c r="N317" s="137"/>
      <c r="O317" s="135" t="str">
        <f t="shared" si="51"/>
        <v>-</v>
      </c>
      <c r="P317" s="45" t="str">
        <f t="shared" si="52"/>
        <v/>
      </c>
      <c r="Q317" s="43" t="str">
        <f t="shared" si="53"/>
        <v/>
      </c>
    </row>
    <row r="318" spans="2:17" x14ac:dyDescent="0.3">
      <c r="B318" t="str">
        <f>+'[3]Country Results'!B236</f>
        <v>Turkey</v>
      </c>
      <c r="C318" s="91">
        <f>INDEX('[3]Country Results'!$C$7:$AK$254,MATCH([3]Dashboard!$B318,'[3]Country Results'!$B$7:$B$254,0),MATCH([3]Dashboard!$C$8,'[3]Country Results'!$C$6:$AE$6,0))</f>
        <v>14353.72543</v>
      </c>
      <c r="D318" s="45" cm="1">
        <f t="array" ref="D318">INDEX('[3]Country Results'!$L$7:$AE$254,MATCH([3]Dashboard!B318,'[3]Country Results'!$B$7:$B$254,0),MATCH($C$8,'[3]Country Results'!$L$6:$AE$6,0)+1)</f>
        <v>7.713339359153297E-3</v>
      </c>
      <c r="E318" s="43">
        <f t="shared" si="46"/>
        <v>26</v>
      </c>
      <c r="F318" s="43"/>
      <c r="G318" s="91">
        <f>IFERROR(INDEX('[3]Country Results'!$C$7:$AK$254,MATCH([3]Dashboard!$B318,'[3]Country Results'!$B$7:$B$254,0),MATCH([3]Dashboard!$C$9,'[3]Country Results'!$C$6:$AK$6,0)),"")</f>
        <v>9900</v>
      </c>
      <c r="H318" s="43">
        <f t="shared" si="47"/>
        <v>78</v>
      </c>
      <c r="I318" s="43"/>
      <c r="J318" s="44">
        <f t="shared" si="48"/>
        <v>142.101881757</v>
      </c>
      <c r="K318" s="45">
        <f t="shared" si="49"/>
        <v>3.1782708184740394E-3</v>
      </c>
      <c r="L318" s="43">
        <f t="shared" si="50"/>
        <v>34</v>
      </c>
      <c r="M318" s="136" t="str">
        <f>IF(G318="","",INDEX([3]Countries!$C$7:$AO$254,MATCH([3]Dashboard!$B318,[3]Countries!$B$7:$B$254,0),MATCH([3]Dashboard!$N$7,[3]Countries!$C$6:$AO$6,0)))</f>
        <v/>
      </c>
      <c r="N318" s="137"/>
      <c r="O318" s="135">
        <f t="shared" si="51"/>
        <v>142.101881757</v>
      </c>
      <c r="P318" s="45">
        <f t="shared" si="52"/>
        <v>3.2730978439065896E-3</v>
      </c>
      <c r="Q318" s="43">
        <f t="shared" si="53"/>
        <v>32</v>
      </c>
    </row>
    <row r="319" spans="2:17" x14ac:dyDescent="0.3">
      <c r="B319" t="str">
        <f>+'[3]Country Results'!B237</f>
        <v>Turkmenistan</v>
      </c>
      <c r="C319" s="91">
        <f>INDEX('[3]Country Results'!$C$7:$AK$254,MATCH([3]Dashboard!$B319,'[3]Country Results'!$B$7:$B$254,0),MATCH([3]Dashboard!$C$8,'[3]Country Results'!$C$6:$AE$6,0))</f>
        <v>3902.9955060000002</v>
      </c>
      <c r="D319" s="45" cm="1">
        <f t="array" ref="D319">INDEX('[3]Country Results'!$L$7:$AE$254,MATCH([3]Dashboard!B319,'[3]Country Results'!$B$7:$B$254,0),MATCH($C$8,'[3]Country Results'!$L$6:$AE$6,0)+1)</f>
        <v>2.0973738840027564E-3</v>
      </c>
      <c r="E319" s="43">
        <f t="shared" si="46"/>
        <v>59</v>
      </c>
      <c r="F319" s="43"/>
      <c r="G319" s="91">
        <f>IFERROR(INDEX('[3]Country Results'!$C$7:$AK$254,MATCH([3]Dashboard!$B319,'[3]Country Results'!$B$7:$B$254,0),MATCH([3]Dashboard!$C$9,'[3]Country Results'!$C$6:$AK$6,0)),"")</f>
        <v>6970</v>
      </c>
      <c r="H319" s="43">
        <f t="shared" si="47"/>
        <v>95</v>
      </c>
      <c r="I319" s="43"/>
      <c r="J319" s="44">
        <f t="shared" si="48"/>
        <v>27.203878676820004</v>
      </c>
      <c r="K319" s="45">
        <f t="shared" si="49"/>
        <v>6.0844580436800622E-4</v>
      </c>
      <c r="L319" s="43">
        <f t="shared" si="50"/>
        <v>68</v>
      </c>
      <c r="M319" s="136" t="str">
        <f>IF(G319="","",INDEX([3]Countries!$C$7:$AO$254,MATCH([3]Dashboard!$B319,[3]Countries!$B$7:$B$254,0),MATCH([3]Dashboard!$N$7,[3]Countries!$C$6:$AO$6,0)))</f>
        <v/>
      </c>
      <c r="N319" s="137"/>
      <c r="O319" s="135">
        <f t="shared" si="51"/>
        <v>27.203878676820004</v>
      </c>
      <c r="P319" s="45">
        <f t="shared" si="52"/>
        <v>6.2659941967031557E-4</v>
      </c>
      <c r="Q319" s="43">
        <f t="shared" si="53"/>
        <v>58</v>
      </c>
    </row>
    <row r="320" spans="2:17" x14ac:dyDescent="0.3">
      <c r="B320" t="str">
        <f>+'[3]Country Results'!B238</f>
        <v>Turks and Caicos Islands</v>
      </c>
      <c r="C320" s="91">
        <f>INDEX('[3]Country Results'!$C$7:$AK$254,MATCH([3]Dashboard!$B320,'[3]Country Results'!$B$7:$B$254,0),MATCH([3]Dashboard!$C$8,'[3]Country Results'!$C$6:$AE$6,0))</f>
        <v>7.3462859791999993</v>
      </c>
      <c r="D320" s="45" cm="1">
        <f t="array" ref="D320">INDEX('[3]Country Results'!$L$7:$AE$254,MATCH([3]Dashboard!B320,'[3]Country Results'!$B$7:$B$254,0),MATCH($C$8,'[3]Country Results'!$L$6:$AE$6,0)+1)</f>
        <v>3.9477135788405119E-6</v>
      </c>
      <c r="E320" s="43">
        <f t="shared" si="46"/>
        <v>190</v>
      </c>
      <c r="F320" s="43"/>
      <c r="G320" s="91">
        <f>IFERROR(INDEX('[3]Country Results'!$C$7:$AK$254,MATCH([3]Dashboard!$B320,'[3]Country Results'!$B$7:$B$254,0),MATCH([3]Dashboard!$C$9,'[3]Country Results'!$C$6:$AK$6,0)),"")</f>
        <v>21410</v>
      </c>
      <c r="H320" s="43">
        <f t="shared" si="47"/>
        <v>48</v>
      </c>
      <c r="I320" s="43"/>
      <c r="J320" s="44">
        <f t="shared" si="48"/>
        <v>0.15728398281467199</v>
      </c>
      <c r="K320" s="45">
        <f t="shared" si="49"/>
        <v>3.5178358415272669E-6</v>
      </c>
      <c r="L320" s="43">
        <f t="shared" si="50"/>
        <v>177</v>
      </c>
      <c r="M320" s="136" t="str">
        <f>IF(G320="","",INDEX([3]Countries!$C$7:$AO$254,MATCH([3]Dashboard!$B320,[3]Countries!$B$7:$B$254,0),MATCH([3]Dashboard!$N$7,[3]Countries!$C$6:$AO$6,0)))</f>
        <v/>
      </c>
      <c r="N320" s="137"/>
      <c r="O320" s="135">
        <f t="shared" si="51"/>
        <v>0.15728398281467199</v>
      </c>
      <c r="P320" s="45">
        <f t="shared" si="52"/>
        <v>3.6227941436559083E-6</v>
      </c>
      <c r="Q320" s="43">
        <f t="shared" si="53"/>
        <v>89</v>
      </c>
    </row>
    <row r="321" spans="2:17" x14ac:dyDescent="0.3">
      <c r="B321" t="str">
        <f>+'[3]Country Results'!B239</f>
        <v>Tuvalu</v>
      </c>
      <c r="C321" s="91">
        <f>INDEX('[3]Country Results'!$C$7:$AK$254,MATCH([3]Dashboard!$B321,'[3]Country Results'!$B$7:$B$254,0),MATCH([3]Dashboard!$C$8,'[3]Country Results'!$C$6:$AE$6,0))</f>
        <v>0.67008742989999992</v>
      </c>
      <c r="D321" s="45" cm="1">
        <f t="array" ref="D321">INDEX('[3]Country Results'!$L$7:$AE$254,MATCH([3]Dashboard!B321,'[3]Country Results'!$B$7:$B$254,0),MATCH($C$8,'[3]Country Results'!$L$6:$AE$6,0)+1)</f>
        <v>3.6008852003807246E-7</v>
      </c>
      <c r="E321" s="43">
        <f t="shared" si="46"/>
        <v>197</v>
      </c>
      <c r="F321" s="43"/>
      <c r="G321" s="91">
        <f>IFERROR(INDEX('[3]Country Results'!$C$7:$AK$254,MATCH([3]Dashboard!$B321,'[3]Country Results'!$B$7:$B$254,0),MATCH([3]Dashboard!$C$9,'[3]Country Results'!$C$6:$AK$6,0)),"")</f>
        <v>7200</v>
      </c>
      <c r="H321" s="43">
        <f t="shared" si="47"/>
        <v>93</v>
      </c>
      <c r="I321" s="43"/>
      <c r="J321" s="44">
        <f t="shared" si="48"/>
        <v>4.8246294952799989E-3</v>
      </c>
      <c r="K321" s="45">
        <f t="shared" si="49"/>
        <v>1.0790834678051119E-7</v>
      </c>
      <c r="L321" s="43">
        <f t="shared" si="50"/>
        <v>194</v>
      </c>
      <c r="M321" s="136" t="str">
        <f>IF(G321="","",INDEX([3]Countries!$C$7:$AO$254,MATCH([3]Dashboard!$B321,[3]Countries!$B$7:$B$254,0),MATCH([3]Dashboard!$N$7,[3]Countries!$C$6:$AO$6,0)))</f>
        <v>x</v>
      </c>
      <c r="N321" s="137"/>
      <c r="O321" s="135" t="str">
        <f t="shared" si="51"/>
        <v>-</v>
      </c>
      <c r="P321" s="45" t="str">
        <f t="shared" si="52"/>
        <v/>
      </c>
      <c r="Q321" s="43" t="str">
        <f t="shared" si="53"/>
        <v/>
      </c>
    </row>
    <row r="322" spans="2:17" x14ac:dyDescent="0.3">
      <c r="B322" t="str">
        <f>+'[3]Country Results'!B240</f>
        <v>Uganda</v>
      </c>
      <c r="C322" s="91">
        <f>INDEX('[3]Country Results'!$C$7:$AK$254,MATCH([3]Dashboard!$B322,'[3]Country Results'!$B$7:$B$254,0),MATCH([3]Dashboard!$C$8,'[3]Country Results'!$C$6:$AE$6,0))</f>
        <v>2409.4766000000009</v>
      </c>
      <c r="D322" s="45" cm="1">
        <f t="array" ref="D322">INDEX('[3]Country Results'!$L$7:$AE$254,MATCH([3]Dashboard!B322,'[3]Country Results'!$B$7:$B$254,0),MATCH($C$8,'[3]Country Results'!$L$6:$AE$6,0)+1)</f>
        <v>1.2947935213317558E-3</v>
      </c>
      <c r="E322" s="43">
        <f t="shared" si="46"/>
        <v>88</v>
      </c>
      <c r="F322" s="43"/>
      <c r="G322" s="91">
        <f>IFERROR(INDEX('[3]Country Results'!$C$7:$AK$254,MATCH([3]Dashboard!$B322,'[3]Country Results'!$B$7:$B$254,0),MATCH([3]Dashboard!$C$9,'[3]Country Results'!$C$6:$AK$6,0)),"")</f>
        <v>760</v>
      </c>
      <c r="H322" s="43">
        <f t="shared" si="47"/>
        <v>186</v>
      </c>
      <c r="I322" s="43"/>
      <c r="J322" s="44">
        <f t="shared" si="48"/>
        <v>1.8312022160000008</v>
      </c>
      <c r="K322" s="45">
        <f t="shared" si="49"/>
        <v>4.0956928183332086E-5</v>
      </c>
      <c r="L322" s="43">
        <f t="shared" si="50"/>
        <v>133</v>
      </c>
      <c r="M322" s="136" t="str">
        <f>IF(G322="","",INDEX([3]Countries!$C$7:$AO$254,MATCH([3]Dashboard!$B322,[3]Countries!$B$7:$B$254,0),MATCH([3]Dashboard!$N$7,[3]Countries!$C$6:$AO$6,0)))</f>
        <v>x</v>
      </c>
      <c r="N322" s="137"/>
      <c r="O322" s="135" t="str">
        <f t="shared" si="51"/>
        <v>-</v>
      </c>
      <c r="P322" s="45" t="str">
        <f t="shared" si="52"/>
        <v/>
      </c>
      <c r="Q322" s="43" t="str">
        <f t="shared" si="53"/>
        <v/>
      </c>
    </row>
    <row r="323" spans="2:17" x14ac:dyDescent="0.3">
      <c r="B323" t="str">
        <f>+'[3]Country Results'!B241</f>
        <v>Ukraine</v>
      </c>
      <c r="C323" s="91">
        <f>INDEX('[3]Country Results'!$C$7:$AK$254,MATCH([3]Dashboard!$B323,'[3]Country Results'!$B$7:$B$254,0),MATCH([3]Dashboard!$C$8,'[3]Country Results'!$C$6:$AE$6,0))</f>
        <v>23935.510210000004</v>
      </c>
      <c r="D323" s="45" cm="1">
        <f t="array" ref="D323">INDEX('[3]Country Results'!$L$7:$AE$254,MATCH([3]Dashboard!B323,'[3]Country Results'!$B$7:$B$254,0),MATCH($C$8,'[3]Country Results'!$L$6:$AE$6,0)+1)</f>
        <v>1.2862355064862671E-2</v>
      </c>
      <c r="E323" s="43">
        <f t="shared" si="46"/>
        <v>14</v>
      </c>
      <c r="F323" s="43"/>
      <c r="G323" s="91">
        <f>IFERROR(INDEX('[3]Country Results'!$C$7:$AK$254,MATCH([3]Dashboard!$B323,'[3]Country Results'!$B$7:$B$254,0),MATCH([3]Dashboard!$C$9,'[3]Country Results'!$C$6:$AK$6,0)),"")</f>
        <v>4120</v>
      </c>
      <c r="H323" s="43">
        <f t="shared" si="47"/>
        <v>127</v>
      </c>
      <c r="I323" s="43"/>
      <c r="J323" s="44">
        <f t="shared" si="48"/>
        <v>98.614302065200022</v>
      </c>
      <c r="K323" s="45">
        <f t="shared" si="49"/>
        <v>2.2056214503476837E-3</v>
      </c>
      <c r="L323" s="43">
        <f t="shared" si="50"/>
        <v>44</v>
      </c>
      <c r="M323" s="136" t="str">
        <f>IF(G323="","",INDEX([3]Countries!$C$7:$AO$254,MATCH([3]Dashboard!$B323,[3]Countries!$B$7:$B$254,0),MATCH([3]Dashboard!$N$7,[3]Countries!$C$6:$AO$6,0)))</f>
        <v>x</v>
      </c>
      <c r="N323" s="137"/>
      <c r="O323" s="135" t="str">
        <f t="shared" si="51"/>
        <v>-</v>
      </c>
      <c r="P323" s="45" t="str">
        <f t="shared" si="52"/>
        <v/>
      </c>
      <c r="Q323" s="43" t="str">
        <f t="shared" si="53"/>
        <v/>
      </c>
    </row>
    <row r="324" spans="2:17" x14ac:dyDescent="0.3">
      <c r="B324" t="str">
        <f>+'[3]Country Results'!B242</f>
        <v>United Arab Emirates</v>
      </c>
      <c r="C324" s="91">
        <f>INDEX('[3]Country Results'!$C$7:$AK$254,MATCH([3]Dashboard!$B324,'[3]Country Results'!$B$7:$B$254,0),MATCH([3]Dashboard!$C$8,'[3]Country Results'!$C$6:$AE$6,0))</f>
        <v>6338.9678700000004</v>
      </c>
      <c r="D324" s="45" cm="1">
        <f t="array" ref="D324">INDEX('[3]Country Results'!$L$7:$AE$254,MATCH([3]Dashboard!B324,'[3]Country Results'!$B$7:$B$254,0),MATCH($C$8,'[3]Country Results'!$L$6:$AE$6,0)+1)</f>
        <v>3.4064055778778501E-3</v>
      </c>
      <c r="E324" s="43">
        <f t="shared" si="46"/>
        <v>46</v>
      </c>
      <c r="F324" s="43"/>
      <c r="G324" s="91">
        <f>IFERROR(INDEX('[3]Country Results'!$C$7:$AK$254,MATCH([3]Dashboard!$B324,'[3]Country Results'!$B$7:$B$254,0),MATCH([3]Dashboard!$C$9,'[3]Country Results'!$C$6:$AK$6,0)),"")</f>
        <v>41770</v>
      </c>
      <c r="H324" s="43">
        <f t="shared" si="47"/>
        <v>28</v>
      </c>
      <c r="I324" s="43"/>
      <c r="J324" s="44">
        <f t="shared" si="48"/>
        <v>264.7786879299</v>
      </c>
      <c r="K324" s="45">
        <f t="shared" si="49"/>
        <v>5.9220776445487924E-3</v>
      </c>
      <c r="L324" s="43">
        <f t="shared" si="50"/>
        <v>21</v>
      </c>
      <c r="M324" s="136" t="str">
        <f>IF(G324="","",INDEX([3]Countries!$C$7:$AO$254,MATCH([3]Dashboard!$B324,[3]Countries!$B$7:$B$254,0),MATCH([3]Dashboard!$N$7,[3]Countries!$C$6:$AO$6,0)))</f>
        <v/>
      </c>
      <c r="N324" s="137"/>
      <c r="O324" s="135">
        <f t="shared" si="51"/>
        <v>264.7786879299</v>
      </c>
      <c r="P324" s="45">
        <f t="shared" si="52"/>
        <v>6.0987690089690178E-3</v>
      </c>
      <c r="Q324" s="43">
        <f t="shared" si="53"/>
        <v>20</v>
      </c>
    </row>
    <row r="325" spans="2:17" x14ac:dyDescent="0.3">
      <c r="B325" t="str">
        <f>+'[3]Country Results'!B243</f>
        <v>United Kingdom</v>
      </c>
      <c r="C325" s="91">
        <f>INDEX('[3]Country Results'!$C$7:$AK$254,MATCH([3]Dashboard!$B325,'[3]Country Results'!$B$7:$B$254,0),MATCH([3]Dashboard!$C$8,'[3]Country Results'!$C$6:$AE$6,0))</f>
        <v>28720.091939999998</v>
      </c>
      <c r="D325" s="45" cm="1">
        <f t="array" ref="D325">INDEX('[3]Country Results'!$L$7:$AE$254,MATCH([3]Dashboard!B325,'[3]Country Results'!$B$7:$B$254,0),MATCH($C$8,'[3]Country Results'!$L$6:$AE$6,0)+1)</f>
        <v>1.5433471724093258E-2</v>
      </c>
      <c r="E325" s="43">
        <f t="shared" si="46"/>
        <v>11</v>
      </c>
      <c r="F325" s="43"/>
      <c r="G325" s="91">
        <f>IFERROR(INDEX('[3]Country Results'!$C$7:$AK$254,MATCH([3]Dashboard!$B325,'[3]Country Results'!$B$7:$B$254,0),MATCH([3]Dashboard!$C$9,'[3]Country Results'!$C$6:$AK$6,0)),"")</f>
        <v>44480</v>
      </c>
      <c r="H325" s="43">
        <f t="shared" si="47"/>
        <v>25</v>
      </c>
      <c r="I325" s="43"/>
      <c r="J325" s="44">
        <f t="shared" si="48"/>
        <v>1277.4696894911999</v>
      </c>
      <c r="K325" s="46">
        <f t="shared" si="49"/>
        <v>2.8572068050006443E-2</v>
      </c>
      <c r="L325" s="43">
        <f t="shared" si="50"/>
        <v>7</v>
      </c>
      <c r="M325" s="136" t="str">
        <f>IF(G325="","",INDEX([3]Countries!$C$7:$AO$254,MATCH([3]Dashboard!$B325,[3]Countries!$B$7:$B$254,0),MATCH([3]Dashboard!$N$7,[3]Countries!$C$6:$AO$6,0)))</f>
        <v/>
      </c>
      <c r="N325" s="137"/>
      <c r="O325" s="135">
        <f t="shared" si="51"/>
        <v>1277.4696894911999</v>
      </c>
      <c r="P325" s="46">
        <f t="shared" si="52"/>
        <v>2.9424545506581197E-2</v>
      </c>
      <c r="Q325" s="43">
        <f t="shared" si="53"/>
        <v>7</v>
      </c>
    </row>
    <row r="326" spans="2:17" x14ac:dyDescent="0.3">
      <c r="B326" t="str">
        <f>+'[3]Country Results'!B244</f>
        <v>United States</v>
      </c>
      <c r="C326" s="91">
        <f>INDEX('[3]Country Results'!$C$7:$AK$254,MATCH([3]Dashboard!$B326,'[3]Country Results'!$B$7:$B$254,0),MATCH([3]Dashboard!$C$8,'[3]Country Results'!$C$6:$AE$6,0))</f>
        <v>271578.36739999999</v>
      </c>
      <c r="D326" s="45" cm="1">
        <f t="array" ref="D326">INDEX('[3]Country Results'!$L$7:$AE$254,MATCH([3]Dashboard!B326,'[3]Country Results'!$B$7:$B$254,0),MATCH($C$8,'[3]Country Results'!$L$6:$AE$6,0)+1)</f>
        <v>0.14593954165953518</v>
      </c>
      <c r="E326" s="43">
        <f t="shared" si="46"/>
        <v>2</v>
      </c>
      <c r="F326" s="43"/>
      <c r="G326" s="91">
        <f>IFERROR(INDEX('[3]Country Results'!$C$7:$AK$254,MATCH([3]Dashboard!$B326,'[3]Country Results'!$B$7:$B$254,0),MATCH([3]Dashboard!$C$9,'[3]Country Results'!$C$6:$AK$6,0)),"")</f>
        <v>70930</v>
      </c>
      <c r="H326" s="43">
        <f t="shared" si="47"/>
        <v>7</v>
      </c>
      <c r="I326" s="43"/>
      <c r="J326" s="44">
        <f t="shared" si="48"/>
        <v>19263.053599682</v>
      </c>
      <c r="K326" s="45">
        <f t="shared" si="49"/>
        <v>0.43084018574268262</v>
      </c>
      <c r="L326" s="43">
        <f t="shared" si="50"/>
        <v>1</v>
      </c>
      <c r="M326" s="136" t="str">
        <f>IF(G326="","",INDEX([3]Countries!$C$7:$AO$254,MATCH([3]Dashboard!$B326,[3]Countries!$B$7:$B$254,0),MATCH([3]Dashboard!$N$7,[3]Countries!$C$6:$AO$6,0)))</f>
        <v/>
      </c>
      <c r="N326" s="137"/>
      <c r="O326" s="135">
        <f t="shared" si="51"/>
        <v>19263.053599682</v>
      </c>
      <c r="P326" s="45">
        <f t="shared" si="52"/>
        <v>0.44369475213561244</v>
      </c>
      <c r="Q326" s="43">
        <f t="shared" si="53"/>
        <v>1</v>
      </c>
    </row>
    <row r="327" spans="2:17" x14ac:dyDescent="0.3">
      <c r="B327" t="str">
        <f>+'[3]Country Results'!B245</f>
        <v>Upper-middle-income countries</v>
      </c>
      <c r="C327" s="91" t="str">
        <f>INDEX('[3]Country Results'!$C$7:$AK$254,MATCH([3]Dashboard!$B327,'[3]Country Results'!$B$7:$B$254,0),MATCH([3]Dashboard!$C$8,'[3]Country Results'!$C$6:$AE$6,0))</f>
        <v/>
      </c>
      <c r="D327" s="45" t="str" cm="1">
        <f t="array" ref="D327">INDEX('[3]Country Results'!$L$7:$AE$254,MATCH([3]Dashboard!B327,'[3]Country Results'!$B$7:$B$254,0),MATCH($C$8,'[3]Country Results'!$L$6:$AE$6,0)+1)</f>
        <v/>
      </c>
      <c r="E327" s="43" t="str">
        <f t="shared" si="46"/>
        <v/>
      </c>
      <c r="F327" s="43"/>
      <c r="G327" s="91" t="str">
        <f>IFERROR(INDEX('[3]Country Results'!$C$7:$AK$254,MATCH([3]Dashboard!$B327,'[3]Country Results'!$B$7:$B$254,0),MATCH([3]Dashboard!$C$9,'[3]Country Results'!$C$6:$AK$6,0)),"")</f>
        <v/>
      </c>
      <c r="H327" s="43" t="str">
        <f t="shared" si="47"/>
        <v/>
      </c>
      <c r="I327" s="43"/>
      <c r="J327" s="44" t="str">
        <f t="shared" si="48"/>
        <v/>
      </c>
      <c r="K327" s="45" t="str">
        <f t="shared" si="49"/>
        <v/>
      </c>
      <c r="L327" s="43" t="str">
        <f t="shared" si="50"/>
        <v/>
      </c>
      <c r="M327" s="136" t="str">
        <f>IF(G327="","",INDEX([3]Countries!$C$7:$AO$254,MATCH([3]Dashboard!$B327,[3]Countries!$B$7:$B$254,0),MATCH([3]Dashboard!$N$7,[3]Countries!$C$6:$AO$6,0)))</f>
        <v/>
      </c>
      <c r="N327" s="137"/>
      <c r="O327" s="135" t="str">
        <f t="shared" si="51"/>
        <v/>
      </c>
      <c r="P327" s="45" t="str">
        <f t="shared" si="52"/>
        <v/>
      </c>
      <c r="Q327" s="43" t="str">
        <f t="shared" si="53"/>
        <v/>
      </c>
    </row>
    <row r="328" spans="2:17" x14ac:dyDescent="0.3">
      <c r="B328" t="str">
        <f>+'[3]Country Results'!B246</f>
        <v>Uruguay</v>
      </c>
      <c r="C328" s="91">
        <f>INDEX('[3]Country Results'!$C$7:$AK$254,MATCH([3]Dashboard!$B328,'[3]Country Results'!$B$7:$B$254,0),MATCH([3]Dashboard!$C$8,'[3]Country Results'!$C$6:$AE$6,0))</f>
        <v>1493.1697040000001</v>
      </c>
      <c r="D328" s="45" cm="1">
        <f t="array" ref="D328">INDEX('[3]Country Results'!$L$7:$AE$254,MATCH([3]Dashboard!B328,'[3]Country Results'!$B$7:$B$254,0),MATCH($C$8,'[3]Country Results'!$L$6:$AE$6,0)+1)</f>
        <v>8.0239271009648115E-4</v>
      </c>
      <c r="E328" s="43">
        <f t="shared" si="46"/>
        <v>106</v>
      </c>
      <c r="F328" s="43"/>
      <c r="G328" s="91">
        <f>IFERROR(INDEX('[3]Country Results'!$C$7:$AK$254,MATCH([3]Dashboard!$B328,'[3]Country Results'!$B$7:$B$254,0),MATCH([3]Dashboard!$C$9,'[3]Country Results'!$C$6:$AK$6,0)),"")</f>
        <v>16080</v>
      </c>
      <c r="H328" s="43">
        <f t="shared" si="47"/>
        <v>61</v>
      </c>
      <c r="I328" s="43"/>
      <c r="J328" s="44">
        <f t="shared" si="48"/>
        <v>24.010168840320002</v>
      </c>
      <c r="K328" s="45">
        <f t="shared" si="49"/>
        <v>5.370148377226864E-4</v>
      </c>
      <c r="L328" s="43">
        <f t="shared" si="50"/>
        <v>72</v>
      </c>
      <c r="M328" s="136" t="str">
        <f>IF(G328="","",INDEX([3]Countries!$C$7:$AO$254,MATCH([3]Dashboard!$B328,[3]Countries!$B$7:$B$254,0),MATCH([3]Dashboard!$N$7,[3]Countries!$C$6:$AO$6,0)))</f>
        <v/>
      </c>
      <c r="N328" s="137"/>
      <c r="O328" s="135">
        <f t="shared" si="51"/>
        <v>24.010168840320002</v>
      </c>
      <c r="P328" s="45">
        <f t="shared" si="52"/>
        <v>5.5303723561854468E-4</v>
      </c>
      <c r="Q328" s="43">
        <f t="shared" si="53"/>
        <v>61</v>
      </c>
    </row>
    <row r="329" spans="2:17" x14ac:dyDescent="0.3">
      <c r="B329" t="str">
        <f>+'[3]Country Results'!B247</f>
        <v>Uzbekistan</v>
      </c>
      <c r="C329" s="91">
        <f>INDEX('[3]Country Results'!$C$7:$AK$254,MATCH([3]Dashboard!$B329,'[3]Country Results'!$B$7:$B$254,0),MATCH([3]Dashboard!$C$8,'[3]Country Results'!$C$6:$AE$6,0))</f>
        <v>7457.6672100000005</v>
      </c>
      <c r="D329" s="45" cm="1">
        <f t="array" ref="D329">INDEX('[3]Country Results'!$L$7:$AE$254,MATCH([3]Dashboard!B329,'[3]Country Results'!$B$7:$B$254,0),MATCH($C$8,'[3]Country Results'!$L$6:$AE$6,0)+1)</f>
        <v>4.0075671155122517E-3</v>
      </c>
      <c r="E329" s="43">
        <f t="shared" si="46"/>
        <v>40</v>
      </c>
      <c r="F329" s="43"/>
      <c r="G329" s="91">
        <f>IFERROR(INDEX('[3]Country Results'!$C$7:$AK$254,MATCH([3]Dashboard!$B329,'[3]Country Results'!$B$7:$B$254,0),MATCH([3]Dashboard!$C$9,'[3]Country Results'!$C$6:$AK$6,0)),"")</f>
        <v>1960</v>
      </c>
      <c r="H329" s="43">
        <f t="shared" si="47"/>
        <v>158</v>
      </c>
      <c r="I329" s="43"/>
      <c r="J329" s="44">
        <f t="shared" si="48"/>
        <v>14.617027731600002</v>
      </c>
      <c r="K329" s="45">
        <f t="shared" si="49"/>
        <v>3.2692651299025873E-4</v>
      </c>
      <c r="L329" s="43">
        <f t="shared" si="50"/>
        <v>81</v>
      </c>
      <c r="M329" s="136" t="str">
        <f>IF(G329="","",INDEX([3]Countries!$C$7:$AO$254,MATCH([3]Dashboard!$B329,[3]Countries!$B$7:$B$254,0),MATCH([3]Dashboard!$N$7,[3]Countries!$C$6:$AO$6,0)))</f>
        <v>x</v>
      </c>
      <c r="N329" s="137"/>
      <c r="O329" s="135" t="str">
        <f t="shared" si="51"/>
        <v>-</v>
      </c>
      <c r="P329" s="45" t="str">
        <f t="shared" si="52"/>
        <v/>
      </c>
      <c r="Q329" s="43" t="str">
        <f t="shared" si="53"/>
        <v/>
      </c>
    </row>
    <row r="330" spans="2:17" x14ac:dyDescent="0.3">
      <c r="B330" t="str">
        <f>+'[3]Country Results'!B248</f>
        <v>Vanuatu</v>
      </c>
      <c r="C330" s="91">
        <f>INDEX('[3]Country Results'!$C$7:$AK$254,MATCH([3]Dashboard!$B330,'[3]Country Results'!$B$7:$B$254,0),MATCH([3]Dashboard!$C$8,'[3]Country Results'!$C$6:$AE$6,0))</f>
        <v>61.488965620000002</v>
      </c>
      <c r="D330" s="45" cm="1">
        <f t="array" ref="D330">INDEX('[3]Country Results'!$L$7:$AE$254,MATCH([3]Dashboard!B330,'[3]Country Results'!$B$7:$B$254,0),MATCH($C$8,'[3]Country Results'!$L$6:$AE$6,0)+1)</f>
        <v>3.3042659272211665E-5</v>
      </c>
      <c r="E330" s="43">
        <f t="shared" si="46"/>
        <v>171</v>
      </c>
      <c r="F330" s="43"/>
      <c r="G330" s="91">
        <f>IFERROR(INDEX('[3]Country Results'!$C$7:$AK$254,MATCH([3]Dashboard!$B330,'[3]Country Results'!$B$7:$B$254,0),MATCH([3]Dashboard!$C$9,'[3]Country Results'!$C$6:$AK$6,0)),"")</f>
        <v>3240</v>
      </c>
      <c r="H330" s="43">
        <f t="shared" si="47"/>
        <v>141</v>
      </c>
      <c r="I330" s="43"/>
      <c r="J330" s="44">
        <f t="shared" si="48"/>
        <v>0.1992242486088</v>
      </c>
      <c r="K330" s="45">
        <f t="shared" si="49"/>
        <v>4.4558777678155211E-6</v>
      </c>
      <c r="L330" s="43">
        <f t="shared" si="50"/>
        <v>173</v>
      </c>
      <c r="M330" s="136" t="str">
        <f>IF(G330="","",INDEX([3]Countries!$C$7:$AO$254,MATCH([3]Dashboard!$B330,[3]Countries!$B$7:$B$254,0),MATCH([3]Dashboard!$N$7,[3]Countries!$C$6:$AO$6,0)))</f>
        <v>x</v>
      </c>
      <c r="N330" s="137"/>
      <c r="O330" s="135" t="str">
        <f t="shared" si="51"/>
        <v>-</v>
      </c>
      <c r="P330" s="45" t="str">
        <f t="shared" si="52"/>
        <v/>
      </c>
      <c r="Q330" s="43" t="str">
        <f t="shared" si="53"/>
        <v/>
      </c>
    </row>
    <row r="331" spans="2:17" x14ac:dyDescent="0.3">
      <c r="B331" t="str">
        <f>+'[3]Country Results'!B249</f>
        <v>Venezuela</v>
      </c>
      <c r="C331" s="91">
        <f>INDEX('[3]Country Results'!$C$7:$AK$254,MATCH([3]Dashboard!$B331,'[3]Country Results'!$B$7:$B$254,0),MATCH([3]Dashboard!$C$8,'[3]Country Results'!$C$6:$AE$6,0))</f>
        <v>10875.237270000001</v>
      </c>
      <c r="D331" s="45" cm="1">
        <f t="array" ref="D331">INDEX('[3]Country Results'!$L$7:$AE$254,MATCH([3]Dashboard!B331,'[3]Country Results'!$B$7:$B$254,0),MATCH($C$8,'[3]Country Results'!$L$6:$AE$6,0)+1)</f>
        <v>5.8440852922753625E-3</v>
      </c>
      <c r="E331" s="43">
        <f t="shared" si="46"/>
        <v>31</v>
      </c>
      <c r="F331" s="43"/>
      <c r="G331" s="91">
        <f>IFERROR(INDEX('[3]Country Results'!$C$7:$AK$254,MATCH([3]Dashboard!$B331,'[3]Country Results'!$B$7:$B$254,0),MATCH([3]Dashboard!$C$9,'[3]Country Results'!$C$6:$AK$6,0)),"")</f>
        <v>13010</v>
      </c>
      <c r="H331" s="43">
        <f t="shared" si="47"/>
        <v>69</v>
      </c>
      <c r="I331" s="43"/>
      <c r="J331" s="44">
        <f t="shared" si="48"/>
        <v>141.48683688270003</v>
      </c>
      <c r="K331" s="45">
        <f t="shared" si="49"/>
        <v>3.1645146376841019E-3</v>
      </c>
      <c r="L331" s="43">
        <f t="shared" si="50"/>
        <v>35</v>
      </c>
      <c r="M331" s="136" t="str">
        <f>IF(G331="","",INDEX([3]Countries!$C$7:$AO$254,MATCH([3]Dashboard!$B331,[3]Countries!$B$7:$B$254,0),MATCH([3]Dashboard!$N$7,[3]Countries!$C$6:$AO$6,0)))</f>
        <v/>
      </c>
      <c r="N331" s="137"/>
      <c r="O331" s="135">
        <f t="shared" si="51"/>
        <v>141.48683688270003</v>
      </c>
      <c r="P331" s="45">
        <f t="shared" si="52"/>
        <v>3.2589312331123741E-3</v>
      </c>
      <c r="Q331" s="43">
        <f t="shared" si="53"/>
        <v>33</v>
      </c>
    </row>
    <row r="332" spans="2:17" x14ac:dyDescent="0.3">
      <c r="B332" t="str">
        <f>+'[3]Country Results'!B250</f>
        <v>Vietnam</v>
      </c>
      <c r="C332" s="91">
        <f>INDEX('[3]Country Results'!$C$7:$AK$254,MATCH([3]Dashboard!$B332,'[3]Country Results'!$B$7:$B$254,0),MATCH([3]Dashboard!$C$8,'[3]Country Results'!$C$6:$AE$6,0))</f>
        <v>11494.612424000001</v>
      </c>
      <c r="D332" s="45" cm="1">
        <f t="array" ref="D332">INDEX('[3]Country Results'!$L$7:$AE$254,MATCH([3]Dashboard!B332,'[3]Country Results'!$B$7:$B$254,0),MATCH($C$8,'[3]Country Results'!$L$6:$AE$6,0)+1)</f>
        <v>6.1769222813015511E-3</v>
      </c>
      <c r="E332" s="43">
        <f t="shared" si="46"/>
        <v>30</v>
      </c>
      <c r="F332" s="43"/>
      <c r="G332" s="91">
        <f>IFERROR(INDEX('[3]Country Results'!$C$7:$AK$254,MATCH([3]Dashboard!$B332,'[3]Country Results'!$B$7:$B$254,0),MATCH([3]Dashboard!$C$9,'[3]Country Results'!$C$6:$AK$6,0)),"")</f>
        <v>3590</v>
      </c>
      <c r="H332" s="43">
        <f t="shared" si="47"/>
        <v>135</v>
      </c>
      <c r="I332" s="43"/>
      <c r="J332" s="44">
        <f t="shared" si="48"/>
        <v>41.265658602160002</v>
      </c>
      <c r="K332" s="45">
        <f t="shared" si="49"/>
        <v>9.2295356626335935E-4</v>
      </c>
      <c r="L332" s="43">
        <f t="shared" si="50"/>
        <v>55</v>
      </c>
      <c r="M332" s="136" t="str">
        <f>IF(G332="","",INDEX([3]Countries!$C$7:$AO$254,MATCH([3]Dashboard!$B332,[3]Countries!$B$7:$B$254,0),MATCH([3]Dashboard!$N$7,[3]Countries!$C$6:$AO$6,0)))</f>
        <v>x</v>
      </c>
      <c r="N332" s="137"/>
      <c r="O332" s="135" t="str">
        <f t="shared" si="51"/>
        <v>-</v>
      </c>
      <c r="P332" s="45" t="str">
        <f t="shared" si="52"/>
        <v/>
      </c>
      <c r="Q332" s="43" t="str">
        <f t="shared" si="53"/>
        <v/>
      </c>
    </row>
    <row r="333" spans="2:17" x14ac:dyDescent="0.3">
      <c r="B333" t="str">
        <f>+'[3]Country Results'!B251</f>
        <v>Wallis and Futuna</v>
      </c>
      <c r="C333" s="91">
        <f>INDEX('[3]Country Results'!$C$7:$AK$254,MATCH([3]Dashboard!$B333,'[3]Country Results'!$B$7:$B$254,0),MATCH([3]Dashboard!$C$8,'[3]Country Results'!$C$6:$AE$6,0))</f>
        <v>0</v>
      </c>
      <c r="D333" s="45" cm="1">
        <f t="array" ref="D333">INDEX('[3]Country Results'!$L$7:$AE$254,MATCH([3]Dashboard!B333,'[3]Country Results'!$B$7:$B$254,0),MATCH($C$8,'[3]Country Results'!$L$6:$AE$6,0)+1)</f>
        <v>0</v>
      </c>
      <c r="E333" s="43">
        <f t="shared" si="46"/>
        <v>200</v>
      </c>
      <c r="F333" s="43"/>
      <c r="G333" s="91" t="str">
        <f>IFERROR(INDEX('[3]Country Results'!$C$7:$AK$254,MATCH([3]Dashboard!$B333,'[3]Country Results'!$B$7:$B$254,0),MATCH([3]Dashboard!$C$9,'[3]Country Results'!$C$6:$AK$6,0)),"")</f>
        <v/>
      </c>
      <c r="H333" s="43" t="str">
        <f t="shared" si="47"/>
        <v/>
      </c>
      <c r="I333" s="43"/>
      <c r="J333" s="44" t="str">
        <f t="shared" si="48"/>
        <v/>
      </c>
      <c r="K333" s="45" t="str">
        <f t="shared" si="49"/>
        <v/>
      </c>
      <c r="L333" s="43" t="str">
        <f t="shared" si="50"/>
        <v/>
      </c>
      <c r="M333" s="136" t="str">
        <f>IF(G333="","",INDEX([3]Countries!$C$7:$AO$254,MATCH([3]Dashboard!$B333,[3]Countries!$B$7:$B$254,0),MATCH([3]Dashboard!$N$7,[3]Countries!$C$6:$AO$6,0)))</f>
        <v/>
      </c>
      <c r="N333" s="137"/>
      <c r="O333" s="135" t="str">
        <f t="shared" si="51"/>
        <v/>
      </c>
      <c r="P333" s="45" t="str">
        <f t="shared" si="52"/>
        <v/>
      </c>
      <c r="Q333" s="43" t="str">
        <f t="shared" si="53"/>
        <v/>
      </c>
    </row>
    <row r="334" spans="2:17" x14ac:dyDescent="0.3">
      <c r="B334" t="str">
        <f>+'[3]Country Results'!B252</f>
        <v>Yemen</v>
      </c>
      <c r="C334" s="91">
        <f>INDEX('[3]Country Results'!$C$7:$AK$254,MATCH([3]Dashboard!$B334,'[3]Country Results'!$B$7:$B$254,0),MATCH([3]Dashboard!$C$8,'[3]Country Results'!$C$6:$AE$6,0))</f>
        <v>1285.6825849999998</v>
      </c>
      <c r="D334" s="45" cm="1">
        <f t="array" ref="D334">INDEX('[3]Country Results'!$L$7:$AE$254,MATCH([3]Dashboard!B334,'[3]Country Results'!$B$7:$B$254,0),MATCH($C$8,'[3]Country Results'!$L$6:$AE$6,0)+1)</f>
        <v>6.9089423053415985E-4</v>
      </c>
      <c r="E334" s="43">
        <f t="shared" si="46"/>
        <v>111</v>
      </c>
      <c r="F334" s="43"/>
      <c r="G334" s="91">
        <f>IFERROR(INDEX('[3]Country Results'!$C$7:$AK$254,MATCH([3]Dashboard!$B334,'[3]Country Results'!$B$7:$B$254,0),MATCH([3]Dashboard!$C$9,'[3]Country Results'!$C$6:$AK$6,0)),"")</f>
        <v>840</v>
      </c>
      <c r="H334" s="43">
        <f t="shared" si="47"/>
        <v>182</v>
      </c>
      <c r="I334" s="43"/>
      <c r="J334" s="44">
        <f t="shared" si="48"/>
        <v>1.0799733713999999</v>
      </c>
      <c r="K334" s="45">
        <f t="shared" si="49"/>
        <v>2.4154837420937684E-5</v>
      </c>
      <c r="L334" s="43">
        <f t="shared" si="50"/>
        <v>146</v>
      </c>
      <c r="M334" s="136" t="str">
        <f>IF(G334="","",INDEX([3]Countries!$C$7:$AO$254,MATCH([3]Dashboard!$B334,[3]Countries!$B$7:$B$254,0),MATCH([3]Dashboard!$N$7,[3]Countries!$C$6:$AO$6,0)))</f>
        <v>x</v>
      </c>
      <c r="N334" s="137"/>
      <c r="O334" s="135" t="str">
        <f t="shared" si="51"/>
        <v>-</v>
      </c>
      <c r="P334" s="45" t="str">
        <f t="shared" si="52"/>
        <v/>
      </c>
      <c r="Q334" s="43" t="str">
        <f t="shared" si="53"/>
        <v/>
      </c>
    </row>
    <row r="335" spans="2:17" x14ac:dyDescent="0.3">
      <c r="B335" t="str">
        <f>+'[3]Country Results'!B253</f>
        <v>Zambia</v>
      </c>
      <c r="C335" s="91">
        <f>INDEX('[3]Country Results'!$C$7:$AK$254,MATCH([3]Dashboard!$B335,'[3]Country Results'!$B$7:$B$254,0),MATCH([3]Dashboard!$C$8,'[3]Country Results'!$C$6:$AE$6,0))</f>
        <v>3047.7058459999998</v>
      </c>
      <c r="D335" s="45" cm="1">
        <f t="array" ref="D335">INDEX('[3]Country Results'!$L$7:$AE$254,MATCH([3]Dashboard!B335,'[3]Country Results'!$B$7:$B$254,0),MATCH($C$8,'[3]Country Results'!$L$6:$AE$6,0)+1)</f>
        <v>1.637762236132825E-3</v>
      </c>
      <c r="E335" s="43">
        <f t="shared" si="46"/>
        <v>71</v>
      </c>
      <c r="F335" s="43"/>
      <c r="G335" s="91">
        <f>IFERROR(INDEX('[3]Country Results'!$C$7:$AK$254,MATCH([3]Dashboard!$B335,'[3]Country Results'!$B$7:$B$254,0),MATCH([3]Dashboard!$C$9,'[3]Country Results'!$C$6:$AK$6,0)),"")</f>
        <v>1030</v>
      </c>
      <c r="H335" s="43">
        <f t="shared" si="47"/>
        <v>178</v>
      </c>
      <c r="I335" s="43"/>
      <c r="J335" s="44">
        <f t="shared" si="48"/>
        <v>3.1391370213799998</v>
      </c>
      <c r="K335" s="45">
        <f t="shared" si="49"/>
        <v>7.0210383331198198E-5</v>
      </c>
      <c r="L335" s="43">
        <f t="shared" si="50"/>
        <v>116</v>
      </c>
      <c r="M335" s="136" t="str">
        <f>IF(G335="","",INDEX([3]Countries!$C$7:$AO$254,MATCH([3]Dashboard!$B335,[3]Countries!$B$7:$B$254,0),MATCH([3]Dashboard!$N$7,[3]Countries!$C$6:$AO$6,0)))</f>
        <v>x</v>
      </c>
      <c r="N335" s="137"/>
      <c r="O335" s="135" t="str">
        <f t="shared" si="51"/>
        <v>-</v>
      </c>
      <c r="P335" s="45" t="str">
        <f t="shared" si="52"/>
        <v/>
      </c>
      <c r="Q335" s="43" t="str">
        <f t="shared" si="53"/>
        <v/>
      </c>
    </row>
    <row r="336" spans="2:17" x14ac:dyDescent="0.3">
      <c r="B336" s="125" t="str">
        <f>+'[3]Country Results'!B254</f>
        <v>Zimbabwe</v>
      </c>
      <c r="C336" s="121">
        <f>INDEX('[3]Country Results'!$C$7:$AK$254,MATCH([3]Dashboard!$B336,'[3]Country Results'!$B$7:$B$254,0),MATCH([3]Dashboard!$C$8,'[3]Country Results'!$C$6:$AE$6,0))</f>
        <v>1987.3053980000004</v>
      </c>
      <c r="D336" s="122" cm="1">
        <f t="array" ref="D336">INDEX('[3]Country Results'!$L$7:$AE$254,MATCH([3]Dashboard!B336,'[3]Country Results'!$B$7:$B$254,0),MATCH($C$8,'[3]Country Results'!$L$6:$AE$6,0)+1)</f>
        <v>1.0679290905908885E-3</v>
      </c>
      <c r="E336" s="120">
        <f t="shared" si="46"/>
        <v>94</v>
      </c>
      <c r="F336" s="120"/>
      <c r="G336" s="121">
        <f>IFERROR(INDEX('[3]Country Results'!$C$7:$AK$254,MATCH([3]Dashboard!$B336,'[3]Country Results'!$B$7:$B$254,0),MATCH([3]Dashboard!$C$9,'[3]Country Results'!$C$6:$AK$6,0)),"")</f>
        <v>1530</v>
      </c>
      <c r="H336" s="120">
        <f t="shared" si="47"/>
        <v>166</v>
      </c>
      <c r="I336" s="120"/>
      <c r="J336" s="138">
        <f t="shared" si="48"/>
        <v>3.0405772589400004</v>
      </c>
      <c r="K336" s="122">
        <f t="shared" si="49"/>
        <v>6.8005981721834194E-5</v>
      </c>
      <c r="L336" s="120">
        <f t="shared" si="50"/>
        <v>117</v>
      </c>
      <c r="M336" s="139" t="str">
        <f>IF(G336="","",INDEX([3]Countries!$C$7:$AO$254,MATCH([3]Dashboard!$B336,[3]Countries!$B$7:$B$254,0),MATCH([3]Dashboard!$N$7,[3]Countries!$C$6:$AO$6,0)))</f>
        <v>x</v>
      </c>
      <c r="N336" s="137"/>
      <c r="O336" s="140" t="str">
        <f t="shared" si="51"/>
        <v>-</v>
      </c>
      <c r="P336" s="122" t="str">
        <f t="shared" si="52"/>
        <v/>
      </c>
      <c r="Q336" s="120" t="str">
        <f t="shared" si="53"/>
        <v/>
      </c>
    </row>
    <row r="337" spans="2:17" x14ac:dyDescent="0.3">
      <c r="M337" s="94"/>
      <c r="N337" s="94"/>
      <c r="O337" s="141" t="s">
        <v>1127</v>
      </c>
      <c r="P337" s="142">
        <v>5.0000000000000001E-3</v>
      </c>
    </row>
    <row r="338" spans="2:17" x14ac:dyDescent="0.3">
      <c r="M338" s="94"/>
      <c r="N338" s="94"/>
      <c r="O338" s="127" t="s">
        <v>1128</v>
      </c>
      <c r="Q338" s="128" t="str">
        <f>+N7</f>
        <v>LIC/LMIC/LDC/SIDS</v>
      </c>
    </row>
    <row r="339" spans="2:17" x14ac:dyDescent="0.3">
      <c r="M339" s="94"/>
      <c r="N339" s="94"/>
      <c r="O339" s="127" t="s">
        <v>1121</v>
      </c>
      <c r="P339" s="126"/>
      <c r="Q339" s="129">
        <f>+($J$88-$O$88)/$J$88</f>
        <v>2.8971643976084076E-2</v>
      </c>
    </row>
    <row r="340" spans="2:17" x14ac:dyDescent="0.3">
      <c r="B340" s="143" t="s">
        <v>1129</v>
      </c>
      <c r="M340" s="94"/>
      <c r="N340" s="94"/>
      <c r="O340" s="127"/>
      <c r="P340" s="126"/>
    </row>
    <row r="341" spans="2:17" x14ac:dyDescent="0.3">
      <c r="B341" s="144" t="s">
        <v>1130</v>
      </c>
      <c r="C341" s="144"/>
      <c r="D341" s="144"/>
      <c r="M341" s="94"/>
      <c r="N341" s="94"/>
      <c r="O341" s="94"/>
    </row>
    <row r="342" spans="2:17" x14ac:dyDescent="0.3">
      <c r="B342" s="144" t="s">
        <v>1131</v>
      </c>
      <c r="C342" s="144"/>
      <c r="D342" s="145">
        <f>SUM(D90:D336)</f>
        <v>0.98150194984791284</v>
      </c>
      <c r="M342" s="94"/>
      <c r="N342" s="94"/>
      <c r="O342" s="94"/>
    </row>
    <row r="343" spans="2:17" x14ac:dyDescent="0.3">
      <c r="B343" s="144" t="s">
        <v>1132</v>
      </c>
      <c r="C343" s="144"/>
      <c r="D343" s="146">
        <f>SUMIF(G90:G336,"&gt;0",D90:D336)</f>
        <v>0.97875815833781399</v>
      </c>
      <c r="M343" s="94"/>
      <c r="N343" s="94"/>
      <c r="O343" s="94"/>
    </row>
    <row r="344" spans="2:17" x14ac:dyDescent="0.3">
      <c r="B344" s="144" t="s">
        <v>1133</v>
      </c>
      <c r="C344" s="144"/>
      <c r="D344" s="146">
        <f>+D342-D343</f>
        <v>2.7437915100988475E-3</v>
      </c>
      <c r="M344" s="94"/>
      <c r="N344" s="94"/>
      <c r="O344" s="94"/>
    </row>
    <row r="345" spans="2:17" x14ac:dyDescent="0.3">
      <c r="M345" s="94"/>
      <c r="N345" s="94"/>
      <c r="O345" s="94"/>
    </row>
    <row r="346" spans="2:17" x14ac:dyDescent="0.3">
      <c r="M346" s="94"/>
      <c r="N346" s="94"/>
      <c r="O346" s="94"/>
    </row>
    <row r="347" spans="2:17" x14ac:dyDescent="0.3">
      <c r="M347" s="94"/>
      <c r="N347" s="94"/>
      <c r="O347" s="94"/>
    </row>
    <row r="348" spans="2:17" x14ac:dyDescent="0.3">
      <c r="M348" s="94"/>
      <c r="N348" s="94"/>
      <c r="O348" s="94"/>
    </row>
    <row r="349" spans="2:17" x14ac:dyDescent="0.3">
      <c r="M349" s="94"/>
      <c r="N349" s="94"/>
      <c r="O349" s="94"/>
    </row>
    <row r="350" spans="2:17" x14ac:dyDescent="0.3">
      <c r="M350" s="94"/>
      <c r="N350" s="94"/>
      <c r="O350" s="94"/>
    </row>
  </sheetData>
  <mergeCells count="6">
    <mergeCell ref="C10:D10"/>
    <mergeCell ref="C5:D5"/>
    <mergeCell ref="C6:D6"/>
    <mergeCell ref="C7:D7"/>
    <mergeCell ref="C8:D8"/>
    <mergeCell ref="C9:D9"/>
  </mergeCells>
  <conditionalFormatting sqref="P90:P336">
    <cfRule type="containsBlanks" dxfId="1" priority="1" stopIfTrue="1">
      <formula>LEN(TRIM(P90))=0</formula>
    </cfRule>
    <cfRule type="cellIs" dxfId="0" priority="2" operator="greaterThanOrEqual">
      <formula>$P$337</formula>
    </cfRule>
  </conditionalFormatting>
  <dataValidations count="5">
    <dataValidation type="whole" allowBlank="1" showInputMessage="1" showErrorMessage="1" errorTitle="Invlaid reference year" error="Reference year must be between 1750 and 2021." sqref="C5:D5" xr:uid="{3BBBD6AA-F38B-4401-8390-2FA5CBA1D481}">
      <formula1>1750</formula1>
      <formula2>2021</formula2>
    </dataValidation>
    <dataValidation type="whole" allowBlank="1" showInputMessage="1" showErrorMessage="1" errorTitle="Invalid cut-off year chosen" error="Cut-off year must be between 1750 and the reference year." sqref="C6:D6" xr:uid="{16D464EB-34C1-4A18-A216-5292EF0430E5}">
      <formula1>1750</formula1>
      <formula2>C5</formula2>
    </dataValidation>
    <dataValidation type="list" allowBlank="1" showInputMessage="1" showErrorMessage="1" sqref="Q8 H8" xr:uid="{7E724BEC-2CA5-4A6A-B75E-DD0272D7E017}">
      <formula1>$T$6:$T$9</formula1>
    </dataValidation>
    <dataValidation type="list" allowBlank="1" showInputMessage="1" showErrorMessage="1" sqref="Q9:Q11 H9:H11" xr:uid="{7B6AB998-F952-42BA-B644-DD19FA6AAC28}">
      <formula1>$V$6:$V$9</formula1>
    </dataValidation>
    <dataValidation type="decimal" allowBlank="1" showInputMessage="1" showErrorMessage="1" sqref="C7:D7" xr:uid="{4B07BEF5-542D-4FA6-AEB2-0B63BC9968A2}">
      <formula1>0</formula1>
      <formula2>100</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3]!ClearCountryExclusions">
                <anchor moveWithCells="1" sizeWithCells="1">
                  <from>
                    <xdr:col>11</xdr:col>
                    <xdr:colOff>0</xdr:colOff>
                    <xdr:row>7</xdr:row>
                    <xdr:rowOff>99060</xdr:rowOff>
                  </from>
                  <to>
                    <xdr:col>14</xdr:col>
                    <xdr:colOff>0</xdr:colOff>
                    <xdr:row>9</xdr:row>
                    <xdr:rowOff>0</xdr:rowOff>
                  </to>
                </anchor>
              </controlPr>
            </control>
          </mc:Choice>
        </mc:AlternateContent>
        <mc:AlternateContent xmlns:mc="http://schemas.openxmlformats.org/markup-compatibility/2006">
          <mc:Choice Requires="x14">
            <control shapeId="13315" r:id="rId5" name="Button 3">
              <controlPr defaultSize="0" print="0" autoFill="0" autoPict="0" macro="[3]!ClearCountryExclusions">
                <anchor moveWithCells="1" sizeWithCells="1">
                  <from>
                    <xdr:col>11</xdr:col>
                    <xdr:colOff>0</xdr:colOff>
                    <xdr:row>7</xdr:row>
                    <xdr:rowOff>99060</xdr:rowOff>
                  </from>
                  <to>
                    <xdr:col>14</xdr:col>
                    <xdr:colOff>0</xdr:colOff>
                    <xdr:row>9</xdr:row>
                    <xdr:rowOff>0</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4490-3029-4087-A997-FA1FDF10697E}">
  <sheetPr>
    <tabColor theme="9" tint="0.79998168889431442"/>
  </sheetPr>
  <dimension ref="A1:B15"/>
  <sheetViews>
    <sheetView workbookViewId="0">
      <selection activeCell="A3" sqref="A3"/>
    </sheetView>
  </sheetViews>
  <sheetFormatPr defaultRowHeight="14.4" x14ac:dyDescent="0.3"/>
  <cols>
    <col min="1" max="1" width="30.5546875" customWidth="1"/>
  </cols>
  <sheetData>
    <row r="1" spans="1:2" x14ac:dyDescent="0.3">
      <c r="A1" t="s">
        <v>1422</v>
      </c>
    </row>
    <row r="2" spans="1:2" x14ac:dyDescent="0.3">
      <c r="A2" s="92" t="s">
        <v>1134</v>
      </c>
      <c r="B2" s="92" t="s">
        <v>1135</v>
      </c>
    </row>
    <row r="3" spans="1:2" x14ac:dyDescent="0.3">
      <c r="A3" t="s">
        <v>1136</v>
      </c>
      <c r="B3" t="s">
        <v>1137</v>
      </c>
    </row>
    <row r="4" spans="1:2" x14ac:dyDescent="0.3">
      <c r="A4" t="s">
        <v>1138</v>
      </c>
      <c r="B4" t="s">
        <v>1139</v>
      </c>
    </row>
    <row r="5" spans="1:2" x14ac:dyDescent="0.3">
      <c r="A5" t="s">
        <v>1140</v>
      </c>
      <c r="B5" t="s">
        <v>1141</v>
      </c>
    </row>
    <row r="6" spans="1:2" x14ac:dyDescent="0.3">
      <c r="A6" t="s">
        <v>1142</v>
      </c>
      <c r="B6" t="s">
        <v>1143</v>
      </c>
    </row>
    <row r="7" spans="1:2" x14ac:dyDescent="0.3">
      <c r="A7" t="s">
        <v>1144</v>
      </c>
      <c r="B7" t="s">
        <v>1145</v>
      </c>
    </row>
    <row r="8" spans="1:2" x14ac:dyDescent="0.3">
      <c r="A8" t="s">
        <v>1146</v>
      </c>
      <c r="B8" t="s">
        <v>1147</v>
      </c>
    </row>
    <row r="9" spans="1:2" x14ac:dyDescent="0.3">
      <c r="A9" t="s">
        <v>1148</v>
      </c>
      <c r="B9" t="s">
        <v>1149</v>
      </c>
    </row>
    <row r="10" spans="1:2" x14ac:dyDescent="0.3">
      <c r="A10" t="s">
        <v>1150</v>
      </c>
      <c r="B10" t="s">
        <v>1151</v>
      </c>
    </row>
    <row r="11" spans="1:2" x14ac:dyDescent="0.3">
      <c r="A11" t="s">
        <v>1152</v>
      </c>
      <c r="B11" t="s">
        <v>1153</v>
      </c>
    </row>
    <row r="12" spans="1:2" x14ac:dyDescent="0.3">
      <c r="A12" t="s">
        <v>1042</v>
      </c>
      <c r="B12" t="s">
        <v>1154</v>
      </c>
    </row>
    <row r="13" spans="1:2" x14ac:dyDescent="0.3">
      <c r="A13" t="s">
        <v>1155</v>
      </c>
      <c r="B13" t="s">
        <v>1156</v>
      </c>
    </row>
    <row r="14" spans="1:2" x14ac:dyDescent="0.3">
      <c r="A14" t="s">
        <v>1157</v>
      </c>
      <c r="B14" t="s">
        <v>1158</v>
      </c>
    </row>
    <row r="15" spans="1:2" x14ac:dyDescent="0.3">
      <c r="A15" t="s">
        <v>1159</v>
      </c>
      <c r="B15" t="s">
        <v>1160</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78926-C3B8-4B22-9144-18DE1C002A84}">
  <sheetPr>
    <tabColor theme="9" tint="0.79998168889431442"/>
  </sheetPr>
  <dimension ref="A1:H11"/>
  <sheetViews>
    <sheetView workbookViewId="0">
      <selection activeCell="Q35" sqref="Q35"/>
    </sheetView>
  </sheetViews>
  <sheetFormatPr defaultRowHeight="14.4" x14ac:dyDescent="0.3"/>
  <cols>
    <col min="1" max="8" width="22.109375" customWidth="1"/>
  </cols>
  <sheetData>
    <row r="1" spans="1:8" x14ac:dyDescent="0.3">
      <c r="A1" t="s">
        <v>1246</v>
      </c>
      <c r="B1" t="s">
        <v>1290</v>
      </c>
      <c r="C1" t="s">
        <v>1291</v>
      </c>
      <c r="D1" t="s">
        <v>1292</v>
      </c>
      <c r="E1" t="s">
        <v>1293</v>
      </c>
      <c r="F1" t="s">
        <v>1294</v>
      </c>
      <c r="G1" t="s">
        <v>1295</v>
      </c>
      <c r="H1" t="s">
        <v>1296</v>
      </c>
    </row>
    <row r="2" spans="1:8" x14ac:dyDescent="0.3">
      <c r="A2" t="s">
        <v>1048</v>
      </c>
      <c r="B2" s="195">
        <v>0.14539982821375999</v>
      </c>
      <c r="C2" s="195">
        <v>0.113991712853201</v>
      </c>
      <c r="D2" s="195">
        <v>2.2867650583786099E-2</v>
      </c>
      <c r="E2" s="195">
        <v>0.19030174722433499</v>
      </c>
      <c r="F2" s="195">
        <v>0.26158367722730202</v>
      </c>
      <c r="G2" s="195">
        <v>3.0585417883966799E-2</v>
      </c>
      <c r="H2" s="195">
        <v>0.235269966013647</v>
      </c>
    </row>
    <row r="3" spans="1:8" x14ac:dyDescent="0.3">
      <c r="A3" t="s">
        <v>1054</v>
      </c>
      <c r="B3" s="195">
        <v>0.134778985368737</v>
      </c>
      <c r="C3" s="195">
        <v>0.18718948593043899</v>
      </c>
      <c r="D3" s="195">
        <v>9.0377266027721694E-5</v>
      </c>
      <c r="E3" s="195">
        <v>0.15732464741854199</v>
      </c>
      <c r="F3" s="45">
        <v>4.5859753701963497E-2</v>
      </c>
      <c r="G3" s="195">
        <v>0.282958547079948</v>
      </c>
      <c r="H3" s="195">
        <v>0.19179820323433999</v>
      </c>
    </row>
    <row r="4" spans="1:8" x14ac:dyDescent="0.3">
      <c r="A4" t="s">
        <v>1011</v>
      </c>
      <c r="B4" s="195">
        <v>0.13777869176159599</v>
      </c>
      <c r="C4" s="45">
        <v>5.0834659691643101E-2</v>
      </c>
      <c r="D4" s="195">
        <v>1.53791496918802E-6</v>
      </c>
      <c r="E4" s="195">
        <v>0.14605899857664001</v>
      </c>
      <c r="F4" s="45">
        <v>8.4260271788500707E-2</v>
      </c>
      <c r="G4" s="195">
        <v>0.215171385612309</v>
      </c>
      <c r="H4" s="195">
        <v>0.36589445465434001</v>
      </c>
    </row>
    <row r="5" spans="1:8" x14ac:dyDescent="0.3">
      <c r="A5" t="s">
        <v>1053</v>
      </c>
      <c r="B5" s="195">
        <v>0.107903685412265</v>
      </c>
      <c r="C5" s="45">
        <v>8.9270913861813295E-2</v>
      </c>
      <c r="D5" s="45">
        <v>2.1383242378877798E-3</v>
      </c>
      <c r="E5" s="195">
        <v>0.22684116520033901</v>
      </c>
      <c r="F5" s="195">
        <v>0.18649934217921299</v>
      </c>
      <c r="G5" s="195">
        <v>0.16190730655417099</v>
      </c>
      <c r="H5" s="195">
        <v>0.22543926255430799</v>
      </c>
    </row>
    <row r="6" spans="1:8" x14ac:dyDescent="0.3">
      <c r="A6" t="s">
        <v>1046</v>
      </c>
      <c r="B6" s="45">
        <v>6.2847313124051396E-2</v>
      </c>
      <c r="C6" s="195">
        <v>0.21194766505662599</v>
      </c>
      <c r="D6" s="45">
        <v>4.5265545801206099E-3</v>
      </c>
      <c r="E6" s="195">
        <v>0.17382779805783599</v>
      </c>
      <c r="F6" s="195">
        <v>2.3771217684906799E-2</v>
      </c>
      <c r="G6" s="195">
        <v>0.25910569563521701</v>
      </c>
      <c r="H6" s="195">
        <v>0.263973755861241</v>
      </c>
    </row>
    <row r="7" spans="1:8" x14ac:dyDescent="0.3">
      <c r="A7" t="s">
        <v>1052</v>
      </c>
      <c r="B7" s="195">
        <v>0.11656724383945299</v>
      </c>
      <c r="C7" s="45">
        <v>9.0463546369804304E-2</v>
      </c>
      <c r="D7" s="45">
        <v>1.8765175587841399E-3</v>
      </c>
      <c r="E7" s="195">
        <v>0.23442672877845699</v>
      </c>
      <c r="F7" s="195">
        <v>0.12252317094731199</v>
      </c>
      <c r="G7" s="195">
        <v>0.12383326497149801</v>
      </c>
      <c r="H7" s="195">
        <v>0.31030952753468899</v>
      </c>
    </row>
    <row r="8" spans="1:8" x14ac:dyDescent="0.3">
      <c r="A8" t="s">
        <v>1056</v>
      </c>
      <c r="B8" s="195">
        <v>0.103792718651566</v>
      </c>
      <c r="C8" s="195">
        <v>3.4465347868923697E-2</v>
      </c>
      <c r="D8" s="45">
        <v>5.4905195838445397E-3</v>
      </c>
      <c r="E8" s="195">
        <v>0.179481772799682</v>
      </c>
      <c r="F8" s="195">
        <v>0.48484659585762202</v>
      </c>
      <c r="G8" s="45">
        <v>7.78073743158465E-2</v>
      </c>
      <c r="H8" s="195">
        <v>0.114115670922513</v>
      </c>
    </row>
    <row r="9" spans="1:8" x14ac:dyDescent="0.3">
      <c r="A9" t="s">
        <v>861</v>
      </c>
      <c r="B9" s="195">
        <v>4.0837071181553199E-2</v>
      </c>
      <c r="C9" s="195">
        <v>0.31555918640291097</v>
      </c>
      <c r="D9" s="45">
        <v>0</v>
      </c>
      <c r="E9" s="195">
        <v>0.27119634582791402</v>
      </c>
      <c r="F9" s="195">
        <v>2.5987227115533799E-2</v>
      </c>
      <c r="G9" s="195">
        <v>0.20511347116189199</v>
      </c>
      <c r="H9" s="195">
        <v>0.14130669831019399</v>
      </c>
    </row>
    <row r="10" spans="1:8" x14ac:dyDescent="0.3">
      <c r="A10" t="s">
        <v>1021</v>
      </c>
      <c r="B10" s="195">
        <v>0.19868007393503001</v>
      </c>
      <c r="C10" s="195">
        <v>0.197973070034245</v>
      </c>
      <c r="D10" s="45">
        <v>4.7182526055581098E-3</v>
      </c>
      <c r="E10" s="45">
        <v>6.8248406290422295E-2</v>
      </c>
      <c r="F10" s="45">
        <v>8.6901705428741496E-2</v>
      </c>
      <c r="G10" s="45">
        <v>1.1608072891111699E-3</v>
      </c>
      <c r="H10" s="195">
        <v>0.44231768441689001</v>
      </c>
    </row>
    <row r="11" spans="1:8" x14ac:dyDescent="0.3">
      <c r="A11" t="s">
        <v>1058</v>
      </c>
      <c r="B11" s="195">
        <v>0.19452986068054401</v>
      </c>
      <c r="C11" s="45">
        <v>8.0567831616092794E-2</v>
      </c>
      <c r="D11" s="45">
        <v>2.6374407597007901E-3</v>
      </c>
      <c r="E11" s="195">
        <v>0.28146748483225098</v>
      </c>
      <c r="F11" s="195">
        <v>0.131786803098811</v>
      </c>
      <c r="G11" s="45">
        <v>2.6246984326463701E-2</v>
      </c>
      <c r="H11" s="195">
        <v>0.28276359468613499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80AA1-1770-4D44-8184-6851918C99A0}">
  <sheetPr>
    <tabColor theme="9" tint="0.79998168889431442"/>
  </sheetPr>
  <dimension ref="B5:P9"/>
  <sheetViews>
    <sheetView tabSelected="1" topLeftCell="B1" workbookViewId="0">
      <selection activeCell="F3" sqref="F3"/>
    </sheetView>
  </sheetViews>
  <sheetFormatPr defaultRowHeight="14.4" x14ac:dyDescent="0.3"/>
  <cols>
    <col min="3" max="3" width="15.88671875" customWidth="1"/>
    <col min="4" max="4" width="22.33203125" customWidth="1"/>
  </cols>
  <sheetData>
    <row r="5" spans="2:16" x14ac:dyDescent="0.3">
      <c r="B5" s="22" t="s">
        <v>1380</v>
      </c>
      <c r="H5" s="22" t="s">
        <v>1381</v>
      </c>
      <c r="N5" s="22" t="s">
        <v>1409</v>
      </c>
    </row>
    <row r="6" spans="2:16" x14ac:dyDescent="0.3">
      <c r="B6" t="s">
        <v>1333</v>
      </c>
      <c r="C6" t="s">
        <v>1334</v>
      </c>
      <c r="D6" t="s">
        <v>1332</v>
      </c>
      <c r="H6" t="s">
        <v>1333</v>
      </c>
      <c r="I6" t="s">
        <v>1334</v>
      </c>
      <c r="J6" t="s">
        <v>1332</v>
      </c>
      <c r="N6" t="s">
        <v>1333</v>
      </c>
      <c r="O6" t="s">
        <v>1334</v>
      </c>
      <c r="P6" t="s">
        <v>1332</v>
      </c>
    </row>
    <row r="7" spans="2:16" x14ac:dyDescent="0.3">
      <c r="B7">
        <v>100</v>
      </c>
      <c r="C7">
        <v>125.93</v>
      </c>
      <c r="D7">
        <f>B7/C7</f>
        <v>0.79409195584848724</v>
      </c>
      <c r="H7">
        <v>100</v>
      </c>
      <c r="I7">
        <v>119.12</v>
      </c>
      <c r="J7">
        <f>H7/I7</f>
        <v>0.83948959032907988</v>
      </c>
      <c r="N7">
        <v>100</v>
      </c>
      <c r="O7" s="279">
        <v>115.68</v>
      </c>
      <c r="P7">
        <f>N7/O7</f>
        <v>0.86445366528354073</v>
      </c>
    </row>
    <row r="9" spans="2:16" x14ac:dyDescent="0.3">
      <c r="B9" s="224" t="s">
        <v>1331</v>
      </c>
    </row>
  </sheetData>
  <hyperlinks>
    <hyperlink ref="B9" r:id="rId1" display="https://www.bls.gov/data/inflation_calculator.htm" xr:uid="{6322D062-FBCF-47F7-8A6B-9F02C7C04510}"/>
  </hyperlinks>
  <pageMargins left="0.7" right="0.7" top="0.75" bottom="0.75" header="0.3" footer="0.3"/>
  <drawing r:id="rId2"/>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2</vt:i4>
      </vt:variant>
    </vt:vector>
  </HeadingPairs>
  <TitlesOfParts>
    <vt:vector size="38" baseType="lpstr">
      <vt:lpstr>Templates &gt;</vt:lpstr>
      <vt:lpstr>Final demand(2)</vt:lpstr>
      <vt:lpstr>Investment by(2)</vt:lpstr>
      <vt:lpstr>Final demand(3)</vt:lpstr>
      <vt:lpstr>Investment by(3)</vt:lpstr>
      <vt:lpstr>Final demand(4)</vt:lpstr>
      <vt:lpstr>Investment by(4)</vt:lpstr>
      <vt:lpstr>Final demand(5)</vt:lpstr>
      <vt:lpstr>Investment by(5)</vt:lpstr>
      <vt:lpstr>Final demand(6)</vt:lpstr>
      <vt:lpstr>Investment by(6)</vt:lpstr>
      <vt:lpstr>Final demand(7)</vt:lpstr>
      <vt:lpstr>Investment by(7)</vt:lpstr>
      <vt:lpstr>PERT_data</vt:lpstr>
      <vt:lpstr>Analysis &gt;</vt:lpstr>
      <vt:lpstr>Preliminary results</vt:lpstr>
      <vt:lpstr>Link to literature</vt:lpstr>
      <vt:lpstr>MSET pivots</vt:lpstr>
      <vt:lpstr>Baseline govt spend</vt:lpstr>
      <vt:lpstr>Scenario sets</vt:lpstr>
      <vt:lpstr>Matrix</vt:lpstr>
      <vt:lpstr>PERT_dist &gt;</vt:lpstr>
      <vt:lpstr>PERT2a_2026-08-24</vt:lpstr>
      <vt:lpstr>PERT1a_2026-08-24</vt:lpstr>
      <vt:lpstr>Elicitation &gt;</vt:lpstr>
      <vt:lpstr>Quant interpretation</vt:lpstr>
      <vt:lpstr>Representation</vt:lpstr>
      <vt:lpstr>Processed data</vt:lpstr>
      <vt:lpstr>Steps taken in cleaning data</vt:lpstr>
      <vt:lpstr>Original data</vt:lpstr>
      <vt:lpstr>Other inputs &gt;</vt:lpstr>
      <vt:lpstr>World Bank 2026</vt:lpstr>
      <vt:lpstr>Beynon 2023</vt:lpstr>
      <vt:lpstr>Notes</vt:lpstr>
      <vt:lpstr>calculations_govt_revenues</vt:lpstr>
      <vt:lpstr>Inflation</vt:lpstr>
      <vt:lpstr>'World Bank 2026'!Print_Area</vt:lpstr>
      <vt:lpstr>'World Bank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Mayer, Ben</cp:lastModifiedBy>
  <dcterms:created xsi:type="dcterms:W3CDTF">2026-07-22T10:10:37Z</dcterms:created>
  <dcterms:modified xsi:type="dcterms:W3CDTF">2026-09-04T19:15:40Z</dcterms:modified>
</cp:coreProperties>
</file>